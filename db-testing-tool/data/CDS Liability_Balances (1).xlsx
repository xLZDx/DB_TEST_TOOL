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ikorostelev\Downloads\"/>
    </mc:Choice>
  </mc:AlternateContent>
  <xr:revisionPtr revIDLastSave="0" documentId="13_ncr:1_{FF2239B3-F29E-4290-9394-4E459BC3854A}" xr6:coauthVersionLast="47" xr6:coauthVersionMax="47" xr10:uidLastSave="{00000000-0000-0000-0000-000000000000}"/>
  <bookViews>
    <workbookView xWindow="-120" yWindow="-120" windowWidth="57840" windowHeight="32190" xr2:uid="{30DCCB9C-791A-4BFE-92C8-F817EF296C3F}"/>
  </bookViews>
  <sheets>
    <sheet name="Table-View(LOAN_POS_DTLS)" sheetId="3" r:id="rId1"/>
    <sheet name="Table-View(EOD_POS)" sheetId="4" r:id="rId2"/>
    <sheet name="Attribute" sheetId="6" r:id="rId3"/>
    <sheet name="Grian" sheetId="5" r:id="rId4"/>
    <sheet name="Sheet1" sheetId="7" r:id="rId5"/>
  </sheets>
  <definedNames>
    <definedName name="_xlnm._FilterDatabase" localSheetId="2" hidden="1">Attribute!$A$1:$N$29</definedName>
    <definedName name="_xlnm._FilterDatabase" localSheetId="1" hidden="1">'Table-View(EOD_POS)'!$A$9:$U$38</definedName>
    <definedName name="_xlnm._FilterDatabase" localSheetId="0" hidden="1">'Table-View(LOAN_POS_DTLS)'!$A$9:$U$38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6" l="1"/>
  <c r="G3" i="6"/>
  <c r="H3" i="6"/>
  <c r="C4" i="6"/>
  <c r="G4" i="6"/>
  <c r="H4" i="6"/>
  <c r="C5" i="6"/>
  <c r="G5" i="6"/>
  <c r="H5" i="6"/>
  <c r="C6" i="6"/>
  <c r="G6" i="6"/>
  <c r="H6" i="6"/>
  <c r="C7" i="6"/>
  <c r="G7" i="6"/>
  <c r="H7" i="6"/>
  <c r="C8" i="6"/>
  <c r="G8" i="6"/>
  <c r="H8" i="6"/>
  <c r="C9" i="6"/>
  <c r="G9" i="6"/>
  <c r="H9" i="6"/>
  <c r="C10" i="6"/>
  <c r="G10" i="6"/>
  <c r="H10" i="6"/>
  <c r="C11" i="6"/>
  <c r="G11" i="6"/>
  <c r="H11" i="6"/>
  <c r="C12" i="6"/>
  <c r="G12" i="6"/>
  <c r="H12" i="6"/>
  <c r="C13" i="6"/>
  <c r="G13" i="6"/>
  <c r="H13" i="6"/>
  <c r="C14" i="6"/>
  <c r="G14" i="6"/>
  <c r="H14" i="6"/>
  <c r="C15" i="6"/>
  <c r="G15" i="6"/>
  <c r="H15" i="6"/>
  <c r="C16" i="6"/>
  <c r="G16" i="6"/>
  <c r="H16" i="6"/>
  <c r="C17" i="6"/>
  <c r="G17" i="6"/>
  <c r="H17" i="6"/>
  <c r="C18" i="6"/>
  <c r="G18" i="6"/>
  <c r="H18" i="6"/>
  <c r="C19" i="6"/>
  <c r="G19" i="6"/>
  <c r="H19" i="6"/>
  <c r="C20" i="6"/>
  <c r="G20" i="6"/>
  <c r="H20" i="6"/>
  <c r="C21" i="6"/>
  <c r="G21" i="6"/>
  <c r="H21" i="6"/>
  <c r="C22" i="6"/>
  <c r="G22" i="6"/>
  <c r="H22" i="6"/>
  <c r="C23" i="6"/>
  <c r="G23" i="6"/>
  <c r="H23" i="6"/>
  <c r="C24" i="6"/>
  <c r="G24" i="6"/>
  <c r="H24" i="6"/>
  <c r="C25" i="6"/>
  <c r="G25" i="6"/>
  <c r="H25" i="6"/>
  <c r="C26" i="6"/>
  <c r="G26" i="6"/>
  <c r="H26" i="6"/>
  <c r="C27" i="6"/>
  <c r="G27" i="6"/>
  <c r="H27" i="6"/>
  <c r="C28" i="6"/>
  <c r="G28" i="6"/>
  <c r="H28" i="6"/>
  <c r="C29" i="6"/>
  <c r="G29" i="6"/>
  <c r="H29" i="6"/>
  <c r="H2" i="6"/>
  <c r="G2" i="6"/>
  <c r="C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tc={FB17BE38-89F8-41E5-B393-9F1E858C117B}</author>
    <author>tc={7602A7E8-61E3-4035-84D1-2E466C5818C2}</author>
    <author>tc={06F095E7-9DF5-45DA-9706-54114363A35F}</author>
    <author>tc={965E7CA0-C4E7-4865-B21C-7FD282FC1880}</author>
  </authors>
  <commentList>
    <comment ref="A5" authorId="0" shapeId="0" xr:uid="{FB17BE38-89F8-41E5-B393-9F1E858C117B}">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C9" authorId="1" shapeId="0" xr:uid="{7602A7E8-61E3-4035-84D1-2E466C5818C2}">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t>
      </text>
    </comment>
    <comment ref="G9" authorId="2" shapeId="0" xr:uid="{06F095E7-9DF5-45DA-9706-54114363A35F}">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A17" authorId="3" shapeId="0" xr:uid="{965E7CA0-C4E7-4865-B21C-7FD282FC1880}">
      <text>
        <t>[Threaded comment]
Your version of Excel allows you to read this threaded comment; however, any edits to it will get removed if the file is opened in a newer version of Excel. Learn more: https://go.microsoft.com/fwlink/?linkid=870924
Comment:
    To be added to model</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tc={23F70C01-1216-43E0-8191-3DBE6F94CACB}</author>
    <author>tc={1902AEA3-EE9E-4145-A988-4E018912F470}</author>
    <author>tc={2EBE1471-6318-4C9E-AB12-B6127EE6199B}</author>
    <author>tc={701D18A6-930A-4DAC-9B5D-8B9B5757E5E2}</author>
  </authors>
  <commentList>
    <comment ref="A5" authorId="0" shapeId="0" xr:uid="{23F70C01-1216-43E0-8191-3DBE6F94CACB}">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C9" authorId="1" shapeId="0" xr:uid="{1902AEA3-EE9E-4145-A988-4E018912F470}">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t>
      </text>
    </comment>
    <comment ref="G9" authorId="2" shapeId="0" xr:uid="{2EBE1471-6318-4C9E-AB12-B6127EE6199B}">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A17" authorId="3" shapeId="0" xr:uid="{701D18A6-930A-4DAC-9B5D-8B9B5757E5E2}">
      <text>
        <t>[Threaded comment]
Your version of Excel allows you to read this threaded comment; however, any edits to it will get removed if the file is opened in a newer version of Excel. Learn more: https://go.microsoft.com/fwlink/?linkid=870924
Comment:
    To be added to model</t>
      </text>
    </comment>
  </commentList>
</comments>
</file>

<file path=xl/sharedStrings.xml><?xml version="1.0" encoding="utf-8"?>
<sst xmlns="http://schemas.openxmlformats.org/spreadsheetml/2006/main" count="885" uniqueCount="219">
  <si>
    <t xml:space="preserve">1. View Name - </t>
  </si>
  <si>
    <t>Liability Balance</t>
  </si>
  <si>
    <t xml:space="preserve">Please read review comments on Table Functional Description, Data Type and Business Definition
</t>
  </si>
  <si>
    <r>
      <t>2. Table Name (</t>
    </r>
    <r>
      <rPr>
        <b/>
        <u/>
        <sz val="11"/>
        <rFont val="Aptos Narrow"/>
        <family val="2"/>
        <scheme val="minor"/>
      </rPr>
      <t>From DA Team</t>
    </r>
    <r>
      <rPr>
        <b/>
        <sz val="11"/>
        <rFont val="Aptos Narrow"/>
        <family val="2"/>
        <scheme val="minor"/>
      </rPr>
      <t>) -</t>
    </r>
  </si>
  <si>
    <t>LBY_BAL</t>
  </si>
  <si>
    <t xml:space="preserve">3. View Schema Name - </t>
  </si>
  <si>
    <t xml:space="preserve">4. Table Schema Name - </t>
  </si>
  <si>
    <t>CCAL_BAL_OWNER</t>
  </si>
  <si>
    <t xml:space="preserve">5. Table Functional Description /Comment in Oracle/Redshift - </t>
  </si>
  <si>
    <t>This consists the list/tally of liability positions or loans consisting of Arrangements data, balance amounts and date, Owner financial advisor reference data and entity data, Relationships.</t>
  </si>
  <si>
    <t>BA Responsbility</t>
  </si>
  <si>
    <t>DA Responsibility</t>
  </si>
  <si>
    <t xml:space="preserve">6. Filter Criteria - </t>
  </si>
  <si>
    <t>None</t>
  </si>
  <si>
    <t>7. Grain - Please see Grain Columns sheet.</t>
  </si>
  <si>
    <t>Target</t>
  </si>
  <si>
    <t xml:space="preserve">Source </t>
  </si>
  <si>
    <t xml:space="preserve">Transformation </t>
  </si>
  <si>
    <r>
      <t xml:space="preserve">Logical Name of Attribute 
(Name of column in View </t>
    </r>
    <r>
      <rPr>
        <b/>
        <u/>
        <sz val="11"/>
        <rFont val="Aptos Narrow"/>
        <family val="2"/>
        <scheme val="minor"/>
      </rPr>
      <t>without underscores</t>
    </r>
    <r>
      <rPr>
        <b/>
        <sz val="11"/>
        <rFont val="Aptos Narrow"/>
        <family val="2"/>
        <scheme val="minor"/>
      </rPr>
      <t>)</t>
    </r>
  </si>
  <si>
    <r>
      <t xml:space="preserve">Physical Name of Attribute (Name of column in Table)
</t>
    </r>
    <r>
      <rPr>
        <b/>
        <u/>
        <sz val="11"/>
        <rFont val="Aptos Narrow"/>
        <family val="2"/>
        <scheme val="minor"/>
      </rPr>
      <t>Supplied by DA Team</t>
    </r>
  </si>
  <si>
    <r>
      <t xml:space="preserve">Data type in Oracle
</t>
    </r>
    <r>
      <rPr>
        <b/>
        <u/>
        <sz val="11"/>
        <rFont val="Aptos Narrow"/>
        <family val="2"/>
        <scheme val="minor"/>
      </rPr>
      <t>VARCHAR2(n), DATE, NUMBER(m,n), TIMETSTAMP(6)</t>
    </r>
  </si>
  <si>
    <r>
      <t xml:space="preserve">Nullable in Table and in Oracle View
</t>
    </r>
    <r>
      <rPr>
        <b/>
        <u/>
        <sz val="11"/>
        <rFont val="Aptos Narrow"/>
        <family val="2"/>
        <scheme val="minor"/>
      </rPr>
      <t>NULL, NOT NULL</t>
    </r>
  </si>
  <si>
    <t>Data type in Redshift</t>
  </si>
  <si>
    <t>Nullable in View in Redshift</t>
  </si>
  <si>
    <t>Business Definition (To go into comments and into Meta Data Hub)</t>
  </si>
  <si>
    <t>Sample data values</t>
  </si>
  <si>
    <t>Action on Attribute
Add,Update,Remove, Blank</t>
  </si>
  <si>
    <t>Comments on when it was added / updated. List the PBI or Bug number.</t>
  </si>
  <si>
    <t>Include  in View.
Populated with N only when not to be shown in the view.</t>
  </si>
  <si>
    <r>
      <t xml:space="preserve">Is on Data Model
</t>
    </r>
    <r>
      <rPr>
        <b/>
        <u/>
        <sz val="11"/>
        <rFont val="Aptos Narrow"/>
        <family val="2"/>
        <scheme val="minor"/>
      </rPr>
      <t>DA responsibility</t>
    </r>
  </si>
  <si>
    <r>
      <t xml:space="preserve">Model Data Type match TRUE/FALSE
</t>
    </r>
    <r>
      <rPr>
        <b/>
        <u/>
        <sz val="11"/>
        <rFont val="Aptos Narrow"/>
        <family val="2"/>
        <scheme val="minor"/>
      </rPr>
      <t>DA Responsibilty</t>
    </r>
  </si>
  <si>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</si>
  <si>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</si>
  <si>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</si>
  <si>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</si>
  <si>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</si>
  <si>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</si>
  <si>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</si>
  <si>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Liability Balance  Id</t>
  </si>
  <si>
    <t>LBY_BAL_ID</t>
  </si>
  <si>
    <t>NUMBER(38,0)</t>
  </si>
  <si>
    <t>No</t>
  </si>
  <si>
    <t>NUMERIC(38)</t>
  </si>
  <si>
    <t>Surrogate key for Liability Balance Fact.</t>
  </si>
  <si>
    <t>Add</t>
  </si>
  <si>
    <t>PBI#2405850</t>
  </si>
  <si>
    <t>N</t>
  </si>
  <si>
    <t>This is Surrogate Key for this table. Comes from Sequence</t>
  </si>
  <si>
    <t>As of Date</t>
  </si>
  <si>
    <t>AS_OF_DT</t>
  </si>
  <si>
    <t>DATE</t>
  </si>
  <si>
    <t>Timestamp without time zone</t>
  </si>
  <si>
    <t>Date on which liability balance was recalculated in source system</t>
  </si>
  <si>
    <t>LOAN_STG_OWNER</t>
  </si>
  <si>
    <t>LOAN_POS_DTLS</t>
  </si>
  <si>
    <t>Balance Date</t>
  </si>
  <si>
    <t>BAL_DT</t>
  </si>
  <si>
    <t>Batch/snapshot date of the data load.</t>
  </si>
  <si>
    <t>SNPST_DT</t>
  </si>
  <si>
    <t>Balance Datetime</t>
  </si>
  <si>
    <t>BAL_DTM</t>
  </si>
  <si>
    <t>Batch/snapshot datetime of the data load.</t>
  </si>
  <si>
    <t>LOAN_POS_DTLS.SNPST_DT||' 00:00:00'</t>
  </si>
  <si>
    <t>Arrangement Id</t>
  </si>
  <si>
    <t>AR_ID</t>
  </si>
  <si>
    <t>The CDS assigned identifier for the arrangement - used for data lineage
The relationship of the loan is identified by arrangement id. For syndicate loans this is the facility arrangement.</t>
  </si>
  <si>
    <t>Brokerage Arrangement Id</t>
  </si>
  <si>
    <t>BKR_AR_ID</t>
  </si>
  <si>
    <t>Yes</t>
  </si>
  <si>
    <t>Associated Broker Arrangement Identifier (eg. AR ID for brokerage acct linked to Loan), if linked.</t>
  </si>
  <si>
    <t>Derived</t>
  </si>
  <si>
    <t>If SRC_STM_ID = 5017, set LINKED_BKR_AR_ID to NULL; otherwise, follow the steps below to determine LINKED_BKR_AR_ID.
Step1: Below is the logic to find the RJBNK1 AR_ID corresponding to each RJBNK2 AR_ID for RJBNK2 records where SRC_STM_ID equals 93.
--RJbank
SELECT lac.ar_id rjbnk2_ar_id, arxr_rjb1.ar_id linked_rjbnk1_ar_id
FROM loan_stg_owner.loan_pos_dtls lpd
LEFT JOIN loan_stg_owner.loan_ac       lac ON lpd.ac_id = lac.ac_id
LEFT JOIN ccsi_owner.ar_xref           arxr ON arxr.ar_id = lac.ar_id
AND arxr.src_stm_id = 93
AND arxr.orig_pvdr_src_stm_id = 93
LEFT JOIN ccsi_owner.ar_xref           arxr_rjb1 ON ltrim(arxr_rjb1.legacy_id, '0') = ltrim(arxr.legacy_id, '0')
AND arxr_rjb1.src_stm_id = 5
AND arxr_rjb1.orig_pvdr_src_stm_id = 5
WHERE lac.ar_id IN (SELECT ar_id FROM ccsi_owner.ar_xref WHERE src_stm_id = 93 AND orig_pvdr_src_stm_id = 93;
Step2: Below is the logic to find the RJBNK1 AR_ID corresponding to each RJB RESI AR_ID for RJB RESI records where SRC_STM_ID equals 5016.
--Resi         
SELECT a.src_stm_id, a.ar_id resi_ar_id, b.ar_id linked_rjbnk1_ar_id
FROM loan_stg_owner.loan_pos_dtls lpd
LEFT JOIN loan_stg_owner.loan_ac       a ON lpd.AC_ID = a.AC_ID
LEFT JOIN ccsi_owner.ar_xref           b ON ltrim(b.legacy_id, '0') = ltrim(a.orig_ac_num, '0')
AND b.src_stm_id = 5
AND b.orig_pvdr_src_stm_id = 5
WHERE
a.src_stm_id = '5016';
Step3: From the above steps, we obtain LINKED_RJBNK1_AR_ID and use it in the query below for lookup.
SELECT
ar_grp_id
FROM
reference_owner.ar_grp_x_ar
where ar_grp_x_ar_tp_id = 1
 and ar_id = LINKED_RJBNK1_AR_ID (sample: 6324753341);
Step4: Use ar_grp_id from Step 3 to look up and retrieve the corresponding LINKED_BKR_AR_ID
select AR_ID as LINKED_BKR_AR_ID from ccsi_owner.ar_xref where ar_id in (
SELECT  ar_id FROM reference_owner.ar_grp_x_ar
where AR_GRP_ID = "ar_grp_id from step 3 " (sample: 6680587))
and SRC_STM_ID =2 and ORIG_PVDR_SRC_STM_ID =1;</t>
  </si>
  <si>
    <t>logic changed</t>
  </si>
  <si>
    <t>Account Id</t>
  </si>
  <si>
    <t>AC_ID</t>
  </si>
  <si>
    <t>The CDS assigned identifier for the account - used for data lineage.
Account Id represents the identifier for the bank account associated with the arrangement. Multiple accounts can be associated with single arrangement, for syndicate loans it represents loan taken for the facilities.</t>
  </si>
  <si>
    <t>Accounting Type Code</t>
  </si>
  <si>
    <t>ACG_TP_CODE</t>
  </si>
  <si>
    <t>VARCHAR2(1)</t>
  </si>
  <si>
    <t>Character varying(1)</t>
  </si>
  <si>
    <t>Code for the Accounting Type</t>
  </si>
  <si>
    <t>CCAL_OWNER</t>
  </si>
  <si>
    <t>AST_LBY_POS</t>
  </si>
  <si>
    <t>Join LOAN_STG_OWNER.LOAN_POS_DTLS with  CCAL_OWNER.AST_LBY_POS on basis of AST_LBY_POS_ID populate ACG_TP_CODE</t>
  </si>
  <si>
    <t>Asset Liability Position Identifier</t>
  </si>
  <si>
    <t>AST_LBY_POS_ID</t>
  </si>
  <si>
    <t>Numeric identifier of the Asset Liability Position assigned by CDS included as degenerate Dim supporting linneage</t>
  </si>
  <si>
    <t>Owed in Currency Balance Amount</t>
  </si>
  <si>
    <t>OW_IN_CCY_BAL_AMT</t>
  </si>
  <si>
    <t>NUMBER(36,8)</t>
  </si>
  <si>
    <t>NUMERIC(36,8)</t>
  </si>
  <si>
    <t>Balance amount on the loan, in loan owed Currency.</t>
  </si>
  <si>
    <t>BAL_AMT</t>
  </si>
  <si>
    <t>Local Currency Balance Amount</t>
  </si>
  <si>
    <t>LCL_CCY_BAL_AMT</t>
  </si>
  <si>
    <t>Balance amount on the loan in currency of the place where loan is issued.</t>
  </si>
  <si>
    <t>SBC_GL_BAL_AMT</t>
  </si>
  <si>
    <t>USD Currency Balance Amount</t>
  </si>
  <si>
    <t>CCY_BAL_AMT_USD</t>
  </si>
  <si>
    <t>Balance amount on the loan in USD currency. It is called Realized Compound Yield General Ledger Balance Amount in source system.</t>
  </si>
  <si>
    <t>RCY_GL_BAL_AMT</t>
  </si>
  <si>
    <t>Balance Type Id</t>
  </si>
  <si>
    <t>BAL_TP_ID</t>
  </si>
  <si>
    <t>Identifier for the Type of Balance amount on the loan.</t>
  </si>
  <si>
    <t>RJ Bank Branch Number</t>
  </si>
  <si>
    <t>RJ_BNK_BR_NUM</t>
  </si>
  <si>
    <t>VARCHAR2(5)</t>
  </si>
  <si>
    <t>Character varying(5)</t>
  </si>
  <si>
    <t>Branch(Entity) for the facility.</t>
  </si>
  <si>
    <t>BR_CODE</t>
  </si>
  <si>
    <t>Owed in Currency Code</t>
  </si>
  <si>
    <t>OW_IN_CCY_CODE</t>
  </si>
  <si>
    <t>VARCHAR2(3)</t>
  </si>
  <si>
    <t>Character varying(3)</t>
  </si>
  <si>
    <t>Currency in which the Loan is owed.</t>
  </si>
  <si>
    <t>CCY_CODE</t>
  </si>
  <si>
    <t>Local Currency Code</t>
  </si>
  <si>
    <t>LCL_CCY_CODE</t>
  </si>
  <si>
    <t>Currency of the place where loan is issued..</t>
  </si>
  <si>
    <t>Expense Code Id</t>
  </si>
  <si>
    <t>EXPN_CODE_ID</t>
  </si>
  <si>
    <t>Identifier for the Expense code.</t>
  </si>
  <si>
    <t>General Ledger Account number</t>
  </si>
  <si>
    <t>GL_AC_NUM</t>
  </si>
  <si>
    <t>VARCHAR2(20)</t>
  </si>
  <si>
    <t>Character varying(20)</t>
  </si>
  <si>
    <t>General Ledger Accounts are used to categorize types of financial transactions. General Ledger is a complete record of a company's transactions over a period of time, documenting changes to assets, liabilities, equity, expenses, and revenue.</t>
  </si>
  <si>
    <t>GL_AC_ID</t>
  </si>
  <si>
    <t>General Ledger Type Id</t>
  </si>
  <si>
    <t>GL_TP_ID</t>
  </si>
  <si>
    <t>Identifier for the Type of General Ledger.</t>
  </si>
  <si>
    <t>Portfolio Type Id</t>
  </si>
  <si>
    <t>PRTFL_TP_ID</t>
  </si>
  <si>
    <t>Identifier for the Portfolio type.</t>
  </si>
  <si>
    <t>Period Type Id</t>
  </si>
  <si>
    <t>PRD_TP_ID</t>
  </si>
  <si>
    <t>Identifier for the period type.</t>
  </si>
  <si>
    <t>RCRD_TP_ID</t>
  </si>
  <si>
    <t>Unique Source Id</t>
  </si>
  <si>
    <t>UNQ_SRC_ID</t>
  </si>
  <si>
    <t>Unique Source Identifier coming from CECL system</t>
  </si>
  <si>
    <t>Source System Id</t>
  </si>
  <si>
    <t>SRC_STM_ID</t>
  </si>
  <si>
    <t>CDS assigned identifier for the source system - used for data lineage</t>
  </si>
  <si>
    <t>Create Datetime</t>
  </si>
  <si>
    <t>CRT_DTM</t>
  </si>
  <si>
    <t>TTIMESTAMP(6)</t>
  </si>
  <si>
    <t>The exact date and time when a row was first created.</t>
  </si>
  <si>
    <t>Audit columns to be populated as part of the load</t>
  </si>
  <si>
    <t>Create User Name</t>
  </si>
  <si>
    <t>CRT_USR_NM</t>
  </si>
  <si>
    <t>VARCHAR2(256)</t>
  </si>
  <si>
    <t>Character varying(256)</t>
  </si>
  <si>
    <t>The name that represents the user or application who created the row</t>
  </si>
  <si>
    <t>Last Update Datetime</t>
  </si>
  <si>
    <t>LAST_UDT_DTM</t>
  </si>
  <si>
    <t>The exact date and time when an occurrence is inserted, updated, or deleted a row</t>
  </si>
  <si>
    <t>Last Update User Name</t>
  </si>
  <si>
    <t>LAST_UDT_USR_NM</t>
  </si>
  <si>
    <t>The name that represents the user or application who inserted, updated, or deleted each occurrence of row</t>
  </si>
  <si>
    <t>Original Account Number</t>
  </si>
  <si>
    <t>ORIG_AC_NUM</t>
  </si>
  <si>
    <t>The set of alphanumeric characters that identifies the unique instantiation of an Account Arrangement.</t>
  </si>
  <si>
    <t>LOAN_AC</t>
  </si>
  <si>
    <t>Get LAC.ORIG_AC_NUM from LOAN_STG_OWNER.LOAN_POS_DTLS LPD
join LOAN_STG_OWNER.LOAN_AC LAC ON LAC.AC_ID = LPD.AC_ID and LAC.AR_ID = LPD.AR_ID</t>
  </si>
  <si>
    <t>Liability Balance Interest Rate</t>
  </si>
  <si>
    <t>LBY_BAL_INT_RATE</t>
  </si>
  <si>
    <t>NUMBER(24,10)</t>
  </si>
  <si>
    <t>NUMERIC(24,10)</t>
  </si>
  <si>
    <t>This is the percentage of the loan amount that a lender charges a borrower for using the money. It’s essentially the cost of borrowing and is typically expressed as an annual percentage rate (APR). Example: Bank loan Interest rate and Margin Interest rate.</t>
  </si>
  <si>
    <t>LOAN_AR</t>
  </si>
  <si>
    <t>CRN_INT_RATE</t>
  </si>
  <si>
    <t>Join LOAN_STG_OWNER.LOAN_POS_DTLS with  LOAN_STG_OWNER.LOAN_AR on basis of AR_ID populate CRN_INT_RATE</t>
  </si>
  <si>
    <t>Select records from CCAL_OWNER.EOD_POS where preference is given to records with CASH_POS_TP_ID = 9. If records are available, then select records with CASH_POS_TP_ID = 10.</t>
  </si>
  <si>
    <t>A decision from Praveen Bajaj will confirm whether to use RJBNK1 or RJBNK2</t>
  </si>
  <si>
    <t>Liability Balance Fact Id</t>
  </si>
  <si>
    <t>NUMBER(38)</t>
  </si>
  <si>
    <t>During the load, for an arrangement, we have to find the date on which EOD_POS.TD_MKT_VAL_AMT is changing and populate EOD_POS.EOD_POS_DTM of that record.
Till we encounter next change in EOD_POS.TD_MKT_VAL_AMT value we have to retain previously derived date in this field.</t>
  </si>
  <si>
    <t>EOD_POS</t>
  </si>
  <si>
    <t>EOD_POS_DTM</t>
  </si>
  <si>
    <t>eod_pos.eod_pos_dtm||' 23:59:59'</t>
  </si>
  <si>
    <t>Nvl(eod_pos.bkr_ar_id, eod_pos.ar_id)</t>
  </si>
  <si>
    <t>SD_MKT_VAL_AMT</t>
  </si>
  <si>
    <t>Source changed from TD_MKT_VAL_AMT to SD_MKT_VAL_AMT (Bug: 2646935)</t>
  </si>
  <si>
    <t>set to Null</t>
  </si>
  <si>
    <t>SBC_SD_MKT_VAL_AMT</t>
  </si>
  <si>
    <t>Source changed from SBC_TD_MKT_VAL_AMT to SBC_SD_MKT_VAL_AMT (Bug: 2646935)</t>
  </si>
  <si>
    <t>Take CL_VAL_ID where CL_VAL_NM is equal to 'Principal Balance' and CL_SCM_ID = '12089'</t>
  </si>
  <si>
    <t>LOAN_STG_OWNER.CL_VAL.CL_VAL_ID='120890028'</t>
  </si>
  <si>
    <t>General Ledger Account Number</t>
  </si>
  <si>
    <t>Take CL_VAL_ID where CL_VAL_NM is equal to 'Current Month' and CL_SCM_ID = '12090'</t>
  </si>
  <si>
    <t>LOAN_STG_OWNER.CL_VAL.CL_VAL_ID='120900001'</t>
  </si>
  <si>
    <t>CCSI_OWNER</t>
  </si>
  <si>
    <t>AR_XREF</t>
  </si>
  <si>
    <t>LEGACY_ID</t>
  </si>
  <si>
    <t>Join CCAL_OWNER.EOD_POS ep and CCSI_OWNER.AR_XREF AX ON EP.AR_ID=AX.AR_ID 
where AX.ORIG_PVDR_SRC_STM_ID = 1</t>
  </si>
  <si>
    <t>MRGN_DB_INT_RATE</t>
  </si>
  <si>
    <t>Entity Name (Logical table Name)</t>
  </si>
  <si>
    <t>Table Name (Physical Table name)</t>
  </si>
  <si>
    <t>Attribute Name (Target Attribute Logical)</t>
  </si>
  <si>
    <t>Column Name (Target attribute physical)</t>
  </si>
  <si>
    <t>Data type (  varchar2/ date / Number etc.)</t>
  </si>
  <si>
    <t>Table Definition</t>
  </si>
  <si>
    <t>Attribute Definition</t>
  </si>
  <si>
    <t>Nullability - 'NULL' or 'NOT NULL'</t>
  </si>
  <si>
    <t>Primary Key - 'True' or 'False'</t>
  </si>
  <si>
    <t>domain</t>
  </si>
  <si>
    <t>DOmain DIctionary</t>
  </si>
  <si>
    <t>PBI</t>
  </si>
  <si>
    <t>NUMERIC(38,0)</t>
  </si>
  <si>
    <t>Light House DataDictionary</t>
  </si>
  <si>
    <t>VARCHAR(1)</t>
  </si>
  <si>
    <t>VARCHAR(5)</t>
  </si>
  <si>
    <t>VARCHAR(3)</t>
  </si>
  <si>
    <t>VARCHAR(20)</t>
  </si>
  <si>
    <t>TTIMESTAMP/DATE</t>
  </si>
  <si>
    <t>VARCHAR(256)</t>
  </si>
  <si>
    <t>original account number</t>
  </si>
  <si>
    <t>For LOANIQ we don't have Linked brokerage arrangements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</si>
</sst>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b/>
      <sz val="14"/>
      <color rgb="FFFF0000"/>
      <name val="Aptos Narrow"/>
      <family val="2"/>
      <scheme val="minor"/>
    </font>
    <font>
      <b/>
      <u/>
      <sz val="11"/>
      <name val="Aptos Narrow"/>
      <family val="2"/>
      <scheme val="minor"/>
    </font>
    <font>
      <b/>
      <sz val="11"/>
      <name val="Calibri"/>
      <family val="2"/>
    </font>
    <font>
      <b/>
      <u/>
      <sz val="11"/>
      <name val="Calibri"/>
      <family val="2"/>
    </font>
    <font>
      <sz val="11"/>
      <color rgb="FF000000"/>
      <name val="Calibri"/>
      <family val="2"/>
    </font>
    <font>
      <b/>
      <sz val="11"/>
      <color rgb="FFFF0000"/>
      <name val="Aptos Narrow"/>
      <family val="2"/>
      <scheme val="minor"/>
    </font>
  </fonts>
  <fills count="11">
    <fill>
      <patternFill patternType="none"/>
    </fill>
    <fill>
      <patternFill patternType="gray125"/>
    </fill>
    <fill>
      <patternFill patternType="solid">
        <fgColor theme="4" tint="0.59999389629810485"/>
        <bgColor indexed="64"/>
      </patternFill>
    </fill>
    <fill>
      <patternFill patternType="solid">
        <fgColor theme="6" tint="0.79998168889431442"/>
        <bgColor indexed="64"/>
      </patternFill>
    </fill>
    <fill>
      <patternFill patternType="solid">
        <fgColor rgb="FFFFFF00"/>
        <bgColor indexed="64"/>
      </patternFill>
    </fill>
    <fill>
      <patternFill patternType="solid">
        <fgColor rgb="FFFDE9D9"/>
        <bgColor rgb="FF000000"/>
      </patternFill>
    </fill>
    <fill>
      <patternFill patternType="solid">
        <fgColor rgb="FFC4D79B"/>
        <bgColor rgb="FF000000"/>
      </patternFill>
    </fill>
    <fill>
      <patternFill patternType="solid">
        <fgColor rgb="FFB8CCE4"/>
        <bgColor rgb="FF000000"/>
      </patternFill>
    </fill>
    <fill>
      <patternFill patternType="solid">
        <fgColor rgb="FFE4DFEC"/>
        <bgColor rgb="FF000000"/>
      </patternFill>
    </fill>
    <fill>
      <patternFill patternType="solid">
        <fgColor rgb="FFEBF1DE"/>
        <bgColor rgb="FF000000"/>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3">
    <xf numFmtId="0" fontId="0" fillId="0" borderId="0" xfId="0"/>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xf numFmtId="0" fontId="3" fillId="0" borderId="1" xfId="0" applyFont="1" applyBorder="1"/>
    <xf numFmtId="0" fontId="3" fillId="0" borderId="1" xfId="0" applyFont="1" applyBorder="1" applyAlignment="1">
      <alignment horizontal="left" vertical="top" wrapText="1"/>
    </xf>
    <xf numFmtId="0" fontId="3" fillId="0" borderId="1" xfId="0" applyFont="1" applyBorder="1" applyAlignment="1">
      <alignment vertical="top"/>
    </xf>
    <xf numFmtId="0" fontId="3" fillId="0" borderId="0" xfId="0" applyFont="1"/>
    <xf numFmtId="0" fontId="0" fillId="0" borderId="1" xfId="0" applyBorder="1" applyAlignment="1">
      <alignment vertical="top" wrapText="1"/>
    </xf>
    <xf numFmtId="0" fontId="0" fillId="0" borderId="1" xfId="0" applyBorder="1" applyAlignment="1">
      <alignment horizontal="left" vertical="top"/>
    </xf>
    <xf numFmtId="0" fontId="1" fillId="0" borderId="0" xfId="0" applyFont="1"/>
    <xf numFmtId="0" fontId="2" fillId="3" borderId="3" xfId="0" applyFont="1" applyFill="1" applyBorder="1" applyAlignment="1">
      <alignment horizontal="center" vertical="center" wrapText="1"/>
    </xf>
    <xf numFmtId="49" fontId="2" fillId="2" borderId="1" xfId="0" applyNumberFormat="1" applyFont="1" applyFill="1" applyBorder="1" applyAlignment="1">
      <alignment horizontal="center" vertical="top" wrapText="1"/>
    </xf>
    <xf numFmtId="0" fontId="0" fillId="0" borderId="0" xfId="0" applyAlignment="1">
      <alignment vertical="top"/>
    </xf>
    <xf numFmtId="0" fontId="3" fillId="0" borderId="1" xfId="0" applyFont="1" applyBorder="1" applyAlignment="1">
      <alignment horizontal="left"/>
    </xf>
    <xf numFmtId="0" fontId="3" fillId="0" borderId="1" xfId="0" applyFont="1" applyBorder="1" applyAlignment="1">
      <alignment horizontal="center"/>
    </xf>
    <xf numFmtId="0" fontId="3" fillId="0" borderId="1" xfId="0" applyFont="1" applyBorder="1" applyAlignment="1">
      <alignment horizontal="left" vertical="center" wrapText="1"/>
    </xf>
    <xf numFmtId="0" fontId="3" fillId="0" borderId="1" xfId="0" applyFont="1" applyBorder="1" applyAlignment="1">
      <alignment horizontal="left" vertical="top"/>
    </xf>
    <xf numFmtId="0" fontId="1" fillId="4" borderId="0" xfId="0" applyFont="1" applyFill="1" applyAlignment="1">
      <alignment wrapText="1"/>
    </xf>
    <xf numFmtId="0" fontId="6" fillId="5" borderId="1" xfId="0" applyFont="1" applyFill="1" applyBorder="1" applyAlignment="1">
      <alignment horizontal="center" vertical="top" wrapText="1"/>
    </xf>
    <xf numFmtId="0" fontId="6" fillId="6" borderId="1" xfId="0" applyFont="1" applyFill="1" applyBorder="1" applyAlignment="1">
      <alignment horizontal="center" vertical="top"/>
    </xf>
    <xf numFmtId="0" fontId="6" fillId="7" borderId="1" xfId="0" applyFont="1" applyFill="1" applyBorder="1" applyAlignment="1">
      <alignment horizontal="center" vertical="top" wrapText="1"/>
    </xf>
    <xf numFmtId="0" fontId="7" fillId="8" borderId="1" xfId="0" applyFont="1" applyFill="1" applyBorder="1" applyAlignment="1">
      <alignment horizontal="center" vertical="top" wrapText="1"/>
    </xf>
    <xf numFmtId="0" fontId="6" fillId="5" borderId="1" xfId="0" applyFont="1" applyFill="1" applyBorder="1" applyAlignment="1">
      <alignment horizontal="left" vertical="top" wrapText="1"/>
    </xf>
    <xf numFmtId="0" fontId="6" fillId="6" borderId="1" xfId="0" applyFont="1" applyFill="1" applyBorder="1" applyAlignment="1">
      <alignment horizontal="center" vertical="top" wrapText="1"/>
    </xf>
    <xf numFmtId="0" fontId="8" fillId="0" borderId="0" xfId="0" applyFont="1"/>
    <xf numFmtId="0" fontId="0" fillId="0" borderId="0" xfId="0" applyAlignment="1">
      <alignment vertical="top" wrapText="1"/>
    </xf>
    <xf numFmtId="0" fontId="0" fillId="0" borderId="0" xfId="0" applyAlignment="1">
      <alignment wrapText="1"/>
    </xf>
    <xf numFmtId="0" fontId="6" fillId="0" borderId="1" xfId="0" applyFont="1" applyBorder="1" applyAlignment="1">
      <alignment horizontal="left" vertical="top"/>
    </xf>
    <xf numFmtId="0" fontId="9" fillId="0" borderId="1" xfId="0" applyFont="1" applyBorder="1" applyAlignment="1">
      <alignment horizontal="left" vertical="top" wrapText="1"/>
    </xf>
    <xf numFmtId="0" fontId="2" fillId="10" borderId="1" xfId="0" applyFont="1" applyFill="1" applyBorder="1" applyAlignment="1">
      <alignment horizontal="center" vertical="top" wrapText="1"/>
    </xf>
    <xf numFmtId="0" fontId="0" fillId="4" borderId="1" xfId="0" applyFill="1" applyBorder="1" applyAlignment="1">
      <alignment horizontal="left" vertical="top" wrapText="1"/>
    </xf>
    <xf numFmtId="0" fontId="1" fillId="0" borderId="1" xfId="0" applyFont="1" applyBorder="1" applyAlignment="1">
      <alignment vertical="top"/>
    </xf>
    <xf numFmtId="0" fontId="1" fillId="0" borderId="1" xfId="0" applyFont="1" applyBorder="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2" fillId="0" borderId="1" xfId="0" applyFont="1" applyBorder="1" applyAlignment="1">
      <alignment horizontal="left"/>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wrapText="1"/>
    </xf>
    <xf numFmtId="0" fontId="4" fillId="0" borderId="0" xfId="0" applyFont="1" applyAlignment="1">
      <alignment horizontal="left" vertical="top"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6" fillId="7" borderId="2" xfId="0" applyFont="1" applyFill="1" applyBorder="1" applyAlignment="1">
      <alignment horizontal="center" vertical="top" wrapText="1"/>
    </xf>
    <xf numFmtId="0" fontId="6" fillId="7" borderId="3" xfId="0" applyFont="1" applyFill="1" applyBorder="1" applyAlignment="1">
      <alignment horizontal="center" vertical="top" wrapText="1"/>
    </xf>
    <xf numFmtId="0" fontId="6" fillId="7" borderId="4" xfId="0" applyFont="1" applyFill="1" applyBorder="1" applyAlignment="1">
      <alignment horizontal="center" vertical="top" wrapText="1"/>
    </xf>
    <xf numFmtId="0" fontId="6" fillId="5" borderId="2" xfId="0" applyFont="1" applyFill="1" applyBorder="1" applyAlignment="1">
      <alignment horizontal="center" vertical="top" wrapText="1"/>
    </xf>
    <xf numFmtId="0" fontId="6" fillId="5" borderId="4" xfId="0" applyFont="1" applyFill="1" applyBorder="1" applyAlignment="1">
      <alignment horizontal="center" vertical="top" wrapText="1"/>
    </xf>
    <xf numFmtId="0" fontId="6" fillId="9" borderId="2" xfId="0" applyFont="1" applyFill="1" applyBorder="1" applyAlignment="1">
      <alignment horizontal="center" vertical="center" wrapText="1"/>
    </xf>
    <xf numFmtId="0" fontId="6" fillId="9"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CF6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68580</xdr:rowOff>
    </xdr:from>
    <xdr:to>
      <xdr:col>17</xdr:col>
      <xdr:colOff>54243</xdr:colOff>
      <xdr:row>40</xdr:row>
      <xdr:rowOff>84439</xdr:rowOff>
    </xdr:to>
    <xdr:pic>
      <xdr:nvPicPr>
        <xdr:cNvPr id="2" name="Picture 1">
          <a:extLst>
            <a:ext uri="{FF2B5EF4-FFF2-40B4-BE49-F238E27FC236}">
              <a16:creationId xmlns:a16="http://schemas.microsoft.com/office/drawing/2014/main" id="{431B1C1C-95FB-3AB1-A6B5-DDE1A0DB2E9F}"/>
            </a:ext>
          </a:extLst>
        </xdr:cNvPr>
        <xdr:cNvPicPr>
          <a:picLocks noChangeAspect="1"/>
        </xdr:cNvPicPr>
      </xdr:nvPicPr>
      <xdr:blipFill>
        <a:blip xmlns:r="http://schemas.openxmlformats.org/officeDocument/2006/relationships" r:embed="rId1"/>
        <a:stretch>
          <a:fillRect/>
        </a:stretch>
      </xdr:blipFill>
      <xdr:spPr>
        <a:xfrm>
          <a:off x="0" y="251460"/>
          <a:ext cx="10417443" cy="71481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5" dT="2024-02-27T16:26:02.60" personId="{00000000-0000-0000-0000-000000000000}" id="{FB17BE38-89F8-41E5-B393-9F1E858C117B}">
    <text>No "&amp;" in Business Definition</text>
  </threadedComment>
  <threadedComment ref="C9" dT="2024-02-27T16:05:28.79" personId="{00000000-0000-0000-0000-000000000000}" id="{7602A7E8-61E3-4035-84D1-2E466C5818C2}">
    <text>No spaces or any other format and No BYTE or CHAR please</text>
  </threadedComment>
  <threadedComment ref="G9" dT="2024-02-27T16:25:48.91" personId="{00000000-0000-0000-0000-000000000000}" id="{06F095E7-9DF5-45DA-9706-54114363A35F}">
    <text>No "&amp;" in Business Definition</text>
  </threadedComment>
  <threadedComment ref="A17" dT="2023-11-08T17:18:05.83" personId="{00000000-0000-0000-0000-000000000000}" id="{965E7CA0-C4E7-4865-B21C-7FD282FC1880}">
    <text>To be added to model</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4-02-27T16:26:02.60" personId="{00000000-0000-0000-0000-000000000000}" id="{23F70C01-1216-43E0-8191-3DBE6F94CACB}">
    <text>No "&amp;" in Business Definition</text>
  </threadedComment>
  <threadedComment ref="C9" dT="2024-02-27T16:05:28.79" personId="{00000000-0000-0000-0000-000000000000}" id="{1902AEA3-EE9E-4145-A988-4E018912F470}">
    <text>No spaces or any other format and No BYTE or CHAR please</text>
  </threadedComment>
  <threadedComment ref="G9" dT="2024-02-27T16:25:48.91" personId="{00000000-0000-0000-0000-000000000000}" id="{2EBE1471-6318-4C9E-AB12-B6127EE6199B}">
    <text>No "&amp;" in Business Definition</text>
  </threadedComment>
  <threadedComment ref="A17" dT="2023-11-08T17:18:05.83" personId="{00000000-0000-0000-0000-000000000000}" id="{701D18A6-930A-4DAC-9B5D-8B9B5757E5E2}">
    <text>To be added to model</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AE21E-BA26-44EB-A50D-C52A8203BB50}">
  <dimension ref="A1:U38"/>
  <sheetViews>
    <sheetView tabSelected="1" zoomScale="80" zoomScaleNormal="80" workbookViewId="0">
      <selection activeCell="S15" sqref="S15"/>
    </sheetView>
  </sheetViews>
  <sheetFormatPr defaultRowHeight="15" x14ac:dyDescent="0.25"/>
  <cols>
    <col min="1" max="1" width="42.42578125" customWidth="1"/>
    <col min="2" max="2" width="30.42578125" customWidth="1"/>
    <col min="3" max="3" width="17.140625" customWidth="1"/>
    <col min="4" max="4" width="15.7109375" customWidth="1"/>
    <col min="5" max="5" width="9.85546875" customWidth="1"/>
    <col min="6" max="6" width="17.85546875" customWidth="1"/>
    <col min="7" max="7" width="65.140625" customWidth="1"/>
    <col min="8" max="8" width="17.5703125" customWidth="1"/>
    <col min="9" max="9" width="13.85546875" customWidth="1"/>
    <col min="10" max="11" width="19.5703125" customWidth="1"/>
    <col min="12" max="12" width="13.28515625" customWidth="1"/>
    <col min="13" max="13" width="13" customWidth="1"/>
    <col min="14" max="14" width="25.28515625" customWidth="1"/>
    <col min="15" max="15" width="22.140625" customWidth="1"/>
    <col min="16" max="16" width="46.140625" customWidth="1"/>
    <col min="17" max="17" width="19.85546875" customWidth="1"/>
    <col min="18" max="18" width="14.28515625" customWidth="1"/>
    <col min="19" max="19" width="92.28515625" customWidth="1"/>
    <col min="20" max="20" width="42.7109375" customWidth="1"/>
    <col min="21" max="21" width="29" bestFit="1" customWidth="1"/>
  </cols>
  <sheetData>
    <row r="1" spans="1:21" ht="15" customHeight="1" x14ac:dyDescent="0.25">
      <c r="A1" s="23" t="s">
        <v>0</v>
      </c>
      <c r="B1" s="23" t="s">
        <v>1</v>
      </c>
      <c r="C1" s="10"/>
      <c r="D1" s="10"/>
      <c r="E1" s="10"/>
      <c r="F1" s="40" t="s">
        <v>2</v>
      </c>
      <c r="G1" s="40"/>
      <c r="H1" s="40"/>
      <c r="I1" s="40"/>
      <c r="J1" s="40"/>
      <c r="K1" s="40"/>
      <c r="L1" s="40"/>
      <c r="M1" s="40"/>
      <c r="N1" s="10"/>
      <c r="O1" s="10"/>
      <c r="P1" s="10"/>
      <c r="Q1" s="10"/>
      <c r="R1" s="10"/>
      <c r="S1" s="10"/>
      <c r="T1" s="10"/>
    </row>
    <row r="2" spans="1:21" ht="15" customHeight="1" x14ac:dyDescent="0.25">
      <c r="A2" s="23" t="s">
        <v>3</v>
      </c>
      <c r="B2" s="23" t="s">
        <v>4</v>
      </c>
      <c r="C2" s="10"/>
      <c r="D2" s="10"/>
      <c r="E2" s="10"/>
      <c r="F2" s="40"/>
      <c r="G2" s="40"/>
      <c r="H2" s="40"/>
      <c r="I2" s="40"/>
      <c r="J2" s="40"/>
      <c r="K2" s="40"/>
      <c r="L2" s="40"/>
      <c r="M2" s="40"/>
      <c r="N2" s="10"/>
      <c r="O2" s="10"/>
      <c r="P2" s="10"/>
      <c r="Q2" s="10"/>
      <c r="R2" s="10"/>
      <c r="S2" s="10"/>
      <c r="T2" s="10"/>
    </row>
    <row r="3" spans="1:21" ht="15" customHeight="1" x14ac:dyDescent="0.25">
      <c r="A3" s="23" t="s">
        <v>5</v>
      </c>
      <c r="B3" s="23"/>
      <c r="C3" s="10"/>
      <c r="D3" s="10"/>
      <c r="E3" s="10"/>
      <c r="F3" s="40"/>
      <c r="G3" s="40"/>
      <c r="H3" s="40"/>
      <c r="I3" s="40"/>
      <c r="J3" s="40"/>
      <c r="K3" s="40"/>
      <c r="L3" s="40"/>
      <c r="M3" s="40"/>
      <c r="N3" s="10"/>
      <c r="O3" s="10"/>
      <c r="P3" s="10"/>
      <c r="Q3" s="10"/>
      <c r="R3" s="10"/>
      <c r="S3" s="10"/>
      <c r="T3" s="10"/>
    </row>
    <row r="4" spans="1:21" ht="15" customHeight="1" x14ac:dyDescent="0.25">
      <c r="A4" s="23" t="s">
        <v>6</v>
      </c>
      <c r="B4" s="23" t="s">
        <v>7</v>
      </c>
      <c r="D4" s="10"/>
      <c r="E4" s="10"/>
      <c r="F4" s="40"/>
      <c r="G4" s="40"/>
      <c r="H4" s="40"/>
      <c r="I4" s="40"/>
      <c r="J4" s="40"/>
      <c r="K4" s="40"/>
      <c r="L4" s="40"/>
      <c r="M4" s="40"/>
      <c r="N4" s="10"/>
      <c r="O4" s="10"/>
      <c r="P4" s="10"/>
      <c r="Q4" s="10"/>
      <c r="R4" s="10"/>
      <c r="S4" s="10"/>
      <c r="T4" s="10"/>
    </row>
    <row r="5" spans="1:21" ht="66.75" customHeight="1" x14ac:dyDescent="0.25">
      <c r="A5" s="23" t="s">
        <v>8</v>
      </c>
      <c r="B5" s="23" t="s">
        <v>9</v>
      </c>
      <c r="C5" s="10"/>
      <c r="D5" s="10"/>
      <c r="E5" s="10"/>
      <c r="F5" s="19" t="s">
        <v>10</v>
      </c>
      <c r="G5" s="20" t="s">
        <v>10</v>
      </c>
      <c r="H5" s="21" t="s">
        <v>10</v>
      </c>
      <c r="I5" s="22" t="s">
        <v>11</v>
      </c>
      <c r="K5" s="10"/>
      <c r="M5" s="10"/>
      <c r="N5" s="10"/>
      <c r="O5" s="10"/>
      <c r="P5" s="10"/>
      <c r="Q5" s="10"/>
      <c r="R5" s="10"/>
      <c r="S5" s="10"/>
      <c r="T5" s="10"/>
    </row>
    <row r="6" spans="1:21" x14ac:dyDescent="0.25">
      <c r="A6" s="23" t="s">
        <v>12</v>
      </c>
      <c r="B6" s="23" t="s">
        <v>13</v>
      </c>
      <c r="C6" s="10"/>
      <c r="D6" s="10"/>
      <c r="E6" s="10"/>
      <c r="F6" s="10"/>
      <c r="G6" s="10"/>
      <c r="H6" s="10"/>
      <c r="I6" s="10"/>
      <c r="J6" s="10"/>
      <c r="K6" s="10"/>
      <c r="L6" s="10"/>
      <c r="M6" s="10"/>
      <c r="N6" s="10"/>
      <c r="O6" s="10"/>
      <c r="P6" s="10"/>
      <c r="Q6" s="10"/>
      <c r="R6" s="10"/>
      <c r="S6" s="10"/>
      <c r="T6" s="10"/>
    </row>
    <row r="7" spans="1:21" x14ac:dyDescent="0.25">
      <c r="A7" s="23" t="s">
        <v>14</v>
      </c>
      <c r="B7" s="23"/>
      <c r="C7" s="10"/>
      <c r="D7" s="10"/>
      <c r="E7" s="10"/>
      <c r="F7" s="10"/>
      <c r="G7" s="10"/>
      <c r="H7" s="10"/>
      <c r="I7" s="10"/>
      <c r="J7" s="10"/>
      <c r="K7" s="10"/>
      <c r="L7" s="10"/>
      <c r="M7" s="10"/>
      <c r="N7" s="10"/>
      <c r="O7" s="10"/>
      <c r="P7" s="10"/>
      <c r="Q7" s="10"/>
      <c r="R7" s="10"/>
      <c r="S7" s="10"/>
      <c r="T7" s="10"/>
    </row>
    <row r="8" spans="1:21" ht="15" customHeight="1" x14ac:dyDescent="0.25">
      <c r="A8" s="41" t="s">
        <v>15</v>
      </c>
      <c r="B8" s="42"/>
      <c r="C8" s="42"/>
      <c r="D8" s="42"/>
      <c r="E8" s="42"/>
      <c r="F8" s="42"/>
      <c r="G8" s="42"/>
      <c r="H8" s="43"/>
      <c r="I8" s="11"/>
      <c r="J8" s="11"/>
      <c r="K8" s="11"/>
      <c r="L8" s="11"/>
      <c r="M8" s="11"/>
      <c r="N8" s="44" t="s">
        <v>16</v>
      </c>
      <c r="O8" s="45"/>
      <c r="P8" s="45"/>
      <c r="Q8" s="45"/>
      <c r="R8" s="46"/>
      <c r="S8" s="47" t="s">
        <v>17</v>
      </c>
      <c r="T8" s="48"/>
    </row>
    <row r="9" spans="1:21" s="13" customFormat="1" ht="75" customHeight="1" x14ac:dyDescent="0.25">
      <c r="A9" s="24" t="s">
        <v>18</v>
      </c>
      <c r="B9" s="30" t="s">
        <v>19</v>
      </c>
      <c r="C9" s="24" t="s">
        <v>20</v>
      </c>
      <c r="D9" s="24" t="s">
        <v>21</v>
      </c>
      <c r="E9" s="24" t="s">
        <v>22</v>
      </c>
      <c r="F9" s="24" t="s">
        <v>23</v>
      </c>
      <c r="G9" s="24" t="s">
        <v>24</v>
      </c>
      <c r="H9" s="24" t="s">
        <v>25</v>
      </c>
      <c r="I9" s="24" t="s">
        <v>26</v>
      </c>
      <c r="J9" s="24" t="s">
        <v>27</v>
      </c>
      <c r="K9" s="24" t="s">
        <v>28</v>
      </c>
      <c r="L9" s="22" t="s">
        <v>29</v>
      </c>
      <c r="M9" s="22" t="s">
        <v>30</v>
      </c>
      <c r="N9" s="21" t="s">
        <v>31</v>
      </c>
      <c r="O9" s="21" t="s">
        <v>32</v>
      </c>
      <c r="P9" s="21" t="s">
        <v>33</v>
      </c>
      <c r="Q9" s="12" t="s">
        <v>34</v>
      </c>
      <c r="R9" s="12" t="s">
        <v>35</v>
      </c>
      <c r="S9" s="19" t="s">
        <v>36</v>
      </c>
      <c r="T9" s="19" t="s">
        <v>37</v>
      </c>
      <c r="U9"/>
    </row>
    <row r="10" spans="1:21" x14ac:dyDescent="0.25">
      <c r="A10" s="2" t="s">
        <v>38</v>
      </c>
      <c r="B10" s="4" t="s">
        <v>39</v>
      </c>
      <c r="C10" s="9" t="s">
        <v>40</v>
      </c>
      <c r="D10" s="2" t="s">
        <v>41</v>
      </c>
      <c r="E10" s="9" t="s">
        <v>42</v>
      </c>
      <c r="F10" s="2" t="s">
        <v>41</v>
      </c>
      <c r="G10" s="1" t="s">
        <v>43</v>
      </c>
      <c r="H10" s="14"/>
      <c r="I10" s="14" t="s">
        <v>44</v>
      </c>
      <c r="J10" s="14" t="s">
        <v>45</v>
      </c>
      <c r="K10" s="14" t="s">
        <v>46</v>
      </c>
      <c r="L10" s="14"/>
      <c r="M10" s="14"/>
      <c r="N10" s="1"/>
      <c r="O10" s="1"/>
      <c r="P10" s="2"/>
      <c r="Q10" s="4"/>
      <c r="R10" s="15"/>
      <c r="S10" s="2" t="s">
        <v>47</v>
      </c>
      <c r="T10" s="16"/>
    </row>
    <row r="11" spans="1:21" x14ac:dyDescent="0.25">
      <c r="A11" s="2" t="s">
        <v>48</v>
      </c>
      <c r="B11" s="3" t="s">
        <v>49</v>
      </c>
      <c r="C11" s="9" t="s">
        <v>50</v>
      </c>
      <c r="D11" s="9" t="s">
        <v>41</v>
      </c>
      <c r="E11" s="9" t="s">
        <v>51</v>
      </c>
      <c r="F11" s="9" t="s">
        <v>41</v>
      </c>
      <c r="G11" s="1" t="s">
        <v>52</v>
      </c>
      <c r="H11" s="3"/>
      <c r="I11" s="14" t="s">
        <v>44</v>
      </c>
      <c r="J11" s="14" t="s">
        <v>45</v>
      </c>
      <c r="K11" s="3"/>
      <c r="L11" s="3"/>
      <c r="M11" s="3"/>
      <c r="N11" s="1" t="s">
        <v>53</v>
      </c>
      <c r="O11" s="1" t="s">
        <v>54</v>
      </c>
      <c r="P11" s="2" t="s">
        <v>49</v>
      </c>
      <c r="Q11" s="3"/>
      <c r="R11" s="3"/>
      <c r="S11" s="1"/>
      <c r="T11" s="3"/>
    </row>
    <row r="12" spans="1:21" x14ac:dyDescent="0.25">
      <c r="A12" s="2" t="s">
        <v>55</v>
      </c>
      <c r="B12" s="3" t="s">
        <v>56</v>
      </c>
      <c r="C12" s="9" t="s">
        <v>50</v>
      </c>
      <c r="D12" s="9" t="s">
        <v>41</v>
      </c>
      <c r="E12" s="9" t="s">
        <v>51</v>
      </c>
      <c r="F12" s="9" t="s">
        <v>41</v>
      </c>
      <c r="G12" s="1" t="s">
        <v>57</v>
      </c>
      <c r="H12" s="3"/>
      <c r="I12" s="14" t="s">
        <v>44</v>
      </c>
      <c r="J12" s="14" t="s">
        <v>45</v>
      </c>
      <c r="K12" s="3"/>
      <c r="L12" s="3"/>
      <c r="M12" s="3"/>
      <c r="N12" s="1" t="s">
        <v>53</v>
      </c>
      <c r="O12" s="1" t="s">
        <v>54</v>
      </c>
      <c r="P12" s="2" t="s">
        <v>58</v>
      </c>
      <c r="Q12" s="3"/>
      <c r="R12" s="3"/>
      <c r="S12" s="1"/>
      <c r="T12" s="3"/>
    </row>
    <row r="13" spans="1:21" x14ac:dyDescent="0.25">
      <c r="A13" s="2" t="s">
        <v>59</v>
      </c>
      <c r="B13" s="3" t="s">
        <v>60</v>
      </c>
      <c r="C13" s="9" t="s">
        <v>50</v>
      </c>
      <c r="D13" s="9" t="s">
        <v>41</v>
      </c>
      <c r="E13" s="9" t="s">
        <v>51</v>
      </c>
      <c r="F13" s="9" t="s">
        <v>41</v>
      </c>
      <c r="G13" s="1" t="s">
        <v>61</v>
      </c>
      <c r="H13" s="3"/>
      <c r="I13" s="14" t="s">
        <v>44</v>
      </c>
      <c r="J13" s="14" t="s">
        <v>45</v>
      </c>
      <c r="K13" s="3"/>
      <c r="L13" s="3"/>
      <c r="M13" s="3"/>
      <c r="N13" s="1" t="s">
        <v>53</v>
      </c>
      <c r="O13" s="1" t="s">
        <v>54</v>
      </c>
      <c r="P13" s="2" t="s">
        <v>58</v>
      </c>
      <c r="Q13" s="3"/>
      <c r="R13" s="3"/>
      <c r="S13" s="1" t="s">
        <v>62</v>
      </c>
      <c r="T13" s="3"/>
    </row>
    <row r="14" spans="1:21" ht="45" x14ac:dyDescent="0.25">
      <c r="A14" s="2" t="s">
        <v>63</v>
      </c>
      <c r="B14" s="3" t="s">
        <v>64</v>
      </c>
      <c r="C14" s="9" t="s">
        <v>40</v>
      </c>
      <c r="D14" s="2" t="s">
        <v>41</v>
      </c>
      <c r="E14" s="9" t="s">
        <v>42</v>
      </c>
      <c r="F14" s="2" t="s">
        <v>41</v>
      </c>
      <c r="G14" s="1" t="s">
        <v>65</v>
      </c>
      <c r="H14" s="3"/>
      <c r="I14" s="14" t="s">
        <v>44</v>
      </c>
      <c r="J14" s="14" t="s">
        <v>45</v>
      </c>
      <c r="K14" s="3"/>
      <c r="L14" s="3"/>
      <c r="M14" s="3"/>
      <c r="N14" s="1" t="s">
        <v>53</v>
      </c>
      <c r="O14" s="1" t="s">
        <v>54</v>
      </c>
      <c r="P14" s="2" t="s">
        <v>64</v>
      </c>
      <c r="Q14" s="3"/>
      <c r="R14" s="3"/>
      <c r="S14" s="1"/>
      <c r="T14" s="3"/>
    </row>
    <row r="15" spans="1:21" ht="166.15" customHeight="1" x14ac:dyDescent="0.25">
      <c r="A15" s="2" t="s">
        <v>66</v>
      </c>
      <c r="B15" s="3" t="s">
        <v>67</v>
      </c>
      <c r="C15" s="9" t="s">
        <v>40</v>
      </c>
      <c r="D15" s="2" t="s">
        <v>68</v>
      </c>
      <c r="E15" s="9" t="s">
        <v>42</v>
      </c>
      <c r="F15" s="2" t="s">
        <v>68</v>
      </c>
      <c r="G15" s="1" t="s">
        <v>69</v>
      </c>
      <c r="H15" s="3"/>
      <c r="I15" s="14" t="s">
        <v>44</v>
      </c>
      <c r="J15" s="14" t="s">
        <v>45</v>
      </c>
      <c r="K15" s="3"/>
      <c r="L15" s="3"/>
      <c r="M15" s="3"/>
      <c r="N15" s="1"/>
      <c r="O15" s="1"/>
      <c r="P15" s="2" t="s">
        <v>70</v>
      </c>
      <c r="Q15" s="3"/>
      <c r="R15" s="3"/>
      <c r="S15" s="5" t="s">
        <v>71</v>
      </c>
      <c r="T15" s="3"/>
      <c r="U15" t="s">
        <v>72</v>
      </c>
    </row>
    <row r="16" spans="1:21" ht="75" x14ac:dyDescent="0.25">
      <c r="A16" s="2" t="s">
        <v>73</v>
      </c>
      <c r="B16" s="3" t="s">
        <v>74</v>
      </c>
      <c r="C16" s="9" t="s">
        <v>40</v>
      </c>
      <c r="D16" s="2" t="s">
        <v>68</v>
      </c>
      <c r="E16" s="9" t="s">
        <v>42</v>
      </c>
      <c r="F16" s="2" t="s">
        <v>68</v>
      </c>
      <c r="G16" s="1" t="s">
        <v>75</v>
      </c>
      <c r="H16" s="3"/>
      <c r="I16" s="14" t="s">
        <v>44</v>
      </c>
      <c r="J16" s="14" t="s">
        <v>45</v>
      </c>
      <c r="K16" s="3"/>
      <c r="L16" s="3"/>
      <c r="M16" s="3"/>
      <c r="N16" s="1" t="s">
        <v>53</v>
      </c>
      <c r="O16" s="1" t="s">
        <v>54</v>
      </c>
      <c r="P16" s="2" t="s">
        <v>74</v>
      </c>
      <c r="Q16" s="3"/>
      <c r="R16" s="3"/>
      <c r="S16" s="1"/>
      <c r="T16" s="3"/>
    </row>
    <row r="17" spans="1:20" ht="30" x14ac:dyDescent="0.25">
      <c r="A17" s="2" t="s">
        <v>76</v>
      </c>
      <c r="B17" s="3" t="s">
        <v>77</v>
      </c>
      <c r="C17" s="9" t="s">
        <v>78</v>
      </c>
      <c r="D17" s="2" t="s">
        <v>68</v>
      </c>
      <c r="E17" s="9" t="s">
        <v>79</v>
      </c>
      <c r="F17" s="2" t="s">
        <v>68</v>
      </c>
      <c r="G17" s="1" t="s">
        <v>80</v>
      </c>
      <c r="H17" s="3"/>
      <c r="I17" s="14" t="s">
        <v>44</v>
      </c>
      <c r="J17" s="14" t="s">
        <v>45</v>
      </c>
      <c r="K17" s="3"/>
      <c r="L17" s="3"/>
      <c r="M17" s="3"/>
      <c r="N17" s="1" t="s">
        <v>81</v>
      </c>
      <c r="O17" s="1" t="s">
        <v>82</v>
      </c>
      <c r="P17" s="2" t="s">
        <v>77</v>
      </c>
      <c r="Q17" s="3"/>
      <c r="R17" s="3"/>
      <c r="S17" s="1" t="s">
        <v>83</v>
      </c>
      <c r="T17" s="3"/>
    </row>
    <row r="18" spans="1:20" ht="30" x14ac:dyDescent="0.25">
      <c r="A18" s="2" t="s">
        <v>84</v>
      </c>
      <c r="B18" s="3" t="s">
        <v>85</v>
      </c>
      <c r="C18" s="9" t="s">
        <v>40</v>
      </c>
      <c r="D18" s="2" t="s">
        <v>68</v>
      </c>
      <c r="E18" s="9" t="s">
        <v>42</v>
      </c>
      <c r="F18" s="2" t="s">
        <v>68</v>
      </c>
      <c r="G18" s="1" t="s">
        <v>86</v>
      </c>
      <c r="H18" s="3"/>
      <c r="I18" s="14" t="s">
        <v>44</v>
      </c>
      <c r="J18" s="14" t="s">
        <v>45</v>
      </c>
      <c r="K18" s="3"/>
      <c r="L18" s="3"/>
      <c r="M18" s="3"/>
      <c r="N18" s="1" t="s">
        <v>53</v>
      </c>
      <c r="O18" s="1" t="s">
        <v>54</v>
      </c>
      <c r="P18" s="2" t="s">
        <v>85</v>
      </c>
      <c r="Q18" s="3"/>
      <c r="R18" s="3"/>
      <c r="S18" s="1"/>
      <c r="T18" s="3"/>
    </row>
    <row r="19" spans="1:20" s="10" customFormat="1" x14ac:dyDescent="0.25">
      <c r="A19" s="32" t="s">
        <v>87</v>
      </c>
      <c r="B19" s="33" t="s">
        <v>88</v>
      </c>
      <c r="C19" s="34" t="s">
        <v>89</v>
      </c>
      <c r="D19" s="32" t="s">
        <v>68</v>
      </c>
      <c r="E19" s="34" t="s">
        <v>90</v>
      </c>
      <c r="F19" s="32" t="s">
        <v>68</v>
      </c>
      <c r="G19" s="35" t="s">
        <v>91</v>
      </c>
      <c r="H19" s="33"/>
      <c r="I19" s="36" t="s">
        <v>44</v>
      </c>
      <c r="J19" s="36" t="s">
        <v>45</v>
      </c>
      <c r="K19" s="33"/>
      <c r="L19" s="33"/>
      <c r="M19" s="33"/>
      <c r="N19" s="35" t="s">
        <v>53</v>
      </c>
      <c r="O19" s="35" t="s">
        <v>54</v>
      </c>
      <c r="P19" s="32" t="s">
        <v>92</v>
      </c>
      <c r="Q19" s="33"/>
      <c r="R19" s="33"/>
      <c r="S19" s="35"/>
      <c r="T19" s="33"/>
    </row>
    <row r="20" spans="1:20" s="10" customFormat="1" ht="30" x14ac:dyDescent="0.25">
      <c r="A20" s="32" t="s">
        <v>93</v>
      </c>
      <c r="B20" s="33" t="s">
        <v>94</v>
      </c>
      <c r="C20" s="34" t="s">
        <v>89</v>
      </c>
      <c r="D20" s="32" t="s">
        <v>68</v>
      </c>
      <c r="E20" s="34" t="s">
        <v>90</v>
      </c>
      <c r="F20" s="32" t="s">
        <v>68</v>
      </c>
      <c r="G20" s="35" t="s">
        <v>95</v>
      </c>
      <c r="H20" s="33"/>
      <c r="I20" s="36" t="s">
        <v>44</v>
      </c>
      <c r="J20" s="36" t="s">
        <v>45</v>
      </c>
      <c r="K20" s="33"/>
      <c r="L20" s="33"/>
      <c r="M20" s="33"/>
      <c r="N20" s="35" t="s">
        <v>53</v>
      </c>
      <c r="O20" s="35" t="s">
        <v>54</v>
      </c>
      <c r="P20" s="32" t="s">
        <v>96</v>
      </c>
      <c r="Q20" s="33"/>
      <c r="R20" s="33"/>
      <c r="S20" s="35"/>
      <c r="T20" s="33"/>
    </row>
    <row r="21" spans="1:20" s="10" customFormat="1" ht="30" x14ac:dyDescent="0.25">
      <c r="A21" s="32" t="s">
        <v>97</v>
      </c>
      <c r="B21" s="33" t="s">
        <v>98</v>
      </c>
      <c r="C21" s="34" t="s">
        <v>89</v>
      </c>
      <c r="D21" s="32" t="s">
        <v>68</v>
      </c>
      <c r="E21" s="34" t="s">
        <v>90</v>
      </c>
      <c r="F21" s="32" t="s">
        <v>68</v>
      </c>
      <c r="G21" s="35" t="s">
        <v>99</v>
      </c>
      <c r="H21" s="33"/>
      <c r="I21" s="36" t="s">
        <v>44</v>
      </c>
      <c r="J21" s="36" t="s">
        <v>45</v>
      </c>
      <c r="K21" s="33"/>
      <c r="L21" s="33"/>
      <c r="M21" s="33"/>
      <c r="N21" s="35" t="s">
        <v>53</v>
      </c>
      <c r="O21" s="35" t="s">
        <v>54</v>
      </c>
      <c r="P21" s="32" t="s">
        <v>100</v>
      </c>
      <c r="Q21" s="33"/>
      <c r="R21" s="33"/>
      <c r="S21" s="35"/>
      <c r="T21" s="33"/>
    </row>
    <row r="22" spans="1:20" x14ac:dyDescent="0.25">
      <c r="A22" s="2" t="s">
        <v>101</v>
      </c>
      <c r="B22" s="3" t="s">
        <v>102</v>
      </c>
      <c r="C22" s="9" t="s">
        <v>40</v>
      </c>
      <c r="D22" s="2" t="s">
        <v>68</v>
      </c>
      <c r="E22" s="9" t="s">
        <v>42</v>
      </c>
      <c r="F22" s="2" t="s">
        <v>68</v>
      </c>
      <c r="G22" s="1" t="s">
        <v>103</v>
      </c>
      <c r="H22" s="3"/>
      <c r="I22" s="14" t="s">
        <v>44</v>
      </c>
      <c r="J22" s="14" t="s">
        <v>45</v>
      </c>
      <c r="K22" s="3"/>
      <c r="L22" s="3"/>
      <c r="M22" s="3"/>
      <c r="N22" s="1" t="s">
        <v>53</v>
      </c>
      <c r="O22" s="1" t="s">
        <v>54</v>
      </c>
      <c r="P22" s="2" t="s">
        <v>102</v>
      </c>
      <c r="Q22" s="3"/>
      <c r="R22" s="3"/>
      <c r="S22" s="1"/>
      <c r="T22" s="3"/>
    </row>
    <row r="23" spans="1:20" x14ac:dyDescent="0.25">
      <c r="A23" s="2" t="s">
        <v>104</v>
      </c>
      <c r="B23" s="3" t="s">
        <v>105</v>
      </c>
      <c r="C23" s="9" t="s">
        <v>106</v>
      </c>
      <c r="D23" s="2" t="s">
        <v>68</v>
      </c>
      <c r="E23" s="9" t="s">
        <v>107</v>
      </c>
      <c r="F23" s="2" t="s">
        <v>68</v>
      </c>
      <c r="G23" s="1" t="s">
        <v>108</v>
      </c>
      <c r="H23" s="3"/>
      <c r="I23" s="14" t="s">
        <v>44</v>
      </c>
      <c r="J23" s="14" t="s">
        <v>45</v>
      </c>
      <c r="K23" s="3"/>
      <c r="L23" s="3"/>
      <c r="M23" s="3"/>
      <c r="N23" s="1" t="s">
        <v>53</v>
      </c>
      <c r="O23" s="1" t="s">
        <v>54</v>
      </c>
      <c r="P23" s="2" t="s">
        <v>109</v>
      </c>
      <c r="Q23" s="3"/>
      <c r="R23" s="3"/>
      <c r="S23" s="1"/>
      <c r="T23" s="3"/>
    </row>
    <row r="24" spans="1:20" x14ac:dyDescent="0.25">
      <c r="A24" s="2" t="s">
        <v>110</v>
      </c>
      <c r="B24" s="3" t="s">
        <v>111</v>
      </c>
      <c r="C24" s="9" t="s">
        <v>112</v>
      </c>
      <c r="D24" s="2" t="s">
        <v>68</v>
      </c>
      <c r="E24" s="9" t="s">
        <v>113</v>
      </c>
      <c r="F24" s="2" t="s">
        <v>68</v>
      </c>
      <c r="G24" s="1" t="s">
        <v>114</v>
      </c>
      <c r="H24" s="3"/>
      <c r="I24" s="14" t="s">
        <v>44</v>
      </c>
      <c r="J24" s="14" t="s">
        <v>45</v>
      </c>
      <c r="K24" s="3"/>
      <c r="L24" s="3"/>
      <c r="M24" s="3"/>
      <c r="N24" s="1" t="s">
        <v>53</v>
      </c>
      <c r="O24" s="1" t="s">
        <v>54</v>
      </c>
      <c r="P24" s="2" t="s">
        <v>115</v>
      </c>
      <c r="Q24" s="3"/>
      <c r="R24" s="3"/>
      <c r="S24" s="1"/>
      <c r="T24" s="3"/>
    </row>
    <row r="25" spans="1:20" x14ac:dyDescent="0.25">
      <c r="A25" s="2" t="s">
        <v>116</v>
      </c>
      <c r="B25" s="3" t="s">
        <v>117</v>
      </c>
      <c r="C25" s="9" t="s">
        <v>112</v>
      </c>
      <c r="D25" s="2" t="s">
        <v>68</v>
      </c>
      <c r="E25" s="9" t="s">
        <v>113</v>
      </c>
      <c r="F25" s="2" t="s">
        <v>68</v>
      </c>
      <c r="G25" s="1" t="s">
        <v>118</v>
      </c>
      <c r="H25" s="3"/>
      <c r="I25" s="14" t="s">
        <v>44</v>
      </c>
      <c r="J25" s="14" t="s">
        <v>45</v>
      </c>
      <c r="K25" s="3"/>
      <c r="L25" s="3"/>
      <c r="M25" s="3"/>
      <c r="N25" s="1" t="s">
        <v>53</v>
      </c>
      <c r="O25" s="1" t="s">
        <v>54</v>
      </c>
      <c r="P25" s="2" t="s">
        <v>117</v>
      </c>
      <c r="Q25" s="3"/>
      <c r="R25" s="3"/>
      <c r="S25" s="1"/>
      <c r="T25" s="3"/>
    </row>
    <row r="26" spans="1:20" x14ac:dyDescent="0.25">
      <c r="A26" s="2" t="s">
        <v>119</v>
      </c>
      <c r="B26" s="3" t="s">
        <v>120</v>
      </c>
      <c r="C26" s="9" t="s">
        <v>40</v>
      </c>
      <c r="D26" s="2" t="s">
        <v>68</v>
      </c>
      <c r="E26" s="9" t="s">
        <v>42</v>
      </c>
      <c r="F26" s="2" t="s">
        <v>68</v>
      </c>
      <c r="G26" s="1" t="s">
        <v>121</v>
      </c>
      <c r="H26" s="3"/>
      <c r="I26" s="14" t="s">
        <v>44</v>
      </c>
      <c r="J26" s="14" t="s">
        <v>45</v>
      </c>
      <c r="K26" s="3"/>
      <c r="L26" s="3"/>
      <c r="M26" s="3"/>
      <c r="N26" s="1" t="s">
        <v>53</v>
      </c>
      <c r="O26" s="1" t="s">
        <v>54</v>
      </c>
      <c r="P26" s="2" t="s">
        <v>120</v>
      </c>
      <c r="Q26" s="3"/>
      <c r="R26" s="3"/>
      <c r="S26" s="1"/>
      <c r="T26" s="3"/>
    </row>
    <row r="27" spans="1:20" ht="60" x14ac:dyDescent="0.25">
      <c r="A27" s="2" t="s">
        <v>122</v>
      </c>
      <c r="B27" s="3" t="s">
        <v>123</v>
      </c>
      <c r="C27" s="9" t="s">
        <v>124</v>
      </c>
      <c r="D27" s="2" t="s">
        <v>68</v>
      </c>
      <c r="E27" s="9" t="s">
        <v>125</v>
      </c>
      <c r="F27" s="2" t="s">
        <v>68</v>
      </c>
      <c r="G27" s="1" t="s">
        <v>126</v>
      </c>
      <c r="H27" s="3"/>
      <c r="I27" s="14" t="s">
        <v>44</v>
      </c>
      <c r="J27" s="14" t="s">
        <v>45</v>
      </c>
      <c r="K27" s="3"/>
      <c r="L27" s="3"/>
      <c r="M27" s="3"/>
      <c r="N27" s="1" t="s">
        <v>53</v>
      </c>
      <c r="O27" s="1" t="s">
        <v>54</v>
      </c>
      <c r="P27" s="2" t="s">
        <v>127</v>
      </c>
      <c r="Q27" s="3"/>
      <c r="R27" s="3"/>
      <c r="S27" s="1"/>
      <c r="T27" s="3"/>
    </row>
    <row r="28" spans="1:20" x14ac:dyDescent="0.25">
      <c r="A28" s="2" t="s">
        <v>128</v>
      </c>
      <c r="B28" s="3" t="s">
        <v>129</v>
      </c>
      <c r="C28" s="9" t="s">
        <v>40</v>
      </c>
      <c r="D28" s="2" t="s">
        <v>68</v>
      </c>
      <c r="E28" s="9" t="s">
        <v>42</v>
      </c>
      <c r="F28" s="2" t="s">
        <v>68</v>
      </c>
      <c r="G28" s="1" t="s">
        <v>130</v>
      </c>
      <c r="H28" s="3"/>
      <c r="I28" s="14" t="s">
        <v>44</v>
      </c>
      <c r="J28" s="14" t="s">
        <v>45</v>
      </c>
      <c r="K28" s="3"/>
      <c r="L28" s="3"/>
      <c r="M28" s="3"/>
      <c r="N28" s="1" t="s">
        <v>53</v>
      </c>
      <c r="O28" s="1" t="s">
        <v>54</v>
      </c>
      <c r="P28" s="2" t="s">
        <v>129</v>
      </c>
      <c r="Q28" s="3"/>
      <c r="R28" s="3"/>
      <c r="S28" s="1"/>
      <c r="T28" s="3"/>
    </row>
    <row r="29" spans="1:20" x14ac:dyDescent="0.25">
      <c r="A29" s="2" t="s">
        <v>131</v>
      </c>
      <c r="B29" s="3" t="s">
        <v>132</v>
      </c>
      <c r="C29" s="9" t="s">
        <v>40</v>
      </c>
      <c r="D29" s="2" t="s">
        <v>68</v>
      </c>
      <c r="E29" s="9" t="s">
        <v>42</v>
      </c>
      <c r="F29" s="2" t="s">
        <v>68</v>
      </c>
      <c r="G29" s="1" t="s">
        <v>133</v>
      </c>
      <c r="H29" s="3"/>
      <c r="I29" s="14" t="s">
        <v>44</v>
      </c>
      <c r="J29" s="14" t="s">
        <v>45</v>
      </c>
      <c r="K29" s="3"/>
      <c r="L29" s="3"/>
      <c r="M29" s="3"/>
      <c r="N29" s="1" t="s">
        <v>53</v>
      </c>
      <c r="O29" s="1" t="s">
        <v>54</v>
      </c>
      <c r="P29" s="2" t="s">
        <v>132</v>
      </c>
      <c r="Q29" s="3"/>
      <c r="R29" s="3"/>
      <c r="S29" s="1"/>
      <c r="T29" s="3"/>
    </row>
    <row r="30" spans="1:20" x14ac:dyDescent="0.25">
      <c r="A30" s="2" t="s">
        <v>134</v>
      </c>
      <c r="B30" s="3" t="s">
        <v>135</v>
      </c>
      <c r="C30" s="9" t="s">
        <v>40</v>
      </c>
      <c r="D30" s="2" t="s">
        <v>68</v>
      </c>
      <c r="E30" s="9" t="s">
        <v>42</v>
      </c>
      <c r="F30" s="2" t="s">
        <v>68</v>
      </c>
      <c r="G30" s="1" t="s">
        <v>136</v>
      </c>
      <c r="H30" s="3"/>
      <c r="I30" s="14" t="s">
        <v>44</v>
      </c>
      <c r="J30" s="14" t="s">
        <v>45</v>
      </c>
      <c r="K30" s="3"/>
      <c r="L30" s="3"/>
      <c r="M30" s="3"/>
      <c r="N30" s="1" t="s">
        <v>53</v>
      </c>
      <c r="O30" s="1" t="s">
        <v>54</v>
      </c>
      <c r="P30" s="2" t="s">
        <v>137</v>
      </c>
      <c r="Q30" s="3"/>
      <c r="R30" s="3"/>
      <c r="S30" s="1"/>
      <c r="T30" s="3"/>
    </row>
    <row r="31" spans="1:20" x14ac:dyDescent="0.25">
      <c r="A31" s="2" t="s">
        <v>138</v>
      </c>
      <c r="B31" s="3" t="s">
        <v>139</v>
      </c>
      <c r="C31" s="9" t="s">
        <v>40</v>
      </c>
      <c r="D31" s="2" t="s">
        <v>68</v>
      </c>
      <c r="E31" s="9" t="s">
        <v>42</v>
      </c>
      <c r="F31" s="2" t="s">
        <v>68</v>
      </c>
      <c r="G31" s="2" t="s">
        <v>140</v>
      </c>
      <c r="H31" s="3"/>
      <c r="I31" s="14" t="s">
        <v>44</v>
      </c>
      <c r="J31" s="14" t="s">
        <v>45</v>
      </c>
      <c r="K31" s="3"/>
      <c r="L31" s="3"/>
      <c r="M31" s="3"/>
      <c r="N31" s="1" t="s">
        <v>53</v>
      </c>
      <c r="O31" s="1" t="s">
        <v>54</v>
      </c>
      <c r="P31" s="2" t="s">
        <v>139</v>
      </c>
      <c r="Q31" s="3"/>
      <c r="R31" s="3"/>
      <c r="S31" s="1"/>
      <c r="T31" s="3"/>
    </row>
    <row r="32" spans="1:20" x14ac:dyDescent="0.25">
      <c r="A32" s="2" t="s">
        <v>141</v>
      </c>
      <c r="B32" s="3" t="s">
        <v>142</v>
      </c>
      <c r="C32" s="9" t="s">
        <v>40</v>
      </c>
      <c r="D32" s="2" t="s">
        <v>68</v>
      </c>
      <c r="E32" s="9" t="s">
        <v>42</v>
      </c>
      <c r="F32" s="2" t="s">
        <v>68</v>
      </c>
      <c r="G32" s="1" t="s">
        <v>143</v>
      </c>
      <c r="H32" s="3"/>
      <c r="I32" s="14" t="s">
        <v>44</v>
      </c>
      <c r="J32" s="14" t="s">
        <v>45</v>
      </c>
      <c r="K32" s="3"/>
      <c r="L32" s="3"/>
      <c r="M32" s="3"/>
      <c r="N32" s="1" t="s">
        <v>53</v>
      </c>
      <c r="O32" s="1" t="s">
        <v>54</v>
      </c>
      <c r="P32" s="2" t="s">
        <v>142</v>
      </c>
      <c r="Q32" s="3"/>
      <c r="R32" s="3"/>
      <c r="S32" s="1"/>
      <c r="T32" s="3"/>
    </row>
    <row r="33" spans="1:20" x14ac:dyDescent="0.25">
      <c r="A33" s="2" t="s">
        <v>144</v>
      </c>
      <c r="B33" s="3" t="s">
        <v>145</v>
      </c>
      <c r="C33" s="9" t="s">
        <v>146</v>
      </c>
      <c r="D33" s="2" t="s">
        <v>41</v>
      </c>
      <c r="E33" s="9" t="s">
        <v>51</v>
      </c>
      <c r="F33" s="2" t="s">
        <v>41</v>
      </c>
      <c r="G33" s="1" t="s">
        <v>147</v>
      </c>
      <c r="H33" s="3"/>
      <c r="I33" s="14" t="s">
        <v>44</v>
      </c>
      <c r="J33" s="14" t="s">
        <v>45</v>
      </c>
      <c r="K33" s="3"/>
      <c r="L33" s="3"/>
      <c r="M33" s="3"/>
      <c r="N33" s="1"/>
      <c r="O33" s="1"/>
      <c r="P33" s="2"/>
      <c r="Q33" s="3"/>
      <c r="R33" s="3"/>
      <c r="S33" s="1" t="s">
        <v>148</v>
      </c>
      <c r="T33" s="3"/>
    </row>
    <row r="34" spans="1:20" x14ac:dyDescent="0.25">
      <c r="A34" s="2" t="s">
        <v>149</v>
      </c>
      <c r="B34" s="3" t="s">
        <v>150</v>
      </c>
      <c r="C34" s="9" t="s">
        <v>151</v>
      </c>
      <c r="D34" s="2" t="s">
        <v>41</v>
      </c>
      <c r="E34" s="9" t="s">
        <v>152</v>
      </c>
      <c r="F34" s="2" t="s">
        <v>41</v>
      </c>
      <c r="G34" s="1" t="s">
        <v>153</v>
      </c>
      <c r="H34" s="3"/>
      <c r="I34" s="14" t="s">
        <v>44</v>
      </c>
      <c r="J34" s="14" t="s">
        <v>45</v>
      </c>
      <c r="K34" s="3"/>
      <c r="L34" s="3"/>
      <c r="M34" s="3"/>
      <c r="N34" s="1"/>
      <c r="O34" s="1"/>
      <c r="P34" s="2"/>
      <c r="Q34" s="3"/>
      <c r="R34" s="3"/>
      <c r="S34" s="1" t="s">
        <v>148</v>
      </c>
      <c r="T34" s="3"/>
    </row>
    <row r="35" spans="1:20" ht="30" x14ac:dyDescent="0.25">
      <c r="A35" s="2" t="s">
        <v>154</v>
      </c>
      <c r="B35" s="3" t="s">
        <v>155</v>
      </c>
      <c r="C35" s="9" t="s">
        <v>146</v>
      </c>
      <c r="D35" s="2" t="s">
        <v>41</v>
      </c>
      <c r="E35" s="9" t="s">
        <v>51</v>
      </c>
      <c r="F35" s="2" t="s">
        <v>41</v>
      </c>
      <c r="G35" s="1" t="s">
        <v>156</v>
      </c>
      <c r="H35" s="3"/>
      <c r="I35" s="14" t="s">
        <v>44</v>
      </c>
      <c r="J35" s="14" t="s">
        <v>45</v>
      </c>
      <c r="K35" s="3"/>
      <c r="L35" s="3"/>
      <c r="M35" s="3"/>
      <c r="N35" s="1"/>
      <c r="O35" s="1"/>
      <c r="P35" s="2"/>
      <c r="Q35" s="3"/>
      <c r="R35" s="3"/>
      <c r="S35" s="1" t="s">
        <v>148</v>
      </c>
      <c r="T35" s="3"/>
    </row>
    <row r="36" spans="1:20" ht="30" x14ac:dyDescent="0.25">
      <c r="A36" s="2" t="s">
        <v>157</v>
      </c>
      <c r="B36" s="3" t="s">
        <v>158</v>
      </c>
      <c r="C36" s="9" t="s">
        <v>151</v>
      </c>
      <c r="D36" s="2" t="s">
        <v>41</v>
      </c>
      <c r="E36" s="9" t="s">
        <v>152</v>
      </c>
      <c r="F36" s="2" t="s">
        <v>41</v>
      </c>
      <c r="G36" s="1" t="s">
        <v>159</v>
      </c>
      <c r="H36" s="3"/>
      <c r="I36" s="14" t="s">
        <v>44</v>
      </c>
      <c r="J36" s="14" t="s">
        <v>45</v>
      </c>
      <c r="K36" s="3"/>
      <c r="L36" s="3"/>
      <c r="M36" s="3"/>
      <c r="N36" s="1"/>
      <c r="O36" s="1"/>
      <c r="P36" s="2"/>
      <c r="Q36" s="3"/>
      <c r="R36" s="3"/>
      <c r="S36" s="1" t="s">
        <v>148</v>
      </c>
      <c r="T36" s="3"/>
    </row>
    <row r="37" spans="1:20" s="7" customFormat="1" ht="30" x14ac:dyDescent="0.25">
      <c r="A37" s="6" t="s">
        <v>160</v>
      </c>
      <c r="B37" s="4" t="s">
        <v>161</v>
      </c>
      <c r="C37" s="17" t="s">
        <v>124</v>
      </c>
      <c r="D37" s="6" t="s">
        <v>68</v>
      </c>
      <c r="E37" s="17" t="s">
        <v>125</v>
      </c>
      <c r="F37" s="6" t="s">
        <v>68</v>
      </c>
      <c r="G37" s="5" t="s">
        <v>162</v>
      </c>
      <c r="H37" s="4"/>
      <c r="I37" s="14" t="s">
        <v>44</v>
      </c>
      <c r="J37" s="14" t="s">
        <v>45</v>
      </c>
      <c r="K37" s="4"/>
      <c r="L37" s="4"/>
      <c r="M37" s="4"/>
      <c r="N37" s="5" t="s">
        <v>53</v>
      </c>
      <c r="O37" s="5" t="s">
        <v>163</v>
      </c>
      <c r="P37" s="6" t="s">
        <v>161</v>
      </c>
      <c r="Q37" s="4"/>
      <c r="R37" s="4"/>
      <c r="S37" s="5" t="s">
        <v>164</v>
      </c>
      <c r="T37" s="4"/>
    </row>
    <row r="38" spans="1:20" ht="60" x14ac:dyDescent="0.25">
      <c r="A38" s="4" t="s">
        <v>165</v>
      </c>
      <c r="B38" s="3" t="s">
        <v>166</v>
      </c>
      <c r="C38" s="9" t="s">
        <v>167</v>
      </c>
      <c r="D38" s="6" t="s">
        <v>68</v>
      </c>
      <c r="E38" s="9" t="s">
        <v>168</v>
      </c>
      <c r="F38" s="6" t="s">
        <v>68</v>
      </c>
      <c r="G38" s="5" t="s">
        <v>169</v>
      </c>
      <c r="H38" s="3"/>
      <c r="I38" s="14" t="s">
        <v>44</v>
      </c>
      <c r="J38" s="14" t="s">
        <v>45</v>
      </c>
      <c r="K38" s="3"/>
      <c r="L38" s="3"/>
      <c r="M38" s="3"/>
      <c r="N38" s="5" t="s">
        <v>53</v>
      </c>
      <c r="O38" s="3" t="s">
        <v>170</v>
      </c>
      <c r="P38" s="3" t="s">
        <v>171</v>
      </c>
      <c r="Q38" s="3"/>
      <c r="R38" s="3"/>
      <c r="S38" s="1" t="s">
        <v>172</v>
      </c>
    </row>
  </sheetData>
  <mergeCells count="4">
    <mergeCell ref="F1:M4"/>
    <mergeCell ref="A8:H8"/>
    <mergeCell ref="N8:R8"/>
    <mergeCell ref="S8:T8"/>
  </mergeCells>
  <conditionalFormatting sqref="A39:A1048576 A1:A37 B39:G39">
    <cfRule type="duplicateValues" dxfId="14" priority="17"/>
  </conditionalFormatting>
  <conditionalFormatting sqref="A39:A1048576 A2:A8 A10:A37 B39:G39">
    <cfRule type="duplicateValues" dxfId="13" priority="9"/>
  </conditionalFormatting>
  <conditionalFormatting sqref="B9">
    <cfRule type="duplicateValues" dxfId="12" priority="2"/>
  </conditionalFormatting>
  <conditionalFormatting sqref="B40:B1048576 B1:B8 B10:B38">
    <cfRule type="duplicateValues" dxfId="11" priority="6"/>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589EE-6BD5-4512-AF27-7DF057DFCFC2}">
  <dimension ref="A1:U38"/>
  <sheetViews>
    <sheetView zoomScale="80" zoomScaleNormal="80" workbookViewId="0">
      <selection activeCell="E5" sqref="E5"/>
    </sheetView>
  </sheetViews>
  <sheetFormatPr defaultRowHeight="15" x14ac:dyDescent="0.25"/>
  <cols>
    <col min="1" max="1" width="42.42578125" customWidth="1"/>
    <col min="2" max="2" width="33.7109375" customWidth="1"/>
    <col min="3" max="3" width="17.140625" customWidth="1"/>
    <col min="4" max="4" width="15.7109375" customWidth="1"/>
    <col min="5" max="5" width="9.85546875" customWidth="1"/>
    <col min="6" max="6" width="17.85546875" customWidth="1"/>
    <col min="7" max="7" width="65.140625" customWidth="1"/>
    <col min="8" max="8" width="17.5703125" customWidth="1"/>
    <col min="9" max="9" width="13.85546875" customWidth="1"/>
    <col min="10" max="11" width="19.5703125" customWidth="1"/>
    <col min="12" max="12" width="13.28515625" customWidth="1"/>
    <col min="13" max="13" width="13" customWidth="1"/>
    <col min="14" max="14" width="25.28515625" bestFit="1" customWidth="1"/>
    <col min="15" max="15" width="22.140625" bestFit="1" customWidth="1"/>
    <col min="16" max="16" width="46.140625" customWidth="1"/>
    <col min="17" max="17" width="19.85546875" hidden="1" customWidth="1"/>
    <col min="18" max="18" width="14.28515625" hidden="1" customWidth="1"/>
    <col min="19" max="19" width="92.28515625" customWidth="1"/>
    <col min="20" max="20" width="42.7109375" customWidth="1"/>
    <col min="21" max="21" width="29" bestFit="1" customWidth="1"/>
  </cols>
  <sheetData>
    <row r="1" spans="1:21" ht="15" customHeight="1" x14ac:dyDescent="0.25">
      <c r="A1" s="23" t="s">
        <v>0</v>
      </c>
      <c r="B1" s="23" t="s">
        <v>1</v>
      </c>
      <c r="C1" s="10"/>
      <c r="D1" s="10"/>
      <c r="E1" s="10"/>
      <c r="F1" s="40" t="s">
        <v>2</v>
      </c>
      <c r="G1" s="40"/>
      <c r="H1" s="40"/>
      <c r="I1" s="40"/>
      <c r="J1" s="40"/>
      <c r="K1" s="40"/>
      <c r="L1" s="40"/>
      <c r="M1" s="40"/>
      <c r="N1" s="10"/>
      <c r="O1" s="10"/>
      <c r="P1" s="10"/>
      <c r="Q1" s="10"/>
      <c r="R1" s="10"/>
      <c r="S1" s="10"/>
      <c r="T1" s="10"/>
    </row>
    <row r="2" spans="1:21" ht="15" customHeight="1" x14ac:dyDescent="0.25">
      <c r="A2" s="23" t="s">
        <v>3</v>
      </c>
      <c r="B2" s="23" t="s">
        <v>4</v>
      </c>
      <c r="C2" s="10"/>
      <c r="D2" s="10"/>
      <c r="E2" s="10"/>
      <c r="F2" s="40"/>
      <c r="G2" s="40"/>
      <c r="H2" s="40"/>
      <c r="I2" s="40"/>
      <c r="J2" s="40"/>
      <c r="K2" s="40"/>
      <c r="L2" s="40"/>
      <c r="M2" s="40"/>
      <c r="N2" s="10"/>
      <c r="O2" s="10"/>
      <c r="P2" s="10"/>
      <c r="Q2" s="10"/>
      <c r="R2" s="10"/>
      <c r="S2" s="10"/>
      <c r="T2" s="10"/>
    </row>
    <row r="3" spans="1:21" ht="15" customHeight="1" x14ac:dyDescent="0.25">
      <c r="A3" s="23" t="s">
        <v>5</v>
      </c>
      <c r="B3" s="23"/>
      <c r="C3" s="10"/>
      <c r="D3" s="10"/>
      <c r="E3" s="10"/>
      <c r="F3" s="40"/>
      <c r="G3" s="40"/>
      <c r="H3" s="40"/>
      <c r="I3" s="40"/>
      <c r="J3" s="40"/>
      <c r="K3" s="40"/>
      <c r="L3" s="40"/>
      <c r="M3" s="40"/>
      <c r="N3" s="10"/>
      <c r="O3" s="10"/>
      <c r="P3" s="10"/>
      <c r="Q3" s="10"/>
      <c r="R3" s="10"/>
      <c r="S3" s="10"/>
      <c r="T3" s="10"/>
    </row>
    <row r="4" spans="1:21" ht="15" customHeight="1" x14ac:dyDescent="0.25">
      <c r="A4" s="23" t="s">
        <v>6</v>
      </c>
      <c r="B4" s="23" t="s">
        <v>7</v>
      </c>
      <c r="D4" s="10"/>
      <c r="E4" s="10"/>
      <c r="F4" s="40"/>
      <c r="G4" s="40"/>
      <c r="H4" s="40"/>
      <c r="I4" s="40"/>
      <c r="J4" s="40"/>
      <c r="K4" s="40"/>
      <c r="L4" s="40"/>
      <c r="M4" s="40"/>
      <c r="N4" s="10"/>
      <c r="O4" s="10"/>
      <c r="P4" s="10"/>
      <c r="Q4" s="10"/>
      <c r="R4" s="10"/>
      <c r="S4" s="10"/>
      <c r="T4" s="10"/>
    </row>
    <row r="5" spans="1:21" ht="66.75" customHeight="1" x14ac:dyDescent="0.25">
      <c r="A5" s="23" t="s">
        <v>8</v>
      </c>
      <c r="B5" s="23" t="s">
        <v>9</v>
      </c>
      <c r="C5" s="10"/>
      <c r="D5" s="10"/>
      <c r="E5" s="10"/>
      <c r="F5" s="19" t="s">
        <v>10</v>
      </c>
      <c r="G5" s="20" t="s">
        <v>10</v>
      </c>
      <c r="H5" s="21" t="s">
        <v>10</v>
      </c>
      <c r="I5" s="22" t="s">
        <v>11</v>
      </c>
      <c r="K5" s="10"/>
      <c r="M5" s="10"/>
      <c r="N5" s="10"/>
      <c r="O5" s="10"/>
      <c r="P5" s="10"/>
      <c r="Q5" s="10"/>
      <c r="R5" s="10"/>
      <c r="S5" s="10"/>
      <c r="T5" s="10"/>
    </row>
    <row r="6" spans="1:21" ht="91.15" customHeight="1" x14ac:dyDescent="0.25">
      <c r="A6" s="23" t="s">
        <v>12</v>
      </c>
      <c r="B6" s="23" t="s">
        <v>173</v>
      </c>
      <c r="C6" s="18" t="s">
        <v>174</v>
      </c>
      <c r="D6" s="10"/>
      <c r="E6" s="10"/>
      <c r="F6" s="10"/>
      <c r="G6" s="10"/>
      <c r="H6" s="10"/>
      <c r="I6" s="10"/>
      <c r="J6" s="10"/>
      <c r="K6" s="10"/>
      <c r="L6" s="10"/>
      <c r="M6" s="10"/>
      <c r="N6" s="10"/>
      <c r="O6" s="10"/>
      <c r="P6" s="10"/>
      <c r="Q6" s="10"/>
      <c r="R6" s="10"/>
      <c r="S6" s="10"/>
      <c r="T6" s="10"/>
    </row>
    <row r="7" spans="1:21" x14ac:dyDescent="0.25">
      <c r="A7" s="23" t="s">
        <v>14</v>
      </c>
      <c r="B7" s="23"/>
      <c r="C7" s="10"/>
      <c r="D7" s="10"/>
      <c r="E7" s="10"/>
      <c r="F7" s="10"/>
      <c r="G7" s="10"/>
      <c r="H7" s="10"/>
      <c r="I7" s="10"/>
      <c r="J7" s="10"/>
      <c r="K7" s="10"/>
      <c r="L7" s="10"/>
      <c r="M7" s="10"/>
      <c r="N7" s="10"/>
      <c r="O7" s="10"/>
      <c r="P7" s="10"/>
      <c r="Q7" s="10"/>
      <c r="R7" s="10"/>
      <c r="S7" s="10"/>
      <c r="T7" s="10"/>
    </row>
    <row r="8" spans="1:21" ht="15" customHeight="1" x14ac:dyDescent="0.25">
      <c r="A8" s="49" t="s">
        <v>15</v>
      </c>
      <c r="B8" s="50"/>
      <c r="C8" s="50"/>
      <c r="D8" s="50"/>
      <c r="E8" s="50"/>
      <c r="F8" s="50"/>
      <c r="G8" s="50"/>
      <c r="H8" s="50"/>
      <c r="I8" s="51"/>
      <c r="J8" s="49"/>
      <c r="K8" s="50"/>
      <c r="L8" s="50"/>
      <c r="M8" s="50"/>
      <c r="N8" s="44" t="s">
        <v>16</v>
      </c>
      <c r="O8" s="45"/>
      <c r="P8" s="45"/>
      <c r="Q8" s="45"/>
      <c r="R8" s="46"/>
      <c r="S8" s="47" t="s">
        <v>17</v>
      </c>
      <c r="T8" s="48"/>
    </row>
    <row r="9" spans="1:21" s="13" customFormat="1" ht="75" customHeight="1" x14ac:dyDescent="0.25">
      <c r="A9" s="24" t="s">
        <v>18</v>
      </c>
      <c r="B9" s="22" t="s">
        <v>19</v>
      </c>
      <c r="C9" s="24" t="s">
        <v>20</v>
      </c>
      <c r="D9" s="24" t="s">
        <v>21</v>
      </c>
      <c r="E9" s="24" t="s">
        <v>22</v>
      </c>
      <c r="F9" s="24" t="s">
        <v>23</v>
      </c>
      <c r="G9" s="24" t="s">
        <v>24</v>
      </c>
      <c r="H9" s="24" t="s">
        <v>25</v>
      </c>
      <c r="I9" s="24" t="s">
        <v>26</v>
      </c>
      <c r="J9" s="24" t="s">
        <v>27</v>
      </c>
      <c r="K9" s="24" t="s">
        <v>28</v>
      </c>
      <c r="L9" s="22" t="s">
        <v>29</v>
      </c>
      <c r="M9" s="22" t="s">
        <v>30</v>
      </c>
      <c r="N9" s="21" t="s">
        <v>31</v>
      </c>
      <c r="O9" s="21" t="s">
        <v>32</v>
      </c>
      <c r="P9" s="21" t="s">
        <v>33</v>
      </c>
      <c r="Q9" s="12" t="s">
        <v>34</v>
      </c>
      <c r="R9" s="12" t="s">
        <v>35</v>
      </c>
      <c r="S9" s="19" t="s">
        <v>36</v>
      </c>
      <c r="T9" s="19" t="s">
        <v>37</v>
      </c>
      <c r="U9"/>
    </row>
    <row r="10" spans="1:21" x14ac:dyDescent="0.25">
      <c r="A10" s="2" t="s">
        <v>175</v>
      </c>
      <c r="B10" s="4" t="s">
        <v>39</v>
      </c>
      <c r="C10" s="9" t="s">
        <v>176</v>
      </c>
      <c r="D10" s="2" t="s">
        <v>41</v>
      </c>
      <c r="E10" s="9" t="s">
        <v>42</v>
      </c>
      <c r="F10" s="2" t="s">
        <v>41</v>
      </c>
      <c r="G10" s="1" t="s">
        <v>43</v>
      </c>
      <c r="H10" s="14"/>
      <c r="I10" s="14" t="s">
        <v>44</v>
      </c>
      <c r="J10" s="14" t="s">
        <v>45</v>
      </c>
      <c r="K10" s="14" t="s">
        <v>46</v>
      </c>
      <c r="L10" s="14"/>
      <c r="M10" s="14"/>
      <c r="N10" s="1"/>
      <c r="O10" s="1"/>
      <c r="P10" s="2"/>
      <c r="Q10" s="4"/>
      <c r="R10" s="15"/>
      <c r="S10" s="2" t="s">
        <v>47</v>
      </c>
      <c r="T10" s="16"/>
    </row>
    <row r="11" spans="1:21" ht="60" x14ac:dyDescent="0.25">
      <c r="A11" s="2" t="s">
        <v>48</v>
      </c>
      <c r="B11" s="3" t="s">
        <v>49</v>
      </c>
      <c r="C11" s="9" t="s">
        <v>50</v>
      </c>
      <c r="D11" s="9" t="s">
        <v>41</v>
      </c>
      <c r="E11" s="9" t="s">
        <v>51</v>
      </c>
      <c r="F11" s="9" t="s">
        <v>41</v>
      </c>
      <c r="G11" s="1" t="s">
        <v>52</v>
      </c>
      <c r="H11" s="3"/>
      <c r="I11" s="14" t="s">
        <v>44</v>
      </c>
      <c r="J11" s="14" t="s">
        <v>45</v>
      </c>
      <c r="K11" s="3"/>
      <c r="L11" s="3"/>
      <c r="M11" s="3"/>
      <c r="N11" s="1"/>
      <c r="O11" s="1"/>
      <c r="P11" s="2"/>
      <c r="Q11" s="3"/>
      <c r="R11" s="3"/>
      <c r="S11" s="8" t="s">
        <v>177</v>
      </c>
      <c r="T11" s="3"/>
    </row>
    <row r="12" spans="1:21" x14ac:dyDescent="0.25">
      <c r="A12" s="2" t="s">
        <v>55</v>
      </c>
      <c r="B12" s="3" t="s">
        <v>56</v>
      </c>
      <c r="C12" s="9" t="s">
        <v>50</v>
      </c>
      <c r="D12" s="9" t="s">
        <v>41</v>
      </c>
      <c r="E12" s="9" t="s">
        <v>51</v>
      </c>
      <c r="F12" s="9" t="s">
        <v>41</v>
      </c>
      <c r="G12" s="1" t="s">
        <v>57</v>
      </c>
      <c r="H12" s="3"/>
      <c r="I12" s="14" t="s">
        <v>44</v>
      </c>
      <c r="J12" s="14" t="s">
        <v>45</v>
      </c>
      <c r="K12" s="3"/>
      <c r="L12" s="3"/>
      <c r="M12" s="3"/>
      <c r="N12" s="1" t="s">
        <v>81</v>
      </c>
      <c r="O12" s="1" t="s">
        <v>178</v>
      </c>
      <c r="P12" s="2" t="s">
        <v>179</v>
      </c>
      <c r="Q12" s="3"/>
      <c r="R12" s="3"/>
      <c r="S12" s="1"/>
      <c r="T12" s="3"/>
    </row>
    <row r="13" spans="1:21" x14ac:dyDescent="0.25">
      <c r="A13" s="2" t="s">
        <v>59</v>
      </c>
      <c r="B13" s="3" t="s">
        <v>60</v>
      </c>
      <c r="C13" s="9" t="s">
        <v>50</v>
      </c>
      <c r="D13" s="9" t="s">
        <v>41</v>
      </c>
      <c r="E13" s="9" t="s">
        <v>51</v>
      </c>
      <c r="F13" s="9" t="s">
        <v>41</v>
      </c>
      <c r="G13" s="1" t="s">
        <v>61</v>
      </c>
      <c r="H13" s="3"/>
      <c r="I13" s="14" t="s">
        <v>44</v>
      </c>
      <c r="J13" s="14" t="s">
        <v>45</v>
      </c>
      <c r="K13" s="3"/>
      <c r="L13" s="3"/>
      <c r="M13" s="3"/>
      <c r="N13" s="1" t="s">
        <v>81</v>
      </c>
      <c r="O13" s="1" t="s">
        <v>178</v>
      </c>
      <c r="P13" s="2" t="s">
        <v>179</v>
      </c>
      <c r="Q13" s="3"/>
      <c r="R13" s="3"/>
      <c r="S13" s="1" t="s">
        <v>180</v>
      </c>
      <c r="T13" s="3"/>
    </row>
    <row r="14" spans="1:21" ht="45" x14ac:dyDescent="0.25">
      <c r="A14" s="2" t="s">
        <v>63</v>
      </c>
      <c r="B14" s="3" t="s">
        <v>64</v>
      </c>
      <c r="C14" s="9" t="s">
        <v>176</v>
      </c>
      <c r="D14" s="2" t="s">
        <v>41</v>
      </c>
      <c r="E14" s="9" t="s">
        <v>42</v>
      </c>
      <c r="F14" s="2" t="s">
        <v>41</v>
      </c>
      <c r="G14" s="1" t="s">
        <v>65</v>
      </c>
      <c r="H14" s="3"/>
      <c r="I14" s="14" t="s">
        <v>44</v>
      </c>
      <c r="J14" s="14" t="s">
        <v>45</v>
      </c>
      <c r="K14" s="3"/>
      <c r="L14" s="3"/>
      <c r="M14" s="3"/>
      <c r="N14" s="1" t="s">
        <v>81</v>
      </c>
      <c r="O14" s="1" t="s">
        <v>82</v>
      </c>
      <c r="P14" s="2" t="s">
        <v>64</v>
      </c>
      <c r="Q14" s="3"/>
      <c r="R14" s="3"/>
      <c r="S14" s="1"/>
      <c r="T14" s="3"/>
    </row>
    <row r="15" spans="1:21" ht="30" x14ac:dyDescent="0.25">
      <c r="A15" s="2" t="s">
        <v>66</v>
      </c>
      <c r="B15" s="3" t="s">
        <v>67</v>
      </c>
      <c r="C15" s="9" t="s">
        <v>176</v>
      </c>
      <c r="D15" s="2" t="s">
        <v>68</v>
      </c>
      <c r="E15" s="9" t="s">
        <v>42</v>
      </c>
      <c r="F15" s="2" t="s">
        <v>68</v>
      </c>
      <c r="G15" s="1" t="s">
        <v>69</v>
      </c>
      <c r="H15" s="3"/>
      <c r="I15" s="14" t="s">
        <v>44</v>
      </c>
      <c r="J15" s="14" t="s">
        <v>45</v>
      </c>
      <c r="K15" s="3"/>
      <c r="L15" s="3"/>
      <c r="M15" s="3"/>
      <c r="N15" s="1" t="s">
        <v>81</v>
      </c>
      <c r="O15" s="1" t="s">
        <v>178</v>
      </c>
      <c r="P15" s="2" t="s">
        <v>67</v>
      </c>
      <c r="Q15" s="3"/>
      <c r="R15" s="3"/>
      <c r="S15" s="31" t="s">
        <v>181</v>
      </c>
      <c r="T15" s="3"/>
    </row>
    <row r="16" spans="1:21" ht="75" x14ac:dyDescent="0.25">
      <c r="A16" s="2" t="s">
        <v>73</v>
      </c>
      <c r="B16" s="3" t="s">
        <v>74</v>
      </c>
      <c r="C16" s="9" t="s">
        <v>176</v>
      </c>
      <c r="D16" s="2" t="s">
        <v>68</v>
      </c>
      <c r="E16" s="9" t="s">
        <v>42</v>
      </c>
      <c r="F16" s="2" t="s">
        <v>68</v>
      </c>
      <c r="G16" s="1" t="s">
        <v>75</v>
      </c>
      <c r="H16" s="3"/>
      <c r="I16" s="14" t="s">
        <v>44</v>
      </c>
      <c r="J16" s="14" t="s">
        <v>45</v>
      </c>
      <c r="K16" s="3"/>
      <c r="L16" s="3"/>
      <c r="M16" s="3"/>
      <c r="N16" s="1" t="s">
        <v>81</v>
      </c>
      <c r="O16" s="1" t="s">
        <v>178</v>
      </c>
      <c r="P16" s="2" t="s">
        <v>74</v>
      </c>
      <c r="Q16" s="3"/>
      <c r="R16" s="3"/>
      <c r="S16" s="1"/>
      <c r="T16" s="3"/>
    </row>
    <row r="17" spans="1:20" ht="30" x14ac:dyDescent="0.25">
      <c r="A17" s="2" t="s">
        <v>76</v>
      </c>
      <c r="B17" s="3" t="s">
        <v>77</v>
      </c>
      <c r="C17" s="9" t="s">
        <v>78</v>
      </c>
      <c r="D17" s="2" t="s">
        <v>68</v>
      </c>
      <c r="E17" s="9" t="s">
        <v>79</v>
      </c>
      <c r="F17" s="2" t="s">
        <v>68</v>
      </c>
      <c r="G17" s="1" t="s">
        <v>80</v>
      </c>
      <c r="H17" s="3"/>
      <c r="I17" s="14" t="s">
        <v>44</v>
      </c>
      <c r="J17" s="14" t="s">
        <v>45</v>
      </c>
      <c r="K17" s="3"/>
      <c r="L17" s="3"/>
      <c r="M17" s="3"/>
      <c r="N17" s="1" t="s">
        <v>81</v>
      </c>
      <c r="O17" s="1" t="s">
        <v>82</v>
      </c>
      <c r="P17" s="2" t="s">
        <v>77</v>
      </c>
      <c r="Q17" s="3"/>
      <c r="R17" s="3"/>
      <c r="S17" s="1" t="s">
        <v>83</v>
      </c>
      <c r="T17" s="3"/>
    </row>
    <row r="18" spans="1:20" ht="30" x14ac:dyDescent="0.25">
      <c r="A18" s="2" t="s">
        <v>84</v>
      </c>
      <c r="B18" s="3" t="s">
        <v>85</v>
      </c>
      <c r="C18" s="9" t="s">
        <v>176</v>
      </c>
      <c r="D18" s="2" t="s">
        <v>68</v>
      </c>
      <c r="E18" s="9" t="s">
        <v>42</v>
      </c>
      <c r="F18" s="2" t="s">
        <v>68</v>
      </c>
      <c r="G18" s="1" t="s">
        <v>86</v>
      </c>
      <c r="H18" s="3"/>
      <c r="I18" s="14" t="s">
        <v>44</v>
      </c>
      <c r="J18" s="14" t="s">
        <v>45</v>
      </c>
      <c r="K18" s="3"/>
      <c r="L18" s="3"/>
      <c r="M18" s="3"/>
      <c r="N18" s="1" t="s">
        <v>81</v>
      </c>
      <c r="O18" s="1" t="s">
        <v>178</v>
      </c>
      <c r="P18" s="2" t="s">
        <v>85</v>
      </c>
      <c r="Q18" s="3"/>
      <c r="R18" s="3"/>
      <c r="S18" s="1"/>
      <c r="T18" s="3"/>
    </row>
    <row r="19" spans="1:20" ht="30" x14ac:dyDescent="0.25">
      <c r="A19" s="2" t="s">
        <v>87</v>
      </c>
      <c r="B19" s="3" t="s">
        <v>88</v>
      </c>
      <c r="C19" s="9" t="s">
        <v>89</v>
      </c>
      <c r="D19" s="2" t="s">
        <v>68</v>
      </c>
      <c r="E19" s="9" t="s">
        <v>90</v>
      </c>
      <c r="F19" s="2" t="s">
        <v>68</v>
      </c>
      <c r="G19" s="1" t="s">
        <v>91</v>
      </c>
      <c r="H19" s="3"/>
      <c r="I19" s="14" t="s">
        <v>44</v>
      </c>
      <c r="J19" s="14" t="s">
        <v>45</v>
      </c>
      <c r="K19" s="3"/>
      <c r="L19" s="3"/>
      <c r="M19" s="3"/>
      <c r="N19" s="1" t="s">
        <v>81</v>
      </c>
      <c r="O19" s="1" t="s">
        <v>178</v>
      </c>
      <c r="P19" s="2" t="s">
        <v>182</v>
      </c>
      <c r="Q19" s="3"/>
      <c r="R19" s="3"/>
      <c r="S19" s="29"/>
      <c r="T19" s="39" t="s">
        <v>183</v>
      </c>
    </row>
    <row r="20" spans="1:20" ht="30" x14ac:dyDescent="0.25">
      <c r="A20" s="2" t="s">
        <v>93</v>
      </c>
      <c r="B20" s="3" t="s">
        <v>94</v>
      </c>
      <c r="C20" s="9" t="s">
        <v>89</v>
      </c>
      <c r="D20" s="2" t="s">
        <v>68</v>
      </c>
      <c r="E20" s="9" t="s">
        <v>90</v>
      </c>
      <c r="F20" s="2" t="s">
        <v>68</v>
      </c>
      <c r="G20" s="1" t="s">
        <v>95</v>
      </c>
      <c r="H20" s="3"/>
      <c r="I20" s="14" t="s">
        <v>44</v>
      </c>
      <c r="J20" s="14" t="s">
        <v>45</v>
      </c>
      <c r="K20" s="3"/>
      <c r="L20" s="3"/>
      <c r="M20" s="3"/>
      <c r="N20" s="1"/>
      <c r="O20" s="1"/>
      <c r="P20" s="2"/>
      <c r="Q20" s="3"/>
      <c r="R20" s="3"/>
      <c r="S20" s="1" t="s">
        <v>184</v>
      </c>
      <c r="T20" s="3"/>
    </row>
    <row r="21" spans="1:20" ht="30" x14ac:dyDescent="0.25">
      <c r="A21" s="2" t="s">
        <v>97</v>
      </c>
      <c r="B21" s="3" t="s">
        <v>98</v>
      </c>
      <c r="C21" s="9" t="s">
        <v>89</v>
      </c>
      <c r="D21" s="2" t="s">
        <v>68</v>
      </c>
      <c r="E21" s="9" t="s">
        <v>90</v>
      </c>
      <c r="F21" s="2" t="s">
        <v>68</v>
      </c>
      <c r="G21" s="1" t="s">
        <v>99</v>
      </c>
      <c r="H21" s="3"/>
      <c r="I21" s="14" t="s">
        <v>44</v>
      </c>
      <c r="J21" s="14" t="s">
        <v>45</v>
      </c>
      <c r="K21" s="3"/>
      <c r="L21" s="3"/>
      <c r="M21" s="3"/>
      <c r="N21" s="1" t="s">
        <v>81</v>
      </c>
      <c r="O21" s="1" t="s">
        <v>178</v>
      </c>
      <c r="P21" s="2" t="s">
        <v>185</v>
      </c>
      <c r="Q21" s="3"/>
      <c r="R21" s="3"/>
      <c r="S21" s="29"/>
      <c r="T21" s="39" t="s">
        <v>186</v>
      </c>
    </row>
    <row r="22" spans="1:20" ht="30" x14ac:dyDescent="0.25">
      <c r="A22" s="2" t="s">
        <v>101</v>
      </c>
      <c r="B22" s="3" t="s">
        <v>102</v>
      </c>
      <c r="C22" s="9" t="s">
        <v>176</v>
      </c>
      <c r="D22" s="2" t="s">
        <v>68</v>
      </c>
      <c r="E22" s="9" t="s">
        <v>42</v>
      </c>
      <c r="F22" s="2" t="s">
        <v>68</v>
      </c>
      <c r="G22" s="1" t="s">
        <v>103</v>
      </c>
      <c r="H22" s="3"/>
      <c r="I22" s="14" t="s">
        <v>44</v>
      </c>
      <c r="J22" s="14" t="s">
        <v>45</v>
      </c>
      <c r="K22" s="3"/>
      <c r="L22" s="3"/>
      <c r="M22" s="3"/>
      <c r="N22" s="1"/>
      <c r="O22" s="1"/>
      <c r="P22" s="2"/>
      <c r="Q22" s="3"/>
      <c r="R22" s="3"/>
      <c r="S22" s="29" t="s">
        <v>187</v>
      </c>
      <c r="T22" s="29" t="s">
        <v>188</v>
      </c>
    </row>
    <row r="23" spans="1:20" x14ac:dyDescent="0.25">
      <c r="A23" s="2" t="s">
        <v>104</v>
      </c>
      <c r="B23" s="3" t="s">
        <v>105</v>
      </c>
      <c r="C23" s="9" t="s">
        <v>106</v>
      </c>
      <c r="D23" s="2" t="s">
        <v>68</v>
      </c>
      <c r="E23" s="9" t="s">
        <v>107</v>
      </c>
      <c r="F23" s="2" t="s">
        <v>68</v>
      </c>
      <c r="G23" s="1" t="s">
        <v>108</v>
      </c>
      <c r="H23" s="3"/>
      <c r="I23" s="14" t="s">
        <v>44</v>
      </c>
      <c r="J23" s="14" t="s">
        <v>45</v>
      </c>
      <c r="K23" s="3"/>
      <c r="L23" s="3"/>
      <c r="M23" s="3"/>
      <c r="N23" s="1"/>
      <c r="O23" s="1"/>
      <c r="P23" s="2"/>
      <c r="Q23" s="3"/>
      <c r="R23" s="3"/>
      <c r="S23" s="1" t="s">
        <v>184</v>
      </c>
      <c r="T23" s="3"/>
    </row>
    <row r="24" spans="1:20" x14ac:dyDescent="0.25">
      <c r="A24" s="2" t="s">
        <v>110</v>
      </c>
      <c r="B24" s="3" t="s">
        <v>111</v>
      </c>
      <c r="C24" s="9" t="s">
        <v>112</v>
      </c>
      <c r="D24" s="2" t="s">
        <v>68</v>
      </c>
      <c r="E24" s="9" t="s">
        <v>113</v>
      </c>
      <c r="F24" s="2" t="s">
        <v>68</v>
      </c>
      <c r="G24" s="1" t="s">
        <v>114</v>
      </c>
      <c r="H24" s="3"/>
      <c r="I24" s="14" t="s">
        <v>44</v>
      </c>
      <c r="J24" s="14" t="s">
        <v>45</v>
      </c>
      <c r="K24" s="3"/>
      <c r="L24" s="3"/>
      <c r="M24" s="3"/>
      <c r="N24" s="1" t="s">
        <v>81</v>
      </c>
      <c r="O24" s="1" t="s">
        <v>178</v>
      </c>
      <c r="P24" s="2" t="s">
        <v>115</v>
      </c>
      <c r="Q24" s="3"/>
      <c r="R24" s="3"/>
      <c r="S24" s="1"/>
      <c r="T24" s="3"/>
    </row>
    <row r="25" spans="1:20" x14ac:dyDescent="0.25">
      <c r="A25" s="2" t="s">
        <v>116</v>
      </c>
      <c r="B25" s="3" t="s">
        <v>117</v>
      </c>
      <c r="C25" s="9" t="s">
        <v>112</v>
      </c>
      <c r="D25" s="2" t="s">
        <v>68</v>
      </c>
      <c r="E25" s="9" t="s">
        <v>113</v>
      </c>
      <c r="F25" s="2" t="s">
        <v>68</v>
      </c>
      <c r="G25" s="1" t="s">
        <v>118</v>
      </c>
      <c r="H25" s="3"/>
      <c r="I25" s="14" t="s">
        <v>44</v>
      </c>
      <c r="J25" s="14" t="s">
        <v>45</v>
      </c>
      <c r="K25" s="3"/>
      <c r="L25" s="3"/>
      <c r="M25" s="3"/>
      <c r="N25" s="1"/>
      <c r="O25" s="1"/>
      <c r="P25" s="2"/>
      <c r="Q25" s="3"/>
      <c r="R25" s="3"/>
      <c r="S25" s="1" t="s">
        <v>184</v>
      </c>
      <c r="T25" s="3"/>
    </row>
    <row r="26" spans="1:20" x14ac:dyDescent="0.25">
      <c r="A26" s="2" t="s">
        <v>119</v>
      </c>
      <c r="B26" s="3" t="s">
        <v>120</v>
      </c>
      <c r="C26" s="9" t="s">
        <v>176</v>
      </c>
      <c r="D26" s="2" t="s">
        <v>68</v>
      </c>
      <c r="E26" s="9" t="s">
        <v>42</v>
      </c>
      <c r="F26" s="2" t="s">
        <v>68</v>
      </c>
      <c r="G26" s="1" t="s">
        <v>121</v>
      </c>
      <c r="H26" s="3"/>
      <c r="I26" s="14" t="s">
        <v>44</v>
      </c>
      <c r="J26" s="14" t="s">
        <v>45</v>
      </c>
      <c r="K26" s="3"/>
      <c r="L26" s="3"/>
      <c r="M26" s="3"/>
      <c r="N26" s="1"/>
      <c r="O26" s="1"/>
      <c r="P26" s="2"/>
      <c r="Q26" s="3"/>
      <c r="R26" s="3"/>
      <c r="S26" s="1" t="s">
        <v>184</v>
      </c>
      <c r="T26" s="3"/>
    </row>
    <row r="27" spans="1:20" ht="60" x14ac:dyDescent="0.25">
      <c r="A27" s="2" t="s">
        <v>189</v>
      </c>
      <c r="B27" s="3" t="s">
        <v>123</v>
      </c>
      <c r="C27" s="9" t="s">
        <v>124</v>
      </c>
      <c r="D27" s="2" t="s">
        <v>68</v>
      </c>
      <c r="E27" s="9" t="s">
        <v>125</v>
      </c>
      <c r="F27" s="2" t="s">
        <v>68</v>
      </c>
      <c r="G27" s="1" t="s">
        <v>126</v>
      </c>
      <c r="H27" s="3"/>
      <c r="I27" s="14" t="s">
        <v>44</v>
      </c>
      <c r="J27" s="14" t="s">
        <v>45</v>
      </c>
      <c r="K27" s="3"/>
      <c r="L27" s="3"/>
      <c r="M27" s="3"/>
      <c r="N27" s="1"/>
      <c r="O27" s="1"/>
      <c r="P27" s="2"/>
      <c r="Q27" s="3"/>
      <c r="R27" s="3"/>
      <c r="S27" s="1" t="s">
        <v>184</v>
      </c>
      <c r="T27" s="3"/>
    </row>
    <row r="28" spans="1:20" x14ac:dyDescent="0.25">
      <c r="A28" s="2" t="s">
        <v>128</v>
      </c>
      <c r="B28" s="3" t="s">
        <v>129</v>
      </c>
      <c r="C28" s="9" t="s">
        <v>176</v>
      </c>
      <c r="D28" s="2" t="s">
        <v>68</v>
      </c>
      <c r="E28" s="9" t="s">
        <v>42</v>
      </c>
      <c r="F28" s="2" t="s">
        <v>68</v>
      </c>
      <c r="G28" s="1" t="s">
        <v>130</v>
      </c>
      <c r="H28" s="3"/>
      <c r="I28" s="14" t="s">
        <v>44</v>
      </c>
      <c r="J28" s="14" t="s">
        <v>45</v>
      </c>
      <c r="K28" s="3"/>
      <c r="L28" s="3"/>
      <c r="M28" s="3"/>
      <c r="N28" s="1"/>
      <c r="O28" s="1"/>
      <c r="P28" s="2"/>
      <c r="Q28" s="3"/>
      <c r="R28" s="3"/>
      <c r="S28" s="1" t="s">
        <v>184</v>
      </c>
      <c r="T28" s="3"/>
    </row>
    <row r="29" spans="1:20" x14ac:dyDescent="0.25">
      <c r="A29" s="2" t="s">
        <v>131</v>
      </c>
      <c r="B29" s="3" t="s">
        <v>132</v>
      </c>
      <c r="C29" s="9" t="s">
        <v>176</v>
      </c>
      <c r="D29" s="2" t="s">
        <v>68</v>
      </c>
      <c r="E29" s="9" t="s">
        <v>42</v>
      </c>
      <c r="F29" s="2" t="s">
        <v>68</v>
      </c>
      <c r="G29" s="1" t="s">
        <v>133</v>
      </c>
      <c r="H29" s="3"/>
      <c r="I29" s="14" t="s">
        <v>44</v>
      </c>
      <c r="J29" s="14" t="s">
        <v>45</v>
      </c>
      <c r="K29" s="3"/>
      <c r="L29" s="3"/>
      <c r="M29" s="3"/>
      <c r="N29" s="1"/>
      <c r="O29" s="1"/>
      <c r="P29" s="2"/>
      <c r="Q29" s="3"/>
      <c r="R29" s="3"/>
      <c r="S29" s="1" t="s">
        <v>184</v>
      </c>
      <c r="T29" s="3"/>
    </row>
    <row r="30" spans="1:20" ht="30" x14ac:dyDescent="0.25">
      <c r="A30" s="2" t="s">
        <v>134</v>
      </c>
      <c r="B30" s="3" t="s">
        <v>135</v>
      </c>
      <c r="C30" s="9" t="s">
        <v>176</v>
      </c>
      <c r="D30" s="2" t="s">
        <v>68</v>
      </c>
      <c r="E30" s="9" t="s">
        <v>42</v>
      </c>
      <c r="F30" s="2" t="s">
        <v>68</v>
      </c>
      <c r="G30" s="1" t="s">
        <v>136</v>
      </c>
      <c r="H30" s="3"/>
      <c r="I30" s="14" t="s">
        <v>44</v>
      </c>
      <c r="J30" s="14" t="s">
        <v>45</v>
      </c>
      <c r="K30" s="3"/>
      <c r="L30" s="3"/>
      <c r="M30" s="3"/>
      <c r="N30" s="1"/>
      <c r="O30" s="1"/>
      <c r="P30" s="2"/>
      <c r="Q30" s="3"/>
      <c r="R30" s="3"/>
      <c r="S30" s="29" t="s">
        <v>190</v>
      </c>
      <c r="T30" s="29" t="s">
        <v>191</v>
      </c>
    </row>
    <row r="31" spans="1:20" x14ac:dyDescent="0.25">
      <c r="A31" s="2" t="s">
        <v>138</v>
      </c>
      <c r="B31" s="3" t="s">
        <v>139</v>
      </c>
      <c r="C31" s="9" t="s">
        <v>176</v>
      </c>
      <c r="D31" s="2" t="s">
        <v>68</v>
      </c>
      <c r="E31" s="9" t="s">
        <v>42</v>
      </c>
      <c r="F31" s="2" t="s">
        <v>68</v>
      </c>
      <c r="G31" s="2" t="s">
        <v>140</v>
      </c>
      <c r="H31" s="3"/>
      <c r="I31" s="14" t="s">
        <v>44</v>
      </c>
      <c r="J31" s="14" t="s">
        <v>45</v>
      </c>
      <c r="K31" s="3"/>
      <c r="L31" s="3"/>
      <c r="M31" s="3"/>
      <c r="N31" s="1"/>
      <c r="O31" s="1"/>
      <c r="P31" s="2"/>
      <c r="Q31" s="3"/>
      <c r="R31" s="3"/>
      <c r="S31" s="1" t="s">
        <v>184</v>
      </c>
      <c r="T31" s="3"/>
    </row>
    <row r="32" spans="1:20" x14ac:dyDescent="0.25">
      <c r="A32" s="2" t="s">
        <v>141</v>
      </c>
      <c r="B32" s="3" t="s">
        <v>142</v>
      </c>
      <c r="C32" s="9" t="s">
        <v>176</v>
      </c>
      <c r="D32" s="2" t="s">
        <v>68</v>
      </c>
      <c r="E32" s="9" t="s">
        <v>42</v>
      </c>
      <c r="F32" s="2" t="s">
        <v>68</v>
      </c>
      <c r="G32" s="1" t="s">
        <v>143</v>
      </c>
      <c r="H32" s="3"/>
      <c r="I32" s="14" t="s">
        <v>44</v>
      </c>
      <c r="J32" s="14" t="s">
        <v>45</v>
      </c>
      <c r="K32" s="3"/>
      <c r="L32" s="3"/>
      <c r="M32" s="3"/>
      <c r="N32" s="1" t="s">
        <v>81</v>
      </c>
      <c r="O32" s="1" t="s">
        <v>178</v>
      </c>
      <c r="P32" s="2" t="s">
        <v>142</v>
      </c>
      <c r="Q32" s="3"/>
      <c r="R32" s="3"/>
      <c r="S32" s="1"/>
      <c r="T32" s="3"/>
    </row>
    <row r="33" spans="1:20" x14ac:dyDescent="0.25">
      <c r="A33" s="2" t="s">
        <v>144</v>
      </c>
      <c r="B33" s="3" t="s">
        <v>145</v>
      </c>
      <c r="C33" s="9" t="s">
        <v>50</v>
      </c>
      <c r="D33" s="2" t="s">
        <v>41</v>
      </c>
      <c r="E33" s="9" t="s">
        <v>51</v>
      </c>
      <c r="F33" s="2" t="s">
        <v>41</v>
      </c>
      <c r="G33" s="1" t="s">
        <v>147</v>
      </c>
      <c r="H33" s="3"/>
      <c r="I33" s="14" t="s">
        <v>44</v>
      </c>
      <c r="J33" s="14" t="s">
        <v>45</v>
      </c>
      <c r="K33" s="3"/>
      <c r="L33" s="3"/>
      <c r="M33" s="3"/>
      <c r="N33" s="1"/>
      <c r="O33" s="1"/>
      <c r="P33" s="2"/>
      <c r="Q33" s="3"/>
      <c r="R33" s="3"/>
      <c r="S33" s="1" t="s">
        <v>148</v>
      </c>
      <c r="T33" s="3"/>
    </row>
    <row r="34" spans="1:20" x14ac:dyDescent="0.25">
      <c r="A34" s="2" t="s">
        <v>149</v>
      </c>
      <c r="B34" s="3" t="s">
        <v>150</v>
      </c>
      <c r="C34" s="9" t="s">
        <v>151</v>
      </c>
      <c r="D34" s="2" t="s">
        <v>41</v>
      </c>
      <c r="E34" s="9" t="s">
        <v>152</v>
      </c>
      <c r="F34" s="2" t="s">
        <v>41</v>
      </c>
      <c r="G34" s="1" t="s">
        <v>153</v>
      </c>
      <c r="H34" s="3"/>
      <c r="I34" s="14" t="s">
        <v>44</v>
      </c>
      <c r="J34" s="14" t="s">
        <v>45</v>
      </c>
      <c r="K34" s="3"/>
      <c r="L34" s="3"/>
      <c r="M34" s="3"/>
      <c r="N34" s="1"/>
      <c r="O34" s="1"/>
      <c r="P34" s="2"/>
      <c r="Q34" s="3"/>
      <c r="R34" s="3"/>
      <c r="S34" s="1" t="s">
        <v>148</v>
      </c>
      <c r="T34" s="3"/>
    </row>
    <row r="35" spans="1:20" ht="30" x14ac:dyDescent="0.25">
      <c r="A35" s="2" t="s">
        <v>154</v>
      </c>
      <c r="B35" s="3" t="s">
        <v>155</v>
      </c>
      <c r="C35" s="9" t="s">
        <v>50</v>
      </c>
      <c r="D35" s="2" t="s">
        <v>41</v>
      </c>
      <c r="E35" s="9" t="s">
        <v>51</v>
      </c>
      <c r="F35" s="2" t="s">
        <v>41</v>
      </c>
      <c r="G35" s="1" t="s">
        <v>156</v>
      </c>
      <c r="H35" s="3"/>
      <c r="I35" s="14" t="s">
        <v>44</v>
      </c>
      <c r="J35" s="14" t="s">
        <v>45</v>
      </c>
      <c r="K35" s="3"/>
      <c r="L35" s="3"/>
      <c r="M35" s="3"/>
      <c r="N35" s="1"/>
      <c r="O35" s="1"/>
      <c r="P35" s="2"/>
      <c r="Q35" s="3"/>
      <c r="R35" s="3"/>
      <c r="S35" s="1" t="s">
        <v>148</v>
      </c>
      <c r="T35" s="3"/>
    </row>
    <row r="36" spans="1:20" ht="30" x14ac:dyDescent="0.25">
      <c r="A36" s="2" t="s">
        <v>157</v>
      </c>
      <c r="B36" s="3" t="s">
        <v>158</v>
      </c>
      <c r="C36" s="9" t="s">
        <v>151</v>
      </c>
      <c r="D36" s="2" t="s">
        <v>41</v>
      </c>
      <c r="E36" s="9" t="s">
        <v>152</v>
      </c>
      <c r="F36" s="2" t="s">
        <v>41</v>
      </c>
      <c r="G36" s="1" t="s">
        <v>159</v>
      </c>
      <c r="H36" s="3"/>
      <c r="I36" s="14" t="s">
        <v>44</v>
      </c>
      <c r="J36" s="14" t="s">
        <v>45</v>
      </c>
      <c r="K36" s="3"/>
      <c r="L36" s="3"/>
      <c r="M36" s="3"/>
      <c r="N36" s="1"/>
      <c r="O36" s="1"/>
      <c r="P36" s="2"/>
      <c r="Q36" s="3"/>
      <c r="R36" s="3"/>
      <c r="S36" s="1" t="s">
        <v>148</v>
      </c>
      <c r="T36" s="3"/>
    </row>
    <row r="37" spans="1:20" s="7" customFormat="1" ht="30" x14ac:dyDescent="0.25">
      <c r="A37" s="6" t="s">
        <v>160</v>
      </c>
      <c r="B37" s="4" t="s">
        <v>161</v>
      </c>
      <c r="C37" s="17" t="s">
        <v>124</v>
      </c>
      <c r="D37" s="6" t="s">
        <v>68</v>
      </c>
      <c r="E37" s="17" t="s">
        <v>125</v>
      </c>
      <c r="F37" s="6" t="s">
        <v>68</v>
      </c>
      <c r="G37" s="5" t="s">
        <v>162</v>
      </c>
      <c r="H37" s="4"/>
      <c r="I37" s="14" t="s">
        <v>44</v>
      </c>
      <c r="J37" s="14" t="s">
        <v>45</v>
      </c>
      <c r="K37" s="4"/>
      <c r="L37" s="4"/>
      <c r="M37" s="4"/>
      <c r="N37" s="37" t="s">
        <v>192</v>
      </c>
      <c r="O37" s="16" t="s">
        <v>193</v>
      </c>
      <c r="P37" s="38" t="s">
        <v>194</v>
      </c>
      <c r="Q37" s="3"/>
      <c r="R37" s="3"/>
      <c r="S37" s="1" t="s">
        <v>195</v>
      </c>
      <c r="T37" s="4"/>
    </row>
    <row r="38" spans="1:20" ht="60" x14ac:dyDescent="0.25">
      <c r="A38" s="4" t="s">
        <v>165</v>
      </c>
      <c r="B38" s="3" t="s">
        <v>166</v>
      </c>
      <c r="C38" s="9" t="s">
        <v>167</v>
      </c>
      <c r="D38" s="6" t="s">
        <v>68</v>
      </c>
      <c r="E38" s="9" t="s">
        <v>168</v>
      </c>
      <c r="F38" s="6" t="s">
        <v>68</v>
      </c>
      <c r="G38" s="5" t="s">
        <v>169</v>
      </c>
      <c r="H38" s="3"/>
      <c r="I38" s="14" t="s">
        <v>44</v>
      </c>
      <c r="J38" s="14" t="s">
        <v>45</v>
      </c>
      <c r="K38" s="3"/>
      <c r="L38" s="3"/>
      <c r="M38" s="3"/>
      <c r="N38" s="1" t="s">
        <v>81</v>
      </c>
      <c r="O38" s="1" t="s">
        <v>178</v>
      </c>
      <c r="P38" s="3" t="s">
        <v>196</v>
      </c>
      <c r="Q38" s="3"/>
      <c r="R38" s="3"/>
      <c r="S38" s="3"/>
    </row>
  </sheetData>
  <mergeCells count="5">
    <mergeCell ref="F1:M4"/>
    <mergeCell ref="N8:R8"/>
    <mergeCell ref="S8:T8"/>
    <mergeCell ref="A8:I8"/>
    <mergeCell ref="J8:M8"/>
  </mergeCells>
  <conditionalFormatting sqref="A17">
    <cfRule type="duplicateValues" dxfId="10" priority="7"/>
    <cfRule type="duplicateValues" dxfId="9" priority="8"/>
  </conditionalFormatting>
  <conditionalFormatting sqref="A39:A1048576 A2:A7 A10:A16 A18:A37">
    <cfRule type="duplicateValues" dxfId="8" priority="13"/>
  </conditionalFormatting>
  <conditionalFormatting sqref="B1">
    <cfRule type="duplicateValues" dxfId="7" priority="5"/>
  </conditionalFormatting>
  <conditionalFormatting sqref="B8">
    <cfRule type="duplicateValues" dxfId="6" priority="10"/>
  </conditionalFormatting>
  <conditionalFormatting sqref="B10:B37">
    <cfRule type="duplicateValues" dxfId="5" priority="4"/>
  </conditionalFormatting>
  <conditionalFormatting sqref="B38">
    <cfRule type="duplicateValues" dxfId="4" priority="1"/>
  </conditionalFormatting>
  <conditionalFormatting sqref="B39:B1048576 B2:B7">
    <cfRule type="duplicateValues" dxfId="3" priority="14"/>
  </conditionalFormatting>
  <conditionalFormatting sqref="K8">
    <cfRule type="duplicateValues" dxfId="2" priority="9"/>
  </conditionalFormatting>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F08C-300B-431E-B86C-5F5CF73591E9}">
  <dimension ref="A1:N29"/>
  <sheetViews>
    <sheetView workbookViewId="0">
      <selection activeCell="E27" sqref="E27"/>
    </sheetView>
  </sheetViews>
  <sheetFormatPr defaultRowHeight="15" x14ac:dyDescent="0.25"/>
  <cols>
    <col min="1" max="1" width="30" customWidth="1"/>
    <col min="2" max="2" width="30.140625" customWidth="1"/>
    <col min="3" max="3" width="29.85546875" customWidth="1"/>
    <col min="4" max="4" width="32.85546875" customWidth="1"/>
    <col min="5" max="5" width="31.28515625" customWidth="1"/>
  </cols>
  <sheetData>
    <row r="1" spans="1:14" ht="75" x14ac:dyDescent="0.25">
      <c r="A1" s="26" t="s">
        <v>197</v>
      </c>
      <c r="B1" s="27" t="s">
        <v>198</v>
      </c>
      <c r="C1" s="27" t="s">
        <v>199</v>
      </c>
      <c r="D1" s="27" t="s">
        <v>200</v>
      </c>
      <c r="E1" s="27" t="s">
        <v>201</v>
      </c>
      <c r="F1" s="27" t="s">
        <v>202</v>
      </c>
      <c r="G1" s="27" t="s">
        <v>203</v>
      </c>
      <c r="H1" s="27" t="s">
        <v>204</v>
      </c>
      <c r="I1" s="27" t="s">
        <v>205</v>
      </c>
      <c r="J1" s="27" t="s">
        <v>206</v>
      </c>
      <c r="K1" s="27" t="s">
        <v>207</v>
      </c>
      <c r="N1" s="27" t="s">
        <v>208</v>
      </c>
    </row>
    <row r="2" spans="1:14" x14ac:dyDescent="0.25">
      <c r="A2" t="s">
        <v>1</v>
      </c>
      <c r="C2" t="str">
        <f>'Table-View(LOAN_POS_DTLS)'!A10</f>
        <v>Liability Balance  Id</v>
      </c>
      <c r="E2" t="s">
        <v>209</v>
      </c>
      <c r="F2" s="28" t="s">
        <v>9</v>
      </c>
      <c r="G2" t="str">
        <f>'Table-View(LOAN_POS_DTLS)'!G10</f>
        <v>Surrogate key for Liability Balance Fact.</v>
      </c>
      <c r="H2" t="str">
        <f>IF('Table-View(LOAN_POS_DTLS)'!D10="No","NOT NULL","NULL")</f>
        <v>NOT NULL</v>
      </c>
      <c r="K2" t="s">
        <v>210</v>
      </c>
    </row>
    <row r="3" spans="1:14" x14ac:dyDescent="0.25">
      <c r="A3" t="s">
        <v>1</v>
      </c>
      <c r="C3" t="str">
        <f>'Table-View(LOAN_POS_DTLS)'!A11</f>
        <v>As of Date</v>
      </c>
      <c r="E3" t="s">
        <v>50</v>
      </c>
      <c r="F3" s="28" t="s">
        <v>9</v>
      </c>
      <c r="G3" t="str">
        <f>'Table-View(LOAN_POS_DTLS)'!G11</f>
        <v>Date on which liability balance was recalculated in source system</v>
      </c>
      <c r="H3" t="str">
        <f>IF('Table-View(LOAN_POS_DTLS)'!D11="No","NOT NULL","NULL")</f>
        <v>NOT NULL</v>
      </c>
      <c r="K3" t="s">
        <v>210</v>
      </c>
    </row>
    <row r="4" spans="1:14" x14ac:dyDescent="0.25">
      <c r="A4" t="s">
        <v>1</v>
      </c>
      <c r="C4" t="str">
        <f>'Table-View(LOAN_POS_DTLS)'!A12</f>
        <v>Balance Date</v>
      </c>
      <c r="E4" t="s">
        <v>50</v>
      </c>
      <c r="F4" s="28" t="s">
        <v>9</v>
      </c>
      <c r="G4" t="str">
        <f>'Table-View(LOAN_POS_DTLS)'!G12</f>
        <v>Batch/snapshot date of the data load.</v>
      </c>
      <c r="H4" t="str">
        <f>IF('Table-View(LOAN_POS_DTLS)'!D12="No","NOT NULL","NULL")</f>
        <v>NOT NULL</v>
      </c>
      <c r="K4" t="s">
        <v>210</v>
      </c>
    </row>
    <row r="5" spans="1:14" x14ac:dyDescent="0.25">
      <c r="A5" t="s">
        <v>1</v>
      </c>
      <c r="C5" t="str">
        <f>'Table-View(LOAN_POS_DTLS)'!A13</f>
        <v>Balance Datetime</v>
      </c>
      <c r="E5" t="s">
        <v>50</v>
      </c>
      <c r="F5" s="28" t="s">
        <v>9</v>
      </c>
      <c r="G5" t="str">
        <f>'Table-View(LOAN_POS_DTLS)'!G13</f>
        <v>Batch/snapshot datetime of the data load.</v>
      </c>
      <c r="H5" t="str">
        <f>IF('Table-View(LOAN_POS_DTLS)'!D13="No","NOT NULL","NULL")</f>
        <v>NOT NULL</v>
      </c>
      <c r="K5" t="s">
        <v>210</v>
      </c>
    </row>
    <row r="6" spans="1:14" x14ac:dyDescent="0.25">
      <c r="A6" t="s">
        <v>1</v>
      </c>
      <c r="C6" t="str">
        <f>'Table-View(LOAN_POS_DTLS)'!A14</f>
        <v>Arrangement Id</v>
      </c>
      <c r="E6" t="s">
        <v>209</v>
      </c>
      <c r="F6" s="28" t="s">
        <v>9</v>
      </c>
      <c r="G6" t="str">
        <f>'Table-View(LOAN_POS_DTLS)'!G14</f>
        <v>The CDS assigned identifier for the arrangement - used for data lineage
The relationship of the loan is identified by arrangement id. For syndicate loans this is the facility arrangement.</v>
      </c>
      <c r="H6" t="str">
        <f>IF('Table-View(LOAN_POS_DTLS)'!D14="No","NOT NULL","NULL")</f>
        <v>NOT NULL</v>
      </c>
      <c r="K6" t="s">
        <v>210</v>
      </c>
    </row>
    <row r="7" spans="1:14" x14ac:dyDescent="0.25">
      <c r="A7" t="s">
        <v>1</v>
      </c>
      <c r="C7" t="str">
        <f>'Table-View(LOAN_POS_DTLS)'!A15</f>
        <v>Brokerage Arrangement Id</v>
      </c>
      <c r="E7" t="s">
        <v>209</v>
      </c>
      <c r="F7" s="28" t="s">
        <v>9</v>
      </c>
      <c r="G7" t="str">
        <f>'Table-View(LOAN_POS_DTLS)'!G15</f>
        <v>Associated Broker Arrangement Identifier (eg. AR ID for brokerage acct linked to Loan), if linked.</v>
      </c>
      <c r="H7" t="str">
        <f>IF('Table-View(LOAN_POS_DTLS)'!D15="No","NOT NULL","NULL")</f>
        <v>NULL</v>
      </c>
      <c r="K7" t="s">
        <v>210</v>
      </c>
    </row>
    <row r="8" spans="1:14" x14ac:dyDescent="0.25">
      <c r="A8" t="s">
        <v>1</v>
      </c>
      <c r="C8" t="str">
        <f>'Table-View(LOAN_POS_DTLS)'!A16</f>
        <v>Account Id</v>
      </c>
      <c r="E8" t="s">
        <v>209</v>
      </c>
      <c r="F8" s="28" t="s">
        <v>9</v>
      </c>
      <c r="G8" t="str">
        <f>'Table-View(LOAN_POS_DTLS)'!G16</f>
        <v>The CDS assigned identifier for the account - used for data lineage.
Account Id represents the identifier for the bank account associated with the arrangement. Multiple accounts can be associated with single arrangement, for syndicate loans it represents loan taken for the facilities.</v>
      </c>
      <c r="H8" t="str">
        <f>IF('Table-View(LOAN_POS_DTLS)'!D16="No","NOT NULL","NULL")</f>
        <v>NULL</v>
      </c>
      <c r="K8" t="s">
        <v>210</v>
      </c>
    </row>
    <row r="9" spans="1:14" x14ac:dyDescent="0.25">
      <c r="A9" t="s">
        <v>1</v>
      </c>
      <c r="C9" t="str">
        <f>'Table-View(LOAN_POS_DTLS)'!A17</f>
        <v>Accounting Type Code</v>
      </c>
      <c r="E9" t="s">
        <v>211</v>
      </c>
      <c r="F9" s="28" t="s">
        <v>9</v>
      </c>
      <c r="G9" t="str">
        <f>'Table-View(LOAN_POS_DTLS)'!G17</f>
        <v>Code for the Accounting Type</v>
      </c>
      <c r="H9" t="str">
        <f>IF('Table-View(LOAN_POS_DTLS)'!D17="No","NOT NULL","NULL")</f>
        <v>NULL</v>
      </c>
      <c r="K9" t="s">
        <v>210</v>
      </c>
    </row>
    <row r="10" spans="1:14" x14ac:dyDescent="0.25">
      <c r="A10" t="s">
        <v>1</v>
      </c>
      <c r="C10" t="str">
        <f>'Table-View(LOAN_POS_DTLS)'!A18</f>
        <v>Asset Liability Position Identifier</v>
      </c>
      <c r="E10" t="s">
        <v>209</v>
      </c>
      <c r="F10" s="28" t="s">
        <v>9</v>
      </c>
      <c r="G10" t="str">
        <f>'Table-View(LOAN_POS_DTLS)'!G18</f>
        <v>Numeric identifier of the Asset Liability Position assigned by CDS included as degenerate Dim supporting linneage</v>
      </c>
      <c r="H10" t="str">
        <f>IF('Table-View(LOAN_POS_DTLS)'!D18="No","NOT NULL","NULL")</f>
        <v>NULL</v>
      </c>
      <c r="K10" t="s">
        <v>210</v>
      </c>
    </row>
    <row r="11" spans="1:14" x14ac:dyDescent="0.25">
      <c r="A11" t="s">
        <v>1</v>
      </c>
      <c r="C11" t="str">
        <f>'Table-View(LOAN_POS_DTLS)'!A19</f>
        <v>Owed in Currency Balance Amount</v>
      </c>
      <c r="E11" t="s">
        <v>90</v>
      </c>
      <c r="F11" s="28" t="s">
        <v>9</v>
      </c>
      <c r="G11" t="str">
        <f>'Table-View(LOAN_POS_DTLS)'!G19</f>
        <v>Balance amount on the loan, in loan owed Currency.</v>
      </c>
      <c r="H11" t="str">
        <f>IF('Table-View(LOAN_POS_DTLS)'!D19="No","NOT NULL","NULL")</f>
        <v>NULL</v>
      </c>
      <c r="K11" t="s">
        <v>210</v>
      </c>
    </row>
    <row r="12" spans="1:14" x14ac:dyDescent="0.25">
      <c r="A12" t="s">
        <v>1</v>
      </c>
      <c r="C12" t="str">
        <f>'Table-View(LOAN_POS_DTLS)'!A20</f>
        <v>Local Currency Balance Amount</v>
      </c>
      <c r="E12" t="s">
        <v>90</v>
      </c>
      <c r="F12" s="28" t="s">
        <v>9</v>
      </c>
      <c r="G12" t="str">
        <f>'Table-View(LOAN_POS_DTLS)'!G20</f>
        <v>Balance amount on the loan in currency of the place where loan is issued.</v>
      </c>
      <c r="H12" t="str">
        <f>IF('Table-View(LOAN_POS_DTLS)'!D20="No","NOT NULL","NULL")</f>
        <v>NULL</v>
      </c>
      <c r="K12" t="s">
        <v>210</v>
      </c>
    </row>
    <row r="13" spans="1:14" x14ac:dyDescent="0.25">
      <c r="A13" t="s">
        <v>1</v>
      </c>
      <c r="C13" t="str">
        <f>'Table-View(LOAN_POS_DTLS)'!A21</f>
        <v>USD Currency Balance Amount</v>
      </c>
      <c r="E13" t="s">
        <v>90</v>
      </c>
      <c r="F13" s="28" t="s">
        <v>9</v>
      </c>
      <c r="G13" t="str">
        <f>'Table-View(LOAN_POS_DTLS)'!G21</f>
        <v>Balance amount on the loan in USD currency. It is called Realized Compound Yield General Ledger Balance Amount in source system.</v>
      </c>
      <c r="H13" t="str">
        <f>IF('Table-View(LOAN_POS_DTLS)'!D21="No","NOT NULL","NULL")</f>
        <v>NULL</v>
      </c>
      <c r="K13" t="s">
        <v>210</v>
      </c>
    </row>
    <row r="14" spans="1:14" x14ac:dyDescent="0.25">
      <c r="A14" t="s">
        <v>1</v>
      </c>
      <c r="C14" t="str">
        <f>'Table-View(LOAN_POS_DTLS)'!A22</f>
        <v>Balance Type Id</v>
      </c>
      <c r="E14" t="s">
        <v>209</v>
      </c>
      <c r="F14" s="28" t="s">
        <v>9</v>
      </c>
      <c r="G14" t="str">
        <f>'Table-View(LOAN_POS_DTLS)'!G22</f>
        <v>Identifier for the Type of Balance amount on the loan.</v>
      </c>
      <c r="H14" t="str">
        <f>IF('Table-View(LOAN_POS_DTLS)'!D22="No","NOT NULL","NULL")</f>
        <v>NULL</v>
      </c>
      <c r="K14" t="s">
        <v>210</v>
      </c>
    </row>
    <row r="15" spans="1:14" x14ac:dyDescent="0.25">
      <c r="A15" t="s">
        <v>1</v>
      </c>
      <c r="C15" t="str">
        <f>'Table-View(LOAN_POS_DTLS)'!A23</f>
        <v>RJ Bank Branch Number</v>
      </c>
      <c r="E15" t="s">
        <v>212</v>
      </c>
      <c r="F15" s="28" t="s">
        <v>9</v>
      </c>
      <c r="G15" t="str">
        <f>'Table-View(LOAN_POS_DTLS)'!G23</f>
        <v>Branch(Entity) for the facility.</v>
      </c>
      <c r="H15" t="str">
        <f>IF('Table-View(LOAN_POS_DTLS)'!D23="No","NOT NULL","NULL")</f>
        <v>NULL</v>
      </c>
      <c r="K15" t="s">
        <v>210</v>
      </c>
    </row>
    <row r="16" spans="1:14" x14ac:dyDescent="0.25">
      <c r="A16" t="s">
        <v>1</v>
      </c>
      <c r="C16" t="str">
        <f>'Table-View(LOAN_POS_DTLS)'!A24</f>
        <v>Owed in Currency Code</v>
      </c>
      <c r="E16" t="s">
        <v>213</v>
      </c>
      <c r="F16" s="28" t="s">
        <v>9</v>
      </c>
      <c r="G16" t="str">
        <f>'Table-View(LOAN_POS_DTLS)'!G24</f>
        <v>Currency in which the Loan is owed.</v>
      </c>
      <c r="H16" t="str">
        <f>IF('Table-View(LOAN_POS_DTLS)'!D24="No","NOT NULL","NULL")</f>
        <v>NULL</v>
      </c>
      <c r="K16" t="s">
        <v>210</v>
      </c>
    </row>
    <row r="17" spans="1:11" x14ac:dyDescent="0.25">
      <c r="A17" t="s">
        <v>1</v>
      </c>
      <c r="C17" t="str">
        <f>'Table-View(LOAN_POS_DTLS)'!A25</f>
        <v>Local Currency Code</v>
      </c>
      <c r="E17" t="s">
        <v>213</v>
      </c>
      <c r="F17" s="28" t="s">
        <v>9</v>
      </c>
      <c r="G17" t="str">
        <f>'Table-View(LOAN_POS_DTLS)'!G25</f>
        <v>Currency of the place where loan is issued..</v>
      </c>
      <c r="H17" t="str">
        <f>IF('Table-View(LOAN_POS_DTLS)'!D25="No","NOT NULL","NULL")</f>
        <v>NULL</v>
      </c>
      <c r="K17" t="s">
        <v>210</v>
      </c>
    </row>
    <row r="18" spans="1:11" x14ac:dyDescent="0.25">
      <c r="A18" t="s">
        <v>1</v>
      </c>
      <c r="C18" t="str">
        <f>'Table-View(LOAN_POS_DTLS)'!A26</f>
        <v>Expense Code Id</v>
      </c>
      <c r="E18" t="s">
        <v>209</v>
      </c>
      <c r="F18" s="28" t="s">
        <v>9</v>
      </c>
      <c r="G18" t="str">
        <f>'Table-View(LOAN_POS_DTLS)'!G26</f>
        <v>Identifier for the Expense code.</v>
      </c>
      <c r="H18" t="str">
        <f>IF('Table-View(LOAN_POS_DTLS)'!D26="No","NOT NULL","NULL")</f>
        <v>NULL</v>
      </c>
      <c r="K18" t="s">
        <v>210</v>
      </c>
    </row>
    <row r="19" spans="1:11" x14ac:dyDescent="0.25">
      <c r="A19" t="s">
        <v>1</v>
      </c>
      <c r="C19" t="str">
        <f>'Table-View(LOAN_POS_DTLS)'!A27</f>
        <v>General Ledger Account number</v>
      </c>
      <c r="E19" t="s">
        <v>214</v>
      </c>
      <c r="F19" s="28" t="s">
        <v>9</v>
      </c>
      <c r="G19" t="str">
        <f>'Table-View(LOAN_POS_DTLS)'!G27</f>
        <v>General Ledger Accounts are used to categorize types of financial transactions. General Ledger is a complete record of a company's transactions over a period of time, documenting changes to assets, liabilities, equity, expenses, and revenue.</v>
      </c>
      <c r="H19" t="str">
        <f>IF('Table-View(LOAN_POS_DTLS)'!D27="No","NOT NULL","NULL")</f>
        <v>NULL</v>
      </c>
      <c r="K19" t="s">
        <v>210</v>
      </c>
    </row>
    <row r="20" spans="1:11" x14ac:dyDescent="0.25">
      <c r="A20" t="s">
        <v>1</v>
      </c>
      <c r="C20" t="str">
        <f>'Table-View(LOAN_POS_DTLS)'!A28</f>
        <v>General Ledger Type Id</v>
      </c>
      <c r="E20" t="s">
        <v>209</v>
      </c>
      <c r="F20" s="28" t="s">
        <v>9</v>
      </c>
      <c r="G20" t="str">
        <f>'Table-View(LOAN_POS_DTLS)'!G28</f>
        <v>Identifier for the Type of General Ledger.</v>
      </c>
      <c r="H20" t="str">
        <f>IF('Table-View(LOAN_POS_DTLS)'!D28="No","NOT NULL","NULL")</f>
        <v>NULL</v>
      </c>
      <c r="K20" t="s">
        <v>210</v>
      </c>
    </row>
    <row r="21" spans="1:11" x14ac:dyDescent="0.25">
      <c r="A21" t="s">
        <v>1</v>
      </c>
      <c r="C21" t="str">
        <f>'Table-View(LOAN_POS_DTLS)'!A29</f>
        <v>Portfolio Type Id</v>
      </c>
      <c r="E21" t="s">
        <v>209</v>
      </c>
      <c r="F21" s="28" t="s">
        <v>9</v>
      </c>
      <c r="G21" t="str">
        <f>'Table-View(LOAN_POS_DTLS)'!G29</f>
        <v>Identifier for the Portfolio type.</v>
      </c>
      <c r="H21" t="str">
        <f>IF('Table-View(LOAN_POS_DTLS)'!D29="No","NOT NULL","NULL")</f>
        <v>NULL</v>
      </c>
      <c r="K21" t="s">
        <v>210</v>
      </c>
    </row>
    <row r="22" spans="1:11" x14ac:dyDescent="0.25">
      <c r="A22" t="s">
        <v>1</v>
      </c>
      <c r="C22" t="str">
        <f>'Table-View(LOAN_POS_DTLS)'!A30</f>
        <v>Period Type Id</v>
      </c>
      <c r="E22" t="s">
        <v>209</v>
      </c>
      <c r="F22" s="28" t="s">
        <v>9</v>
      </c>
      <c r="G22" t="str">
        <f>'Table-View(LOAN_POS_DTLS)'!G30</f>
        <v>Identifier for the period type.</v>
      </c>
      <c r="H22" t="str">
        <f>IF('Table-View(LOAN_POS_DTLS)'!D30="No","NOT NULL","NULL")</f>
        <v>NULL</v>
      </c>
      <c r="K22" t="s">
        <v>210</v>
      </c>
    </row>
    <row r="23" spans="1:11" x14ac:dyDescent="0.25">
      <c r="A23" t="s">
        <v>1</v>
      </c>
      <c r="C23" t="str">
        <f>'Table-View(LOAN_POS_DTLS)'!A31</f>
        <v>Unique Source Id</v>
      </c>
      <c r="E23" t="s">
        <v>209</v>
      </c>
      <c r="F23" s="28" t="s">
        <v>9</v>
      </c>
      <c r="G23" t="str">
        <f>'Table-View(LOAN_POS_DTLS)'!G31</f>
        <v>Unique Source Identifier coming from CECL system</v>
      </c>
      <c r="H23" t="str">
        <f>IF('Table-View(LOAN_POS_DTLS)'!D31="No","NOT NULL","NULL")</f>
        <v>NULL</v>
      </c>
      <c r="K23" t="s">
        <v>210</v>
      </c>
    </row>
    <row r="24" spans="1:11" x14ac:dyDescent="0.25">
      <c r="A24" t="s">
        <v>1</v>
      </c>
      <c r="C24" t="str">
        <f>'Table-View(LOAN_POS_DTLS)'!A32</f>
        <v>Source System Id</v>
      </c>
      <c r="E24" t="s">
        <v>209</v>
      </c>
      <c r="F24" s="28" t="s">
        <v>9</v>
      </c>
      <c r="G24" t="str">
        <f>'Table-View(LOAN_POS_DTLS)'!G32</f>
        <v>CDS assigned identifier for the source system - used for data lineage</v>
      </c>
      <c r="H24" t="str">
        <f>IF('Table-View(LOAN_POS_DTLS)'!D32="No","NOT NULL","NULL")</f>
        <v>NULL</v>
      </c>
      <c r="K24" t="s">
        <v>210</v>
      </c>
    </row>
    <row r="25" spans="1:11" x14ac:dyDescent="0.25">
      <c r="A25" t="s">
        <v>1</v>
      </c>
      <c r="C25" t="str">
        <f>'Table-View(LOAN_POS_DTLS)'!A33</f>
        <v>Create Datetime</v>
      </c>
      <c r="E25" t="s">
        <v>215</v>
      </c>
      <c r="F25" s="28" t="s">
        <v>9</v>
      </c>
      <c r="G25" t="str">
        <f>'Table-View(LOAN_POS_DTLS)'!G33</f>
        <v>The exact date and time when a row was first created.</v>
      </c>
      <c r="H25" t="str">
        <f>IF('Table-View(LOAN_POS_DTLS)'!D33="No","NOT NULL","NULL")</f>
        <v>NOT NULL</v>
      </c>
      <c r="K25" t="s">
        <v>210</v>
      </c>
    </row>
    <row r="26" spans="1:11" x14ac:dyDescent="0.25">
      <c r="A26" t="s">
        <v>1</v>
      </c>
      <c r="C26" t="str">
        <f>'Table-View(LOAN_POS_DTLS)'!A34</f>
        <v>Create User Name</v>
      </c>
      <c r="E26" t="s">
        <v>216</v>
      </c>
      <c r="F26" s="28" t="s">
        <v>9</v>
      </c>
      <c r="G26" t="str">
        <f>'Table-View(LOAN_POS_DTLS)'!G34</f>
        <v>The name that represents the user or application who created the row</v>
      </c>
      <c r="H26" t="str">
        <f>IF('Table-View(LOAN_POS_DTLS)'!D34="No","NOT NULL","NULL")</f>
        <v>NOT NULL</v>
      </c>
      <c r="K26" t="s">
        <v>210</v>
      </c>
    </row>
    <row r="27" spans="1:11" x14ac:dyDescent="0.25">
      <c r="A27" t="s">
        <v>1</v>
      </c>
      <c r="C27" t="str">
        <f>'Table-View(LOAN_POS_DTLS)'!A35</f>
        <v>Last Update Datetime</v>
      </c>
      <c r="E27" t="s">
        <v>215</v>
      </c>
      <c r="F27" s="28" t="s">
        <v>9</v>
      </c>
      <c r="G27" t="str">
        <f>'Table-View(LOAN_POS_DTLS)'!G35</f>
        <v>The exact date and time when an occurrence is inserted, updated, or deleted a row</v>
      </c>
      <c r="H27" t="str">
        <f>IF('Table-View(LOAN_POS_DTLS)'!D35="No","NOT NULL","NULL")</f>
        <v>NOT NULL</v>
      </c>
      <c r="K27" t="s">
        <v>210</v>
      </c>
    </row>
    <row r="28" spans="1:11" x14ac:dyDescent="0.25">
      <c r="A28" t="s">
        <v>1</v>
      </c>
      <c r="C28" t="str">
        <f>'Table-View(LOAN_POS_DTLS)'!A36</f>
        <v>Last Update User Name</v>
      </c>
      <c r="E28" t="s">
        <v>216</v>
      </c>
      <c r="F28" s="28" t="s">
        <v>9</v>
      </c>
      <c r="G28" t="str">
        <f>'Table-View(LOAN_POS_DTLS)'!G36</f>
        <v>The name that represents the user or application who inserted, updated, or deleted each occurrence of row</v>
      </c>
      <c r="H28" t="str">
        <f>IF('Table-View(LOAN_POS_DTLS)'!D36="No","NOT NULL","NULL")</f>
        <v>NOT NULL</v>
      </c>
      <c r="K28" t="s">
        <v>210</v>
      </c>
    </row>
    <row r="29" spans="1:11" x14ac:dyDescent="0.25">
      <c r="A29" t="s">
        <v>1</v>
      </c>
      <c r="C29" t="str">
        <f>'Table-View(LOAN_POS_DTLS)'!A37</f>
        <v>Original Account Number</v>
      </c>
      <c r="E29" t="s">
        <v>214</v>
      </c>
      <c r="F29" s="28" t="s">
        <v>9</v>
      </c>
      <c r="G29" t="str">
        <f>'Table-View(LOAN_POS_DTLS)'!G37</f>
        <v>The set of alphanumeric characters that identifies the unique instantiation of an Account Arrangement.</v>
      </c>
      <c r="H29" t="str">
        <f>IF('Table-View(LOAN_POS_DTLS)'!D37="No","NOT NULL","NULL")</f>
        <v>NULL</v>
      </c>
      <c r="K29" t="s">
        <v>210</v>
      </c>
    </row>
  </sheetData>
  <autoFilter ref="A1:N29" xr:uid="{FCEAF08C-300B-431E-B86C-5F5CF73591E9}"/>
  <conditionalFormatting sqref="F2:F29">
    <cfRule type="duplicateValues" dxfId="1" priority="16"/>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8DDBA-EC19-415A-AB0D-26A68884AC33}">
  <dimension ref="A1:A11"/>
  <sheetViews>
    <sheetView workbookViewId="0">
      <selection activeCell="A6" sqref="A6:A11"/>
    </sheetView>
  </sheetViews>
  <sheetFormatPr defaultRowHeight="15" x14ac:dyDescent="0.25"/>
  <cols>
    <col min="1" max="1" width="27.42578125" bestFit="1" customWidth="1"/>
  </cols>
  <sheetData>
    <row r="1" spans="1:1" x14ac:dyDescent="0.25">
      <c r="A1" s="25" t="s">
        <v>63</v>
      </c>
    </row>
    <row r="2" spans="1:1" x14ac:dyDescent="0.25">
      <c r="A2" s="25" t="s">
        <v>55</v>
      </c>
    </row>
    <row r="3" spans="1:1" x14ac:dyDescent="0.25">
      <c r="A3" s="25" t="s">
        <v>84</v>
      </c>
    </row>
    <row r="4" spans="1:1" x14ac:dyDescent="0.25">
      <c r="A4" s="25" t="s">
        <v>101</v>
      </c>
    </row>
    <row r="5" spans="1:1" x14ac:dyDescent="0.25">
      <c r="A5" s="25" t="s">
        <v>110</v>
      </c>
    </row>
    <row r="6" spans="1:1" x14ac:dyDescent="0.25">
      <c r="A6" s="25" t="s">
        <v>119</v>
      </c>
    </row>
    <row r="7" spans="1:1" x14ac:dyDescent="0.25">
      <c r="A7" s="25" t="s">
        <v>131</v>
      </c>
    </row>
    <row r="8" spans="1:1" x14ac:dyDescent="0.25">
      <c r="A8" s="25" t="s">
        <v>134</v>
      </c>
    </row>
    <row r="9" spans="1:1" x14ac:dyDescent="0.25">
      <c r="A9" s="25" t="s">
        <v>122</v>
      </c>
    </row>
    <row r="10" spans="1:1" x14ac:dyDescent="0.25">
      <c r="A10" s="25" t="s">
        <v>128</v>
      </c>
    </row>
    <row r="11" spans="1:1" x14ac:dyDescent="0.25">
      <c r="A11" s="25" t="s">
        <v>217</v>
      </c>
    </row>
  </sheetData>
  <conditionalFormatting sqref="A1:A11">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11172-6A5E-4870-97E5-11953347872B}">
  <dimension ref="A1:J2"/>
  <sheetViews>
    <sheetView workbookViewId="0">
      <selection activeCell="F6" sqref="F6"/>
    </sheetView>
  </sheetViews>
  <sheetFormatPr defaultRowHeight="15" x14ac:dyDescent="0.25"/>
  <sheetData>
    <row r="1" spans="1:10" x14ac:dyDescent="0.25">
      <c r="A1" s="52" t="s">
        <v>218</v>
      </c>
      <c r="B1" s="52"/>
      <c r="C1" s="52"/>
      <c r="D1" s="52"/>
      <c r="E1" s="52"/>
      <c r="F1" s="52"/>
      <c r="G1" s="52"/>
      <c r="H1" s="52"/>
      <c r="I1" s="52"/>
      <c r="J1" s="52"/>
    </row>
    <row r="2" spans="1:10" x14ac:dyDescent="0.25">
      <c r="A2" s="52"/>
      <c r="B2" s="52"/>
      <c r="C2" s="52"/>
      <c r="D2" s="52"/>
      <c r="E2" s="52"/>
      <c r="F2" s="52"/>
      <c r="G2" s="52"/>
      <c r="H2" s="52"/>
      <c r="I2" s="52"/>
      <c r="J2" s="52"/>
    </row>
  </sheetData>
  <mergeCells count="1">
    <mergeCell ref="A1:J2"/>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7B4B168A4F4A8CA693A6EAA19CBF" ma:contentTypeVersion="19" ma:contentTypeDescription="Create a new document." ma:contentTypeScope="" ma:versionID="0e9fe0e6545064fcb20a0b25d2c7c17d">
  <xsd:schema xmlns:xsd="http://www.w3.org/2001/XMLSchema" xmlns:xs="http://www.w3.org/2001/XMLSchema" xmlns:p="http://schemas.microsoft.com/office/2006/metadata/properties" xmlns:ns2="71615a88-e0ee-4fe9-8528-dade26e218dc" xmlns:ns3="5967f50b-e1d0-43b4-8656-067539b64d7c" targetNamespace="http://schemas.microsoft.com/office/2006/metadata/properties" ma:root="true" ma:fieldsID="9228584461afca80abdd6a8f79bfd682" ns2:_="" ns3:_="">
    <xsd:import namespace="71615a88-e0ee-4fe9-8528-dade26e218dc"/>
    <xsd:import namespace="5967f50b-e1d0-43b4-8656-067539b64d7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element ref="ns2:CCALDataAre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615a88-e0ee-4fe9-8528-dade26e218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CCALDataArea" ma:index="20" nillable="true" ma:displayName="CCAL Data Area" ma:internalName="CCALDataArea">
      <xsd:complexType>
        <xsd:complexContent>
          <xsd:extension base="dms:MultiChoice">
            <xsd:sequence>
              <xsd:element name="Value" maxOccurs="unbounded" minOccurs="0" nillable="true">
                <xsd:simpleType>
                  <xsd:restriction base="dms:Choice">
                    <xsd:enumeration value="Transactions"/>
                    <xsd:enumeration value="Balances"/>
                    <xsd:enumeration value="Positions"/>
                    <xsd:enumeration value="Tax Lots"/>
                    <xsd:enumeration value="Cost Basis"/>
                    <xsd:enumeration value="Pending Activity"/>
                    <xsd:enumeration value="Accrued Income"/>
                    <xsd:enumeration value="Backdated Activity"/>
                    <xsd:enumeration value="Obsolete"/>
                  </xsd:restrict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967f50b-e1d0-43b4-8656-067539b64d7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CALDataArea xmlns="71615a88-e0ee-4fe9-8528-dade26e218dc" xsi:nil="true"/>
  </documentManagement>
</p:properties>
</file>

<file path=customXml/item3.xml><?xml version="1.0" encoding="utf-8"?>
<?mso-contentType ?>
<FormTemplates xmlns="http://schemas.microsoft.com/sharepoint/v3/contenttype/forms"/>
</file>

<file path=customXml/itemProps1.xml><?xml version="1.0" encoding="utf-8"?>
<ds:datastoreItem xmlns:ds="http://schemas.openxmlformats.org/officeDocument/2006/customXml" ds:itemID="{2BE079A1-A45C-4BA2-A068-3F934C73EB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615a88-e0ee-4fe9-8528-dade26e218dc"/>
    <ds:schemaRef ds:uri="5967f50b-e1d0-43b4-8656-067539b64d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2F6EB6-376D-4EB3-8CD8-E614B4E3BB86}">
  <ds:schemaRefs>
    <ds:schemaRef ds:uri="http://schemas.microsoft.com/office/2006/metadata/properties"/>
    <ds:schemaRef ds:uri="http://schemas.microsoft.com/office/infopath/2007/PartnerControls"/>
    <ds:schemaRef ds:uri="71615a88-e0ee-4fe9-8528-dade26e218dc"/>
  </ds:schemaRefs>
</ds:datastoreItem>
</file>

<file path=customXml/itemProps3.xml><?xml version="1.0" encoding="utf-8"?>
<ds:datastoreItem xmlns:ds="http://schemas.openxmlformats.org/officeDocument/2006/customXml" ds:itemID="{3739A228-370F-464E-8405-3287B58A6CE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Table-View(LOAN_POS_DTLS)</vt:lpstr>
      <vt:lpstr>Table-View(EOD_POS)</vt:lpstr>
      <vt:lpstr>Attribute</vt:lpstr>
      <vt:lpstr>Grian</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Anil Vadla - IC</dc:creator>
  <cp:keywords/>
  <dc:description/>
  <cp:lastModifiedBy>Ivan Korostelev - IC</cp:lastModifiedBy>
  <cp:revision/>
  <dcterms:created xsi:type="dcterms:W3CDTF">2025-08-06T09:53:04Z</dcterms:created>
  <dcterms:modified xsi:type="dcterms:W3CDTF">2026-04-10T21:53:23Z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0x010100533D7B4B168A4F4A8CA693A6EAA19CBF</vt:lpwstr>
  </property>
</Properties>
</file>