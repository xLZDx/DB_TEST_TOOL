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13_ncr:1_{82F132CF-DAFA-4678-A343-9B32827FB4E9}" xr6:coauthVersionLast="47" xr6:coauthVersionMax="47" xr10:uidLastSave="{00000000-0000-0000-0000-000000000000}"/>
  <bookViews>
    <workbookView xWindow="-108" yWindow="-108" windowWidth="42720" windowHeight="21852" tabRatio="835" xr2:uid="{00000000-000D-0000-FFFF-FFFF00000000}"/>
  </bookViews>
  <sheets>
    <sheet name="Table-View (2)" sheetId="31" r:id="rId1"/>
    <sheet name="Table-View" sheetId="15" r:id="rId2"/>
    <sheet name="Consumer View" sheetId="29" r:id="rId3"/>
    <sheet name="Table" sheetId="28" r:id="rId4"/>
    <sheet name="RJM Activity Fact View" sheetId="27" r:id="rId5"/>
    <sheet name="RJBank Activity Fact View" sheetId="14" r:id="rId6"/>
    <sheet name="ETL Notes" sheetId="21" r:id="rId7"/>
    <sheet name="attributes" sheetId="26" r:id="rId8"/>
    <sheet name="Attribute" sheetId="30" r:id="rId9"/>
    <sheet name="Model" sheetId="18" r:id="rId10"/>
    <sheet name="AVY_FACT" sheetId="20" r:id="rId11"/>
    <sheet name="Table_view_sorted" sheetId="25" r:id="rId12"/>
  </sheets>
  <externalReferences>
    <externalReference r:id="rId13"/>
    <externalReference r:id="rId14"/>
    <externalReference r:id="rId15"/>
    <externalReference r:id="rId16"/>
  </externalReferences>
  <definedNames>
    <definedName name="_xlnm._FilterDatabase" localSheetId="8" hidden="1">Attribute!$A$1:$O$233</definedName>
    <definedName name="_xlnm._FilterDatabase" localSheetId="10" hidden="1">AVY_FACT!$A$1:$G$153</definedName>
    <definedName name="_xlnm._FilterDatabase" localSheetId="9" hidden="1">Model!$A$1:$U$1335</definedName>
    <definedName name="_xlnm._FilterDatabase" localSheetId="3" hidden="1">Table!$A$1:$F$210</definedName>
    <definedName name="_xlnm._FilterDatabase" localSheetId="11" hidden="1">Table_view_sorted!$A$1:$AE$216</definedName>
    <definedName name="_xlnm._FilterDatabase" localSheetId="1" hidden="1">'Table-View'!$A$12:$AF$393</definedName>
    <definedName name="_xlnm._FilterDatabase" localSheetId="0" hidden="1">'Table-View (2)'!$A$12:$AF$385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85" i="31" l="1"/>
  <c r="W385" i="31"/>
  <c r="V385" i="31"/>
  <c r="U385" i="31"/>
  <c r="T385" i="31"/>
  <c r="S385" i="31"/>
  <c r="R385" i="31"/>
  <c r="Q385" i="31"/>
  <c r="P385" i="31"/>
  <c r="O385" i="31"/>
  <c r="X384" i="31"/>
  <c r="W384" i="31"/>
  <c r="V384" i="31"/>
  <c r="U384" i="31"/>
  <c r="T384" i="31"/>
  <c r="S384" i="31"/>
  <c r="R384" i="31"/>
  <c r="Q384" i="31"/>
  <c r="P384" i="31"/>
  <c r="O384" i="31"/>
  <c r="X383" i="31"/>
  <c r="W383" i="31"/>
  <c r="V383" i="31"/>
  <c r="U383" i="31"/>
  <c r="T383" i="31"/>
  <c r="S383" i="31"/>
  <c r="R383" i="31"/>
  <c r="Q383" i="31"/>
  <c r="P383" i="31"/>
  <c r="O383" i="31"/>
  <c r="X382" i="31"/>
  <c r="W382" i="31"/>
  <c r="V382" i="31"/>
  <c r="U382" i="31"/>
  <c r="T382" i="31"/>
  <c r="S382" i="31"/>
  <c r="R382" i="31"/>
  <c r="Q382" i="31"/>
  <c r="P382" i="31"/>
  <c r="O382" i="31"/>
  <c r="X381" i="31"/>
  <c r="W381" i="31"/>
  <c r="V381" i="31"/>
  <c r="U381" i="31"/>
  <c r="T381" i="31"/>
  <c r="S381" i="31"/>
  <c r="R381" i="31"/>
  <c r="Q381" i="31"/>
  <c r="P381" i="31"/>
  <c r="O381" i="31"/>
  <c r="X380" i="31"/>
  <c r="W380" i="31"/>
  <c r="V380" i="31"/>
  <c r="U380" i="31"/>
  <c r="T380" i="31"/>
  <c r="S380" i="31"/>
  <c r="R380" i="31"/>
  <c r="Q380" i="31"/>
  <c r="P380" i="31"/>
  <c r="O380" i="31"/>
  <c r="X379" i="31"/>
  <c r="W379" i="31"/>
  <c r="V379" i="31"/>
  <c r="U379" i="31"/>
  <c r="T379" i="31"/>
  <c r="S379" i="31"/>
  <c r="R379" i="31"/>
  <c r="Q379" i="31"/>
  <c r="P379" i="31"/>
  <c r="O379" i="31"/>
  <c r="X378" i="31"/>
  <c r="W378" i="31"/>
  <c r="V378" i="31"/>
  <c r="U378" i="31"/>
  <c r="T378" i="31"/>
  <c r="S378" i="31"/>
  <c r="R378" i="31"/>
  <c r="Q378" i="31"/>
  <c r="P378" i="31"/>
  <c r="O378" i="31"/>
  <c r="X377" i="31"/>
  <c r="W377" i="31"/>
  <c r="V377" i="31"/>
  <c r="U377" i="31"/>
  <c r="T377" i="31"/>
  <c r="S377" i="31"/>
  <c r="R377" i="31"/>
  <c r="Q377" i="31"/>
  <c r="P377" i="31"/>
  <c r="O377" i="31"/>
  <c r="X376" i="31"/>
  <c r="W376" i="31"/>
  <c r="V376" i="31"/>
  <c r="U376" i="31"/>
  <c r="T376" i="31"/>
  <c r="S376" i="31"/>
  <c r="R376" i="31"/>
  <c r="Q376" i="31"/>
  <c r="P376" i="31"/>
  <c r="O376" i="31"/>
  <c r="X375" i="31"/>
  <c r="W375" i="31"/>
  <c r="V375" i="31"/>
  <c r="U375" i="31"/>
  <c r="T375" i="31"/>
  <c r="S375" i="31"/>
  <c r="R375" i="31"/>
  <c r="Q375" i="31"/>
  <c r="P375" i="31"/>
  <c r="O375" i="31"/>
  <c r="X374" i="31"/>
  <c r="W374" i="31"/>
  <c r="V374" i="31"/>
  <c r="U374" i="31"/>
  <c r="T374" i="31"/>
  <c r="S374" i="31"/>
  <c r="R374" i="31"/>
  <c r="Q374" i="31"/>
  <c r="P374" i="31"/>
  <c r="O374" i="31"/>
  <c r="X373" i="31"/>
  <c r="W373" i="31"/>
  <c r="V373" i="31"/>
  <c r="U373" i="31"/>
  <c r="T373" i="31"/>
  <c r="S373" i="31"/>
  <c r="R373" i="31"/>
  <c r="Q373" i="31"/>
  <c r="P373" i="31"/>
  <c r="O373" i="31"/>
  <c r="X372" i="31"/>
  <c r="W372" i="31"/>
  <c r="V372" i="31"/>
  <c r="U372" i="31"/>
  <c r="T372" i="31"/>
  <c r="S372" i="31"/>
  <c r="R372" i="31"/>
  <c r="Q372" i="31"/>
  <c r="P372" i="31"/>
  <c r="O372" i="31"/>
  <c r="X371" i="31"/>
  <c r="W371" i="31"/>
  <c r="V371" i="31"/>
  <c r="U371" i="31"/>
  <c r="T371" i="31"/>
  <c r="S371" i="31"/>
  <c r="R371" i="31"/>
  <c r="Q371" i="31"/>
  <c r="P371" i="31"/>
  <c r="O371" i="31"/>
  <c r="X370" i="31"/>
  <c r="W370" i="31"/>
  <c r="V370" i="31"/>
  <c r="U370" i="31"/>
  <c r="T370" i="31"/>
  <c r="S370" i="31"/>
  <c r="R370" i="31"/>
  <c r="Q370" i="31"/>
  <c r="P370" i="31"/>
  <c r="O370" i="31"/>
  <c r="X369" i="31"/>
  <c r="W369" i="31"/>
  <c r="V369" i="31"/>
  <c r="U369" i="31"/>
  <c r="T369" i="31"/>
  <c r="S369" i="31"/>
  <c r="R369" i="31"/>
  <c r="Q369" i="31"/>
  <c r="P369" i="31"/>
  <c r="O369" i="31"/>
  <c r="X368" i="31"/>
  <c r="W368" i="31"/>
  <c r="V368" i="31"/>
  <c r="U368" i="31"/>
  <c r="T368" i="31"/>
  <c r="S368" i="31"/>
  <c r="R368" i="31"/>
  <c r="Q368" i="31"/>
  <c r="P368" i="31"/>
  <c r="O368" i="31"/>
  <c r="X367" i="31"/>
  <c r="W367" i="31"/>
  <c r="V367" i="31"/>
  <c r="U367" i="31"/>
  <c r="T367" i="31"/>
  <c r="S367" i="31"/>
  <c r="R367" i="31"/>
  <c r="Q367" i="31"/>
  <c r="P367" i="31"/>
  <c r="O367" i="31"/>
  <c r="X366" i="31"/>
  <c r="W366" i="31"/>
  <c r="V366" i="31"/>
  <c r="U366" i="31"/>
  <c r="T366" i="31"/>
  <c r="S366" i="31"/>
  <c r="R366" i="31"/>
  <c r="Q366" i="31"/>
  <c r="P366" i="31"/>
  <c r="O366" i="31"/>
  <c r="X365" i="31"/>
  <c r="W365" i="31"/>
  <c r="V365" i="31"/>
  <c r="U365" i="31"/>
  <c r="T365" i="31"/>
  <c r="S365" i="31"/>
  <c r="R365" i="31"/>
  <c r="Q365" i="31"/>
  <c r="P365" i="31"/>
  <c r="O365" i="31"/>
  <c r="X364" i="31"/>
  <c r="W364" i="31"/>
  <c r="V364" i="31"/>
  <c r="U364" i="31"/>
  <c r="T364" i="31"/>
  <c r="S364" i="31"/>
  <c r="R364" i="31"/>
  <c r="Q364" i="31"/>
  <c r="P364" i="31"/>
  <c r="O364" i="31"/>
  <c r="X363" i="31"/>
  <c r="W363" i="31"/>
  <c r="V363" i="31"/>
  <c r="U363" i="31"/>
  <c r="T363" i="31"/>
  <c r="S363" i="31"/>
  <c r="R363" i="31"/>
  <c r="Q363" i="31"/>
  <c r="P363" i="31"/>
  <c r="O363" i="31"/>
  <c r="X362" i="31"/>
  <c r="W362" i="31"/>
  <c r="V362" i="31"/>
  <c r="U362" i="31"/>
  <c r="T362" i="31"/>
  <c r="S362" i="31"/>
  <c r="R362" i="31"/>
  <c r="Q362" i="31"/>
  <c r="P362" i="31"/>
  <c r="O362" i="31"/>
  <c r="X361" i="31"/>
  <c r="W361" i="31"/>
  <c r="V361" i="31"/>
  <c r="U361" i="31"/>
  <c r="T361" i="31"/>
  <c r="S361" i="31"/>
  <c r="R361" i="31"/>
  <c r="Q361" i="31"/>
  <c r="P361" i="31"/>
  <c r="O361" i="31"/>
  <c r="X360" i="31"/>
  <c r="W360" i="31"/>
  <c r="V360" i="31"/>
  <c r="U360" i="31"/>
  <c r="T360" i="31"/>
  <c r="S360" i="31"/>
  <c r="R360" i="31"/>
  <c r="Q360" i="31"/>
  <c r="P360" i="31"/>
  <c r="O360" i="31"/>
  <c r="X359" i="31"/>
  <c r="W359" i="31"/>
  <c r="V359" i="31"/>
  <c r="U359" i="31"/>
  <c r="T359" i="31"/>
  <c r="S359" i="31"/>
  <c r="R359" i="31"/>
  <c r="Q359" i="31"/>
  <c r="P359" i="31"/>
  <c r="O359" i="31"/>
  <c r="X358" i="31"/>
  <c r="W358" i="31"/>
  <c r="V358" i="31"/>
  <c r="U358" i="31"/>
  <c r="T358" i="31"/>
  <c r="S358" i="31"/>
  <c r="R358" i="31"/>
  <c r="Q358" i="31"/>
  <c r="P358" i="31"/>
  <c r="O358" i="31"/>
  <c r="X357" i="31"/>
  <c r="W357" i="31"/>
  <c r="V357" i="31"/>
  <c r="U357" i="31"/>
  <c r="T357" i="31"/>
  <c r="S357" i="31"/>
  <c r="R357" i="31"/>
  <c r="Q357" i="31"/>
  <c r="P357" i="31"/>
  <c r="O357" i="31"/>
  <c r="X356" i="31"/>
  <c r="W356" i="31"/>
  <c r="V356" i="31"/>
  <c r="U356" i="31"/>
  <c r="T356" i="31"/>
  <c r="S356" i="31"/>
  <c r="R356" i="31"/>
  <c r="Q356" i="31"/>
  <c r="P356" i="31"/>
  <c r="O356" i="31"/>
  <c r="X355" i="31"/>
  <c r="W355" i="31"/>
  <c r="V355" i="31"/>
  <c r="U355" i="31"/>
  <c r="T355" i="31"/>
  <c r="S355" i="31"/>
  <c r="R355" i="31"/>
  <c r="Q355" i="31"/>
  <c r="P355" i="31"/>
  <c r="O355" i="31"/>
  <c r="X354" i="31"/>
  <c r="W354" i="31"/>
  <c r="V354" i="31"/>
  <c r="U354" i="31"/>
  <c r="T354" i="31"/>
  <c r="S354" i="31"/>
  <c r="R354" i="31"/>
  <c r="Q354" i="31"/>
  <c r="P354" i="31"/>
  <c r="O354" i="31"/>
  <c r="X353" i="31"/>
  <c r="W353" i="31"/>
  <c r="V353" i="31"/>
  <c r="U353" i="31"/>
  <c r="T353" i="31"/>
  <c r="S353" i="31"/>
  <c r="R353" i="31"/>
  <c r="Q353" i="31"/>
  <c r="P353" i="31"/>
  <c r="O353" i="31"/>
  <c r="X352" i="31"/>
  <c r="W352" i="31"/>
  <c r="V352" i="31"/>
  <c r="U352" i="31"/>
  <c r="T352" i="31"/>
  <c r="S352" i="31"/>
  <c r="R352" i="31"/>
  <c r="Q352" i="31"/>
  <c r="P352" i="31"/>
  <c r="O352" i="31"/>
  <c r="X351" i="31"/>
  <c r="W351" i="31"/>
  <c r="V351" i="31"/>
  <c r="U351" i="31"/>
  <c r="T351" i="31"/>
  <c r="S351" i="31"/>
  <c r="R351" i="31"/>
  <c r="Q351" i="31"/>
  <c r="P351" i="31"/>
  <c r="O351" i="31"/>
  <c r="X350" i="31"/>
  <c r="W350" i="31"/>
  <c r="V350" i="31"/>
  <c r="U350" i="31"/>
  <c r="T350" i="31"/>
  <c r="S350" i="31"/>
  <c r="R350" i="31"/>
  <c r="Q350" i="31"/>
  <c r="P350" i="31"/>
  <c r="O350" i="31"/>
  <c r="X349" i="31"/>
  <c r="W349" i="31"/>
  <c r="V349" i="31"/>
  <c r="U349" i="31"/>
  <c r="T349" i="31"/>
  <c r="S349" i="31"/>
  <c r="R349" i="31"/>
  <c r="Q349" i="31"/>
  <c r="P349" i="31"/>
  <c r="O349" i="31"/>
  <c r="X348" i="31"/>
  <c r="W348" i="31"/>
  <c r="V348" i="31"/>
  <c r="U348" i="31"/>
  <c r="T348" i="31"/>
  <c r="S348" i="31"/>
  <c r="R348" i="31"/>
  <c r="Q348" i="31"/>
  <c r="P348" i="31"/>
  <c r="O348" i="31"/>
  <c r="X347" i="31"/>
  <c r="W347" i="31"/>
  <c r="V347" i="31"/>
  <c r="U347" i="31"/>
  <c r="T347" i="31"/>
  <c r="S347" i="31"/>
  <c r="R347" i="31"/>
  <c r="Q347" i="31"/>
  <c r="P347" i="31"/>
  <c r="O347" i="31"/>
  <c r="X346" i="31"/>
  <c r="W346" i="31"/>
  <c r="V346" i="31"/>
  <c r="U346" i="31"/>
  <c r="T346" i="31"/>
  <c r="S346" i="31"/>
  <c r="R346" i="31"/>
  <c r="Q346" i="31"/>
  <c r="P346" i="31"/>
  <c r="O346" i="31"/>
  <c r="X345" i="31"/>
  <c r="W345" i="31"/>
  <c r="V345" i="31"/>
  <c r="U345" i="31"/>
  <c r="T345" i="31"/>
  <c r="S345" i="31"/>
  <c r="R345" i="31"/>
  <c r="Q345" i="31"/>
  <c r="P345" i="31"/>
  <c r="O345" i="31"/>
  <c r="X344" i="31"/>
  <c r="W344" i="31"/>
  <c r="V344" i="31"/>
  <c r="U344" i="31"/>
  <c r="T344" i="31"/>
  <c r="S344" i="31"/>
  <c r="R344" i="31"/>
  <c r="Q344" i="31"/>
  <c r="P344" i="31"/>
  <c r="O344" i="31"/>
  <c r="X343" i="31"/>
  <c r="W343" i="31"/>
  <c r="V343" i="31"/>
  <c r="U343" i="31"/>
  <c r="T343" i="31"/>
  <c r="S343" i="31"/>
  <c r="R343" i="31"/>
  <c r="Q343" i="31"/>
  <c r="P343" i="31"/>
  <c r="O343" i="31"/>
  <c r="X342" i="31"/>
  <c r="W342" i="31"/>
  <c r="V342" i="31"/>
  <c r="U342" i="31"/>
  <c r="T342" i="31"/>
  <c r="S342" i="31"/>
  <c r="R342" i="31"/>
  <c r="Q342" i="31"/>
  <c r="P342" i="31"/>
  <c r="O342" i="31"/>
  <c r="X341" i="31"/>
  <c r="W341" i="31"/>
  <c r="V341" i="31"/>
  <c r="U341" i="31"/>
  <c r="T341" i="31"/>
  <c r="S341" i="31"/>
  <c r="R341" i="31"/>
  <c r="Q341" i="31"/>
  <c r="P341" i="31"/>
  <c r="O341" i="31"/>
  <c r="X340" i="31"/>
  <c r="W340" i="31"/>
  <c r="V340" i="31"/>
  <c r="U340" i="31"/>
  <c r="T340" i="31"/>
  <c r="S340" i="31"/>
  <c r="R340" i="31"/>
  <c r="Q340" i="31"/>
  <c r="P340" i="31"/>
  <c r="O340" i="31"/>
  <c r="X339" i="31"/>
  <c r="W339" i="31"/>
  <c r="V339" i="31"/>
  <c r="U339" i="31"/>
  <c r="T339" i="31"/>
  <c r="S339" i="31"/>
  <c r="R339" i="31"/>
  <c r="Q339" i="31"/>
  <c r="P339" i="31"/>
  <c r="O339" i="31"/>
  <c r="X338" i="31"/>
  <c r="W338" i="31"/>
  <c r="V338" i="31"/>
  <c r="U338" i="31"/>
  <c r="T338" i="31"/>
  <c r="S338" i="31"/>
  <c r="R338" i="31"/>
  <c r="Q338" i="31"/>
  <c r="P338" i="31"/>
  <c r="O338" i="31"/>
  <c r="X337" i="31"/>
  <c r="W337" i="31"/>
  <c r="V337" i="31"/>
  <c r="U337" i="31"/>
  <c r="T337" i="31"/>
  <c r="S337" i="31"/>
  <c r="R337" i="31"/>
  <c r="Q337" i="31"/>
  <c r="P337" i="31"/>
  <c r="O337" i="31"/>
  <c r="X336" i="31"/>
  <c r="W336" i="31"/>
  <c r="V336" i="31"/>
  <c r="U336" i="31"/>
  <c r="T336" i="31"/>
  <c r="S336" i="31"/>
  <c r="R336" i="31"/>
  <c r="Q336" i="31"/>
  <c r="P336" i="31"/>
  <c r="O336" i="31"/>
  <c r="X335" i="31"/>
  <c r="W335" i="31"/>
  <c r="V335" i="31"/>
  <c r="U335" i="31"/>
  <c r="T335" i="31"/>
  <c r="S335" i="31"/>
  <c r="R335" i="31"/>
  <c r="Q335" i="31"/>
  <c r="P335" i="31"/>
  <c r="O335" i="31"/>
  <c r="X334" i="31"/>
  <c r="W334" i="31"/>
  <c r="V334" i="31"/>
  <c r="U334" i="31"/>
  <c r="T334" i="31"/>
  <c r="S334" i="31"/>
  <c r="R334" i="31"/>
  <c r="Q334" i="31"/>
  <c r="P334" i="31"/>
  <c r="O334" i="31"/>
  <c r="X333" i="31"/>
  <c r="W333" i="31"/>
  <c r="V333" i="31"/>
  <c r="U333" i="31"/>
  <c r="T333" i="31"/>
  <c r="S333" i="31"/>
  <c r="R333" i="31"/>
  <c r="Q333" i="31"/>
  <c r="P333" i="31"/>
  <c r="O333" i="31"/>
  <c r="X332" i="31"/>
  <c r="W332" i="31"/>
  <c r="V332" i="31"/>
  <c r="U332" i="31"/>
  <c r="T332" i="31"/>
  <c r="S332" i="31"/>
  <c r="R332" i="31"/>
  <c r="Q332" i="31"/>
  <c r="P332" i="31"/>
  <c r="O332" i="31"/>
  <c r="X331" i="31"/>
  <c r="W331" i="31"/>
  <c r="V331" i="31"/>
  <c r="U331" i="31"/>
  <c r="T331" i="31"/>
  <c r="S331" i="31"/>
  <c r="R331" i="31"/>
  <c r="Q331" i="31"/>
  <c r="P331" i="31"/>
  <c r="O331" i="31"/>
  <c r="X330" i="31"/>
  <c r="W330" i="31"/>
  <c r="V330" i="31"/>
  <c r="U330" i="31"/>
  <c r="T330" i="31"/>
  <c r="S330" i="31"/>
  <c r="R330" i="31"/>
  <c r="Q330" i="31"/>
  <c r="P330" i="31"/>
  <c r="O330" i="31"/>
  <c r="X329" i="31"/>
  <c r="W329" i="31"/>
  <c r="V329" i="31"/>
  <c r="U329" i="31"/>
  <c r="T329" i="31"/>
  <c r="S329" i="31"/>
  <c r="R329" i="31"/>
  <c r="Q329" i="31"/>
  <c r="P329" i="31"/>
  <c r="O329" i="31"/>
  <c r="X328" i="31"/>
  <c r="W328" i="31"/>
  <c r="V328" i="31"/>
  <c r="U328" i="31"/>
  <c r="T328" i="31"/>
  <c r="S328" i="31"/>
  <c r="R328" i="31"/>
  <c r="Q328" i="31"/>
  <c r="P328" i="31"/>
  <c r="O328" i="31"/>
  <c r="X327" i="31"/>
  <c r="W327" i="31"/>
  <c r="V327" i="31"/>
  <c r="U327" i="31"/>
  <c r="T327" i="31"/>
  <c r="S327" i="31"/>
  <c r="R327" i="31"/>
  <c r="Q327" i="31"/>
  <c r="P327" i="31"/>
  <c r="O327" i="31"/>
  <c r="X326" i="31"/>
  <c r="W326" i="31"/>
  <c r="V326" i="31"/>
  <c r="U326" i="31"/>
  <c r="T326" i="31"/>
  <c r="S326" i="31"/>
  <c r="R326" i="31"/>
  <c r="Q326" i="31"/>
  <c r="P326" i="31"/>
  <c r="O326" i="31"/>
  <c r="X325" i="31"/>
  <c r="W325" i="31"/>
  <c r="V325" i="31"/>
  <c r="U325" i="31"/>
  <c r="T325" i="31"/>
  <c r="S325" i="31"/>
  <c r="R325" i="31"/>
  <c r="Q325" i="31"/>
  <c r="P325" i="31"/>
  <c r="O325" i="31"/>
  <c r="X324" i="31"/>
  <c r="W324" i="31"/>
  <c r="V324" i="31"/>
  <c r="U324" i="31"/>
  <c r="T324" i="31"/>
  <c r="S324" i="31"/>
  <c r="R324" i="31"/>
  <c r="Q324" i="31"/>
  <c r="P324" i="31"/>
  <c r="O324" i="31"/>
  <c r="X323" i="31"/>
  <c r="W323" i="31"/>
  <c r="V323" i="31"/>
  <c r="U323" i="31"/>
  <c r="T323" i="31"/>
  <c r="S323" i="31"/>
  <c r="R323" i="31"/>
  <c r="Q323" i="31"/>
  <c r="P323" i="31"/>
  <c r="O323" i="31"/>
  <c r="X322" i="31"/>
  <c r="W322" i="31"/>
  <c r="V322" i="31"/>
  <c r="U322" i="31"/>
  <c r="T322" i="31"/>
  <c r="S322" i="31"/>
  <c r="R322" i="31"/>
  <c r="Q322" i="31"/>
  <c r="P322" i="31"/>
  <c r="O322" i="31"/>
  <c r="X321" i="31"/>
  <c r="W321" i="31"/>
  <c r="V321" i="31"/>
  <c r="U321" i="31"/>
  <c r="T321" i="31"/>
  <c r="S321" i="31"/>
  <c r="R321" i="31"/>
  <c r="Q321" i="31"/>
  <c r="P321" i="31"/>
  <c r="O321" i="31"/>
  <c r="X320" i="31"/>
  <c r="W320" i="31"/>
  <c r="V320" i="31"/>
  <c r="U320" i="31"/>
  <c r="T320" i="31"/>
  <c r="S320" i="31"/>
  <c r="R320" i="31"/>
  <c r="Q320" i="31"/>
  <c r="P320" i="31"/>
  <c r="O320" i="31"/>
  <c r="X319" i="31"/>
  <c r="W319" i="31"/>
  <c r="V319" i="31"/>
  <c r="U319" i="31"/>
  <c r="T319" i="31"/>
  <c r="S319" i="31"/>
  <c r="R319" i="31"/>
  <c r="Q319" i="31"/>
  <c r="P319" i="31"/>
  <c r="O319" i="31"/>
  <c r="X318" i="31"/>
  <c r="W318" i="31"/>
  <c r="V318" i="31"/>
  <c r="U318" i="31"/>
  <c r="T318" i="31"/>
  <c r="S318" i="31"/>
  <c r="R318" i="31"/>
  <c r="Q318" i="31"/>
  <c r="P318" i="31"/>
  <c r="O318" i="31"/>
  <c r="X317" i="31"/>
  <c r="W317" i="31"/>
  <c r="V317" i="31"/>
  <c r="U317" i="31"/>
  <c r="T317" i="31"/>
  <c r="S317" i="31"/>
  <c r="R317" i="31"/>
  <c r="Q317" i="31"/>
  <c r="P317" i="31"/>
  <c r="O317" i="31"/>
  <c r="X316" i="31"/>
  <c r="W316" i="31"/>
  <c r="V316" i="31"/>
  <c r="U316" i="31"/>
  <c r="T316" i="31"/>
  <c r="S316" i="31"/>
  <c r="R316" i="31"/>
  <c r="Q316" i="31"/>
  <c r="P316" i="31"/>
  <c r="O316" i="31"/>
  <c r="X315" i="31"/>
  <c r="W315" i="31"/>
  <c r="V315" i="31"/>
  <c r="U315" i="31"/>
  <c r="T315" i="31"/>
  <c r="S315" i="31"/>
  <c r="R315" i="31"/>
  <c r="Q315" i="31"/>
  <c r="P315" i="31"/>
  <c r="O315" i="31"/>
  <c r="X314" i="31"/>
  <c r="W314" i="31"/>
  <c r="V314" i="31"/>
  <c r="U314" i="31"/>
  <c r="T314" i="31"/>
  <c r="S314" i="31"/>
  <c r="R314" i="31"/>
  <c r="Q314" i="31"/>
  <c r="P314" i="31"/>
  <c r="O314" i="31"/>
  <c r="X313" i="31"/>
  <c r="W313" i="31"/>
  <c r="V313" i="31"/>
  <c r="U313" i="31"/>
  <c r="T313" i="31"/>
  <c r="S313" i="31"/>
  <c r="R313" i="31"/>
  <c r="Q313" i="31"/>
  <c r="P313" i="31"/>
  <c r="O313" i="31"/>
  <c r="X312" i="31"/>
  <c r="W312" i="31"/>
  <c r="V312" i="31"/>
  <c r="U312" i="31"/>
  <c r="T312" i="31"/>
  <c r="S312" i="31"/>
  <c r="R312" i="31"/>
  <c r="Q312" i="31"/>
  <c r="P312" i="31"/>
  <c r="O312" i="31"/>
  <c r="X311" i="31"/>
  <c r="W311" i="31"/>
  <c r="V311" i="31"/>
  <c r="U311" i="31"/>
  <c r="T311" i="31"/>
  <c r="S311" i="31"/>
  <c r="R311" i="31"/>
  <c r="Q311" i="31"/>
  <c r="P311" i="31"/>
  <c r="O311" i="31"/>
  <c r="X310" i="31"/>
  <c r="W310" i="31"/>
  <c r="V310" i="31"/>
  <c r="U310" i="31"/>
  <c r="T310" i="31"/>
  <c r="S310" i="31"/>
  <c r="R310" i="31"/>
  <c r="Q310" i="31"/>
  <c r="P310" i="31"/>
  <c r="O310" i="31"/>
  <c r="X309" i="31"/>
  <c r="W309" i="31"/>
  <c r="V309" i="31"/>
  <c r="U309" i="31"/>
  <c r="T309" i="31"/>
  <c r="S309" i="31"/>
  <c r="R309" i="31"/>
  <c r="Q309" i="31"/>
  <c r="P309" i="31"/>
  <c r="O309" i="31"/>
  <c r="X308" i="31"/>
  <c r="W308" i="31"/>
  <c r="V308" i="31"/>
  <c r="U308" i="31"/>
  <c r="T308" i="31"/>
  <c r="S308" i="31"/>
  <c r="R308" i="31"/>
  <c r="Q308" i="31"/>
  <c r="P308" i="31"/>
  <c r="O308" i="31"/>
  <c r="X307" i="31"/>
  <c r="W307" i="31"/>
  <c r="V307" i="31"/>
  <c r="U307" i="31"/>
  <c r="T307" i="31"/>
  <c r="S307" i="31"/>
  <c r="R307" i="31"/>
  <c r="Q307" i="31"/>
  <c r="P307" i="31"/>
  <c r="O307" i="31"/>
  <c r="X306" i="31"/>
  <c r="W306" i="31"/>
  <c r="V306" i="31"/>
  <c r="U306" i="31"/>
  <c r="T306" i="31"/>
  <c r="S306" i="31"/>
  <c r="R306" i="31"/>
  <c r="Q306" i="31"/>
  <c r="P306" i="31"/>
  <c r="O306" i="31"/>
  <c r="X305" i="31"/>
  <c r="W305" i="31"/>
  <c r="V305" i="31"/>
  <c r="U305" i="31"/>
  <c r="T305" i="31"/>
  <c r="S305" i="31"/>
  <c r="R305" i="31"/>
  <c r="Q305" i="31"/>
  <c r="P305" i="31"/>
  <c r="O305" i="31"/>
  <c r="X304" i="31"/>
  <c r="W304" i="31"/>
  <c r="V304" i="31"/>
  <c r="U304" i="31"/>
  <c r="T304" i="31"/>
  <c r="S304" i="31"/>
  <c r="R304" i="31"/>
  <c r="Q304" i="31"/>
  <c r="P304" i="31"/>
  <c r="O304" i="31"/>
  <c r="X303" i="31"/>
  <c r="W303" i="31"/>
  <c r="V303" i="31"/>
  <c r="U303" i="31"/>
  <c r="T303" i="31"/>
  <c r="S303" i="31"/>
  <c r="R303" i="31"/>
  <c r="Q303" i="31"/>
  <c r="P303" i="31"/>
  <c r="O303" i="31"/>
  <c r="X302" i="31"/>
  <c r="W302" i="31"/>
  <c r="V302" i="31"/>
  <c r="U302" i="31"/>
  <c r="T302" i="31"/>
  <c r="S302" i="31"/>
  <c r="R302" i="31"/>
  <c r="Q302" i="31"/>
  <c r="P302" i="31"/>
  <c r="O302" i="31"/>
  <c r="X301" i="31"/>
  <c r="W301" i="31"/>
  <c r="V301" i="31"/>
  <c r="U301" i="31"/>
  <c r="T301" i="31"/>
  <c r="S301" i="31"/>
  <c r="R301" i="31"/>
  <c r="Q301" i="31"/>
  <c r="P301" i="31"/>
  <c r="O301" i="31"/>
  <c r="X300" i="31"/>
  <c r="W300" i="31"/>
  <c r="V300" i="31"/>
  <c r="U300" i="31"/>
  <c r="T300" i="31"/>
  <c r="S300" i="31"/>
  <c r="R300" i="31"/>
  <c r="Q300" i="31"/>
  <c r="P300" i="31"/>
  <c r="O300" i="31"/>
  <c r="X299" i="31"/>
  <c r="W299" i="31"/>
  <c r="V299" i="31"/>
  <c r="U299" i="31"/>
  <c r="T299" i="31"/>
  <c r="S299" i="31"/>
  <c r="R299" i="31"/>
  <c r="Q299" i="31"/>
  <c r="P299" i="31"/>
  <c r="O299" i="31"/>
  <c r="X298" i="31"/>
  <c r="W298" i="31"/>
  <c r="V298" i="31"/>
  <c r="U298" i="31"/>
  <c r="T298" i="31"/>
  <c r="S298" i="31"/>
  <c r="R298" i="31"/>
  <c r="Q298" i="31"/>
  <c r="P298" i="31"/>
  <c r="O298" i="31"/>
  <c r="X297" i="31"/>
  <c r="W297" i="31"/>
  <c r="V297" i="31"/>
  <c r="U297" i="31"/>
  <c r="T297" i="31"/>
  <c r="S297" i="31"/>
  <c r="R297" i="31"/>
  <c r="Q297" i="31"/>
  <c r="P297" i="31"/>
  <c r="O297" i="31"/>
  <c r="X296" i="31"/>
  <c r="W296" i="31"/>
  <c r="V296" i="31"/>
  <c r="U296" i="31"/>
  <c r="T296" i="31"/>
  <c r="S296" i="31"/>
  <c r="R296" i="31"/>
  <c r="Q296" i="31"/>
  <c r="P296" i="31"/>
  <c r="O296" i="31"/>
  <c r="X295" i="31"/>
  <c r="W295" i="31"/>
  <c r="V295" i="31"/>
  <c r="U295" i="31"/>
  <c r="T295" i="31"/>
  <c r="S295" i="31"/>
  <c r="R295" i="31"/>
  <c r="Q295" i="31"/>
  <c r="P295" i="31"/>
  <c r="O295" i="31"/>
  <c r="X294" i="31"/>
  <c r="W294" i="31"/>
  <c r="V294" i="31"/>
  <c r="U294" i="31"/>
  <c r="T294" i="31"/>
  <c r="S294" i="31"/>
  <c r="R294" i="31"/>
  <c r="Q294" i="31"/>
  <c r="P294" i="31"/>
  <c r="O294" i="31"/>
  <c r="X293" i="31"/>
  <c r="W293" i="31"/>
  <c r="V293" i="31"/>
  <c r="U293" i="31"/>
  <c r="T293" i="31"/>
  <c r="S293" i="31"/>
  <c r="R293" i="31"/>
  <c r="Q293" i="31"/>
  <c r="P293" i="31"/>
  <c r="O293" i="31"/>
  <c r="X292" i="31"/>
  <c r="W292" i="31"/>
  <c r="V292" i="31"/>
  <c r="U292" i="31"/>
  <c r="T292" i="31"/>
  <c r="S292" i="31"/>
  <c r="R292" i="31"/>
  <c r="Q292" i="31"/>
  <c r="P292" i="31"/>
  <c r="O292" i="31"/>
  <c r="X291" i="31"/>
  <c r="W291" i="31"/>
  <c r="V291" i="31"/>
  <c r="U291" i="31"/>
  <c r="T291" i="31"/>
  <c r="S291" i="31"/>
  <c r="R291" i="31"/>
  <c r="Q291" i="31"/>
  <c r="P291" i="31"/>
  <c r="O291" i="31"/>
  <c r="X290" i="31"/>
  <c r="W290" i="31"/>
  <c r="V290" i="31"/>
  <c r="U290" i="31"/>
  <c r="T290" i="31"/>
  <c r="S290" i="31"/>
  <c r="R290" i="31"/>
  <c r="Q290" i="31"/>
  <c r="P290" i="31"/>
  <c r="O290" i="31"/>
  <c r="X289" i="31"/>
  <c r="W289" i="31"/>
  <c r="V289" i="31"/>
  <c r="U289" i="31"/>
  <c r="T289" i="31"/>
  <c r="S289" i="31"/>
  <c r="R289" i="31"/>
  <c r="Q289" i="31"/>
  <c r="P289" i="31"/>
  <c r="O289" i="31"/>
  <c r="X288" i="31"/>
  <c r="W288" i="31"/>
  <c r="V288" i="31"/>
  <c r="U288" i="31"/>
  <c r="T288" i="31"/>
  <c r="S288" i="31"/>
  <c r="R288" i="31"/>
  <c r="Q288" i="31"/>
  <c r="P288" i="31"/>
  <c r="O288" i="31"/>
  <c r="X287" i="31"/>
  <c r="W287" i="31"/>
  <c r="V287" i="31"/>
  <c r="U287" i="31"/>
  <c r="T287" i="31"/>
  <c r="S287" i="31"/>
  <c r="R287" i="31"/>
  <c r="Q287" i="31"/>
  <c r="P287" i="31"/>
  <c r="O287" i="31"/>
  <c r="X286" i="31"/>
  <c r="W286" i="31"/>
  <c r="V286" i="31"/>
  <c r="U286" i="31"/>
  <c r="T286" i="31"/>
  <c r="S286" i="31"/>
  <c r="R286" i="31"/>
  <c r="Q286" i="31"/>
  <c r="P286" i="31"/>
  <c r="O286" i="31"/>
  <c r="X285" i="31"/>
  <c r="W285" i="31"/>
  <c r="V285" i="31"/>
  <c r="U285" i="31"/>
  <c r="T285" i="31"/>
  <c r="S285" i="31"/>
  <c r="R285" i="31"/>
  <c r="Q285" i="31"/>
  <c r="P285" i="31"/>
  <c r="O285" i="31"/>
  <c r="X284" i="31"/>
  <c r="W284" i="31"/>
  <c r="V284" i="31"/>
  <c r="U284" i="31"/>
  <c r="T284" i="31"/>
  <c r="S284" i="31"/>
  <c r="R284" i="31"/>
  <c r="Q284" i="31"/>
  <c r="P284" i="31"/>
  <c r="O284" i="31"/>
  <c r="X283" i="31"/>
  <c r="W283" i="31"/>
  <c r="V283" i="31"/>
  <c r="U283" i="31"/>
  <c r="T283" i="31"/>
  <c r="S283" i="31"/>
  <c r="R283" i="31"/>
  <c r="Q283" i="31"/>
  <c r="P283" i="31"/>
  <c r="O283" i="31"/>
  <c r="X282" i="31"/>
  <c r="W282" i="31"/>
  <c r="V282" i="31"/>
  <c r="U282" i="31"/>
  <c r="T282" i="31"/>
  <c r="S282" i="31"/>
  <c r="R282" i="31"/>
  <c r="Q282" i="31"/>
  <c r="P282" i="31"/>
  <c r="O282" i="31"/>
  <c r="X281" i="31"/>
  <c r="W281" i="31"/>
  <c r="V281" i="31"/>
  <c r="U281" i="31"/>
  <c r="T281" i="31"/>
  <c r="S281" i="31"/>
  <c r="R281" i="31"/>
  <c r="Q281" i="31"/>
  <c r="P281" i="31"/>
  <c r="O281" i="31"/>
  <c r="X280" i="31"/>
  <c r="W280" i="31"/>
  <c r="V280" i="31"/>
  <c r="U280" i="31"/>
  <c r="T280" i="31"/>
  <c r="S280" i="31"/>
  <c r="R280" i="31"/>
  <c r="Q280" i="31"/>
  <c r="P280" i="31"/>
  <c r="O280" i="31"/>
  <c r="X279" i="31"/>
  <c r="W279" i="31"/>
  <c r="V279" i="31"/>
  <c r="U279" i="31"/>
  <c r="T279" i="31"/>
  <c r="S279" i="31"/>
  <c r="R279" i="31"/>
  <c r="Q279" i="31"/>
  <c r="P279" i="31"/>
  <c r="O279" i="31"/>
  <c r="X278" i="31"/>
  <c r="W278" i="31"/>
  <c r="V278" i="31"/>
  <c r="U278" i="31"/>
  <c r="T278" i="31"/>
  <c r="S278" i="31"/>
  <c r="R278" i="31"/>
  <c r="Q278" i="31"/>
  <c r="P278" i="31"/>
  <c r="O278" i="31"/>
  <c r="X277" i="31"/>
  <c r="W277" i="31"/>
  <c r="V277" i="31"/>
  <c r="U277" i="31"/>
  <c r="T277" i="31"/>
  <c r="S277" i="31"/>
  <c r="R277" i="31"/>
  <c r="Q277" i="31"/>
  <c r="P277" i="31"/>
  <c r="O277" i="31"/>
  <c r="X276" i="31"/>
  <c r="W276" i="31"/>
  <c r="V276" i="31"/>
  <c r="U276" i="31"/>
  <c r="T276" i="31"/>
  <c r="S276" i="31"/>
  <c r="R276" i="31"/>
  <c r="Q276" i="31"/>
  <c r="P276" i="31"/>
  <c r="O276" i="31"/>
  <c r="X275" i="31"/>
  <c r="W275" i="31"/>
  <c r="V275" i="31"/>
  <c r="U275" i="31"/>
  <c r="T275" i="31"/>
  <c r="S275" i="31"/>
  <c r="R275" i="31"/>
  <c r="Q275" i="31"/>
  <c r="P275" i="31"/>
  <c r="O275" i="31"/>
  <c r="X274" i="31"/>
  <c r="W274" i="31"/>
  <c r="V274" i="31"/>
  <c r="U274" i="31"/>
  <c r="T274" i="31"/>
  <c r="S274" i="31"/>
  <c r="R274" i="31"/>
  <c r="Q274" i="31"/>
  <c r="P274" i="31"/>
  <c r="O274" i="31"/>
  <c r="X273" i="31"/>
  <c r="W273" i="31"/>
  <c r="V273" i="31"/>
  <c r="U273" i="31"/>
  <c r="T273" i="31"/>
  <c r="S273" i="31"/>
  <c r="R273" i="31"/>
  <c r="Q273" i="31"/>
  <c r="P273" i="31"/>
  <c r="O273" i="31"/>
  <c r="X272" i="31"/>
  <c r="W272" i="31"/>
  <c r="V272" i="31"/>
  <c r="U272" i="31"/>
  <c r="T272" i="31"/>
  <c r="S272" i="31"/>
  <c r="R272" i="31"/>
  <c r="Q272" i="31"/>
  <c r="P272" i="31"/>
  <c r="O272" i="31"/>
  <c r="X271" i="31"/>
  <c r="W271" i="31"/>
  <c r="V271" i="31"/>
  <c r="U271" i="31"/>
  <c r="T271" i="31"/>
  <c r="S271" i="31"/>
  <c r="R271" i="31"/>
  <c r="Q271" i="31"/>
  <c r="P271" i="31"/>
  <c r="O271" i="31"/>
  <c r="X270" i="31"/>
  <c r="W270" i="31"/>
  <c r="V270" i="31"/>
  <c r="U270" i="31"/>
  <c r="T270" i="31"/>
  <c r="S270" i="31"/>
  <c r="R270" i="31"/>
  <c r="Q270" i="31"/>
  <c r="P270" i="31"/>
  <c r="O270" i="31"/>
  <c r="X269" i="31"/>
  <c r="W269" i="31"/>
  <c r="V269" i="31"/>
  <c r="U269" i="31"/>
  <c r="T269" i="31"/>
  <c r="S269" i="31"/>
  <c r="R269" i="31"/>
  <c r="Q269" i="31"/>
  <c r="P269" i="31"/>
  <c r="O269" i="31"/>
  <c r="X268" i="31"/>
  <c r="W268" i="31"/>
  <c r="V268" i="31"/>
  <c r="U268" i="31"/>
  <c r="T268" i="31"/>
  <c r="S268" i="31"/>
  <c r="R268" i="31"/>
  <c r="Q268" i="31"/>
  <c r="P268" i="31"/>
  <c r="O268" i="31"/>
  <c r="X267" i="31"/>
  <c r="W267" i="31"/>
  <c r="V267" i="31"/>
  <c r="U267" i="31"/>
  <c r="T267" i="31"/>
  <c r="S267" i="31"/>
  <c r="R267" i="31"/>
  <c r="Q267" i="31"/>
  <c r="P267" i="31"/>
  <c r="O267" i="31"/>
  <c r="X266" i="31"/>
  <c r="W266" i="31"/>
  <c r="V266" i="31"/>
  <c r="U266" i="31"/>
  <c r="T266" i="31"/>
  <c r="S266" i="31"/>
  <c r="R266" i="31"/>
  <c r="Q266" i="31"/>
  <c r="P266" i="31"/>
  <c r="O266" i="31"/>
  <c r="X265" i="31"/>
  <c r="W265" i="31"/>
  <c r="V265" i="31"/>
  <c r="U265" i="31"/>
  <c r="T265" i="31"/>
  <c r="S265" i="31"/>
  <c r="R265" i="31"/>
  <c r="Q265" i="31"/>
  <c r="P265" i="31"/>
  <c r="O265" i="31"/>
  <c r="X264" i="31"/>
  <c r="W264" i="31"/>
  <c r="V264" i="31"/>
  <c r="U264" i="31"/>
  <c r="T264" i="31"/>
  <c r="S264" i="31"/>
  <c r="R264" i="31"/>
  <c r="Q264" i="31"/>
  <c r="P264" i="31"/>
  <c r="O264" i="31"/>
  <c r="X263" i="31"/>
  <c r="W263" i="31"/>
  <c r="V263" i="31"/>
  <c r="U263" i="31"/>
  <c r="T263" i="31"/>
  <c r="S263" i="31"/>
  <c r="R263" i="31"/>
  <c r="Q263" i="31"/>
  <c r="P263" i="31"/>
  <c r="O263" i="31"/>
  <c r="X262" i="31"/>
  <c r="W262" i="31"/>
  <c r="V262" i="31"/>
  <c r="U262" i="31"/>
  <c r="T262" i="31"/>
  <c r="S262" i="31"/>
  <c r="R262" i="31"/>
  <c r="Q262" i="31"/>
  <c r="P262" i="31"/>
  <c r="O262" i="31"/>
  <c r="X261" i="31"/>
  <c r="W261" i="31"/>
  <c r="V261" i="31"/>
  <c r="U261" i="31"/>
  <c r="T261" i="31"/>
  <c r="S261" i="31"/>
  <c r="R261" i="31"/>
  <c r="Q261" i="31"/>
  <c r="P261" i="31"/>
  <c r="O261" i="31"/>
  <c r="X260" i="31"/>
  <c r="W260" i="31"/>
  <c r="V260" i="31"/>
  <c r="U260" i="31"/>
  <c r="T260" i="31"/>
  <c r="S260" i="31"/>
  <c r="R260" i="31"/>
  <c r="Q260" i="31"/>
  <c r="P260" i="31"/>
  <c r="O260" i="31"/>
  <c r="X259" i="31"/>
  <c r="W259" i="31"/>
  <c r="V259" i="31"/>
  <c r="U259" i="31"/>
  <c r="T259" i="31"/>
  <c r="S259" i="31"/>
  <c r="R259" i="31"/>
  <c r="Q259" i="31"/>
  <c r="P259" i="31"/>
  <c r="O259" i="31"/>
  <c r="X258" i="31"/>
  <c r="W258" i="31"/>
  <c r="V258" i="31"/>
  <c r="U258" i="31"/>
  <c r="T258" i="31"/>
  <c r="S258" i="31"/>
  <c r="R258" i="31"/>
  <c r="Q258" i="31"/>
  <c r="P258" i="31"/>
  <c r="O258" i="31"/>
  <c r="X257" i="31"/>
  <c r="W257" i="31"/>
  <c r="V257" i="31"/>
  <c r="U257" i="31"/>
  <c r="T257" i="31"/>
  <c r="S257" i="31"/>
  <c r="R257" i="31"/>
  <c r="Q257" i="31"/>
  <c r="P257" i="31"/>
  <c r="O257" i="31"/>
  <c r="X256" i="31"/>
  <c r="W256" i="31"/>
  <c r="V256" i="31"/>
  <c r="U256" i="31"/>
  <c r="T256" i="31"/>
  <c r="S256" i="31"/>
  <c r="R256" i="31"/>
  <c r="Q256" i="31"/>
  <c r="P256" i="31"/>
  <c r="O256" i="31"/>
  <c r="X255" i="31"/>
  <c r="W255" i="31"/>
  <c r="V255" i="31"/>
  <c r="U255" i="31"/>
  <c r="T255" i="31"/>
  <c r="S255" i="31"/>
  <c r="R255" i="31"/>
  <c r="Q255" i="31"/>
  <c r="P255" i="31"/>
  <c r="O255" i="31"/>
  <c r="X254" i="31"/>
  <c r="W254" i="31"/>
  <c r="V254" i="31"/>
  <c r="U254" i="31"/>
  <c r="T254" i="31"/>
  <c r="S254" i="31"/>
  <c r="R254" i="31"/>
  <c r="Q254" i="31"/>
  <c r="P254" i="31"/>
  <c r="O254" i="31"/>
  <c r="X253" i="31"/>
  <c r="W253" i="31"/>
  <c r="V253" i="31"/>
  <c r="U253" i="31"/>
  <c r="T253" i="31"/>
  <c r="S253" i="31"/>
  <c r="R253" i="31"/>
  <c r="Q253" i="31"/>
  <c r="P253" i="31"/>
  <c r="O253" i="31"/>
  <c r="X252" i="31"/>
  <c r="W252" i="31"/>
  <c r="V252" i="31"/>
  <c r="U252" i="31"/>
  <c r="T252" i="31"/>
  <c r="S252" i="31"/>
  <c r="R252" i="31"/>
  <c r="Q252" i="31"/>
  <c r="P252" i="31"/>
  <c r="O252" i="31"/>
  <c r="X251" i="31"/>
  <c r="W251" i="31"/>
  <c r="V251" i="31"/>
  <c r="U251" i="31"/>
  <c r="T251" i="31"/>
  <c r="S251" i="31"/>
  <c r="R251" i="31"/>
  <c r="Q251" i="31"/>
  <c r="P251" i="31"/>
  <c r="O251" i="31"/>
  <c r="X250" i="31"/>
  <c r="W250" i="31"/>
  <c r="V250" i="31"/>
  <c r="U250" i="31"/>
  <c r="T250" i="31"/>
  <c r="S250" i="31"/>
  <c r="R250" i="31"/>
  <c r="Q250" i="31"/>
  <c r="P250" i="31"/>
  <c r="O250" i="31"/>
  <c r="X249" i="31"/>
  <c r="W249" i="31"/>
  <c r="V249" i="31"/>
  <c r="U249" i="31"/>
  <c r="T249" i="31"/>
  <c r="S249" i="31"/>
  <c r="R249" i="31"/>
  <c r="Q249" i="31"/>
  <c r="P249" i="31"/>
  <c r="O249" i="31"/>
  <c r="X248" i="31"/>
  <c r="W248" i="31"/>
  <c r="V248" i="31"/>
  <c r="U248" i="31"/>
  <c r="T248" i="31"/>
  <c r="S248" i="31"/>
  <c r="R248" i="31"/>
  <c r="Q248" i="31"/>
  <c r="P248" i="31"/>
  <c r="O248" i="31"/>
  <c r="X247" i="31"/>
  <c r="W247" i="31"/>
  <c r="V247" i="31"/>
  <c r="U247" i="31"/>
  <c r="T247" i="31"/>
  <c r="S247" i="31"/>
  <c r="R247" i="31"/>
  <c r="Q247" i="31"/>
  <c r="P247" i="31"/>
  <c r="O247" i="31"/>
  <c r="X246" i="31"/>
  <c r="W246" i="31"/>
  <c r="V246" i="31"/>
  <c r="U246" i="31"/>
  <c r="T246" i="31"/>
  <c r="S246" i="31"/>
  <c r="R246" i="31"/>
  <c r="Q246" i="31"/>
  <c r="P246" i="31"/>
  <c r="O246" i="31"/>
  <c r="X245" i="31"/>
  <c r="W245" i="31"/>
  <c r="V245" i="31"/>
  <c r="U245" i="31"/>
  <c r="T245" i="31"/>
  <c r="S245" i="31"/>
  <c r="R245" i="31"/>
  <c r="Q245" i="31"/>
  <c r="P245" i="31"/>
  <c r="O245" i="31"/>
  <c r="X244" i="31"/>
  <c r="W244" i="31"/>
  <c r="V244" i="31"/>
  <c r="U244" i="31"/>
  <c r="T244" i="31"/>
  <c r="S244" i="31"/>
  <c r="R244" i="31"/>
  <c r="Q244" i="31"/>
  <c r="P244" i="31"/>
  <c r="O244" i="31"/>
  <c r="X243" i="31"/>
  <c r="W243" i="31"/>
  <c r="V243" i="31"/>
  <c r="U243" i="31"/>
  <c r="T243" i="31"/>
  <c r="S243" i="31"/>
  <c r="R243" i="31"/>
  <c r="Q243" i="31"/>
  <c r="P243" i="31"/>
  <c r="O243" i="31"/>
  <c r="X242" i="31"/>
  <c r="W242" i="31"/>
  <c r="V242" i="31"/>
  <c r="U242" i="31"/>
  <c r="T242" i="31"/>
  <c r="S242" i="31"/>
  <c r="R242" i="31"/>
  <c r="Q242" i="31"/>
  <c r="P242" i="31"/>
  <c r="O242" i="31"/>
  <c r="X241" i="31"/>
  <c r="W241" i="31"/>
  <c r="V241" i="31"/>
  <c r="U241" i="31"/>
  <c r="T241" i="31"/>
  <c r="S241" i="31"/>
  <c r="R241" i="31"/>
  <c r="Q241" i="31"/>
  <c r="P241" i="31"/>
  <c r="O241" i="31"/>
  <c r="X240" i="31"/>
  <c r="W240" i="31"/>
  <c r="V240" i="31"/>
  <c r="U240" i="31"/>
  <c r="T240" i="31"/>
  <c r="S240" i="31"/>
  <c r="R240" i="31"/>
  <c r="Q240" i="31"/>
  <c r="P240" i="31"/>
  <c r="O240" i="31"/>
  <c r="X239" i="31"/>
  <c r="W239" i="31"/>
  <c r="V239" i="31"/>
  <c r="U239" i="31"/>
  <c r="T239" i="31"/>
  <c r="S239" i="31"/>
  <c r="R239" i="31"/>
  <c r="Q239" i="31"/>
  <c r="P239" i="31"/>
  <c r="O239" i="31"/>
  <c r="X238" i="31"/>
  <c r="W238" i="31"/>
  <c r="V238" i="31"/>
  <c r="U238" i="31"/>
  <c r="T238" i="31"/>
  <c r="S238" i="31"/>
  <c r="R238" i="31"/>
  <c r="Q238" i="31"/>
  <c r="P238" i="31"/>
  <c r="O238" i="31"/>
  <c r="X237" i="31"/>
  <c r="S237" i="31"/>
  <c r="R237" i="31"/>
  <c r="Q237" i="31"/>
  <c r="P237" i="31"/>
  <c r="B237" i="31"/>
  <c r="V237" i="31" s="1"/>
  <c r="X236" i="31"/>
  <c r="S236" i="31"/>
  <c r="R236" i="31"/>
  <c r="Q236" i="31"/>
  <c r="P236" i="31"/>
  <c r="B236" i="31"/>
  <c r="U236" i="31" s="1"/>
  <c r="X235" i="31"/>
  <c r="S235" i="31"/>
  <c r="R235" i="31"/>
  <c r="Q235" i="31"/>
  <c r="P235" i="31"/>
  <c r="B235" i="31"/>
  <c r="T235" i="31" s="1"/>
  <c r="X234" i="31"/>
  <c r="S234" i="31"/>
  <c r="R234" i="31"/>
  <c r="Q234" i="31"/>
  <c r="P234" i="31"/>
  <c r="B234" i="31"/>
  <c r="V234" i="31" s="1"/>
  <c r="X233" i="31"/>
  <c r="S233" i="31"/>
  <c r="R233" i="31"/>
  <c r="Q233" i="31"/>
  <c r="P233" i="31"/>
  <c r="B233" i="31"/>
  <c r="V233" i="31" s="1"/>
  <c r="X232" i="31"/>
  <c r="S232" i="31"/>
  <c r="R232" i="31"/>
  <c r="Q232" i="31"/>
  <c r="P232" i="31"/>
  <c r="B232" i="31"/>
  <c r="U232" i="31" s="1"/>
  <c r="X231" i="31"/>
  <c r="S231" i="31"/>
  <c r="R231" i="31"/>
  <c r="Q231" i="31"/>
  <c r="P231" i="31"/>
  <c r="B231" i="31"/>
  <c r="T231" i="31" s="1"/>
  <c r="X230" i="31"/>
  <c r="S230" i="31"/>
  <c r="R230" i="31"/>
  <c r="Q230" i="31"/>
  <c r="P230" i="31"/>
  <c r="B230" i="31"/>
  <c r="V230" i="31" s="1"/>
  <c r="X229" i="31"/>
  <c r="S229" i="31"/>
  <c r="R229" i="31"/>
  <c r="Q229" i="31"/>
  <c r="P229" i="31"/>
  <c r="B229" i="31"/>
  <c r="V229" i="31" s="1"/>
  <c r="X228" i="31"/>
  <c r="S228" i="31"/>
  <c r="R228" i="31"/>
  <c r="Q228" i="31"/>
  <c r="P228" i="31"/>
  <c r="B228" i="31"/>
  <c r="U228" i="31" s="1"/>
  <c r="X227" i="31"/>
  <c r="S227" i="31"/>
  <c r="R227" i="31"/>
  <c r="Q227" i="31"/>
  <c r="P227" i="31"/>
  <c r="B227" i="31"/>
  <c r="T227" i="31" s="1"/>
  <c r="X226" i="31"/>
  <c r="S226" i="31"/>
  <c r="R226" i="31"/>
  <c r="Q226" i="31"/>
  <c r="P226" i="31"/>
  <c r="B226" i="31"/>
  <c r="V226" i="31" s="1"/>
  <c r="X225" i="31"/>
  <c r="T225" i="31"/>
  <c r="S225" i="31"/>
  <c r="R225" i="31"/>
  <c r="Q225" i="31"/>
  <c r="P225" i="31"/>
  <c r="O225" i="31"/>
  <c r="X224" i="31"/>
  <c r="T224" i="31"/>
  <c r="S224" i="31"/>
  <c r="R224" i="31"/>
  <c r="Q224" i="31"/>
  <c r="P224" i="31"/>
  <c r="O224" i="31"/>
  <c r="X223" i="31"/>
  <c r="T223" i="31"/>
  <c r="S223" i="31"/>
  <c r="R223" i="31"/>
  <c r="Q223" i="31"/>
  <c r="P223" i="31"/>
  <c r="O223" i="31"/>
  <c r="X222" i="31"/>
  <c r="W222" i="31"/>
  <c r="V222" i="31"/>
  <c r="U222" i="31"/>
  <c r="T222" i="31"/>
  <c r="S222" i="31"/>
  <c r="R222" i="31"/>
  <c r="Q222" i="31"/>
  <c r="P222" i="31"/>
  <c r="O222" i="31"/>
  <c r="X221" i="31"/>
  <c r="W221" i="31"/>
  <c r="V221" i="31"/>
  <c r="U221" i="31"/>
  <c r="T221" i="31"/>
  <c r="S221" i="31"/>
  <c r="R221" i="31"/>
  <c r="Q221" i="31"/>
  <c r="P221" i="31"/>
  <c r="O221" i="31"/>
  <c r="X220" i="31"/>
  <c r="W220" i="31"/>
  <c r="V220" i="31"/>
  <c r="U220" i="31"/>
  <c r="T220" i="31"/>
  <c r="S220" i="31"/>
  <c r="R220" i="31"/>
  <c r="Q220" i="31"/>
  <c r="P220" i="31"/>
  <c r="O220" i="31"/>
  <c r="X219" i="31"/>
  <c r="W219" i="31"/>
  <c r="V219" i="31"/>
  <c r="U219" i="31"/>
  <c r="T219" i="31"/>
  <c r="S219" i="31"/>
  <c r="R219" i="31"/>
  <c r="Q219" i="31"/>
  <c r="P219" i="31"/>
  <c r="O219" i="31"/>
  <c r="X218" i="31"/>
  <c r="W218" i="31"/>
  <c r="V218" i="31"/>
  <c r="U218" i="31"/>
  <c r="T218" i="31"/>
  <c r="S218" i="31"/>
  <c r="R218" i="31"/>
  <c r="Q218" i="31"/>
  <c r="P218" i="31"/>
  <c r="O218" i="31"/>
  <c r="X217" i="31"/>
  <c r="W217" i="31"/>
  <c r="V217" i="31"/>
  <c r="U217" i="31"/>
  <c r="T217" i="31"/>
  <c r="S217" i="31"/>
  <c r="R217" i="31"/>
  <c r="Q217" i="31"/>
  <c r="P217" i="31"/>
  <c r="O217" i="31"/>
  <c r="X216" i="31"/>
  <c r="W216" i="31"/>
  <c r="V216" i="31"/>
  <c r="U216" i="31"/>
  <c r="T216" i="31"/>
  <c r="S216" i="31"/>
  <c r="R216" i="31"/>
  <c r="Q216" i="31"/>
  <c r="P216" i="31"/>
  <c r="O216" i="31"/>
  <c r="X215" i="31"/>
  <c r="W215" i="31"/>
  <c r="V215" i="31"/>
  <c r="U215" i="31"/>
  <c r="T215" i="31"/>
  <c r="S215" i="31"/>
  <c r="R215" i="31"/>
  <c r="Q215" i="31"/>
  <c r="P215" i="31"/>
  <c r="O215" i="31"/>
  <c r="X214" i="31"/>
  <c r="W214" i="31"/>
  <c r="V214" i="31"/>
  <c r="U214" i="31"/>
  <c r="T214" i="31"/>
  <c r="S214" i="31"/>
  <c r="R214" i="31"/>
  <c r="Q214" i="31"/>
  <c r="P214" i="31"/>
  <c r="O214" i="31"/>
  <c r="X213" i="31"/>
  <c r="W213" i="31"/>
  <c r="V213" i="31"/>
  <c r="U213" i="31"/>
  <c r="T213" i="31"/>
  <c r="S213" i="31"/>
  <c r="R213" i="31"/>
  <c r="Q213" i="31"/>
  <c r="P213" i="31"/>
  <c r="O213" i="31"/>
  <c r="X212" i="31"/>
  <c r="W212" i="31"/>
  <c r="V212" i="31"/>
  <c r="U212" i="31"/>
  <c r="T212" i="31"/>
  <c r="S212" i="31"/>
  <c r="R212" i="31"/>
  <c r="Q212" i="31"/>
  <c r="P212" i="31"/>
  <c r="O212" i="31"/>
  <c r="X211" i="31"/>
  <c r="W211" i="31"/>
  <c r="V211" i="31"/>
  <c r="U211" i="31"/>
  <c r="T211" i="31"/>
  <c r="S211" i="31"/>
  <c r="R211" i="31"/>
  <c r="Q211" i="31"/>
  <c r="P211" i="31"/>
  <c r="O211" i="31"/>
  <c r="X210" i="31"/>
  <c r="W210" i="31"/>
  <c r="V210" i="31"/>
  <c r="U210" i="31"/>
  <c r="T210" i="31"/>
  <c r="S210" i="31"/>
  <c r="R210" i="31"/>
  <c r="Q210" i="31"/>
  <c r="P210" i="31"/>
  <c r="O210" i="31"/>
  <c r="X209" i="31"/>
  <c r="W209" i="31"/>
  <c r="V209" i="31"/>
  <c r="U209" i="31"/>
  <c r="T209" i="31"/>
  <c r="S209" i="31"/>
  <c r="R209" i="31"/>
  <c r="Q209" i="31"/>
  <c r="P209" i="31"/>
  <c r="O209" i="31"/>
  <c r="X208" i="31"/>
  <c r="W208" i="31"/>
  <c r="V208" i="31"/>
  <c r="U208" i="31"/>
  <c r="T208" i="31"/>
  <c r="S208" i="31"/>
  <c r="R208" i="31"/>
  <c r="Q208" i="31"/>
  <c r="P208" i="31"/>
  <c r="O208" i="31"/>
  <c r="X207" i="31"/>
  <c r="W207" i="31"/>
  <c r="V207" i="31"/>
  <c r="U207" i="31"/>
  <c r="T207" i="31"/>
  <c r="S207" i="31"/>
  <c r="R207" i="31"/>
  <c r="Q207" i="31"/>
  <c r="P207" i="31"/>
  <c r="O207" i="31"/>
  <c r="X206" i="31"/>
  <c r="W206" i="31"/>
  <c r="V206" i="31"/>
  <c r="U206" i="31"/>
  <c r="T206" i="31"/>
  <c r="S206" i="31"/>
  <c r="R206" i="31"/>
  <c r="Q206" i="31"/>
  <c r="P206" i="31"/>
  <c r="O206" i="31"/>
  <c r="X205" i="31"/>
  <c r="W205" i="31"/>
  <c r="V205" i="31"/>
  <c r="U205" i="31"/>
  <c r="T205" i="31"/>
  <c r="S205" i="31"/>
  <c r="R205" i="31"/>
  <c r="Q205" i="31"/>
  <c r="P205" i="31"/>
  <c r="O205" i="31"/>
  <c r="X204" i="31"/>
  <c r="W204" i="31"/>
  <c r="V204" i="31"/>
  <c r="U204" i="31"/>
  <c r="T204" i="31"/>
  <c r="S204" i="31"/>
  <c r="R204" i="31"/>
  <c r="Q204" i="31"/>
  <c r="P204" i="31"/>
  <c r="O204" i="31"/>
  <c r="X203" i="31"/>
  <c r="W203" i="31"/>
  <c r="V203" i="31"/>
  <c r="U203" i="31"/>
  <c r="T203" i="31"/>
  <c r="S203" i="31"/>
  <c r="R203" i="31"/>
  <c r="Q203" i="31"/>
  <c r="P203" i="31"/>
  <c r="O203" i="31"/>
  <c r="X202" i="31"/>
  <c r="W202" i="31"/>
  <c r="V202" i="31"/>
  <c r="U202" i="31"/>
  <c r="T202" i="31"/>
  <c r="S202" i="31"/>
  <c r="R202" i="31"/>
  <c r="Q202" i="31"/>
  <c r="P202" i="31"/>
  <c r="O202" i="31"/>
  <c r="X201" i="31"/>
  <c r="W201" i="31"/>
  <c r="V201" i="31"/>
  <c r="U201" i="31"/>
  <c r="T201" i="31"/>
  <c r="S201" i="31"/>
  <c r="R201" i="31"/>
  <c r="Q201" i="31"/>
  <c r="P201" i="31"/>
  <c r="O201" i="31"/>
  <c r="X200" i="31"/>
  <c r="W200" i="31"/>
  <c r="V200" i="31"/>
  <c r="U200" i="31"/>
  <c r="T200" i="31"/>
  <c r="S200" i="31"/>
  <c r="R200" i="31"/>
  <c r="Q200" i="31"/>
  <c r="P200" i="31"/>
  <c r="O200" i="31"/>
  <c r="X199" i="31"/>
  <c r="W199" i="31"/>
  <c r="V199" i="31"/>
  <c r="U199" i="31"/>
  <c r="T199" i="31"/>
  <c r="S199" i="31"/>
  <c r="R199" i="31"/>
  <c r="Q199" i="31"/>
  <c r="P199" i="31"/>
  <c r="O199" i="31"/>
  <c r="X198" i="31"/>
  <c r="W198" i="31"/>
  <c r="V198" i="31"/>
  <c r="U198" i="31"/>
  <c r="T198" i="31"/>
  <c r="S198" i="31"/>
  <c r="R198" i="31"/>
  <c r="Q198" i="31"/>
  <c r="P198" i="31"/>
  <c r="O198" i="31"/>
  <c r="X197" i="31"/>
  <c r="W197" i="31"/>
  <c r="V197" i="31"/>
  <c r="U197" i="31"/>
  <c r="T197" i="31"/>
  <c r="S197" i="31"/>
  <c r="R197" i="31"/>
  <c r="Q197" i="31"/>
  <c r="P197" i="31"/>
  <c r="O197" i="31"/>
  <c r="X196" i="31"/>
  <c r="W196" i="31"/>
  <c r="V196" i="31"/>
  <c r="U196" i="31"/>
  <c r="T196" i="31"/>
  <c r="S196" i="31"/>
  <c r="R196" i="31"/>
  <c r="Q196" i="31"/>
  <c r="P196" i="31"/>
  <c r="O196" i="31"/>
  <c r="X195" i="31"/>
  <c r="W195" i="31"/>
  <c r="V195" i="31"/>
  <c r="U195" i="31"/>
  <c r="T195" i="31"/>
  <c r="S195" i="31"/>
  <c r="R195" i="31"/>
  <c r="Q195" i="31"/>
  <c r="P195" i="31"/>
  <c r="O195" i="31"/>
  <c r="X194" i="31"/>
  <c r="W194" i="31"/>
  <c r="V194" i="31"/>
  <c r="U194" i="31"/>
  <c r="T194" i="31"/>
  <c r="S194" i="31"/>
  <c r="R194" i="31"/>
  <c r="Q194" i="31"/>
  <c r="P194" i="31"/>
  <c r="O194" i="31"/>
  <c r="X193" i="31"/>
  <c r="W193" i="31"/>
  <c r="V193" i="31"/>
  <c r="U193" i="31"/>
  <c r="T193" i="31"/>
  <c r="S193" i="31"/>
  <c r="R193" i="31"/>
  <c r="Q193" i="31"/>
  <c r="P193" i="31"/>
  <c r="O193" i="31"/>
  <c r="X192" i="31"/>
  <c r="W192" i="31"/>
  <c r="V192" i="31"/>
  <c r="U192" i="31"/>
  <c r="T192" i="31"/>
  <c r="S192" i="31"/>
  <c r="R192" i="31"/>
  <c r="Q192" i="31"/>
  <c r="P192" i="31"/>
  <c r="O192" i="31"/>
  <c r="X191" i="31"/>
  <c r="W191" i="31"/>
  <c r="V191" i="31"/>
  <c r="U191" i="31"/>
  <c r="T191" i="31"/>
  <c r="S191" i="31"/>
  <c r="R191" i="31"/>
  <c r="Q191" i="31"/>
  <c r="P191" i="31"/>
  <c r="O191" i="31"/>
  <c r="X190" i="31"/>
  <c r="W190" i="31"/>
  <c r="V190" i="31"/>
  <c r="U190" i="31"/>
  <c r="T190" i="31"/>
  <c r="S190" i="31"/>
  <c r="R190" i="31"/>
  <c r="Q190" i="31"/>
  <c r="P190" i="31"/>
  <c r="O190" i="31"/>
  <c r="X189" i="31"/>
  <c r="W189" i="31"/>
  <c r="V189" i="31"/>
  <c r="U189" i="31"/>
  <c r="T189" i="31"/>
  <c r="S189" i="31"/>
  <c r="R189" i="31"/>
  <c r="Q189" i="31"/>
  <c r="P189" i="31"/>
  <c r="O189" i="31"/>
  <c r="X188" i="31"/>
  <c r="W188" i="31"/>
  <c r="V188" i="31"/>
  <c r="U188" i="31"/>
  <c r="T188" i="31"/>
  <c r="S188" i="31"/>
  <c r="R188" i="31"/>
  <c r="Q188" i="31"/>
  <c r="P188" i="31"/>
  <c r="O188" i="31"/>
  <c r="X187" i="31"/>
  <c r="W187" i="31"/>
  <c r="V187" i="31"/>
  <c r="U187" i="31"/>
  <c r="T187" i="31"/>
  <c r="S187" i="31"/>
  <c r="R187" i="31"/>
  <c r="Q187" i="31"/>
  <c r="P187" i="31"/>
  <c r="O187" i="31"/>
  <c r="X186" i="31"/>
  <c r="W186" i="31"/>
  <c r="V186" i="31"/>
  <c r="U186" i="31"/>
  <c r="T186" i="31"/>
  <c r="S186" i="31"/>
  <c r="R186" i="31"/>
  <c r="Q186" i="31"/>
  <c r="P186" i="31"/>
  <c r="O186" i="31"/>
  <c r="X185" i="31"/>
  <c r="W185" i="31"/>
  <c r="V185" i="31"/>
  <c r="U185" i="31"/>
  <c r="T185" i="31"/>
  <c r="S185" i="31"/>
  <c r="R185" i="31"/>
  <c r="Q185" i="31"/>
  <c r="P185" i="31"/>
  <c r="O185" i="31"/>
  <c r="X184" i="31"/>
  <c r="W184" i="31"/>
  <c r="V184" i="31"/>
  <c r="U184" i="31"/>
  <c r="T184" i="31"/>
  <c r="S184" i="31"/>
  <c r="R184" i="31"/>
  <c r="Q184" i="31"/>
  <c r="P184" i="31"/>
  <c r="O184" i="31"/>
  <c r="X183" i="31"/>
  <c r="W183" i="31"/>
  <c r="V183" i="31"/>
  <c r="U183" i="31"/>
  <c r="T183" i="31"/>
  <c r="S183" i="31"/>
  <c r="R183" i="31"/>
  <c r="Q183" i="31"/>
  <c r="P183" i="31"/>
  <c r="O183" i="31"/>
  <c r="X182" i="31"/>
  <c r="W182" i="31"/>
  <c r="V182" i="31"/>
  <c r="U182" i="31"/>
  <c r="T182" i="31"/>
  <c r="S182" i="31"/>
  <c r="R182" i="31"/>
  <c r="Q182" i="31"/>
  <c r="P182" i="31"/>
  <c r="O182" i="31"/>
  <c r="X181" i="31"/>
  <c r="W181" i="31"/>
  <c r="V181" i="31"/>
  <c r="U181" i="31"/>
  <c r="T181" i="31"/>
  <c r="S181" i="31"/>
  <c r="R181" i="31"/>
  <c r="Q181" i="31"/>
  <c r="P181" i="31"/>
  <c r="O181" i="31"/>
  <c r="X180" i="31"/>
  <c r="W180" i="31"/>
  <c r="V180" i="31"/>
  <c r="U180" i="31"/>
  <c r="T180" i="31"/>
  <c r="S180" i="31"/>
  <c r="R180" i="31"/>
  <c r="Q180" i="31"/>
  <c r="P180" i="31"/>
  <c r="O180" i="31"/>
  <c r="X179" i="31"/>
  <c r="W179" i="31"/>
  <c r="V179" i="31"/>
  <c r="U179" i="31"/>
  <c r="T179" i="31"/>
  <c r="S179" i="31"/>
  <c r="R179" i="31"/>
  <c r="Q179" i="31"/>
  <c r="P179" i="31"/>
  <c r="O179" i="31"/>
  <c r="X178" i="31"/>
  <c r="W178" i="31"/>
  <c r="V178" i="31"/>
  <c r="U178" i="31"/>
  <c r="T178" i="31"/>
  <c r="S178" i="31"/>
  <c r="R178" i="31"/>
  <c r="Q178" i="31"/>
  <c r="P178" i="31"/>
  <c r="O178" i="31"/>
  <c r="X177" i="31"/>
  <c r="W177" i="31"/>
  <c r="V177" i="31"/>
  <c r="U177" i="31"/>
  <c r="T177" i="31"/>
  <c r="S177" i="31"/>
  <c r="R177" i="31"/>
  <c r="Q177" i="31"/>
  <c r="P177" i="31"/>
  <c r="O177" i="31"/>
  <c r="X176" i="31"/>
  <c r="W176" i="31"/>
  <c r="V176" i="31"/>
  <c r="U176" i="31"/>
  <c r="T176" i="31"/>
  <c r="S176" i="31"/>
  <c r="R176" i="31"/>
  <c r="Q176" i="31"/>
  <c r="P176" i="31"/>
  <c r="O176" i="31"/>
  <c r="X175" i="31"/>
  <c r="W175" i="31"/>
  <c r="V175" i="31"/>
  <c r="U175" i="31"/>
  <c r="T175" i="31"/>
  <c r="S175" i="31"/>
  <c r="R175" i="31"/>
  <c r="Q175" i="31"/>
  <c r="P175" i="31"/>
  <c r="O175" i="31"/>
  <c r="X174" i="31"/>
  <c r="W174" i="31"/>
  <c r="V174" i="31"/>
  <c r="U174" i="31"/>
  <c r="T174" i="31"/>
  <c r="S174" i="31"/>
  <c r="R174" i="31"/>
  <c r="Q174" i="31"/>
  <c r="P174" i="31"/>
  <c r="O174" i="31"/>
  <c r="X173" i="31"/>
  <c r="W173" i="31"/>
  <c r="V173" i="31"/>
  <c r="U173" i="31"/>
  <c r="T173" i="31"/>
  <c r="S173" i="31"/>
  <c r="R173" i="31"/>
  <c r="Q173" i="31"/>
  <c r="P173" i="31"/>
  <c r="O173" i="31"/>
  <c r="X172" i="31"/>
  <c r="W172" i="31"/>
  <c r="V172" i="31"/>
  <c r="U172" i="31"/>
  <c r="T172" i="31"/>
  <c r="S172" i="31"/>
  <c r="R172" i="31"/>
  <c r="Q172" i="31"/>
  <c r="P172" i="31"/>
  <c r="O172" i="31"/>
  <c r="X171" i="31"/>
  <c r="W171" i="31"/>
  <c r="V171" i="31"/>
  <c r="U171" i="31"/>
  <c r="T171" i="31"/>
  <c r="S171" i="31"/>
  <c r="R171" i="31"/>
  <c r="Q171" i="31"/>
  <c r="P171" i="31"/>
  <c r="O171" i="31"/>
  <c r="X170" i="31"/>
  <c r="W170" i="31"/>
  <c r="V170" i="31"/>
  <c r="U170" i="31"/>
  <c r="T170" i="31"/>
  <c r="S170" i="31"/>
  <c r="R170" i="31"/>
  <c r="Q170" i="31"/>
  <c r="P170" i="31"/>
  <c r="O170" i="31"/>
  <c r="X169" i="31"/>
  <c r="W169" i="31"/>
  <c r="V169" i="31"/>
  <c r="U169" i="31"/>
  <c r="T169" i="31"/>
  <c r="S169" i="31"/>
  <c r="R169" i="31"/>
  <c r="Q169" i="31"/>
  <c r="P169" i="31"/>
  <c r="O169" i="31"/>
  <c r="X168" i="31"/>
  <c r="W168" i="31"/>
  <c r="V168" i="31"/>
  <c r="U168" i="31"/>
  <c r="T168" i="31"/>
  <c r="S168" i="31"/>
  <c r="R168" i="31"/>
  <c r="Q168" i="31"/>
  <c r="P168" i="31"/>
  <c r="O168" i="31"/>
  <c r="X167" i="31"/>
  <c r="W167" i="31"/>
  <c r="V167" i="31"/>
  <c r="U167" i="31"/>
  <c r="T167" i="31"/>
  <c r="S167" i="31"/>
  <c r="R167" i="31"/>
  <c r="Q167" i="31"/>
  <c r="P167" i="31"/>
  <c r="O167" i="31"/>
  <c r="X166" i="31"/>
  <c r="W166" i="31"/>
  <c r="V166" i="31"/>
  <c r="U166" i="31"/>
  <c r="T166" i="31"/>
  <c r="S166" i="31"/>
  <c r="R166" i="31"/>
  <c r="Q166" i="31"/>
  <c r="P166" i="31"/>
  <c r="O166" i="31"/>
  <c r="X165" i="31"/>
  <c r="W165" i="31"/>
  <c r="V165" i="31"/>
  <c r="U165" i="31"/>
  <c r="T165" i="31"/>
  <c r="S165" i="31"/>
  <c r="R165" i="31"/>
  <c r="Q165" i="31"/>
  <c r="P165" i="31"/>
  <c r="O165" i="31"/>
  <c r="X164" i="31"/>
  <c r="W164" i="31"/>
  <c r="V164" i="31"/>
  <c r="U164" i="31"/>
  <c r="T164" i="31"/>
  <c r="S164" i="31"/>
  <c r="R164" i="31"/>
  <c r="Q164" i="31"/>
  <c r="P164" i="31"/>
  <c r="O164" i="31"/>
  <c r="X163" i="31"/>
  <c r="W163" i="31"/>
  <c r="V163" i="31"/>
  <c r="U163" i="31"/>
  <c r="T163" i="31"/>
  <c r="S163" i="31"/>
  <c r="R163" i="31"/>
  <c r="Q163" i="31"/>
  <c r="P163" i="31"/>
  <c r="O163" i="31"/>
  <c r="X162" i="31"/>
  <c r="W162" i="31"/>
  <c r="V162" i="31"/>
  <c r="U162" i="31"/>
  <c r="T162" i="31"/>
  <c r="S162" i="31"/>
  <c r="R162" i="31"/>
  <c r="Q162" i="31"/>
  <c r="P162" i="31"/>
  <c r="O162" i="31"/>
  <c r="X161" i="31"/>
  <c r="W161" i="31"/>
  <c r="V161" i="31"/>
  <c r="U161" i="31"/>
  <c r="T161" i="31"/>
  <c r="S161" i="31"/>
  <c r="R161" i="31"/>
  <c r="Q161" i="31"/>
  <c r="P161" i="31"/>
  <c r="O161" i="31"/>
  <c r="X160" i="31"/>
  <c r="W160" i="31"/>
  <c r="V160" i="31"/>
  <c r="U160" i="31"/>
  <c r="T160" i="31"/>
  <c r="S160" i="31"/>
  <c r="R160" i="31"/>
  <c r="Q160" i="31"/>
  <c r="P160" i="31"/>
  <c r="O160" i="31"/>
  <c r="X159" i="31"/>
  <c r="W159" i="31"/>
  <c r="V159" i="31"/>
  <c r="U159" i="31"/>
  <c r="T159" i="31"/>
  <c r="S159" i="31"/>
  <c r="R159" i="31"/>
  <c r="Q159" i="31"/>
  <c r="P159" i="31"/>
  <c r="O159" i="31"/>
  <c r="X158" i="31"/>
  <c r="W158" i="31"/>
  <c r="V158" i="31"/>
  <c r="U158" i="31"/>
  <c r="T158" i="31"/>
  <c r="S158" i="31"/>
  <c r="R158" i="31"/>
  <c r="Q158" i="31"/>
  <c r="P158" i="31"/>
  <c r="O158" i="31"/>
  <c r="X157" i="31"/>
  <c r="W157" i="31"/>
  <c r="V157" i="31"/>
  <c r="U157" i="31"/>
  <c r="T157" i="31"/>
  <c r="S157" i="31"/>
  <c r="R157" i="31"/>
  <c r="Q157" i="31"/>
  <c r="P157" i="31"/>
  <c r="O157" i="31"/>
  <c r="X156" i="31"/>
  <c r="W156" i="31"/>
  <c r="V156" i="31"/>
  <c r="U156" i="31"/>
  <c r="T156" i="31"/>
  <c r="S156" i="31"/>
  <c r="R156" i="31"/>
  <c r="Q156" i="31"/>
  <c r="P156" i="31"/>
  <c r="O156" i="31"/>
  <c r="X155" i="31"/>
  <c r="W155" i="31"/>
  <c r="V155" i="31"/>
  <c r="U155" i="31"/>
  <c r="T155" i="31"/>
  <c r="S155" i="31"/>
  <c r="R155" i="31"/>
  <c r="Q155" i="31"/>
  <c r="P155" i="31"/>
  <c r="O155" i="31"/>
  <c r="X154" i="31"/>
  <c r="W154" i="31"/>
  <c r="V154" i="31"/>
  <c r="U154" i="31"/>
  <c r="T154" i="31"/>
  <c r="S154" i="31"/>
  <c r="R154" i="31"/>
  <c r="Q154" i="31"/>
  <c r="P154" i="31"/>
  <c r="O154" i="31"/>
  <c r="X153" i="31"/>
  <c r="W153" i="31"/>
  <c r="V153" i="31"/>
  <c r="U153" i="31"/>
  <c r="T153" i="31"/>
  <c r="S153" i="31"/>
  <c r="R153" i="31"/>
  <c r="Q153" i="31"/>
  <c r="P153" i="31"/>
  <c r="O153" i="31"/>
  <c r="X152" i="31"/>
  <c r="W152" i="31"/>
  <c r="V152" i="31"/>
  <c r="U152" i="31"/>
  <c r="T152" i="31"/>
  <c r="S152" i="31"/>
  <c r="R152" i="31"/>
  <c r="Q152" i="31"/>
  <c r="P152" i="31"/>
  <c r="O152" i="31"/>
  <c r="X151" i="31"/>
  <c r="W151" i="31"/>
  <c r="V151" i="31"/>
  <c r="U151" i="31"/>
  <c r="T151" i="31"/>
  <c r="S151" i="31"/>
  <c r="R151" i="31"/>
  <c r="Q151" i="31"/>
  <c r="P151" i="31"/>
  <c r="O151" i="31"/>
  <c r="X150" i="31"/>
  <c r="W150" i="31"/>
  <c r="V150" i="31"/>
  <c r="U150" i="31"/>
  <c r="T150" i="31"/>
  <c r="S150" i="31"/>
  <c r="R150" i="31"/>
  <c r="Q150" i="31"/>
  <c r="P150" i="31"/>
  <c r="O150" i="31"/>
  <c r="X149" i="31"/>
  <c r="W149" i="31"/>
  <c r="V149" i="31"/>
  <c r="U149" i="31"/>
  <c r="T149" i="31"/>
  <c r="S149" i="31"/>
  <c r="R149" i="31"/>
  <c r="Q149" i="31"/>
  <c r="P149" i="31"/>
  <c r="O149" i="31"/>
  <c r="X148" i="31"/>
  <c r="W148" i="31"/>
  <c r="V148" i="31"/>
  <c r="U148" i="31"/>
  <c r="T148" i="31"/>
  <c r="S148" i="31"/>
  <c r="R148" i="31"/>
  <c r="Q148" i="31"/>
  <c r="P148" i="31"/>
  <c r="O148" i="31"/>
  <c r="X147" i="31"/>
  <c r="W147" i="31"/>
  <c r="V147" i="31"/>
  <c r="U147" i="31"/>
  <c r="T147" i="31"/>
  <c r="S147" i="31"/>
  <c r="R147" i="31"/>
  <c r="Q147" i="31"/>
  <c r="P147" i="31"/>
  <c r="O147" i="31"/>
  <c r="X146" i="31"/>
  <c r="W146" i="31"/>
  <c r="V146" i="31"/>
  <c r="U146" i="31"/>
  <c r="T146" i="31"/>
  <c r="S146" i="31"/>
  <c r="R146" i="31"/>
  <c r="Q146" i="31"/>
  <c r="P146" i="31"/>
  <c r="O146" i="31"/>
  <c r="X145" i="31"/>
  <c r="W145" i="31"/>
  <c r="V145" i="31"/>
  <c r="U145" i="31"/>
  <c r="T145" i="31"/>
  <c r="S145" i="31"/>
  <c r="R145" i="31"/>
  <c r="Q145" i="31"/>
  <c r="P145" i="31"/>
  <c r="O145" i="31"/>
  <c r="X144" i="31"/>
  <c r="W144" i="31"/>
  <c r="V144" i="31"/>
  <c r="U144" i="31"/>
  <c r="T144" i="31"/>
  <c r="S144" i="31"/>
  <c r="R144" i="31"/>
  <c r="Q144" i="31"/>
  <c r="P144" i="31"/>
  <c r="O144" i="31"/>
  <c r="X143" i="31"/>
  <c r="W143" i="31"/>
  <c r="V143" i="31"/>
  <c r="U143" i="31"/>
  <c r="T143" i="31"/>
  <c r="S143" i="31"/>
  <c r="R143" i="31"/>
  <c r="Q143" i="31"/>
  <c r="P143" i="31"/>
  <c r="O143" i="31"/>
  <c r="X142" i="31"/>
  <c r="W142" i="31"/>
  <c r="V142" i="31"/>
  <c r="U142" i="31"/>
  <c r="T142" i="31"/>
  <c r="S142" i="31"/>
  <c r="R142" i="31"/>
  <c r="Q142" i="31"/>
  <c r="P142" i="31"/>
  <c r="O142" i="31"/>
  <c r="X141" i="31"/>
  <c r="W141" i="31"/>
  <c r="V141" i="31"/>
  <c r="U141" i="31"/>
  <c r="T141" i="31"/>
  <c r="S141" i="31"/>
  <c r="R141" i="31"/>
  <c r="Q141" i="31"/>
  <c r="P141" i="31"/>
  <c r="O141" i="31"/>
  <c r="X140" i="31"/>
  <c r="W140" i="31"/>
  <c r="V140" i="31"/>
  <c r="U140" i="31"/>
  <c r="T140" i="31"/>
  <c r="S140" i="31"/>
  <c r="R140" i="31"/>
  <c r="Q140" i="31"/>
  <c r="P140" i="31"/>
  <c r="O140" i="31"/>
  <c r="X139" i="31"/>
  <c r="W139" i="31"/>
  <c r="V139" i="31"/>
  <c r="U139" i="31"/>
  <c r="T139" i="31"/>
  <c r="S139" i="31"/>
  <c r="R139" i="31"/>
  <c r="Q139" i="31"/>
  <c r="P139" i="31"/>
  <c r="O139" i="31"/>
  <c r="X138" i="31"/>
  <c r="W138" i="31"/>
  <c r="V138" i="31"/>
  <c r="U138" i="31"/>
  <c r="T138" i="31"/>
  <c r="S138" i="31"/>
  <c r="R138" i="31"/>
  <c r="Q138" i="31"/>
  <c r="P138" i="31"/>
  <c r="O138" i="31"/>
  <c r="X137" i="31"/>
  <c r="W137" i="31"/>
  <c r="V137" i="31"/>
  <c r="U137" i="31"/>
  <c r="T137" i="31"/>
  <c r="S137" i="31"/>
  <c r="R137" i="31"/>
  <c r="Q137" i="31"/>
  <c r="P137" i="31"/>
  <c r="O137" i="31"/>
  <c r="X136" i="31"/>
  <c r="W136" i="31"/>
  <c r="V136" i="31"/>
  <c r="U136" i="31"/>
  <c r="T136" i="31"/>
  <c r="S136" i="31"/>
  <c r="R136" i="31"/>
  <c r="Q136" i="31"/>
  <c r="P136" i="31"/>
  <c r="O136" i="31"/>
  <c r="X135" i="31"/>
  <c r="W135" i="31"/>
  <c r="V135" i="31"/>
  <c r="U135" i="31"/>
  <c r="T135" i="31"/>
  <c r="S135" i="31"/>
  <c r="R135" i="31"/>
  <c r="Q135" i="31"/>
  <c r="P135" i="31"/>
  <c r="O135" i="31"/>
  <c r="X134" i="31"/>
  <c r="W134" i="31"/>
  <c r="V134" i="31"/>
  <c r="U134" i="31"/>
  <c r="T134" i="31"/>
  <c r="S134" i="31"/>
  <c r="R134" i="31"/>
  <c r="Q134" i="31"/>
  <c r="P134" i="31"/>
  <c r="O134" i="31"/>
  <c r="X133" i="31"/>
  <c r="W133" i="31"/>
  <c r="V133" i="31"/>
  <c r="U133" i="31"/>
  <c r="T133" i="31"/>
  <c r="S133" i="31"/>
  <c r="R133" i="31"/>
  <c r="Q133" i="31"/>
  <c r="P133" i="31"/>
  <c r="O133" i="31"/>
  <c r="X132" i="31"/>
  <c r="W132" i="31"/>
  <c r="V132" i="31"/>
  <c r="U132" i="31"/>
  <c r="T132" i="31"/>
  <c r="S132" i="31"/>
  <c r="R132" i="31"/>
  <c r="Q132" i="31"/>
  <c r="P132" i="31"/>
  <c r="O132" i="31"/>
  <c r="X131" i="31"/>
  <c r="W131" i="31"/>
  <c r="V131" i="31"/>
  <c r="U131" i="31"/>
  <c r="T131" i="31"/>
  <c r="S131" i="31"/>
  <c r="R131" i="31"/>
  <c r="Q131" i="31"/>
  <c r="P131" i="31"/>
  <c r="O131" i="31"/>
  <c r="X130" i="31"/>
  <c r="W130" i="31"/>
  <c r="V130" i="31"/>
  <c r="U130" i="31"/>
  <c r="T130" i="31"/>
  <c r="S130" i="31"/>
  <c r="R130" i="31"/>
  <c r="Q130" i="31"/>
  <c r="P130" i="31"/>
  <c r="O130" i="31"/>
  <c r="X129" i="31"/>
  <c r="W129" i="31"/>
  <c r="V129" i="31"/>
  <c r="U129" i="31"/>
  <c r="T129" i="31"/>
  <c r="S129" i="31"/>
  <c r="R129" i="31"/>
  <c r="Q129" i="31"/>
  <c r="P129" i="31"/>
  <c r="O129" i="31"/>
  <c r="X128" i="31"/>
  <c r="W128" i="31"/>
  <c r="V128" i="31"/>
  <c r="U128" i="31"/>
  <c r="T128" i="31"/>
  <c r="S128" i="31"/>
  <c r="R128" i="31"/>
  <c r="Q128" i="31"/>
  <c r="P128" i="31"/>
  <c r="O128" i="31"/>
  <c r="X127" i="31"/>
  <c r="W127" i="31"/>
  <c r="V127" i="31"/>
  <c r="U127" i="31"/>
  <c r="T127" i="31"/>
  <c r="S127" i="31"/>
  <c r="R127" i="31"/>
  <c r="Q127" i="31"/>
  <c r="P127" i="31"/>
  <c r="O127" i="31"/>
  <c r="X126" i="31"/>
  <c r="W126" i="31"/>
  <c r="V126" i="31"/>
  <c r="U126" i="31"/>
  <c r="T126" i="31"/>
  <c r="S126" i="31"/>
  <c r="R126" i="31"/>
  <c r="Q126" i="31"/>
  <c r="P126" i="31"/>
  <c r="O126" i="31"/>
  <c r="X125" i="31"/>
  <c r="W125" i="31"/>
  <c r="V125" i="31"/>
  <c r="U125" i="31"/>
  <c r="T125" i="31"/>
  <c r="S125" i="31"/>
  <c r="R125" i="31"/>
  <c r="Q125" i="31"/>
  <c r="P125" i="31"/>
  <c r="O125" i="31"/>
  <c r="X124" i="31"/>
  <c r="W124" i="31"/>
  <c r="V124" i="31"/>
  <c r="U124" i="31"/>
  <c r="T124" i="31"/>
  <c r="S124" i="31"/>
  <c r="R124" i="31"/>
  <c r="Q124" i="31"/>
  <c r="P124" i="31"/>
  <c r="O124" i="31"/>
  <c r="X123" i="31"/>
  <c r="W123" i="31"/>
  <c r="V123" i="31"/>
  <c r="U123" i="31"/>
  <c r="T123" i="31"/>
  <c r="S123" i="31"/>
  <c r="R123" i="31"/>
  <c r="Q123" i="31"/>
  <c r="P123" i="31"/>
  <c r="O123" i="31"/>
  <c r="X122" i="31"/>
  <c r="W122" i="31"/>
  <c r="V122" i="31"/>
  <c r="U122" i="31"/>
  <c r="T122" i="31"/>
  <c r="S122" i="31"/>
  <c r="R122" i="31"/>
  <c r="Q122" i="31"/>
  <c r="P122" i="31"/>
  <c r="O122" i="31"/>
  <c r="X121" i="31"/>
  <c r="W121" i="31"/>
  <c r="V121" i="31"/>
  <c r="U121" i="31"/>
  <c r="T121" i="31"/>
  <c r="S121" i="31"/>
  <c r="R121" i="31"/>
  <c r="Q121" i="31"/>
  <c r="P121" i="31"/>
  <c r="O121" i="31"/>
  <c r="X120" i="31"/>
  <c r="W120" i="31"/>
  <c r="V120" i="31"/>
  <c r="U120" i="31"/>
  <c r="T120" i="31"/>
  <c r="S120" i="31"/>
  <c r="R120" i="31"/>
  <c r="Q120" i="31"/>
  <c r="P120" i="31"/>
  <c r="O120" i="31"/>
  <c r="X119" i="31"/>
  <c r="W119" i="31"/>
  <c r="V119" i="31"/>
  <c r="U119" i="31"/>
  <c r="T119" i="31"/>
  <c r="S119" i="31"/>
  <c r="R119" i="31"/>
  <c r="Q119" i="31"/>
  <c r="P119" i="31"/>
  <c r="O119" i="31"/>
  <c r="X118" i="31"/>
  <c r="W118" i="31"/>
  <c r="V118" i="31"/>
  <c r="U118" i="31"/>
  <c r="T118" i="31"/>
  <c r="S118" i="31"/>
  <c r="R118" i="31"/>
  <c r="Q118" i="31"/>
  <c r="P118" i="31"/>
  <c r="O118" i="31"/>
  <c r="X117" i="31"/>
  <c r="W117" i="31"/>
  <c r="V117" i="31"/>
  <c r="U117" i="31"/>
  <c r="T117" i="31"/>
  <c r="S117" i="31"/>
  <c r="R117" i="31"/>
  <c r="Q117" i="31"/>
  <c r="P117" i="31"/>
  <c r="O117" i="31"/>
  <c r="X116" i="31"/>
  <c r="W116" i="31"/>
  <c r="V116" i="31"/>
  <c r="U116" i="31"/>
  <c r="T116" i="31"/>
  <c r="S116" i="31"/>
  <c r="R116" i="31"/>
  <c r="Q116" i="31"/>
  <c r="P116" i="31"/>
  <c r="O116" i="31"/>
  <c r="X115" i="31"/>
  <c r="W115" i="31"/>
  <c r="V115" i="31"/>
  <c r="U115" i="31"/>
  <c r="T115" i="31"/>
  <c r="S115" i="31"/>
  <c r="R115" i="31"/>
  <c r="Q115" i="31"/>
  <c r="P115" i="31"/>
  <c r="O115" i="31"/>
  <c r="X114" i="31"/>
  <c r="W114" i="31"/>
  <c r="V114" i="31"/>
  <c r="U114" i="31"/>
  <c r="T114" i="31"/>
  <c r="S114" i="31"/>
  <c r="R114" i="31"/>
  <c r="Q114" i="31"/>
  <c r="P114" i="31"/>
  <c r="O114" i="31"/>
  <c r="X113" i="31"/>
  <c r="W113" i="31"/>
  <c r="V113" i="31"/>
  <c r="U113" i="31"/>
  <c r="T113" i="31"/>
  <c r="S113" i="31"/>
  <c r="R113" i="31"/>
  <c r="Q113" i="31"/>
  <c r="P113" i="31"/>
  <c r="O113" i="31"/>
  <c r="X112" i="31"/>
  <c r="W112" i="31"/>
  <c r="V112" i="31"/>
  <c r="U112" i="31"/>
  <c r="T112" i="31"/>
  <c r="S112" i="31"/>
  <c r="R112" i="31"/>
  <c r="Q112" i="31"/>
  <c r="P112" i="31"/>
  <c r="O112" i="31"/>
  <c r="X111" i="31"/>
  <c r="W111" i="31"/>
  <c r="V111" i="31"/>
  <c r="U111" i="31"/>
  <c r="T111" i="31"/>
  <c r="S111" i="31"/>
  <c r="R111" i="31"/>
  <c r="Q111" i="31"/>
  <c r="P111" i="31"/>
  <c r="O111" i="31"/>
  <c r="X110" i="31"/>
  <c r="W110" i="31"/>
  <c r="V110" i="31"/>
  <c r="U110" i="31"/>
  <c r="T110" i="31"/>
  <c r="S110" i="31"/>
  <c r="R110" i="31"/>
  <c r="Q110" i="31"/>
  <c r="P110" i="31"/>
  <c r="O110" i="31"/>
  <c r="X109" i="31"/>
  <c r="W109" i="31"/>
  <c r="V109" i="31"/>
  <c r="U109" i="31"/>
  <c r="T109" i="31"/>
  <c r="S109" i="31"/>
  <c r="R109" i="31"/>
  <c r="Q109" i="31"/>
  <c r="P109" i="31"/>
  <c r="O109" i="31"/>
  <c r="X108" i="31"/>
  <c r="W108" i="31"/>
  <c r="V108" i="31"/>
  <c r="U108" i="31"/>
  <c r="T108" i="31"/>
  <c r="S108" i="31"/>
  <c r="R108" i="31"/>
  <c r="Q108" i="31"/>
  <c r="P108" i="31"/>
  <c r="O108" i="31"/>
  <c r="X107" i="31"/>
  <c r="W107" i="31"/>
  <c r="V107" i="31"/>
  <c r="U107" i="31"/>
  <c r="T107" i="31"/>
  <c r="S107" i="31"/>
  <c r="R107" i="31"/>
  <c r="Q107" i="31"/>
  <c r="P107" i="31"/>
  <c r="O107" i="31"/>
  <c r="X106" i="31"/>
  <c r="W106" i="31"/>
  <c r="V106" i="31"/>
  <c r="U106" i="31"/>
  <c r="T106" i="31"/>
  <c r="S106" i="31"/>
  <c r="R106" i="31"/>
  <c r="Q106" i="31"/>
  <c r="P106" i="31"/>
  <c r="O106" i="31"/>
  <c r="X105" i="31"/>
  <c r="W105" i="31"/>
  <c r="V105" i="31"/>
  <c r="U105" i="31"/>
  <c r="T105" i="31"/>
  <c r="S105" i="31"/>
  <c r="R105" i="31"/>
  <c r="Q105" i="31"/>
  <c r="P105" i="31"/>
  <c r="O105" i="31"/>
  <c r="X104" i="31"/>
  <c r="W104" i="31"/>
  <c r="V104" i="31"/>
  <c r="U104" i="31"/>
  <c r="T104" i="31"/>
  <c r="S104" i="31"/>
  <c r="R104" i="31"/>
  <c r="Q104" i="31"/>
  <c r="P104" i="31"/>
  <c r="O104" i="31"/>
  <c r="X103" i="31"/>
  <c r="W103" i="31"/>
  <c r="V103" i="31"/>
  <c r="U103" i="31"/>
  <c r="T103" i="31"/>
  <c r="S103" i="31"/>
  <c r="R103" i="31"/>
  <c r="Q103" i="31"/>
  <c r="P103" i="31"/>
  <c r="O103" i="31"/>
  <c r="X102" i="31"/>
  <c r="W102" i="31"/>
  <c r="V102" i="31"/>
  <c r="U102" i="31"/>
  <c r="T102" i="31"/>
  <c r="S102" i="31"/>
  <c r="R102" i="31"/>
  <c r="Q102" i="31"/>
  <c r="P102" i="31"/>
  <c r="O102" i="31"/>
  <c r="X101" i="31"/>
  <c r="W101" i="31"/>
  <c r="V101" i="31"/>
  <c r="U101" i="31"/>
  <c r="T101" i="31"/>
  <c r="S101" i="31"/>
  <c r="R101" i="31"/>
  <c r="Q101" i="31"/>
  <c r="P101" i="31"/>
  <c r="O101" i="31"/>
  <c r="X100" i="31"/>
  <c r="W100" i="31"/>
  <c r="V100" i="31"/>
  <c r="U100" i="31"/>
  <c r="T100" i="31"/>
  <c r="S100" i="31"/>
  <c r="R100" i="31"/>
  <c r="Q100" i="31"/>
  <c r="P100" i="31"/>
  <c r="O100" i="31"/>
  <c r="X99" i="31"/>
  <c r="W99" i="31"/>
  <c r="V99" i="31"/>
  <c r="U99" i="31"/>
  <c r="T99" i="31"/>
  <c r="S99" i="31"/>
  <c r="R99" i="31"/>
  <c r="Q99" i="31"/>
  <c r="P99" i="31"/>
  <c r="O99" i="31"/>
  <c r="X98" i="31"/>
  <c r="W98" i="31"/>
  <c r="V98" i="31"/>
  <c r="U98" i="31"/>
  <c r="T98" i="31"/>
  <c r="S98" i="31"/>
  <c r="R98" i="31"/>
  <c r="Q98" i="31"/>
  <c r="P98" i="31"/>
  <c r="O98" i="31"/>
  <c r="X97" i="31"/>
  <c r="W97" i="31"/>
  <c r="V97" i="31"/>
  <c r="U97" i="31"/>
  <c r="T97" i="31"/>
  <c r="S97" i="31"/>
  <c r="R97" i="31"/>
  <c r="Q97" i="31"/>
  <c r="P97" i="31"/>
  <c r="O97" i="31"/>
  <c r="X96" i="31"/>
  <c r="W96" i="31"/>
  <c r="V96" i="31"/>
  <c r="U96" i="31"/>
  <c r="T96" i="31"/>
  <c r="S96" i="31"/>
  <c r="R96" i="31"/>
  <c r="Q96" i="31"/>
  <c r="P96" i="31"/>
  <c r="O96" i="31"/>
  <c r="X95" i="31"/>
  <c r="W95" i="31"/>
  <c r="V95" i="31"/>
  <c r="U95" i="31"/>
  <c r="T95" i="31"/>
  <c r="S95" i="31"/>
  <c r="R95" i="31"/>
  <c r="Q95" i="31"/>
  <c r="P95" i="31"/>
  <c r="O95" i="31"/>
  <c r="X94" i="31"/>
  <c r="W94" i="31"/>
  <c r="V94" i="31"/>
  <c r="U94" i="31"/>
  <c r="T94" i="31"/>
  <c r="S94" i="31"/>
  <c r="R94" i="31"/>
  <c r="Q94" i="31"/>
  <c r="P94" i="31"/>
  <c r="O94" i="31"/>
  <c r="X93" i="31"/>
  <c r="W93" i="31"/>
  <c r="V93" i="31"/>
  <c r="U93" i="31"/>
  <c r="T93" i="31"/>
  <c r="S93" i="31"/>
  <c r="R93" i="31"/>
  <c r="Q93" i="31"/>
  <c r="P93" i="31"/>
  <c r="O93" i="31"/>
  <c r="X92" i="31"/>
  <c r="W92" i="31"/>
  <c r="V92" i="31"/>
  <c r="U92" i="31"/>
  <c r="T92" i="31"/>
  <c r="S92" i="31"/>
  <c r="R92" i="31"/>
  <c r="Q92" i="31"/>
  <c r="P92" i="31"/>
  <c r="O92" i="31"/>
  <c r="X91" i="31"/>
  <c r="W91" i="31"/>
  <c r="V91" i="31"/>
  <c r="U91" i="31"/>
  <c r="T91" i="31"/>
  <c r="S91" i="31"/>
  <c r="R91" i="31"/>
  <c r="Q91" i="31"/>
  <c r="P91" i="31"/>
  <c r="O91" i="31"/>
  <c r="X90" i="31"/>
  <c r="W90" i="31"/>
  <c r="V90" i="31"/>
  <c r="U90" i="31"/>
  <c r="T90" i="31"/>
  <c r="S90" i="31"/>
  <c r="R90" i="31"/>
  <c r="Q90" i="31"/>
  <c r="P90" i="31"/>
  <c r="O90" i="31"/>
  <c r="X89" i="31"/>
  <c r="W89" i="31"/>
  <c r="V89" i="31"/>
  <c r="U89" i="31"/>
  <c r="T89" i="31"/>
  <c r="S89" i="31"/>
  <c r="R89" i="31"/>
  <c r="Q89" i="31"/>
  <c r="P89" i="31"/>
  <c r="O89" i="31"/>
  <c r="X88" i="31"/>
  <c r="W88" i="31"/>
  <c r="V88" i="31"/>
  <c r="U88" i="31"/>
  <c r="T88" i="31"/>
  <c r="S88" i="31"/>
  <c r="R88" i="31"/>
  <c r="Q88" i="31"/>
  <c r="P88" i="31"/>
  <c r="O88" i="31"/>
  <c r="X87" i="31"/>
  <c r="W87" i="31"/>
  <c r="V87" i="31"/>
  <c r="U87" i="31"/>
  <c r="T87" i="31"/>
  <c r="S87" i="31"/>
  <c r="R87" i="31"/>
  <c r="Q87" i="31"/>
  <c r="P87" i="31"/>
  <c r="O87" i="31"/>
  <c r="X86" i="31"/>
  <c r="W86" i="31"/>
  <c r="V86" i="31"/>
  <c r="U86" i="31"/>
  <c r="T86" i="31"/>
  <c r="S86" i="31"/>
  <c r="R86" i="31"/>
  <c r="Q86" i="31"/>
  <c r="P86" i="31"/>
  <c r="O86" i="31"/>
  <c r="X85" i="31"/>
  <c r="W85" i="31"/>
  <c r="V85" i="31"/>
  <c r="U85" i="31"/>
  <c r="T85" i="31"/>
  <c r="S85" i="31"/>
  <c r="R85" i="31"/>
  <c r="Q85" i="31"/>
  <c r="P85" i="31"/>
  <c r="O85" i="31"/>
  <c r="X84" i="31"/>
  <c r="W84" i="31"/>
  <c r="V84" i="31"/>
  <c r="U84" i="31"/>
  <c r="T84" i="31"/>
  <c r="S84" i="31"/>
  <c r="R84" i="31"/>
  <c r="Q84" i="31"/>
  <c r="P84" i="31"/>
  <c r="O84" i="31"/>
  <c r="X83" i="31"/>
  <c r="W83" i="31"/>
  <c r="V83" i="31"/>
  <c r="U83" i="31"/>
  <c r="T83" i="31"/>
  <c r="S83" i="31"/>
  <c r="R83" i="31"/>
  <c r="Q83" i="31"/>
  <c r="P83" i="31"/>
  <c r="O83" i="31"/>
  <c r="X82" i="31"/>
  <c r="W82" i="31"/>
  <c r="V82" i="31"/>
  <c r="U82" i="31"/>
  <c r="T82" i="31"/>
  <c r="S82" i="31"/>
  <c r="R82" i="31"/>
  <c r="Q82" i="31"/>
  <c r="P82" i="31"/>
  <c r="O82" i="31"/>
  <c r="X81" i="31"/>
  <c r="W81" i="31"/>
  <c r="V81" i="31"/>
  <c r="U81" i="31"/>
  <c r="T81" i="31"/>
  <c r="S81" i="31"/>
  <c r="R81" i="31"/>
  <c r="Q81" i="31"/>
  <c r="P81" i="31"/>
  <c r="O81" i="31"/>
  <c r="X80" i="31"/>
  <c r="W80" i="31"/>
  <c r="V80" i="31"/>
  <c r="U80" i="31"/>
  <c r="T80" i="31"/>
  <c r="S80" i="31"/>
  <c r="R80" i="31"/>
  <c r="Q80" i="31"/>
  <c r="P80" i="31"/>
  <c r="O80" i="31"/>
  <c r="X79" i="31"/>
  <c r="W79" i="31"/>
  <c r="V79" i="31"/>
  <c r="U79" i="31"/>
  <c r="T79" i="31"/>
  <c r="S79" i="31"/>
  <c r="R79" i="31"/>
  <c r="Q79" i="31"/>
  <c r="P79" i="31"/>
  <c r="O79" i="31"/>
  <c r="X78" i="31"/>
  <c r="W78" i="31"/>
  <c r="V78" i="31"/>
  <c r="U78" i="31"/>
  <c r="T78" i="31"/>
  <c r="S78" i="31"/>
  <c r="R78" i="31"/>
  <c r="Q78" i="31"/>
  <c r="P78" i="31"/>
  <c r="O78" i="31"/>
  <c r="X77" i="31"/>
  <c r="W77" i="31"/>
  <c r="V77" i="31"/>
  <c r="U77" i="31"/>
  <c r="T77" i="31"/>
  <c r="S77" i="31"/>
  <c r="R77" i="31"/>
  <c r="Q77" i="31"/>
  <c r="P77" i="31"/>
  <c r="O77" i="31"/>
  <c r="X76" i="31"/>
  <c r="W76" i="31"/>
  <c r="V76" i="31"/>
  <c r="U76" i="31"/>
  <c r="T76" i="31"/>
  <c r="S76" i="31"/>
  <c r="R76" i="31"/>
  <c r="Q76" i="31"/>
  <c r="P76" i="31"/>
  <c r="O76" i="31"/>
  <c r="X75" i="31"/>
  <c r="W75" i="31"/>
  <c r="V75" i="31"/>
  <c r="U75" i="31"/>
  <c r="T75" i="31"/>
  <c r="S75" i="31"/>
  <c r="R75" i="31"/>
  <c r="Q75" i="31"/>
  <c r="P75" i="31"/>
  <c r="O75" i="31"/>
  <c r="X74" i="31"/>
  <c r="W74" i="31"/>
  <c r="V74" i="31"/>
  <c r="U74" i="31"/>
  <c r="T74" i="31"/>
  <c r="S74" i="31"/>
  <c r="R74" i="31"/>
  <c r="Q74" i="31"/>
  <c r="P74" i="31"/>
  <c r="O74" i="31"/>
  <c r="X73" i="31"/>
  <c r="W73" i="31"/>
  <c r="V73" i="31"/>
  <c r="U73" i="31"/>
  <c r="T73" i="31"/>
  <c r="S73" i="31"/>
  <c r="R73" i="31"/>
  <c r="Q73" i="31"/>
  <c r="P73" i="31"/>
  <c r="O73" i="31"/>
  <c r="X72" i="31"/>
  <c r="W72" i="31"/>
  <c r="V72" i="31"/>
  <c r="U72" i="31"/>
  <c r="T72" i="31"/>
  <c r="S72" i="31"/>
  <c r="R72" i="31"/>
  <c r="Q72" i="31"/>
  <c r="P72" i="31"/>
  <c r="O72" i="31"/>
  <c r="X71" i="31"/>
  <c r="W71" i="31"/>
  <c r="V71" i="31"/>
  <c r="U71" i="31"/>
  <c r="T71" i="31"/>
  <c r="S71" i="31"/>
  <c r="R71" i="31"/>
  <c r="Q71" i="31"/>
  <c r="P71" i="31"/>
  <c r="O71" i="31"/>
  <c r="X70" i="31"/>
  <c r="W70" i="31"/>
  <c r="V70" i="31"/>
  <c r="U70" i="31"/>
  <c r="T70" i="31"/>
  <c r="S70" i="31"/>
  <c r="R70" i="31"/>
  <c r="Q70" i="31"/>
  <c r="P70" i="31"/>
  <c r="O70" i="31"/>
  <c r="X69" i="31"/>
  <c r="W69" i="31"/>
  <c r="V69" i="31"/>
  <c r="U69" i="31"/>
  <c r="T69" i="31"/>
  <c r="S69" i="31"/>
  <c r="R69" i="31"/>
  <c r="Q69" i="31"/>
  <c r="P69" i="31"/>
  <c r="O69" i="31"/>
  <c r="X68" i="31"/>
  <c r="W68" i="31"/>
  <c r="V68" i="31"/>
  <c r="U68" i="31"/>
  <c r="T68" i="31"/>
  <c r="S68" i="31"/>
  <c r="R68" i="31"/>
  <c r="Q68" i="31"/>
  <c r="P68" i="31"/>
  <c r="O68" i="31"/>
  <c r="X67" i="31"/>
  <c r="W67" i="31"/>
  <c r="V67" i="31"/>
  <c r="U67" i="31"/>
  <c r="T67" i="31"/>
  <c r="S67" i="31"/>
  <c r="R67" i="31"/>
  <c r="Q67" i="31"/>
  <c r="P67" i="31"/>
  <c r="O67" i="31"/>
  <c r="X66" i="31"/>
  <c r="W66" i="31"/>
  <c r="V66" i="31"/>
  <c r="U66" i="31"/>
  <c r="T66" i="31"/>
  <c r="S66" i="31"/>
  <c r="R66" i="31"/>
  <c r="Q66" i="31"/>
  <c r="P66" i="31"/>
  <c r="O66" i="31"/>
  <c r="X65" i="31"/>
  <c r="W65" i="31"/>
  <c r="V65" i="31"/>
  <c r="U65" i="31"/>
  <c r="T65" i="31"/>
  <c r="S65" i="31"/>
  <c r="R65" i="31"/>
  <c r="Q65" i="31"/>
  <c r="P65" i="31"/>
  <c r="O65" i="31"/>
  <c r="X64" i="31"/>
  <c r="W64" i="31"/>
  <c r="V64" i="31"/>
  <c r="U64" i="31"/>
  <c r="T64" i="31"/>
  <c r="S64" i="31"/>
  <c r="R64" i="31"/>
  <c r="Q64" i="31"/>
  <c r="P64" i="31"/>
  <c r="O64" i="31"/>
  <c r="X63" i="31"/>
  <c r="W63" i="31"/>
  <c r="V63" i="31"/>
  <c r="U63" i="31"/>
  <c r="T63" i="31"/>
  <c r="S63" i="31"/>
  <c r="R63" i="31"/>
  <c r="Q63" i="31"/>
  <c r="P63" i="31"/>
  <c r="O63" i="31"/>
  <c r="X62" i="31"/>
  <c r="W62" i="31"/>
  <c r="V62" i="31"/>
  <c r="U62" i="31"/>
  <c r="T62" i="31"/>
  <c r="S62" i="31"/>
  <c r="R62" i="31"/>
  <c r="Q62" i="31"/>
  <c r="P62" i="31"/>
  <c r="O62" i="31"/>
  <c r="X61" i="31"/>
  <c r="W61" i="31"/>
  <c r="V61" i="31"/>
  <c r="U61" i="31"/>
  <c r="T61" i="31"/>
  <c r="S61" i="31"/>
  <c r="R61" i="31"/>
  <c r="Q61" i="31"/>
  <c r="P61" i="31"/>
  <c r="O61" i="31"/>
  <c r="X60" i="31"/>
  <c r="W60" i="31"/>
  <c r="V60" i="31"/>
  <c r="U60" i="31"/>
  <c r="T60" i="31"/>
  <c r="S60" i="31"/>
  <c r="R60" i="31"/>
  <c r="Q60" i="31"/>
  <c r="P60" i="31"/>
  <c r="O60" i="31"/>
  <c r="X59" i="31"/>
  <c r="W59" i="31"/>
  <c r="V59" i="31"/>
  <c r="U59" i="31"/>
  <c r="T59" i="31"/>
  <c r="S59" i="31"/>
  <c r="R59" i="31"/>
  <c r="Q59" i="31"/>
  <c r="P59" i="31"/>
  <c r="O59" i="31"/>
  <c r="X58" i="31"/>
  <c r="W58" i="31"/>
  <c r="V58" i="31"/>
  <c r="U58" i="31"/>
  <c r="T58" i="31"/>
  <c r="S58" i="31"/>
  <c r="R58" i="31"/>
  <c r="Q58" i="31"/>
  <c r="P58" i="31"/>
  <c r="O58" i="31"/>
  <c r="X57" i="31"/>
  <c r="W57" i="31"/>
  <c r="V57" i="31"/>
  <c r="U57" i="31"/>
  <c r="T57" i="31"/>
  <c r="S57" i="31"/>
  <c r="R57" i="31"/>
  <c r="Q57" i="31"/>
  <c r="P57" i="31"/>
  <c r="O57" i="31"/>
  <c r="X56" i="31"/>
  <c r="W56" i="31"/>
  <c r="V56" i="31"/>
  <c r="U56" i="31"/>
  <c r="T56" i="31"/>
  <c r="S56" i="31"/>
  <c r="R56" i="31"/>
  <c r="Q56" i="31"/>
  <c r="P56" i="31"/>
  <c r="O56" i="31"/>
  <c r="X55" i="31"/>
  <c r="W55" i="31"/>
  <c r="V55" i="31"/>
  <c r="U55" i="31"/>
  <c r="T55" i="31"/>
  <c r="S55" i="31"/>
  <c r="R55" i="31"/>
  <c r="Q55" i="31"/>
  <c r="P55" i="31"/>
  <c r="O55" i="31"/>
  <c r="X54" i="31"/>
  <c r="W54" i="31"/>
  <c r="V54" i="31"/>
  <c r="U54" i="31"/>
  <c r="T54" i="31"/>
  <c r="S54" i="31"/>
  <c r="R54" i="31"/>
  <c r="Q54" i="31"/>
  <c r="P54" i="31"/>
  <c r="O54" i="31"/>
  <c r="X53" i="31"/>
  <c r="W53" i="31"/>
  <c r="V53" i="31"/>
  <c r="U53" i="31"/>
  <c r="T53" i="31"/>
  <c r="S53" i="31"/>
  <c r="R53" i="31"/>
  <c r="Q53" i="31"/>
  <c r="P53" i="31"/>
  <c r="O53" i="31"/>
  <c r="X52" i="31"/>
  <c r="W52" i="31"/>
  <c r="V52" i="31"/>
  <c r="U52" i="31"/>
  <c r="T52" i="31"/>
  <c r="S52" i="31"/>
  <c r="R52" i="31"/>
  <c r="Q52" i="31"/>
  <c r="P52" i="31"/>
  <c r="O52" i="31"/>
  <c r="X51" i="31"/>
  <c r="W51" i="31"/>
  <c r="V51" i="31"/>
  <c r="U51" i="31"/>
  <c r="T51" i="31"/>
  <c r="S51" i="31"/>
  <c r="R51" i="31"/>
  <c r="Q51" i="31"/>
  <c r="P51" i="31"/>
  <c r="O51" i="31"/>
  <c r="X50" i="31"/>
  <c r="W50" i="31"/>
  <c r="V50" i="31"/>
  <c r="U50" i="31"/>
  <c r="T50" i="31"/>
  <c r="S50" i="31"/>
  <c r="R50" i="31"/>
  <c r="Q50" i="31"/>
  <c r="P50" i="31"/>
  <c r="O50" i="31"/>
  <c r="X49" i="31"/>
  <c r="W49" i="31"/>
  <c r="V49" i="31"/>
  <c r="U49" i="31"/>
  <c r="T49" i="31"/>
  <c r="S49" i="31"/>
  <c r="R49" i="31"/>
  <c r="Q49" i="31"/>
  <c r="P49" i="31"/>
  <c r="O49" i="31"/>
  <c r="X48" i="31"/>
  <c r="W48" i="31"/>
  <c r="V48" i="31"/>
  <c r="U48" i="31"/>
  <c r="T48" i="31"/>
  <c r="S48" i="31"/>
  <c r="R48" i="31"/>
  <c r="Q48" i="31"/>
  <c r="P48" i="31"/>
  <c r="O48" i="31"/>
  <c r="X47" i="31"/>
  <c r="W47" i="31"/>
  <c r="V47" i="31"/>
  <c r="U47" i="31"/>
  <c r="T47" i="31"/>
  <c r="S47" i="31"/>
  <c r="R47" i="31"/>
  <c r="Q47" i="31"/>
  <c r="P47" i="31"/>
  <c r="O47" i="31"/>
  <c r="X46" i="31"/>
  <c r="W46" i="31"/>
  <c r="V46" i="31"/>
  <c r="U46" i="31"/>
  <c r="T46" i="31"/>
  <c r="S46" i="31"/>
  <c r="R46" i="31"/>
  <c r="Q46" i="31"/>
  <c r="P46" i="31"/>
  <c r="O46" i="31"/>
  <c r="X45" i="31"/>
  <c r="W45" i="31"/>
  <c r="V45" i="31"/>
  <c r="U45" i="31"/>
  <c r="T45" i="31"/>
  <c r="S45" i="31"/>
  <c r="R45" i="31"/>
  <c r="Q45" i="31"/>
  <c r="P45" i="31"/>
  <c r="O45" i="31"/>
  <c r="X44" i="31"/>
  <c r="W44" i="31"/>
  <c r="V44" i="31"/>
  <c r="U44" i="31"/>
  <c r="T44" i="31"/>
  <c r="S44" i="31"/>
  <c r="R44" i="31"/>
  <c r="Q44" i="31"/>
  <c r="P44" i="31"/>
  <c r="O44" i="31"/>
  <c r="X43" i="31"/>
  <c r="W43" i="31"/>
  <c r="V43" i="31"/>
  <c r="U43" i="31"/>
  <c r="T43" i="31"/>
  <c r="S43" i="31"/>
  <c r="R43" i="31"/>
  <c r="Q43" i="31"/>
  <c r="P43" i="31"/>
  <c r="O43" i="31"/>
  <c r="X42" i="31"/>
  <c r="W42" i="31"/>
  <c r="V42" i="31"/>
  <c r="U42" i="31"/>
  <c r="T42" i="31"/>
  <c r="S42" i="31"/>
  <c r="R42" i="31"/>
  <c r="Q42" i="31"/>
  <c r="P42" i="31"/>
  <c r="O42" i="31"/>
  <c r="X41" i="31"/>
  <c r="W41" i="31"/>
  <c r="V41" i="31"/>
  <c r="U41" i="31"/>
  <c r="T41" i="31"/>
  <c r="S41" i="31"/>
  <c r="R41" i="31"/>
  <c r="Q41" i="31"/>
  <c r="P41" i="31"/>
  <c r="O41" i="31"/>
  <c r="X40" i="31"/>
  <c r="W40" i="31"/>
  <c r="V40" i="31"/>
  <c r="U40" i="31"/>
  <c r="T40" i="31"/>
  <c r="S40" i="31"/>
  <c r="R40" i="31"/>
  <c r="Q40" i="31"/>
  <c r="P40" i="31"/>
  <c r="O40" i="31"/>
  <c r="X39" i="31"/>
  <c r="W39" i="31"/>
  <c r="V39" i="31"/>
  <c r="U39" i="31"/>
  <c r="T39" i="31"/>
  <c r="S39" i="31"/>
  <c r="R39" i="31"/>
  <c r="Q39" i="31"/>
  <c r="P39" i="31"/>
  <c r="O39" i="31"/>
  <c r="X38" i="31"/>
  <c r="W38" i="31"/>
  <c r="V38" i="31"/>
  <c r="U38" i="31"/>
  <c r="T38" i="31"/>
  <c r="S38" i="31"/>
  <c r="R38" i="31"/>
  <c r="Q38" i="31"/>
  <c r="P38" i="31"/>
  <c r="O38" i="31"/>
  <c r="X37" i="31"/>
  <c r="W37" i="31"/>
  <c r="V37" i="31"/>
  <c r="U37" i="31"/>
  <c r="T37" i="31"/>
  <c r="S37" i="31"/>
  <c r="R37" i="31"/>
  <c r="Q37" i="31"/>
  <c r="P37" i="31"/>
  <c r="O37" i="31"/>
  <c r="X36" i="31"/>
  <c r="W36" i="31"/>
  <c r="V36" i="31"/>
  <c r="U36" i="31"/>
  <c r="T36" i="31"/>
  <c r="S36" i="31"/>
  <c r="R36" i="31"/>
  <c r="Q36" i="31"/>
  <c r="P36" i="31"/>
  <c r="O36" i="31"/>
  <c r="X35" i="31"/>
  <c r="W35" i="31"/>
  <c r="V35" i="31"/>
  <c r="U35" i="31"/>
  <c r="T35" i="31"/>
  <c r="S35" i="31"/>
  <c r="R35" i="31"/>
  <c r="Q35" i="31"/>
  <c r="P35" i="31"/>
  <c r="O35" i="31"/>
  <c r="X34" i="31"/>
  <c r="W34" i="31"/>
  <c r="V34" i="31"/>
  <c r="U34" i="31"/>
  <c r="T34" i="31"/>
  <c r="S34" i="31"/>
  <c r="R34" i="31"/>
  <c r="Q34" i="31"/>
  <c r="P34" i="31"/>
  <c r="O34" i="31"/>
  <c r="X33" i="31"/>
  <c r="W33" i="31"/>
  <c r="V33" i="31"/>
  <c r="U33" i="31"/>
  <c r="T33" i="31"/>
  <c r="S33" i="31"/>
  <c r="R33" i="31"/>
  <c r="Q33" i="31"/>
  <c r="P33" i="31"/>
  <c r="O33" i="31"/>
  <c r="X32" i="31"/>
  <c r="W32" i="31"/>
  <c r="V32" i="31"/>
  <c r="U32" i="31"/>
  <c r="T32" i="31"/>
  <c r="S32" i="31"/>
  <c r="R32" i="31"/>
  <c r="Q32" i="31"/>
  <c r="P32" i="31"/>
  <c r="O32" i="31"/>
  <c r="X31" i="31"/>
  <c r="W31" i="31"/>
  <c r="V31" i="31"/>
  <c r="U31" i="31"/>
  <c r="T31" i="31"/>
  <c r="S31" i="31"/>
  <c r="R31" i="31"/>
  <c r="Q31" i="31"/>
  <c r="P31" i="31"/>
  <c r="O31" i="31"/>
  <c r="X30" i="31"/>
  <c r="W30" i="31"/>
  <c r="V30" i="31"/>
  <c r="U30" i="31"/>
  <c r="T30" i="31"/>
  <c r="S30" i="31"/>
  <c r="R30" i="31"/>
  <c r="Q30" i="31"/>
  <c r="P30" i="31"/>
  <c r="O30" i="31"/>
  <c r="X29" i="31"/>
  <c r="W29" i="31"/>
  <c r="V29" i="31"/>
  <c r="U29" i="31"/>
  <c r="T29" i="31"/>
  <c r="S29" i="31"/>
  <c r="R29" i="31"/>
  <c r="Q29" i="31"/>
  <c r="P29" i="31"/>
  <c r="O29" i="31"/>
  <c r="X28" i="31"/>
  <c r="W28" i="31"/>
  <c r="V28" i="31"/>
  <c r="U28" i="31"/>
  <c r="T28" i="31"/>
  <c r="S28" i="31"/>
  <c r="R28" i="31"/>
  <c r="Q28" i="31"/>
  <c r="P28" i="31"/>
  <c r="O28" i="31"/>
  <c r="X27" i="31"/>
  <c r="W27" i="31"/>
  <c r="V27" i="31"/>
  <c r="U27" i="31"/>
  <c r="T27" i="31"/>
  <c r="S27" i="31"/>
  <c r="R27" i="31"/>
  <c r="Q27" i="31"/>
  <c r="P27" i="31"/>
  <c r="O27" i="31"/>
  <c r="X26" i="31"/>
  <c r="W26" i="31"/>
  <c r="V26" i="31"/>
  <c r="U26" i="31"/>
  <c r="T26" i="31"/>
  <c r="S26" i="31"/>
  <c r="R26" i="31"/>
  <c r="Q26" i="31"/>
  <c r="P26" i="31"/>
  <c r="O26" i="31"/>
  <c r="X25" i="31"/>
  <c r="W25" i="31"/>
  <c r="V25" i="31"/>
  <c r="U25" i="31"/>
  <c r="T25" i="31"/>
  <c r="S25" i="31"/>
  <c r="R25" i="31"/>
  <c r="Q25" i="31"/>
  <c r="P25" i="31"/>
  <c r="O25" i="31"/>
  <c r="X24" i="31"/>
  <c r="W24" i="31"/>
  <c r="V24" i="31"/>
  <c r="U24" i="31"/>
  <c r="T24" i="31"/>
  <c r="S24" i="31"/>
  <c r="R24" i="31"/>
  <c r="Q24" i="31"/>
  <c r="P24" i="31"/>
  <c r="O24" i="31"/>
  <c r="X23" i="31"/>
  <c r="W23" i="31"/>
  <c r="V23" i="31"/>
  <c r="U23" i="31"/>
  <c r="T23" i="31"/>
  <c r="S23" i="31"/>
  <c r="R23" i="31"/>
  <c r="Q23" i="31"/>
  <c r="P23" i="31"/>
  <c r="O23" i="31"/>
  <c r="X22" i="31"/>
  <c r="W22" i="31"/>
  <c r="V22" i="31"/>
  <c r="U22" i="31"/>
  <c r="T22" i="31"/>
  <c r="S22" i="31"/>
  <c r="R22" i="31"/>
  <c r="Q22" i="31"/>
  <c r="P22" i="31"/>
  <c r="O22" i="31"/>
  <c r="X21" i="31"/>
  <c r="W21" i="31"/>
  <c r="V21" i="31"/>
  <c r="U21" i="31"/>
  <c r="T21" i="31"/>
  <c r="S21" i="31"/>
  <c r="R21" i="31"/>
  <c r="Q21" i="31"/>
  <c r="P21" i="31"/>
  <c r="O21" i="31"/>
  <c r="X20" i="31"/>
  <c r="W20" i="31"/>
  <c r="V20" i="31"/>
  <c r="U20" i="31"/>
  <c r="T20" i="31"/>
  <c r="S20" i="31"/>
  <c r="R20" i="31"/>
  <c r="Q20" i="31"/>
  <c r="P20" i="31"/>
  <c r="O20" i="31"/>
  <c r="X19" i="31"/>
  <c r="W19" i="31"/>
  <c r="V19" i="31"/>
  <c r="U19" i="31"/>
  <c r="T19" i="31"/>
  <c r="S19" i="31"/>
  <c r="R19" i="31"/>
  <c r="Q19" i="31"/>
  <c r="P19" i="31"/>
  <c r="O19" i="31"/>
  <c r="X18" i="31"/>
  <c r="W18" i="31"/>
  <c r="V18" i="31"/>
  <c r="U18" i="31"/>
  <c r="T18" i="31"/>
  <c r="S18" i="31"/>
  <c r="R18" i="31"/>
  <c r="Q18" i="31"/>
  <c r="P18" i="31"/>
  <c r="O18" i="31"/>
  <c r="X17" i="31"/>
  <c r="W17" i="31"/>
  <c r="V17" i="31"/>
  <c r="U17" i="31"/>
  <c r="T17" i="31"/>
  <c r="S17" i="31"/>
  <c r="R17" i="31"/>
  <c r="Q17" i="31"/>
  <c r="P17" i="31"/>
  <c r="O17" i="31"/>
  <c r="X16" i="31"/>
  <c r="W16" i="31"/>
  <c r="V16" i="31"/>
  <c r="U16" i="31"/>
  <c r="T16" i="31"/>
  <c r="S16" i="31"/>
  <c r="R16" i="31"/>
  <c r="Q16" i="31"/>
  <c r="P16" i="31"/>
  <c r="O16" i="31"/>
  <c r="X15" i="31"/>
  <c r="W15" i="31"/>
  <c r="V15" i="31"/>
  <c r="U15" i="31"/>
  <c r="T15" i="31"/>
  <c r="S15" i="31"/>
  <c r="R15" i="31"/>
  <c r="Q15" i="31"/>
  <c r="P15" i="31"/>
  <c r="O15" i="31"/>
  <c r="X14" i="31"/>
  <c r="W14" i="31"/>
  <c r="V14" i="31"/>
  <c r="U14" i="31"/>
  <c r="T14" i="31"/>
  <c r="S14" i="31"/>
  <c r="R14" i="31"/>
  <c r="Q14" i="31"/>
  <c r="P14" i="31"/>
  <c r="O14" i="31"/>
  <c r="X13" i="31"/>
  <c r="W13" i="31"/>
  <c r="V13" i="31"/>
  <c r="U13" i="31"/>
  <c r="T13" i="31"/>
  <c r="S13" i="31"/>
  <c r="R13" i="31"/>
  <c r="Q13" i="31"/>
  <c r="P13" i="31"/>
  <c r="O13" i="31"/>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O365" i="15"/>
  <c r="O366" i="15"/>
  <c r="O367" i="15"/>
  <c r="O368" i="15"/>
  <c r="O369" i="15"/>
  <c r="O370" i="15"/>
  <c r="O371" i="15"/>
  <c r="O372" i="15"/>
  <c r="O373" i="15"/>
  <c r="O374" i="15"/>
  <c r="O375" i="15"/>
  <c r="O376" i="15"/>
  <c r="O377" i="15"/>
  <c r="O378" i="15"/>
  <c r="O390" i="15"/>
  <c r="O391" i="15"/>
  <c r="O392" i="15"/>
  <c r="O393" i="15"/>
  <c r="O379" i="15"/>
  <c r="O380" i="15"/>
  <c r="O381" i="15"/>
  <c r="O382" i="15"/>
  <c r="O383" i="15"/>
  <c r="O384" i="15"/>
  <c r="O385" i="15"/>
  <c r="O386" i="15"/>
  <c r="O387" i="15"/>
  <c r="O388" i="15"/>
  <c r="O389"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R164" i="15"/>
  <c r="R165" i="15"/>
  <c r="R166" i="15"/>
  <c r="R167" i="15"/>
  <c r="R168" i="15"/>
  <c r="R169" i="15"/>
  <c r="R170" i="15"/>
  <c r="R171" i="15"/>
  <c r="R172" i="15"/>
  <c r="R173" i="15"/>
  <c r="R174" i="15"/>
  <c r="R175" i="15"/>
  <c r="R176"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0" i="15"/>
  <c r="R201" i="15"/>
  <c r="R202" i="15"/>
  <c r="R203" i="15"/>
  <c r="R204" i="15"/>
  <c r="R205" i="15"/>
  <c r="R206" i="15"/>
  <c r="R207" i="15"/>
  <c r="R208" i="15"/>
  <c r="R209" i="15"/>
  <c r="R210" i="15"/>
  <c r="R211" i="15"/>
  <c r="R212" i="15"/>
  <c r="R213" i="15"/>
  <c r="R214" i="15"/>
  <c r="R215" i="15"/>
  <c r="R216" i="15"/>
  <c r="R217" i="15"/>
  <c r="R218" i="15"/>
  <c r="R219" i="15"/>
  <c r="R220" i="15"/>
  <c r="R221" i="15"/>
  <c r="R222" i="15"/>
  <c r="R223" i="15"/>
  <c r="R224" i="15"/>
  <c r="R225" i="15"/>
  <c r="R226" i="15"/>
  <c r="R227" i="15"/>
  <c r="R228" i="15"/>
  <c r="R229" i="15"/>
  <c r="R230" i="15"/>
  <c r="R231" i="15"/>
  <c r="R232" i="15"/>
  <c r="R233" i="15"/>
  <c r="R234" i="15"/>
  <c r="R235" i="15"/>
  <c r="R236" i="15"/>
  <c r="R237" i="15"/>
  <c r="R238" i="15"/>
  <c r="R239" i="15"/>
  <c r="R240" i="15"/>
  <c r="R241" i="15"/>
  <c r="R242" i="15"/>
  <c r="R243" i="15"/>
  <c r="R244" i="15"/>
  <c r="R245" i="15"/>
  <c r="R246" i="15"/>
  <c r="R247" i="15"/>
  <c r="R248" i="15"/>
  <c r="R249" i="15"/>
  <c r="R250" i="15"/>
  <c r="R251" i="15"/>
  <c r="R252" i="15"/>
  <c r="R253" i="15"/>
  <c r="R254" i="15"/>
  <c r="R255" i="15"/>
  <c r="R256" i="15"/>
  <c r="R257" i="15"/>
  <c r="R258" i="15"/>
  <c r="R259" i="15"/>
  <c r="R260" i="15"/>
  <c r="R261" i="15"/>
  <c r="R262" i="15"/>
  <c r="R263" i="15"/>
  <c r="R264" i="15"/>
  <c r="R265" i="15"/>
  <c r="R266" i="15"/>
  <c r="R267" i="15"/>
  <c r="R268" i="15"/>
  <c r="R269" i="15"/>
  <c r="R270" i="15"/>
  <c r="R271" i="15"/>
  <c r="R272" i="15"/>
  <c r="R273" i="15"/>
  <c r="R274" i="15"/>
  <c r="R275" i="15"/>
  <c r="R276" i="15"/>
  <c r="R277" i="15"/>
  <c r="R278" i="15"/>
  <c r="R279" i="15"/>
  <c r="R280" i="15"/>
  <c r="R281" i="15"/>
  <c r="R282" i="15"/>
  <c r="R283" i="15"/>
  <c r="R284" i="15"/>
  <c r="R285" i="15"/>
  <c r="R286" i="15"/>
  <c r="R287" i="15"/>
  <c r="R288" i="15"/>
  <c r="R289" i="15"/>
  <c r="R290" i="15"/>
  <c r="R291" i="15"/>
  <c r="R292" i="15"/>
  <c r="R293" i="15"/>
  <c r="R294" i="15"/>
  <c r="R295" i="15"/>
  <c r="R296" i="15"/>
  <c r="R297" i="15"/>
  <c r="R298" i="15"/>
  <c r="R299" i="15"/>
  <c r="R300" i="15"/>
  <c r="R301" i="15"/>
  <c r="R302" i="15"/>
  <c r="R303" i="15"/>
  <c r="R304" i="15"/>
  <c r="R305" i="15"/>
  <c r="R306" i="15"/>
  <c r="R307" i="15"/>
  <c r="R308" i="15"/>
  <c r="R309" i="15"/>
  <c r="R310" i="15"/>
  <c r="R311" i="15"/>
  <c r="R312" i="15"/>
  <c r="R313" i="15"/>
  <c r="R314" i="15"/>
  <c r="R315" i="15"/>
  <c r="R316" i="15"/>
  <c r="R317" i="15"/>
  <c r="R318" i="15"/>
  <c r="R319" i="15"/>
  <c r="R320" i="15"/>
  <c r="R321" i="15"/>
  <c r="R322" i="15"/>
  <c r="R323" i="15"/>
  <c r="R324" i="15"/>
  <c r="R325" i="15"/>
  <c r="R326" i="15"/>
  <c r="R327" i="15"/>
  <c r="R328" i="15"/>
  <c r="R329" i="15"/>
  <c r="R330" i="15"/>
  <c r="R331" i="15"/>
  <c r="R332" i="15"/>
  <c r="R333" i="15"/>
  <c r="R334" i="15"/>
  <c r="R335" i="15"/>
  <c r="R336" i="15"/>
  <c r="R337" i="15"/>
  <c r="R338" i="15"/>
  <c r="R339" i="15"/>
  <c r="R340" i="15"/>
  <c r="R341" i="15"/>
  <c r="R342" i="15"/>
  <c r="R343" i="15"/>
  <c r="R344" i="15"/>
  <c r="R345" i="15"/>
  <c r="R346" i="15"/>
  <c r="R347" i="15"/>
  <c r="R348" i="15"/>
  <c r="R349" i="15"/>
  <c r="R350" i="15"/>
  <c r="R351" i="15"/>
  <c r="R352" i="15"/>
  <c r="R353" i="15"/>
  <c r="R354" i="15"/>
  <c r="R355" i="15"/>
  <c r="R356" i="15"/>
  <c r="R357" i="15"/>
  <c r="R358" i="15"/>
  <c r="R359" i="15"/>
  <c r="R360" i="15"/>
  <c r="R361" i="15"/>
  <c r="R362" i="15"/>
  <c r="R363" i="15"/>
  <c r="R364" i="15"/>
  <c r="R365" i="15"/>
  <c r="R366" i="15"/>
  <c r="R367" i="15"/>
  <c r="R368" i="15"/>
  <c r="R369" i="15"/>
  <c r="R370" i="15"/>
  <c r="R371" i="15"/>
  <c r="R372" i="15"/>
  <c r="R373" i="15"/>
  <c r="R374" i="15"/>
  <c r="R375" i="15"/>
  <c r="R376" i="15"/>
  <c r="R377" i="15"/>
  <c r="R378" i="15"/>
  <c r="R390" i="15"/>
  <c r="R391" i="15"/>
  <c r="R392" i="15"/>
  <c r="R393" i="15"/>
  <c r="R379" i="15"/>
  <c r="R380" i="15"/>
  <c r="R381" i="15"/>
  <c r="R382" i="15"/>
  <c r="R383" i="15"/>
  <c r="R384" i="15"/>
  <c r="R385" i="15"/>
  <c r="R386" i="15"/>
  <c r="R387" i="15"/>
  <c r="R388" i="15"/>
  <c r="R389" i="15"/>
  <c r="S13" i="15"/>
  <c r="S14" i="15"/>
  <c r="S15" i="15"/>
  <c r="S16" i="15"/>
  <c r="S17" i="15"/>
  <c r="S18" i="15"/>
  <c r="S19" i="15"/>
  <c r="S20" i="15"/>
  <c r="S21" i="15"/>
  <c r="S22" i="15"/>
  <c r="S23" i="15"/>
  <c r="S24" i="15"/>
  <c r="S25" i="15"/>
  <c r="S26" i="15"/>
  <c r="S27" i="15"/>
  <c r="S28" i="15"/>
  <c r="S29" i="15"/>
  <c r="S30" i="15"/>
  <c r="S31" i="15"/>
  <c r="S32" i="15"/>
  <c r="S33" i="15"/>
  <c r="S34" i="15"/>
  <c r="S35" i="15"/>
  <c r="S36" i="15"/>
  <c r="S37" i="15"/>
  <c r="S38" i="15"/>
  <c r="S39" i="15"/>
  <c r="S40" i="15"/>
  <c r="S41" i="15"/>
  <c r="S42" i="15"/>
  <c r="S43" i="15"/>
  <c r="S44" i="15"/>
  <c r="S45" i="15"/>
  <c r="S46" i="15"/>
  <c r="S47" i="15"/>
  <c r="S48" i="15"/>
  <c r="S49" i="15"/>
  <c r="S50" i="15"/>
  <c r="S51" i="15"/>
  <c r="S52" i="15"/>
  <c r="S53" i="15"/>
  <c r="S54" i="15"/>
  <c r="S55" i="15"/>
  <c r="S56" i="15"/>
  <c r="S57" i="15"/>
  <c r="S58" i="15"/>
  <c r="S59" i="15"/>
  <c r="S60" i="15"/>
  <c r="S61" i="15"/>
  <c r="S62" i="15"/>
  <c r="S63" i="15"/>
  <c r="S64" i="15"/>
  <c r="S65" i="15"/>
  <c r="S66" i="15"/>
  <c r="S67" i="15"/>
  <c r="S68" i="15"/>
  <c r="S69" i="15"/>
  <c r="S70" i="15"/>
  <c r="S71" i="15"/>
  <c r="S72" i="15"/>
  <c r="S73" i="15"/>
  <c r="S74" i="15"/>
  <c r="S75" i="15"/>
  <c r="S76" i="15"/>
  <c r="S77" i="15"/>
  <c r="S78" i="15"/>
  <c r="S79" i="15"/>
  <c r="S80" i="15"/>
  <c r="S81" i="15"/>
  <c r="S82" i="15"/>
  <c r="S83" i="15"/>
  <c r="S84" i="15"/>
  <c r="S85" i="15"/>
  <c r="S86" i="15"/>
  <c r="S87" i="15"/>
  <c r="S88" i="15"/>
  <c r="S89" i="15"/>
  <c r="S90" i="15"/>
  <c r="S91" i="15"/>
  <c r="S92" i="15"/>
  <c r="S93" i="15"/>
  <c r="S94" i="15"/>
  <c r="S95" i="15"/>
  <c r="S96" i="15"/>
  <c r="S97" i="15"/>
  <c r="S98" i="15"/>
  <c r="S99" i="15"/>
  <c r="S100" i="15"/>
  <c r="S101" i="15"/>
  <c r="S102" i="15"/>
  <c r="S103" i="15"/>
  <c r="S104" i="15"/>
  <c r="S105" i="15"/>
  <c r="S106" i="15"/>
  <c r="S107" i="15"/>
  <c r="S108" i="15"/>
  <c r="S109" i="15"/>
  <c r="S110" i="15"/>
  <c r="S111" i="15"/>
  <c r="S112" i="15"/>
  <c r="S113" i="15"/>
  <c r="S114" i="15"/>
  <c r="S115" i="15"/>
  <c r="S116" i="15"/>
  <c r="S117" i="15"/>
  <c r="S118" i="15"/>
  <c r="S119" i="15"/>
  <c r="S120" i="15"/>
  <c r="S121" i="15"/>
  <c r="S122" i="15"/>
  <c r="S123" i="15"/>
  <c r="S124" i="15"/>
  <c r="S125" i="15"/>
  <c r="S126" i="15"/>
  <c r="S127" i="15"/>
  <c r="S128" i="15"/>
  <c r="S129" i="15"/>
  <c r="S130" i="15"/>
  <c r="S131" i="15"/>
  <c r="S132" i="15"/>
  <c r="S133" i="15"/>
  <c r="S134" i="15"/>
  <c r="S135" i="15"/>
  <c r="S136" i="15"/>
  <c r="S137" i="15"/>
  <c r="S138" i="15"/>
  <c r="S139" i="15"/>
  <c r="S140" i="15"/>
  <c r="S141" i="15"/>
  <c r="S142" i="15"/>
  <c r="S143" i="15"/>
  <c r="S144" i="15"/>
  <c r="S145" i="15"/>
  <c r="S146" i="15"/>
  <c r="S147" i="15"/>
  <c r="S148" i="15"/>
  <c r="S149" i="15"/>
  <c r="S150" i="15"/>
  <c r="S151" i="15"/>
  <c r="S152" i="15"/>
  <c r="S153" i="15"/>
  <c r="S154" i="15"/>
  <c r="S155" i="15"/>
  <c r="S156" i="15"/>
  <c r="S157" i="15"/>
  <c r="S158" i="15"/>
  <c r="S159" i="15"/>
  <c r="S160" i="15"/>
  <c r="S161" i="15"/>
  <c r="S162" i="15"/>
  <c r="S163" i="15"/>
  <c r="S164" i="15"/>
  <c r="S165" i="15"/>
  <c r="S166" i="15"/>
  <c r="S167" i="15"/>
  <c r="S168" i="15"/>
  <c r="S169" i="15"/>
  <c r="S170" i="15"/>
  <c r="S171" i="15"/>
  <c r="S172" i="15"/>
  <c r="S173" i="15"/>
  <c r="S174" i="15"/>
  <c r="S175" i="15"/>
  <c r="S176" i="15"/>
  <c r="S177" i="15"/>
  <c r="S178" i="15"/>
  <c r="S179" i="15"/>
  <c r="S180" i="15"/>
  <c r="S181" i="15"/>
  <c r="S182" i="15"/>
  <c r="S183" i="15"/>
  <c r="S184" i="15"/>
  <c r="S185" i="15"/>
  <c r="S186" i="15"/>
  <c r="S187" i="15"/>
  <c r="S188" i="15"/>
  <c r="S189" i="15"/>
  <c r="S190" i="15"/>
  <c r="S191" i="15"/>
  <c r="S192" i="15"/>
  <c r="S193" i="15"/>
  <c r="S194" i="15"/>
  <c r="S195" i="15"/>
  <c r="S196" i="15"/>
  <c r="S197" i="15"/>
  <c r="S198" i="15"/>
  <c r="S199" i="15"/>
  <c r="S200" i="15"/>
  <c r="S201" i="15"/>
  <c r="S202" i="15"/>
  <c r="S203" i="15"/>
  <c r="S204" i="15"/>
  <c r="S205" i="15"/>
  <c r="S206" i="15"/>
  <c r="S207" i="15"/>
  <c r="S208" i="15"/>
  <c r="S209" i="15"/>
  <c r="S210" i="15"/>
  <c r="S211" i="15"/>
  <c r="S212" i="15"/>
  <c r="S213" i="15"/>
  <c r="S214" i="15"/>
  <c r="S215" i="15"/>
  <c r="S216" i="15"/>
  <c r="S217" i="15"/>
  <c r="S218" i="15"/>
  <c r="S219" i="15"/>
  <c r="S220" i="15"/>
  <c r="S221" i="15"/>
  <c r="S222" i="15"/>
  <c r="S223" i="15"/>
  <c r="S224" i="15"/>
  <c r="S225" i="15"/>
  <c r="S226" i="15"/>
  <c r="S227" i="15"/>
  <c r="S228" i="15"/>
  <c r="S229" i="15"/>
  <c r="S230" i="15"/>
  <c r="S231" i="15"/>
  <c r="S232" i="15"/>
  <c r="S233" i="15"/>
  <c r="S234" i="15"/>
  <c r="S235" i="15"/>
  <c r="S236" i="15"/>
  <c r="S237" i="15"/>
  <c r="S238" i="15"/>
  <c r="S239" i="15"/>
  <c r="S240" i="15"/>
  <c r="S241" i="15"/>
  <c r="S242" i="15"/>
  <c r="S243" i="15"/>
  <c r="S244" i="15"/>
  <c r="S245" i="15"/>
  <c r="S246" i="15"/>
  <c r="S247" i="15"/>
  <c r="S248" i="15"/>
  <c r="S249" i="15"/>
  <c r="S250" i="15"/>
  <c r="S251" i="15"/>
  <c r="S252" i="15"/>
  <c r="S253" i="15"/>
  <c r="S254" i="15"/>
  <c r="S255" i="15"/>
  <c r="S256" i="15"/>
  <c r="S257" i="15"/>
  <c r="S258" i="15"/>
  <c r="S259" i="15"/>
  <c r="S260" i="15"/>
  <c r="S261" i="15"/>
  <c r="S262" i="15"/>
  <c r="S263" i="15"/>
  <c r="S264" i="15"/>
  <c r="S265" i="15"/>
  <c r="S266" i="15"/>
  <c r="S267" i="15"/>
  <c r="S268" i="15"/>
  <c r="S269" i="15"/>
  <c r="S270" i="15"/>
  <c r="S271" i="15"/>
  <c r="S272" i="15"/>
  <c r="S273" i="15"/>
  <c r="S274" i="15"/>
  <c r="S275" i="15"/>
  <c r="S276" i="15"/>
  <c r="S277" i="15"/>
  <c r="S278" i="15"/>
  <c r="S279" i="15"/>
  <c r="S280" i="15"/>
  <c r="S281" i="15"/>
  <c r="S282" i="15"/>
  <c r="S283" i="15"/>
  <c r="S284" i="15"/>
  <c r="S285" i="15"/>
  <c r="S286" i="15"/>
  <c r="S287" i="15"/>
  <c r="S288" i="15"/>
  <c r="S289" i="15"/>
  <c r="S290" i="15"/>
  <c r="S291" i="15"/>
  <c r="S292" i="15"/>
  <c r="S293" i="15"/>
  <c r="S294" i="15"/>
  <c r="S295" i="15"/>
  <c r="S296" i="15"/>
  <c r="S297" i="15"/>
  <c r="S298" i="15"/>
  <c r="S299" i="15"/>
  <c r="S300" i="15"/>
  <c r="S301" i="15"/>
  <c r="S302" i="15"/>
  <c r="S303" i="15"/>
  <c r="S304" i="15"/>
  <c r="S305" i="15"/>
  <c r="S306" i="15"/>
  <c r="S307" i="15"/>
  <c r="S308" i="15"/>
  <c r="S309" i="15"/>
  <c r="S310" i="15"/>
  <c r="S311" i="15"/>
  <c r="S312" i="15"/>
  <c r="S313" i="15"/>
  <c r="S314" i="15"/>
  <c r="S315" i="15"/>
  <c r="S316" i="15"/>
  <c r="S317" i="15"/>
  <c r="S318" i="15"/>
  <c r="S319" i="15"/>
  <c r="S320" i="15"/>
  <c r="S321" i="15"/>
  <c r="S322" i="15"/>
  <c r="S323" i="15"/>
  <c r="S324" i="15"/>
  <c r="S325" i="15"/>
  <c r="S326" i="15"/>
  <c r="S327" i="15"/>
  <c r="S328" i="15"/>
  <c r="S329" i="15"/>
  <c r="S330" i="15"/>
  <c r="S331" i="15"/>
  <c r="S332" i="15"/>
  <c r="S333" i="15"/>
  <c r="S334" i="15"/>
  <c r="S335" i="15"/>
  <c r="S336" i="15"/>
  <c r="S337" i="15"/>
  <c r="S338" i="15"/>
  <c r="S339" i="15"/>
  <c r="S340" i="15"/>
  <c r="S341" i="15"/>
  <c r="S342" i="15"/>
  <c r="S343" i="15"/>
  <c r="S344" i="15"/>
  <c r="S345" i="15"/>
  <c r="S346" i="15"/>
  <c r="S347" i="15"/>
  <c r="S348" i="15"/>
  <c r="S349" i="15"/>
  <c r="S350" i="15"/>
  <c r="S351" i="15"/>
  <c r="S352" i="15"/>
  <c r="S353" i="15"/>
  <c r="S354" i="15"/>
  <c r="S355" i="15"/>
  <c r="S356" i="15"/>
  <c r="S357" i="15"/>
  <c r="S358" i="15"/>
  <c r="S359" i="15"/>
  <c r="S360" i="15"/>
  <c r="S361" i="15"/>
  <c r="S362" i="15"/>
  <c r="S363" i="15"/>
  <c r="S364" i="15"/>
  <c r="S365" i="15"/>
  <c r="S366" i="15"/>
  <c r="S367" i="15"/>
  <c r="S368" i="15"/>
  <c r="S369" i="15"/>
  <c r="S370" i="15"/>
  <c r="S371" i="15"/>
  <c r="S372" i="15"/>
  <c r="S373" i="15"/>
  <c r="S374" i="15"/>
  <c r="S375" i="15"/>
  <c r="S376" i="15"/>
  <c r="S377" i="15"/>
  <c r="S378" i="15"/>
  <c r="S390" i="15"/>
  <c r="S391" i="15"/>
  <c r="S392" i="15"/>
  <c r="S393" i="15"/>
  <c r="S379" i="15"/>
  <c r="S380" i="15"/>
  <c r="S381" i="15"/>
  <c r="S382" i="15"/>
  <c r="S383" i="15"/>
  <c r="S384" i="15"/>
  <c r="S385" i="15"/>
  <c r="S386" i="15"/>
  <c r="S387" i="15"/>
  <c r="S388" i="15"/>
  <c r="S389" i="15"/>
  <c r="T13" i="15"/>
  <c r="T14" i="15"/>
  <c r="T15" i="15"/>
  <c r="T16" i="15"/>
  <c r="T17" i="15"/>
  <c r="T18" i="15"/>
  <c r="T19" i="15"/>
  <c r="T20" i="15"/>
  <c r="T21" i="15"/>
  <c r="T22" i="15"/>
  <c r="T23" i="15"/>
  <c r="T24" i="15"/>
  <c r="T25" i="15"/>
  <c r="T26" i="15"/>
  <c r="T27" i="15"/>
  <c r="T28" i="15"/>
  <c r="T29" i="15"/>
  <c r="T30" i="15"/>
  <c r="T31" i="15"/>
  <c r="T32" i="15"/>
  <c r="T33" i="15"/>
  <c r="T34" i="15"/>
  <c r="T35" i="15"/>
  <c r="T36" i="15"/>
  <c r="T37" i="15"/>
  <c r="T38" i="15"/>
  <c r="T39" i="15"/>
  <c r="T40" i="15"/>
  <c r="T41" i="15"/>
  <c r="T42" i="15"/>
  <c r="T43" i="15"/>
  <c r="T44" i="15"/>
  <c r="T45" i="15"/>
  <c r="T46" i="15"/>
  <c r="T47" i="15"/>
  <c r="T48" i="15"/>
  <c r="T49" i="15"/>
  <c r="T50" i="15"/>
  <c r="T51" i="15"/>
  <c r="T52" i="15"/>
  <c r="T53" i="15"/>
  <c r="T54" i="15"/>
  <c r="T55" i="15"/>
  <c r="T56" i="15"/>
  <c r="T57" i="15"/>
  <c r="T58" i="15"/>
  <c r="T59" i="15"/>
  <c r="T60" i="15"/>
  <c r="T61" i="15"/>
  <c r="T62" i="15"/>
  <c r="T63" i="15"/>
  <c r="T64" i="15"/>
  <c r="T65" i="15"/>
  <c r="T66" i="15"/>
  <c r="T67" i="15"/>
  <c r="T68" i="15"/>
  <c r="T69" i="15"/>
  <c r="T70" i="15"/>
  <c r="T71" i="15"/>
  <c r="T72" i="15"/>
  <c r="T73" i="15"/>
  <c r="T74" i="15"/>
  <c r="T75" i="15"/>
  <c r="T76" i="15"/>
  <c r="T77" i="15"/>
  <c r="T78" i="15"/>
  <c r="T79" i="15"/>
  <c r="T80" i="15"/>
  <c r="T81" i="15"/>
  <c r="T82" i="15"/>
  <c r="T83" i="15"/>
  <c r="T84" i="15"/>
  <c r="T85" i="15"/>
  <c r="T86" i="15"/>
  <c r="T87" i="15"/>
  <c r="T88" i="15"/>
  <c r="T89" i="15"/>
  <c r="T90" i="15"/>
  <c r="T91" i="15"/>
  <c r="T92" i="15"/>
  <c r="T93" i="15"/>
  <c r="T94" i="15"/>
  <c r="T95" i="15"/>
  <c r="T96" i="15"/>
  <c r="T97" i="15"/>
  <c r="T98" i="15"/>
  <c r="T99" i="15"/>
  <c r="T100" i="15"/>
  <c r="T101" i="15"/>
  <c r="T102" i="15"/>
  <c r="T103" i="15"/>
  <c r="T104" i="15"/>
  <c r="T105" i="15"/>
  <c r="T106" i="15"/>
  <c r="T107" i="15"/>
  <c r="T108" i="15"/>
  <c r="T109" i="15"/>
  <c r="T110" i="15"/>
  <c r="T111" i="15"/>
  <c r="T112" i="15"/>
  <c r="T113" i="15"/>
  <c r="T114" i="15"/>
  <c r="T115" i="15"/>
  <c r="T116" i="15"/>
  <c r="T117" i="15"/>
  <c r="T118" i="15"/>
  <c r="T119" i="15"/>
  <c r="T120" i="15"/>
  <c r="T121" i="15"/>
  <c r="T122" i="15"/>
  <c r="T123" i="15"/>
  <c r="T124" i="15"/>
  <c r="T125" i="15"/>
  <c r="T126" i="15"/>
  <c r="T127" i="15"/>
  <c r="T128" i="15"/>
  <c r="T129" i="15"/>
  <c r="T130" i="15"/>
  <c r="T131" i="15"/>
  <c r="T132" i="15"/>
  <c r="T133" i="15"/>
  <c r="T134" i="15"/>
  <c r="T135" i="15"/>
  <c r="T136" i="15"/>
  <c r="T137" i="15"/>
  <c r="T138" i="15"/>
  <c r="T139" i="15"/>
  <c r="T140" i="15"/>
  <c r="T141" i="15"/>
  <c r="T142" i="15"/>
  <c r="T143" i="15"/>
  <c r="T144" i="15"/>
  <c r="T145" i="15"/>
  <c r="T146" i="15"/>
  <c r="T147" i="15"/>
  <c r="T148" i="15"/>
  <c r="T149" i="15"/>
  <c r="T150" i="15"/>
  <c r="T151" i="15"/>
  <c r="T152" i="15"/>
  <c r="T153" i="15"/>
  <c r="T154" i="15"/>
  <c r="T155" i="15"/>
  <c r="T156" i="15"/>
  <c r="T157" i="15"/>
  <c r="T158" i="15"/>
  <c r="T159" i="15"/>
  <c r="T160" i="15"/>
  <c r="T161" i="15"/>
  <c r="T162" i="15"/>
  <c r="T163" i="15"/>
  <c r="T164" i="15"/>
  <c r="T165" i="15"/>
  <c r="T166" i="15"/>
  <c r="T167" i="15"/>
  <c r="T168" i="15"/>
  <c r="T169" i="15"/>
  <c r="T170" i="15"/>
  <c r="T171" i="15"/>
  <c r="T172" i="15"/>
  <c r="T173" i="15"/>
  <c r="T174" i="15"/>
  <c r="T175" i="15"/>
  <c r="T176" i="15"/>
  <c r="T177" i="15"/>
  <c r="T178" i="15"/>
  <c r="T179" i="15"/>
  <c r="T180" i="15"/>
  <c r="T181" i="15"/>
  <c r="T182" i="15"/>
  <c r="T183" i="15"/>
  <c r="T184" i="15"/>
  <c r="T185" i="15"/>
  <c r="T186" i="15"/>
  <c r="T187" i="15"/>
  <c r="T188" i="15"/>
  <c r="T189" i="15"/>
  <c r="T190" i="15"/>
  <c r="T191" i="15"/>
  <c r="T192" i="15"/>
  <c r="T193" i="15"/>
  <c r="T194" i="15"/>
  <c r="T195" i="15"/>
  <c r="T196" i="15"/>
  <c r="T197" i="15"/>
  <c r="T198" i="15"/>
  <c r="T199" i="15"/>
  <c r="T200" i="15"/>
  <c r="T201" i="15"/>
  <c r="T202" i="15"/>
  <c r="T203" i="15"/>
  <c r="T204" i="15"/>
  <c r="T205" i="15"/>
  <c r="T206" i="15"/>
  <c r="T207" i="15"/>
  <c r="T208" i="15"/>
  <c r="T209" i="15"/>
  <c r="T210" i="15"/>
  <c r="T211" i="15"/>
  <c r="T212" i="15"/>
  <c r="T213" i="15"/>
  <c r="T214" i="15"/>
  <c r="T215" i="15"/>
  <c r="T216" i="15"/>
  <c r="T217" i="15"/>
  <c r="T218" i="15"/>
  <c r="T219" i="15"/>
  <c r="T220" i="15"/>
  <c r="T221" i="15"/>
  <c r="T222" i="15"/>
  <c r="T223" i="15"/>
  <c r="T224" i="15"/>
  <c r="T225" i="15"/>
  <c r="T226" i="15"/>
  <c r="T227" i="15"/>
  <c r="T228" i="15"/>
  <c r="T229" i="15"/>
  <c r="T230" i="15"/>
  <c r="T243" i="15"/>
  <c r="T244" i="15"/>
  <c r="T245" i="15"/>
  <c r="T246" i="15"/>
  <c r="T247" i="15"/>
  <c r="T248" i="15"/>
  <c r="T249" i="15"/>
  <c r="T250" i="15"/>
  <c r="T251" i="15"/>
  <c r="T252" i="15"/>
  <c r="T253" i="15"/>
  <c r="T254" i="15"/>
  <c r="T255" i="15"/>
  <c r="T256" i="15"/>
  <c r="T257" i="15"/>
  <c r="T258" i="15"/>
  <c r="T259" i="15"/>
  <c r="T260" i="15"/>
  <c r="T261" i="15"/>
  <c r="T262" i="15"/>
  <c r="T263" i="15"/>
  <c r="T264" i="15"/>
  <c r="T265" i="15"/>
  <c r="T266" i="15"/>
  <c r="T267" i="15"/>
  <c r="T268" i="15"/>
  <c r="T269" i="15"/>
  <c r="T270" i="15"/>
  <c r="T271" i="15"/>
  <c r="T272" i="15"/>
  <c r="T273" i="15"/>
  <c r="T274" i="15"/>
  <c r="T275" i="15"/>
  <c r="T276" i="15"/>
  <c r="T277" i="15"/>
  <c r="T278" i="15"/>
  <c r="T279" i="15"/>
  <c r="T280" i="15"/>
  <c r="T281" i="15"/>
  <c r="T282" i="15"/>
  <c r="T283" i="15"/>
  <c r="T284" i="15"/>
  <c r="T285" i="15"/>
  <c r="T286" i="15"/>
  <c r="T287" i="15"/>
  <c r="T288" i="15"/>
  <c r="T289" i="15"/>
  <c r="T290" i="15"/>
  <c r="T291" i="15"/>
  <c r="T292" i="15"/>
  <c r="T293" i="15"/>
  <c r="T294" i="15"/>
  <c r="T295" i="15"/>
  <c r="T296" i="15"/>
  <c r="T297" i="15"/>
  <c r="T298" i="15"/>
  <c r="T299" i="15"/>
  <c r="T300" i="15"/>
  <c r="T301" i="15"/>
  <c r="T302" i="15"/>
  <c r="T303" i="15"/>
  <c r="T304" i="15"/>
  <c r="T305" i="15"/>
  <c r="T306" i="15"/>
  <c r="T307" i="15"/>
  <c r="T308" i="15"/>
  <c r="T309" i="15"/>
  <c r="T310" i="15"/>
  <c r="T311" i="15"/>
  <c r="T312" i="15"/>
  <c r="T313" i="15"/>
  <c r="T314" i="15"/>
  <c r="T315" i="15"/>
  <c r="T316" i="15"/>
  <c r="T317" i="15"/>
  <c r="T318" i="15"/>
  <c r="T319" i="15"/>
  <c r="T320" i="15"/>
  <c r="T321" i="15"/>
  <c r="T322" i="15"/>
  <c r="T323" i="15"/>
  <c r="T324" i="15"/>
  <c r="T325" i="15"/>
  <c r="T326" i="15"/>
  <c r="T327" i="15"/>
  <c r="T328" i="15"/>
  <c r="T329" i="15"/>
  <c r="T330" i="15"/>
  <c r="T331" i="15"/>
  <c r="T332" i="15"/>
  <c r="T333" i="15"/>
  <c r="T334" i="15"/>
  <c r="T335" i="15"/>
  <c r="T336" i="15"/>
  <c r="T337" i="15"/>
  <c r="T338" i="15"/>
  <c r="T339" i="15"/>
  <c r="T340" i="15"/>
  <c r="T341" i="15"/>
  <c r="T342" i="15"/>
  <c r="T343" i="15"/>
  <c r="T344" i="15"/>
  <c r="T345" i="15"/>
  <c r="T346" i="15"/>
  <c r="T347" i="15"/>
  <c r="T348" i="15"/>
  <c r="T349" i="15"/>
  <c r="T350" i="15"/>
  <c r="T351" i="15"/>
  <c r="T352" i="15"/>
  <c r="T353" i="15"/>
  <c r="T354" i="15"/>
  <c r="T355" i="15"/>
  <c r="T356" i="15"/>
  <c r="T357" i="15"/>
  <c r="T358" i="15"/>
  <c r="T359" i="15"/>
  <c r="T360" i="15"/>
  <c r="T361" i="15"/>
  <c r="T362" i="15"/>
  <c r="T363" i="15"/>
  <c r="T364" i="15"/>
  <c r="T365" i="15"/>
  <c r="T366" i="15"/>
  <c r="T367" i="15"/>
  <c r="T368" i="15"/>
  <c r="T369" i="15"/>
  <c r="T370" i="15"/>
  <c r="T371" i="15"/>
  <c r="T372" i="15"/>
  <c r="T373" i="15"/>
  <c r="T374" i="15"/>
  <c r="T375" i="15"/>
  <c r="T376" i="15"/>
  <c r="T377" i="15"/>
  <c r="T378" i="15"/>
  <c r="T390" i="15"/>
  <c r="T391" i="15"/>
  <c r="T392" i="15"/>
  <c r="T393" i="15"/>
  <c r="T379" i="15"/>
  <c r="T380" i="15"/>
  <c r="T381" i="15"/>
  <c r="T382" i="15"/>
  <c r="T383" i="15"/>
  <c r="T384" i="15"/>
  <c r="T385" i="15"/>
  <c r="T386" i="15"/>
  <c r="T387" i="15"/>
  <c r="T388" i="15"/>
  <c r="T389" i="15"/>
  <c r="X389" i="15"/>
  <c r="W389" i="15"/>
  <c r="V389" i="15"/>
  <c r="U389" i="15"/>
  <c r="Q389" i="15"/>
  <c r="P389" i="15"/>
  <c r="X388" i="15"/>
  <c r="W388" i="15"/>
  <c r="V388" i="15"/>
  <c r="U388" i="15"/>
  <c r="Q388" i="15"/>
  <c r="P388" i="15"/>
  <c r="X387" i="15"/>
  <c r="W387" i="15"/>
  <c r="V387" i="15"/>
  <c r="U387" i="15"/>
  <c r="Q387" i="15"/>
  <c r="P387" i="15"/>
  <c r="X386" i="15"/>
  <c r="W386" i="15"/>
  <c r="V386" i="15"/>
  <c r="U386" i="15"/>
  <c r="Q386" i="15"/>
  <c r="P386" i="15"/>
  <c r="X385" i="15"/>
  <c r="W385" i="15"/>
  <c r="V385" i="15"/>
  <c r="U385" i="15"/>
  <c r="Q385" i="15"/>
  <c r="P385" i="15"/>
  <c r="X384" i="15"/>
  <c r="W384" i="15"/>
  <c r="V384" i="15"/>
  <c r="U384" i="15"/>
  <c r="Q384" i="15"/>
  <c r="P384" i="15"/>
  <c r="X383" i="15"/>
  <c r="W383" i="15"/>
  <c r="V383" i="15"/>
  <c r="U383" i="15"/>
  <c r="Q383" i="15"/>
  <c r="P383" i="15"/>
  <c r="X382" i="15"/>
  <c r="W382" i="15"/>
  <c r="V382" i="15"/>
  <c r="U382" i="15"/>
  <c r="Q382" i="15"/>
  <c r="P382" i="15"/>
  <c r="X381" i="15"/>
  <c r="W381" i="15"/>
  <c r="V381" i="15"/>
  <c r="U381" i="15"/>
  <c r="Q381" i="15"/>
  <c r="P381" i="15"/>
  <c r="X380" i="15"/>
  <c r="W380" i="15"/>
  <c r="V380" i="15"/>
  <c r="U380" i="15"/>
  <c r="Q380" i="15"/>
  <c r="P380" i="15"/>
  <c r="X379" i="15"/>
  <c r="W379" i="15"/>
  <c r="V379" i="15"/>
  <c r="U379" i="15"/>
  <c r="Q379" i="15"/>
  <c r="P379" i="15"/>
  <c r="T230" i="31" l="1"/>
  <c r="W233" i="31"/>
  <c r="U230" i="31"/>
  <c r="U234" i="31"/>
  <c r="W229" i="31"/>
  <c r="T226" i="31"/>
  <c r="U226" i="31"/>
  <c r="T234" i="31"/>
  <c r="W237" i="31"/>
  <c r="W226" i="31"/>
  <c r="O229" i="31"/>
  <c r="W230" i="31"/>
  <c r="O233" i="31"/>
  <c r="W234" i="31"/>
  <c r="O237" i="31"/>
  <c r="O226" i="31"/>
  <c r="T229" i="31"/>
  <c r="O230" i="31"/>
  <c r="T233" i="31"/>
  <c r="O234" i="31"/>
  <c r="T237" i="31"/>
  <c r="U227" i="31"/>
  <c r="U231" i="31"/>
  <c r="U235" i="31"/>
  <c r="V228" i="31"/>
  <c r="V227" i="31"/>
  <c r="O228" i="31"/>
  <c r="W228" i="31"/>
  <c r="V231" i="31"/>
  <c r="O232" i="31"/>
  <c r="W232" i="31"/>
  <c r="V235" i="31"/>
  <c r="O236" i="31"/>
  <c r="W236" i="31"/>
  <c r="V232" i="31"/>
  <c r="O227" i="31"/>
  <c r="W227" i="31"/>
  <c r="T228" i="31"/>
  <c r="U229" i="31"/>
  <c r="O231" i="31"/>
  <c r="W231" i="31"/>
  <c r="T232" i="31"/>
  <c r="U233" i="31"/>
  <c r="O235" i="31"/>
  <c r="W235" i="31"/>
  <c r="T236" i="31"/>
  <c r="U237" i="31"/>
  <c r="V236" i="31"/>
  <c r="B242" i="15"/>
  <c r="B236" i="15"/>
  <c r="B234" i="15"/>
  <c r="B232" i="15"/>
  <c r="T232" i="15" l="1"/>
  <c r="O232" i="15"/>
  <c r="T234" i="15"/>
  <c r="O234" i="15"/>
  <c r="T236" i="15"/>
  <c r="O236" i="15"/>
  <c r="T242" i="15"/>
  <c r="O242" i="15"/>
  <c r="P393" i="15"/>
  <c r="Q393" i="15"/>
  <c r="U393" i="15"/>
  <c r="V393" i="15"/>
  <c r="W393" i="15"/>
  <c r="X393" i="15"/>
  <c r="P392" i="15"/>
  <c r="Q392" i="15"/>
  <c r="U392" i="15"/>
  <c r="V392" i="15"/>
  <c r="W392" i="15"/>
  <c r="X392" i="15"/>
  <c r="P391" i="15"/>
  <c r="Q391" i="15"/>
  <c r="U391" i="15"/>
  <c r="V391" i="15"/>
  <c r="W391" i="15"/>
  <c r="X391" i="15"/>
  <c r="P390" i="15"/>
  <c r="Q390" i="15"/>
  <c r="U390" i="15"/>
  <c r="V390" i="15"/>
  <c r="W390" i="15"/>
  <c r="X390" i="15"/>
  <c r="X255" i="15"/>
  <c r="W255" i="15"/>
  <c r="V255" i="15"/>
  <c r="U255" i="15"/>
  <c r="Q255" i="15"/>
  <c r="P255" i="15"/>
  <c r="X378" i="15"/>
  <c r="W378" i="15"/>
  <c r="V378" i="15"/>
  <c r="U378" i="15"/>
  <c r="Q378" i="15"/>
  <c r="P378" i="15"/>
  <c r="X377" i="15"/>
  <c r="W377" i="15"/>
  <c r="V377" i="15"/>
  <c r="U377" i="15"/>
  <c r="Q377" i="15"/>
  <c r="P377"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0" i="15"/>
  <c r="Q251" i="15"/>
  <c r="Q252" i="15"/>
  <c r="Q253" i="15"/>
  <c r="Q254"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Q369" i="15"/>
  <c r="Q370" i="15"/>
  <c r="Q371" i="15"/>
  <c r="Q372" i="15"/>
  <c r="Q373" i="15"/>
  <c r="Q374" i="15"/>
  <c r="Q375" i="15"/>
  <c r="Q376" i="15"/>
  <c r="X13" i="15"/>
  <c r="X14" i="15"/>
  <c r="X15" i="15"/>
  <c r="X16" i="15"/>
  <c r="X17" i="15"/>
  <c r="X18" i="15"/>
  <c r="X19" i="15"/>
  <c r="X20" i="15"/>
  <c r="X21" i="15"/>
  <c r="X22" i="15"/>
  <c r="X23" i="15"/>
  <c r="X24" i="15"/>
  <c r="X25" i="15"/>
  <c r="X26" i="15"/>
  <c r="X27" i="15"/>
  <c r="X28" i="15"/>
  <c r="X29" i="15"/>
  <c r="X30" i="15"/>
  <c r="X31" i="15"/>
  <c r="X32" i="15"/>
  <c r="X33" i="15"/>
  <c r="X34" i="15"/>
  <c r="X35" i="15"/>
  <c r="X36" i="15"/>
  <c r="X37" i="15"/>
  <c r="X38" i="15"/>
  <c r="X39" i="15"/>
  <c r="X40" i="15"/>
  <c r="X41" i="15"/>
  <c r="X42" i="15"/>
  <c r="X43" i="15"/>
  <c r="X44" i="15"/>
  <c r="X45" i="15"/>
  <c r="X46"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X78" i="15"/>
  <c r="X79" i="15"/>
  <c r="X80" i="15"/>
  <c r="X81" i="15"/>
  <c r="X82" i="15"/>
  <c r="X83" i="15"/>
  <c r="X84" i="15"/>
  <c r="X85" i="15"/>
  <c r="X86" i="15"/>
  <c r="X87" i="15"/>
  <c r="X88" i="15"/>
  <c r="X89" i="15"/>
  <c r="X90" i="15"/>
  <c r="X91" i="15"/>
  <c r="X92" i="15"/>
  <c r="X93" i="15"/>
  <c r="X94" i="15"/>
  <c r="X95" i="15"/>
  <c r="X96" i="15"/>
  <c r="X97" i="15"/>
  <c r="X98" i="15"/>
  <c r="X99" i="15"/>
  <c r="X100" i="15"/>
  <c r="X101" i="15"/>
  <c r="X102" i="15"/>
  <c r="X103" i="15"/>
  <c r="X104" i="15"/>
  <c r="X105" i="15"/>
  <c r="X106" i="15"/>
  <c r="X107" i="15"/>
  <c r="X108" i="15"/>
  <c r="X109" i="15"/>
  <c r="X110" i="15"/>
  <c r="X111" i="15"/>
  <c r="X112" i="15"/>
  <c r="X113" i="15"/>
  <c r="X114" i="15"/>
  <c r="X115" i="15"/>
  <c r="X116" i="15"/>
  <c r="X117" i="15"/>
  <c r="X118" i="15"/>
  <c r="X119" i="15"/>
  <c r="X120" i="15"/>
  <c r="X121" i="15"/>
  <c r="X122" i="15"/>
  <c r="X123" i="15"/>
  <c r="X124" i="15"/>
  <c r="X125" i="15"/>
  <c r="X126" i="15"/>
  <c r="X127" i="15"/>
  <c r="X128" i="15"/>
  <c r="X129" i="15"/>
  <c r="X130" i="15"/>
  <c r="X131" i="15"/>
  <c r="X132" i="15"/>
  <c r="X133" i="15"/>
  <c r="X134" i="15"/>
  <c r="X135" i="15"/>
  <c r="X136" i="15"/>
  <c r="X137" i="15"/>
  <c r="X138" i="15"/>
  <c r="X139" i="15"/>
  <c r="X140" i="15"/>
  <c r="X141" i="15"/>
  <c r="X142" i="15"/>
  <c r="X143" i="15"/>
  <c r="X144" i="15"/>
  <c r="X145" i="15"/>
  <c r="X146" i="15"/>
  <c r="X147" i="15"/>
  <c r="X148" i="15"/>
  <c r="X149" i="15"/>
  <c r="X150" i="15"/>
  <c r="X151" i="15"/>
  <c r="X152" i="15"/>
  <c r="X153" i="15"/>
  <c r="X154" i="15"/>
  <c r="X155" i="15"/>
  <c r="X156" i="15"/>
  <c r="X157" i="15"/>
  <c r="X158" i="15"/>
  <c r="X159" i="15"/>
  <c r="X160" i="15"/>
  <c r="X161" i="15"/>
  <c r="X162" i="15"/>
  <c r="X163" i="15"/>
  <c r="X164" i="15"/>
  <c r="X165" i="15"/>
  <c r="X166" i="15"/>
  <c r="X167" i="15"/>
  <c r="X168" i="15"/>
  <c r="X169" i="15"/>
  <c r="X170" i="15"/>
  <c r="X171" i="15"/>
  <c r="X172" i="15"/>
  <c r="X173" i="15"/>
  <c r="X174" i="15"/>
  <c r="X175" i="15"/>
  <c r="X176" i="15"/>
  <c r="X177" i="15"/>
  <c r="X178" i="15"/>
  <c r="X179" i="15"/>
  <c r="X180" i="15"/>
  <c r="X181" i="15"/>
  <c r="X182" i="15"/>
  <c r="X183" i="15"/>
  <c r="X184" i="15"/>
  <c r="X185" i="15"/>
  <c r="X186" i="15"/>
  <c r="X187" i="15"/>
  <c r="X188" i="15"/>
  <c r="X189" i="15"/>
  <c r="X190" i="15"/>
  <c r="X191" i="15"/>
  <c r="X192" i="15"/>
  <c r="X193" i="15"/>
  <c r="X194" i="15"/>
  <c r="X195" i="15"/>
  <c r="X196" i="15"/>
  <c r="X197" i="15"/>
  <c r="X198" i="15"/>
  <c r="X199" i="15"/>
  <c r="X200" i="15"/>
  <c r="X201" i="15"/>
  <c r="X202" i="15"/>
  <c r="X203" i="15"/>
  <c r="X204" i="15"/>
  <c r="X205" i="15"/>
  <c r="X206" i="15"/>
  <c r="X207" i="15"/>
  <c r="X208" i="15"/>
  <c r="X209" i="15"/>
  <c r="X210" i="15"/>
  <c r="X211" i="15"/>
  <c r="X212" i="15"/>
  <c r="X213" i="15"/>
  <c r="X214" i="15"/>
  <c r="X215" i="15"/>
  <c r="X216" i="15"/>
  <c r="X217" i="15"/>
  <c r="X218" i="15"/>
  <c r="X219" i="15"/>
  <c r="X220" i="15"/>
  <c r="X221" i="15"/>
  <c r="X222" i="15"/>
  <c r="X223" i="15"/>
  <c r="X224" i="15"/>
  <c r="X225" i="15"/>
  <c r="X226" i="15"/>
  <c r="X227" i="15"/>
  <c r="X228" i="15"/>
  <c r="X229" i="15"/>
  <c r="X230" i="15"/>
  <c r="X231" i="15"/>
  <c r="X232" i="15"/>
  <c r="X233" i="15"/>
  <c r="X234" i="15"/>
  <c r="X235" i="15"/>
  <c r="X236" i="15"/>
  <c r="X237" i="15"/>
  <c r="X238" i="15"/>
  <c r="X239" i="15"/>
  <c r="X240" i="15"/>
  <c r="X241" i="15"/>
  <c r="X242" i="15"/>
  <c r="X243" i="15"/>
  <c r="X244" i="15"/>
  <c r="X245" i="15"/>
  <c r="X246" i="15"/>
  <c r="X247" i="15"/>
  <c r="X248" i="15"/>
  <c r="X249" i="15"/>
  <c r="X250" i="15"/>
  <c r="X251" i="15"/>
  <c r="X252" i="15"/>
  <c r="X253" i="15"/>
  <c r="X254" i="15"/>
  <c r="X256" i="15"/>
  <c r="X257" i="15"/>
  <c r="X258" i="15"/>
  <c r="X259" i="15"/>
  <c r="X260" i="15"/>
  <c r="X261" i="15"/>
  <c r="X262" i="15"/>
  <c r="X263" i="15"/>
  <c r="X264" i="15"/>
  <c r="X265" i="15"/>
  <c r="X266" i="15"/>
  <c r="X267" i="15"/>
  <c r="X268" i="15"/>
  <c r="X269" i="15"/>
  <c r="X270" i="15"/>
  <c r="X271" i="15"/>
  <c r="X272" i="15"/>
  <c r="X273" i="15"/>
  <c r="X274" i="15"/>
  <c r="X275" i="15"/>
  <c r="X276" i="15"/>
  <c r="X277" i="15"/>
  <c r="X278" i="15"/>
  <c r="X279" i="15"/>
  <c r="X280" i="15"/>
  <c r="X281" i="15"/>
  <c r="X282" i="15"/>
  <c r="X283" i="15"/>
  <c r="X284" i="15"/>
  <c r="X285" i="15"/>
  <c r="X286" i="15"/>
  <c r="X287" i="15"/>
  <c r="X288" i="15"/>
  <c r="X289" i="15"/>
  <c r="X290" i="15"/>
  <c r="X291" i="15"/>
  <c r="X292" i="15"/>
  <c r="X293" i="15"/>
  <c r="X294" i="15"/>
  <c r="X295" i="15"/>
  <c r="X296" i="15"/>
  <c r="X297" i="15"/>
  <c r="X298" i="15"/>
  <c r="X299" i="15"/>
  <c r="X300" i="15"/>
  <c r="X301" i="15"/>
  <c r="X302" i="15"/>
  <c r="X303" i="15"/>
  <c r="X304" i="15"/>
  <c r="X305" i="15"/>
  <c r="X306" i="15"/>
  <c r="X307" i="15"/>
  <c r="X308" i="15"/>
  <c r="X309" i="15"/>
  <c r="X310" i="15"/>
  <c r="X311" i="15"/>
  <c r="X312" i="15"/>
  <c r="X313" i="15"/>
  <c r="X314" i="15"/>
  <c r="X315" i="15"/>
  <c r="X316" i="15"/>
  <c r="X317" i="15"/>
  <c r="X318" i="15"/>
  <c r="X319" i="15"/>
  <c r="X320" i="15"/>
  <c r="X321" i="15"/>
  <c r="X322" i="15"/>
  <c r="X323" i="15"/>
  <c r="X324" i="15"/>
  <c r="X325" i="15"/>
  <c r="X326" i="15"/>
  <c r="X327" i="15"/>
  <c r="X328" i="15"/>
  <c r="X329" i="15"/>
  <c r="X330" i="15"/>
  <c r="X331" i="15"/>
  <c r="X332" i="15"/>
  <c r="X333" i="15"/>
  <c r="X334" i="15"/>
  <c r="X335" i="15"/>
  <c r="X336" i="15"/>
  <c r="X337" i="15"/>
  <c r="X338" i="15"/>
  <c r="X339" i="15"/>
  <c r="X340" i="15"/>
  <c r="X341" i="15"/>
  <c r="X342" i="15"/>
  <c r="X343" i="15"/>
  <c r="X344" i="15"/>
  <c r="X345" i="15"/>
  <c r="X346" i="15"/>
  <c r="X347" i="15"/>
  <c r="X348" i="15"/>
  <c r="X349" i="15"/>
  <c r="X350" i="15"/>
  <c r="X351" i="15"/>
  <c r="X352" i="15"/>
  <c r="X353" i="15"/>
  <c r="X354" i="15"/>
  <c r="X355" i="15"/>
  <c r="X356" i="15"/>
  <c r="X357" i="15"/>
  <c r="X358" i="15"/>
  <c r="X359" i="15"/>
  <c r="X360" i="15"/>
  <c r="X361" i="15"/>
  <c r="X362" i="15"/>
  <c r="X363" i="15"/>
  <c r="X364" i="15"/>
  <c r="X365" i="15"/>
  <c r="X366" i="15"/>
  <c r="X367" i="15"/>
  <c r="X368" i="15"/>
  <c r="X369" i="15"/>
  <c r="X370" i="15"/>
  <c r="X371" i="15"/>
  <c r="X372" i="15"/>
  <c r="X373" i="15"/>
  <c r="X374" i="15"/>
  <c r="X375" i="15"/>
  <c r="X376" i="15"/>
  <c r="W376" i="15"/>
  <c r="V376" i="15"/>
  <c r="U376" i="15"/>
  <c r="P376" i="15"/>
  <c r="W375" i="15"/>
  <c r="V375" i="15"/>
  <c r="U375" i="15"/>
  <c r="P375" i="15"/>
  <c r="W374" i="15"/>
  <c r="V374" i="15"/>
  <c r="U374" i="15"/>
  <c r="P374" i="15"/>
  <c r="W373" i="15"/>
  <c r="V373" i="15"/>
  <c r="U373" i="15"/>
  <c r="P373" i="15"/>
  <c r="W372" i="15"/>
  <c r="V372" i="15"/>
  <c r="U372" i="15"/>
  <c r="P372" i="15"/>
  <c r="W371" i="15"/>
  <c r="V371" i="15"/>
  <c r="U371" i="15"/>
  <c r="P371" i="15"/>
  <c r="W370" i="15"/>
  <c r="V370" i="15"/>
  <c r="U370" i="15"/>
  <c r="P370" i="15"/>
  <c r="W369" i="15"/>
  <c r="V369" i="15"/>
  <c r="U369" i="15"/>
  <c r="P369" i="15"/>
  <c r="W368" i="15"/>
  <c r="V368" i="15"/>
  <c r="U368" i="15"/>
  <c r="P368" i="15"/>
  <c r="W367" i="15"/>
  <c r="V367" i="15"/>
  <c r="U367" i="15"/>
  <c r="P367" i="15"/>
  <c r="W366" i="15"/>
  <c r="V366" i="15"/>
  <c r="U366" i="15"/>
  <c r="P366" i="15"/>
  <c r="W365" i="15"/>
  <c r="V365" i="15"/>
  <c r="U365" i="15"/>
  <c r="P365" i="15"/>
  <c r="W364" i="15"/>
  <c r="V364" i="15"/>
  <c r="U364" i="15"/>
  <c r="P364" i="15"/>
  <c r="W363" i="15"/>
  <c r="V363" i="15"/>
  <c r="U363" i="15"/>
  <c r="P363" i="15"/>
  <c r="W362" i="15"/>
  <c r="V362" i="15"/>
  <c r="U362" i="15"/>
  <c r="P362" i="15"/>
  <c r="W361" i="15"/>
  <c r="V361" i="15"/>
  <c r="U361" i="15"/>
  <c r="P361" i="15"/>
  <c r="W360" i="15"/>
  <c r="V360" i="15"/>
  <c r="U360" i="15"/>
  <c r="P360" i="15"/>
  <c r="W359" i="15"/>
  <c r="V359" i="15"/>
  <c r="U359" i="15"/>
  <c r="P359" i="15"/>
  <c r="W358" i="15"/>
  <c r="V358" i="15"/>
  <c r="U358" i="15"/>
  <c r="P358" i="15"/>
  <c r="W357" i="15"/>
  <c r="V357" i="15"/>
  <c r="U357" i="15"/>
  <c r="P357" i="15"/>
  <c r="W356" i="15"/>
  <c r="V356" i="15"/>
  <c r="U356" i="15"/>
  <c r="P356" i="15"/>
  <c r="W355" i="15"/>
  <c r="V355" i="15"/>
  <c r="U355" i="15"/>
  <c r="P355" i="15"/>
  <c r="W354" i="15"/>
  <c r="V354" i="15"/>
  <c r="U354" i="15"/>
  <c r="P354" i="15"/>
  <c r="W353" i="15"/>
  <c r="V353" i="15"/>
  <c r="U353" i="15"/>
  <c r="P353" i="15"/>
  <c r="W352" i="15"/>
  <c r="V352" i="15"/>
  <c r="U352" i="15"/>
  <c r="P352" i="15"/>
  <c r="W351" i="15"/>
  <c r="V351" i="15"/>
  <c r="U351" i="15"/>
  <c r="P351" i="15"/>
  <c r="W350" i="15"/>
  <c r="V350" i="15"/>
  <c r="U350" i="15"/>
  <c r="P350" i="15"/>
  <c r="W349" i="15"/>
  <c r="V349" i="15"/>
  <c r="U349" i="15"/>
  <c r="P349" i="15"/>
  <c r="W348" i="15"/>
  <c r="V348" i="15"/>
  <c r="U348" i="15"/>
  <c r="P348" i="15"/>
  <c r="W347" i="15"/>
  <c r="V347" i="15"/>
  <c r="U347" i="15"/>
  <c r="P347" i="15"/>
  <c r="W346" i="15"/>
  <c r="V346" i="15"/>
  <c r="U346" i="15"/>
  <c r="P346" i="15"/>
  <c r="W345" i="15"/>
  <c r="V345" i="15"/>
  <c r="U345" i="15"/>
  <c r="P345" i="15"/>
  <c r="W344" i="15"/>
  <c r="V344" i="15"/>
  <c r="U344" i="15"/>
  <c r="P344" i="15"/>
  <c r="W343" i="15"/>
  <c r="V343" i="15"/>
  <c r="U343" i="15"/>
  <c r="P343" i="15"/>
  <c r="W342" i="15"/>
  <c r="V342" i="15"/>
  <c r="U342" i="15"/>
  <c r="P342" i="15"/>
  <c r="W341" i="15"/>
  <c r="V341" i="15"/>
  <c r="U341" i="15"/>
  <c r="P341" i="15"/>
  <c r="W340" i="15"/>
  <c r="V340" i="15"/>
  <c r="U340" i="15"/>
  <c r="P340" i="15"/>
  <c r="W339" i="15"/>
  <c r="V339" i="15"/>
  <c r="U339" i="15"/>
  <c r="P339" i="15"/>
  <c r="W338" i="15"/>
  <c r="V338" i="15"/>
  <c r="U338" i="15"/>
  <c r="P338" i="15"/>
  <c r="W337" i="15"/>
  <c r="V337" i="15"/>
  <c r="U337" i="15"/>
  <c r="P337" i="15"/>
  <c r="W336" i="15"/>
  <c r="V336" i="15"/>
  <c r="U336" i="15"/>
  <c r="P336" i="15"/>
  <c r="W335" i="15"/>
  <c r="V335" i="15"/>
  <c r="U335" i="15"/>
  <c r="P335" i="15"/>
  <c r="W334" i="15"/>
  <c r="V334" i="15"/>
  <c r="U334" i="15"/>
  <c r="P334" i="15"/>
  <c r="W333" i="15"/>
  <c r="V333" i="15"/>
  <c r="U333" i="15"/>
  <c r="P333" i="15"/>
  <c r="W332" i="15"/>
  <c r="V332" i="15"/>
  <c r="U332" i="15"/>
  <c r="P332" i="15"/>
  <c r="W331" i="15"/>
  <c r="V331" i="15"/>
  <c r="U331" i="15"/>
  <c r="P331" i="15"/>
  <c r="W330" i="15"/>
  <c r="V330" i="15"/>
  <c r="U330" i="15"/>
  <c r="P330" i="15"/>
  <c r="W329" i="15"/>
  <c r="V329" i="15"/>
  <c r="U329" i="15"/>
  <c r="P329" i="15"/>
  <c r="W328" i="15"/>
  <c r="V328" i="15"/>
  <c r="U328" i="15"/>
  <c r="P328" i="15"/>
  <c r="W327" i="15"/>
  <c r="V327" i="15"/>
  <c r="U327" i="15"/>
  <c r="P327" i="15"/>
  <c r="W326" i="15"/>
  <c r="V326" i="15"/>
  <c r="U326" i="15"/>
  <c r="P326" i="15"/>
  <c r="W325" i="15"/>
  <c r="V325" i="15"/>
  <c r="U325" i="15"/>
  <c r="P325" i="15"/>
  <c r="W324" i="15"/>
  <c r="V324" i="15"/>
  <c r="U324" i="15"/>
  <c r="P324" i="15"/>
  <c r="W323" i="15"/>
  <c r="V323" i="15"/>
  <c r="U323" i="15"/>
  <c r="P323" i="15"/>
  <c r="W322" i="15"/>
  <c r="V322" i="15"/>
  <c r="U322" i="15"/>
  <c r="P322" i="15"/>
  <c r="W321" i="15"/>
  <c r="V321" i="15"/>
  <c r="U321" i="15"/>
  <c r="P321" i="15"/>
  <c r="W320" i="15"/>
  <c r="V320" i="15"/>
  <c r="U320" i="15"/>
  <c r="P320" i="15"/>
  <c r="W319" i="15"/>
  <c r="V319" i="15"/>
  <c r="U319" i="15"/>
  <c r="P319" i="15"/>
  <c r="W318" i="15"/>
  <c r="V318" i="15"/>
  <c r="U318" i="15"/>
  <c r="P318" i="15"/>
  <c r="W317" i="15"/>
  <c r="V317" i="15"/>
  <c r="U317" i="15"/>
  <c r="P317" i="15"/>
  <c r="W316" i="15"/>
  <c r="V316" i="15"/>
  <c r="U316" i="15"/>
  <c r="P316" i="15"/>
  <c r="W315" i="15"/>
  <c r="V315" i="15"/>
  <c r="U315" i="15"/>
  <c r="P315" i="15"/>
  <c r="W314" i="15"/>
  <c r="V314" i="15"/>
  <c r="U314" i="15"/>
  <c r="P314" i="15"/>
  <c r="W313" i="15"/>
  <c r="V313" i="15"/>
  <c r="U313" i="15"/>
  <c r="P313" i="15"/>
  <c r="W312" i="15"/>
  <c r="V312" i="15"/>
  <c r="U312" i="15"/>
  <c r="P312" i="15"/>
  <c r="W311" i="15"/>
  <c r="V311" i="15"/>
  <c r="U311" i="15"/>
  <c r="P311" i="15"/>
  <c r="W310" i="15"/>
  <c r="V310" i="15"/>
  <c r="U310" i="15"/>
  <c r="P310" i="15"/>
  <c r="W309" i="15"/>
  <c r="V309" i="15"/>
  <c r="U309" i="15"/>
  <c r="P309" i="15"/>
  <c r="W308" i="15"/>
  <c r="V308" i="15"/>
  <c r="U308" i="15"/>
  <c r="P308" i="15"/>
  <c r="W307" i="15"/>
  <c r="V307" i="15"/>
  <c r="U307" i="15"/>
  <c r="P307" i="15"/>
  <c r="W306" i="15"/>
  <c r="V306" i="15"/>
  <c r="U306" i="15"/>
  <c r="P306" i="15"/>
  <c r="W305" i="15"/>
  <c r="V305" i="15"/>
  <c r="U305" i="15"/>
  <c r="P305" i="15"/>
  <c r="W304" i="15"/>
  <c r="V304" i="15"/>
  <c r="U304" i="15"/>
  <c r="P304" i="15"/>
  <c r="W303" i="15"/>
  <c r="V303" i="15"/>
  <c r="U303" i="15"/>
  <c r="P303" i="15"/>
  <c r="W302" i="15"/>
  <c r="V302" i="15"/>
  <c r="U302" i="15"/>
  <c r="P302" i="15"/>
  <c r="W301" i="15"/>
  <c r="V301" i="15"/>
  <c r="U301" i="15"/>
  <c r="P301" i="15"/>
  <c r="W300" i="15"/>
  <c r="V300" i="15"/>
  <c r="U300" i="15"/>
  <c r="P300" i="15"/>
  <c r="W299" i="15"/>
  <c r="V299" i="15"/>
  <c r="U299" i="15"/>
  <c r="P299" i="15"/>
  <c r="W298" i="15"/>
  <c r="V298" i="15"/>
  <c r="U298" i="15"/>
  <c r="P298" i="15"/>
  <c r="W297" i="15"/>
  <c r="V297" i="15"/>
  <c r="U297" i="15"/>
  <c r="P297" i="15"/>
  <c r="W296" i="15"/>
  <c r="V296" i="15"/>
  <c r="U296" i="15"/>
  <c r="P296" i="15"/>
  <c r="W295" i="15"/>
  <c r="V295" i="15"/>
  <c r="U295" i="15"/>
  <c r="P295" i="15"/>
  <c r="W294" i="15"/>
  <c r="V294" i="15"/>
  <c r="U294" i="15"/>
  <c r="P294" i="15"/>
  <c r="W293" i="15"/>
  <c r="V293" i="15"/>
  <c r="U293" i="15"/>
  <c r="P293" i="15"/>
  <c r="W292" i="15"/>
  <c r="V292" i="15"/>
  <c r="U292" i="15"/>
  <c r="P292" i="15"/>
  <c r="W291" i="15"/>
  <c r="V291" i="15"/>
  <c r="U291" i="15"/>
  <c r="P291" i="15"/>
  <c r="W290" i="15"/>
  <c r="V290" i="15"/>
  <c r="U290" i="15"/>
  <c r="P290" i="15"/>
  <c r="W289" i="15"/>
  <c r="V289" i="15"/>
  <c r="U289" i="15"/>
  <c r="P289" i="15"/>
  <c r="W288" i="15"/>
  <c r="V288" i="15"/>
  <c r="U288" i="15"/>
  <c r="P288" i="15"/>
  <c r="W287" i="15"/>
  <c r="V287" i="15"/>
  <c r="U287" i="15"/>
  <c r="P287" i="15"/>
  <c r="W286" i="15"/>
  <c r="V286" i="15"/>
  <c r="U286" i="15"/>
  <c r="P286" i="15"/>
  <c r="W285" i="15"/>
  <c r="V285" i="15"/>
  <c r="U285" i="15"/>
  <c r="P285" i="15"/>
  <c r="W284" i="15"/>
  <c r="V284" i="15"/>
  <c r="U284" i="15"/>
  <c r="P284" i="15"/>
  <c r="W283" i="15"/>
  <c r="V283" i="15"/>
  <c r="U283" i="15"/>
  <c r="P283" i="15"/>
  <c r="W282" i="15"/>
  <c r="V282" i="15"/>
  <c r="U282" i="15"/>
  <c r="P282" i="15"/>
  <c r="W281" i="15"/>
  <c r="V281" i="15"/>
  <c r="U281" i="15"/>
  <c r="P281" i="15"/>
  <c r="W280" i="15"/>
  <c r="V280" i="15"/>
  <c r="U280" i="15"/>
  <c r="P280" i="15"/>
  <c r="W279" i="15"/>
  <c r="V279" i="15"/>
  <c r="U279" i="15"/>
  <c r="P279" i="15"/>
  <c r="W278" i="15"/>
  <c r="V278" i="15"/>
  <c r="U278" i="15"/>
  <c r="P278" i="15"/>
  <c r="W277" i="15"/>
  <c r="V277" i="15"/>
  <c r="U277" i="15"/>
  <c r="P277" i="15"/>
  <c r="W276" i="15"/>
  <c r="V276" i="15"/>
  <c r="U276" i="15"/>
  <c r="P276" i="15"/>
  <c r="W275" i="15"/>
  <c r="V275" i="15"/>
  <c r="U275" i="15"/>
  <c r="P275" i="15"/>
  <c r="W274" i="15"/>
  <c r="V274" i="15"/>
  <c r="U274" i="15"/>
  <c r="P274" i="15"/>
  <c r="W273" i="15"/>
  <c r="V273" i="15"/>
  <c r="U273" i="15"/>
  <c r="P273" i="15"/>
  <c r="W272" i="15"/>
  <c r="V272" i="15"/>
  <c r="U272" i="15"/>
  <c r="P272" i="15"/>
  <c r="W271" i="15"/>
  <c r="V271" i="15"/>
  <c r="U271" i="15"/>
  <c r="P271" i="15"/>
  <c r="W270" i="15"/>
  <c r="V270" i="15"/>
  <c r="U270" i="15"/>
  <c r="P270" i="15"/>
  <c r="W269" i="15"/>
  <c r="V269" i="15"/>
  <c r="U269" i="15"/>
  <c r="P269" i="15"/>
  <c r="W268" i="15"/>
  <c r="V268" i="15"/>
  <c r="U268" i="15"/>
  <c r="P268" i="15"/>
  <c r="W267" i="15"/>
  <c r="V267" i="15"/>
  <c r="U267" i="15"/>
  <c r="P267" i="15"/>
  <c r="W266" i="15"/>
  <c r="V266" i="15"/>
  <c r="U266" i="15"/>
  <c r="P266" i="15"/>
  <c r="W265" i="15"/>
  <c r="V265" i="15"/>
  <c r="U265" i="15"/>
  <c r="P265" i="15"/>
  <c r="W264" i="15"/>
  <c r="V264" i="15"/>
  <c r="U264" i="15"/>
  <c r="P264" i="15"/>
  <c r="W263" i="15"/>
  <c r="V263" i="15"/>
  <c r="U263" i="15"/>
  <c r="P263" i="15"/>
  <c r="W262" i="15"/>
  <c r="V262" i="15"/>
  <c r="U262" i="15"/>
  <c r="P262" i="15"/>
  <c r="W261" i="15"/>
  <c r="V261" i="15"/>
  <c r="U261" i="15"/>
  <c r="P261" i="15"/>
  <c r="W260" i="15"/>
  <c r="V260" i="15"/>
  <c r="U260" i="15"/>
  <c r="P260" i="15"/>
  <c r="W259" i="15"/>
  <c r="V259" i="15"/>
  <c r="U259" i="15"/>
  <c r="P259" i="15"/>
  <c r="W258" i="15"/>
  <c r="V258" i="15"/>
  <c r="U258" i="15"/>
  <c r="P258" i="15"/>
  <c r="W257" i="15"/>
  <c r="V257" i="15"/>
  <c r="U257" i="15"/>
  <c r="P257" i="15"/>
  <c r="W256" i="15"/>
  <c r="V256" i="15"/>
  <c r="U256" i="15"/>
  <c r="P256" i="15"/>
  <c r="P254" i="15"/>
  <c r="U254" i="15"/>
  <c r="V254" i="15"/>
  <c r="W254" i="15"/>
  <c r="P253" i="15"/>
  <c r="U253" i="15"/>
  <c r="V253" i="15"/>
  <c r="W253" i="15"/>
  <c r="P252" i="15"/>
  <c r="U252" i="15"/>
  <c r="V252" i="15"/>
  <c r="W252" i="15"/>
  <c r="P251" i="15"/>
  <c r="U251" i="15"/>
  <c r="V251" i="15"/>
  <c r="W251" i="15"/>
  <c r="P250" i="15"/>
  <c r="U250" i="15"/>
  <c r="V250" i="15"/>
  <c r="W250" i="15"/>
  <c r="P249" i="15"/>
  <c r="U249" i="15"/>
  <c r="V249" i="15"/>
  <c r="W249" i="15"/>
  <c r="P248" i="15"/>
  <c r="U248" i="15"/>
  <c r="V248" i="15"/>
  <c r="W248" i="15"/>
  <c r="P247" i="15"/>
  <c r="U247" i="15"/>
  <c r="V247" i="15"/>
  <c r="W247" i="15"/>
  <c r="P246" i="15"/>
  <c r="U246" i="15"/>
  <c r="V246" i="15"/>
  <c r="W246" i="15"/>
  <c r="P245" i="15"/>
  <c r="U245" i="15"/>
  <c r="V245" i="15"/>
  <c r="W245" i="15"/>
  <c r="B241" i="15"/>
  <c r="B240" i="15"/>
  <c r="B239" i="15"/>
  <c r="B238" i="15"/>
  <c r="B237" i="15"/>
  <c r="B235" i="15"/>
  <c r="B233" i="15"/>
  <c r="B231" i="15"/>
  <c r="C215" i="30"/>
  <c r="M215" i="30" s="1"/>
  <c r="C216" i="30"/>
  <c r="N216" i="30" s="1"/>
  <c r="O216" i="30" s="1"/>
  <c r="C217" i="30"/>
  <c r="M217" i="30" s="1"/>
  <c r="C218" i="30"/>
  <c r="M218" i="30" s="1"/>
  <c r="C219" i="30"/>
  <c r="M219" i="30" s="1"/>
  <c r="C220" i="30"/>
  <c r="M220" i="30" s="1"/>
  <c r="C221" i="30"/>
  <c r="N221" i="30" s="1"/>
  <c r="O221" i="30" s="1"/>
  <c r="C222" i="30"/>
  <c r="M222" i="30" s="1"/>
  <c r="C223" i="30"/>
  <c r="M223" i="30" s="1"/>
  <c r="C224" i="30"/>
  <c r="M224" i="30" s="1"/>
  <c r="C225" i="30"/>
  <c r="M225" i="30" s="1"/>
  <c r="C226" i="30"/>
  <c r="N226" i="30" s="1"/>
  <c r="O226" i="30" s="1"/>
  <c r="C227" i="30"/>
  <c r="M227" i="30" s="1"/>
  <c r="C228" i="30"/>
  <c r="M228" i="30" s="1"/>
  <c r="C229" i="30"/>
  <c r="N229" i="30" s="1"/>
  <c r="O229" i="30" s="1"/>
  <c r="C230" i="30"/>
  <c r="M230" i="30" s="1"/>
  <c r="C231" i="30"/>
  <c r="M231" i="30" s="1"/>
  <c r="C232" i="30"/>
  <c r="M232" i="30" s="1"/>
  <c r="C233" i="30"/>
  <c r="M233" i="30" s="1"/>
  <c r="D3" i="30"/>
  <c r="G3" i="30"/>
  <c r="H3" i="30"/>
  <c r="L3" i="30"/>
  <c r="D4" i="30"/>
  <c r="G4" i="30"/>
  <c r="H4" i="30"/>
  <c r="L4" i="30"/>
  <c r="D5" i="30"/>
  <c r="G5" i="30"/>
  <c r="H5" i="30"/>
  <c r="L5" i="30"/>
  <c r="D6" i="30"/>
  <c r="G6" i="30"/>
  <c r="H6" i="30"/>
  <c r="L6" i="30"/>
  <c r="D7" i="30"/>
  <c r="G7" i="30"/>
  <c r="H7" i="30"/>
  <c r="L7" i="30"/>
  <c r="D8" i="30"/>
  <c r="G8" i="30"/>
  <c r="H8" i="30"/>
  <c r="L8" i="30"/>
  <c r="D9" i="30"/>
  <c r="G9" i="30"/>
  <c r="H9" i="30"/>
  <c r="L9" i="30"/>
  <c r="D10" i="30"/>
  <c r="G10" i="30"/>
  <c r="H10" i="30"/>
  <c r="L10" i="30"/>
  <c r="D11" i="30"/>
  <c r="G11" i="30"/>
  <c r="H11" i="30"/>
  <c r="L11" i="30"/>
  <c r="D12" i="30"/>
  <c r="G12" i="30"/>
  <c r="H12" i="30"/>
  <c r="L12" i="30"/>
  <c r="D13" i="30"/>
  <c r="G13" i="30"/>
  <c r="H13" i="30"/>
  <c r="L13" i="30"/>
  <c r="D14" i="30"/>
  <c r="G14" i="30"/>
  <c r="H14" i="30"/>
  <c r="L14" i="30"/>
  <c r="D15" i="30"/>
  <c r="G15" i="30"/>
  <c r="H15" i="30"/>
  <c r="L15" i="30"/>
  <c r="D16" i="30"/>
  <c r="G16" i="30"/>
  <c r="H16" i="30"/>
  <c r="L16" i="30"/>
  <c r="D17" i="30"/>
  <c r="G17" i="30"/>
  <c r="H17" i="30"/>
  <c r="L17" i="30"/>
  <c r="D18" i="30"/>
  <c r="G18" i="30"/>
  <c r="H18" i="30"/>
  <c r="L18" i="30"/>
  <c r="D19" i="30"/>
  <c r="G19" i="30"/>
  <c r="H19" i="30"/>
  <c r="L19" i="30"/>
  <c r="D20" i="30"/>
  <c r="G20" i="30"/>
  <c r="H20" i="30"/>
  <c r="L20" i="30"/>
  <c r="D21" i="30"/>
  <c r="G21" i="30"/>
  <c r="H21" i="30"/>
  <c r="L21" i="30"/>
  <c r="C2" i="30" s="1"/>
  <c r="N2" i="30" s="1"/>
  <c r="O2" i="30" s="1"/>
  <c r="D22" i="30"/>
  <c r="G22" i="30"/>
  <c r="H22" i="30"/>
  <c r="L22" i="30"/>
  <c r="C3" i="30" s="1"/>
  <c r="M3" i="30" s="1"/>
  <c r="D23" i="30"/>
  <c r="G23" i="30"/>
  <c r="H23" i="30"/>
  <c r="L23" i="30"/>
  <c r="C4" i="30" s="1"/>
  <c r="M4" i="30" s="1"/>
  <c r="D24" i="30"/>
  <c r="G24" i="30"/>
  <c r="H24" i="30"/>
  <c r="L24" i="30"/>
  <c r="C5" i="30" s="1"/>
  <c r="M5" i="30" s="1"/>
  <c r="D25" i="30"/>
  <c r="G25" i="30"/>
  <c r="H25" i="30"/>
  <c r="L25" i="30"/>
  <c r="C6" i="30" s="1"/>
  <c r="M6" i="30" s="1"/>
  <c r="D26" i="30"/>
  <c r="G26" i="30"/>
  <c r="H26" i="30"/>
  <c r="L26" i="30"/>
  <c r="C7" i="30" s="1"/>
  <c r="M7" i="30" s="1"/>
  <c r="D27" i="30"/>
  <c r="G27" i="30"/>
  <c r="H27" i="30"/>
  <c r="L27" i="30"/>
  <c r="C8" i="30" s="1"/>
  <c r="M8" i="30" s="1"/>
  <c r="D28" i="30"/>
  <c r="G28" i="30"/>
  <c r="H28" i="30"/>
  <c r="L28" i="30"/>
  <c r="C9" i="30" s="1"/>
  <c r="M9" i="30" s="1"/>
  <c r="D29" i="30"/>
  <c r="G29" i="30"/>
  <c r="H29" i="30"/>
  <c r="L29" i="30"/>
  <c r="C10" i="30" s="1"/>
  <c r="M10" i="30" s="1"/>
  <c r="D30" i="30"/>
  <c r="G30" i="30"/>
  <c r="H30" i="30"/>
  <c r="L30" i="30"/>
  <c r="C11" i="30" s="1"/>
  <c r="M11" i="30" s="1"/>
  <c r="D31" i="30"/>
  <c r="G31" i="30"/>
  <c r="H31" i="30"/>
  <c r="L31" i="30"/>
  <c r="C12" i="30" s="1"/>
  <c r="M12" i="30" s="1"/>
  <c r="D32" i="30"/>
  <c r="G32" i="30"/>
  <c r="H32" i="30"/>
  <c r="L32" i="30"/>
  <c r="C13" i="30" s="1"/>
  <c r="M13" i="30" s="1"/>
  <c r="D33" i="30"/>
  <c r="G33" i="30"/>
  <c r="H33" i="30"/>
  <c r="L33" i="30"/>
  <c r="C14" i="30" s="1"/>
  <c r="M14" i="30" s="1"/>
  <c r="D34" i="30"/>
  <c r="G34" i="30"/>
  <c r="H34" i="30"/>
  <c r="L34" i="30"/>
  <c r="C15" i="30" s="1"/>
  <c r="M15" i="30" s="1"/>
  <c r="D35" i="30"/>
  <c r="G35" i="30"/>
  <c r="H35" i="30"/>
  <c r="L35" i="30"/>
  <c r="C16" i="30" s="1"/>
  <c r="M16" i="30" s="1"/>
  <c r="D36" i="30"/>
  <c r="G36" i="30"/>
  <c r="H36" i="30"/>
  <c r="L36" i="30"/>
  <c r="C17" i="30" s="1"/>
  <c r="N17" i="30" s="1"/>
  <c r="O17" i="30" s="1"/>
  <c r="D37" i="30"/>
  <c r="G37" i="30"/>
  <c r="H37" i="30"/>
  <c r="L37" i="30"/>
  <c r="C18" i="30" s="1"/>
  <c r="M18" i="30" s="1"/>
  <c r="D38" i="30"/>
  <c r="G38" i="30"/>
  <c r="H38" i="30"/>
  <c r="L38" i="30"/>
  <c r="C19" i="30" s="1"/>
  <c r="M19" i="30" s="1"/>
  <c r="D39" i="30"/>
  <c r="G39" i="30"/>
  <c r="H39" i="30"/>
  <c r="L39" i="30"/>
  <c r="C20" i="30" s="1"/>
  <c r="M20" i="30" s="1"/>
  <c r="D40" i="30"/>
  <c r="G40" i="30"/>
  <c r="H40" i="30"/>
  <c r="L40" i="30"/>
  <c r="C21" i="30" s="1"/>
  <c r="M21" i="30" s="1"/>
  <c r="D41" i="30"/>
  <c r="G41" i="30"/>
  <c r="H41" i="30"/>
  <c r="L41" i="30"/>
  <c r="C22" i="30" s="1"/>
  <c r="M22" i="30" s="1"/>
  <c r="D42" i="30"/>
  <c r="G42" i="30"/>
  <c r="H42" i="30"/>
  <c r="L42" i="30"/>
  <c r="C23" i="30" s="1"/>
  <c r="M23" i="30" s="1"/>
  <c r="D43" i="30"/>
  <c r="G43" i="30"/>
  <c r="H43" i="30"/>
  <c r="L43" i="30"/>
  <c r="C24" i="30" s="1"/>
  <c r="M24" i="30" s="1"/>
  <c r="D44" i="30"/>
  <c r="G44" i="30"/>
  <c r="H44" i="30"/>
  <c r="L44" i="30"/>
  <c r="C25" i="30" s="1"/>
  <c r="M25" i="30" s="1"/>
  <c r="D45" i="30"/>
  <c r="G45" i="30"/>
  <c r="H45" i="30"/>
  <c r="L45" i="30"/>
  <c r="C26" i="30" s="1"/>
  <c r="M26" i="30" s="1"/>
  <c r="D46" i="30"/>
  <c r="G46" i="30"/>
  <c r="H46" i="30"/>
  <c r="L46" i="30"/>
  <c r="C27" i="30" s="1"/>
  <c r="M27" i="30" s="1"/>
  <c r="D47" i="30"/>
  <c r="G47" i="30"/>
  <c r="H47" i="30"/>
  <c r="L47" i="30"/>
  <c r="C28" i="30" s="1"/>
  <c r="M28" i="30" s="1"/>
  <c r="D48" i="30"/>
  <c r="G48" i="30"/>
  <c r="H48" i="30"/>
  <c r="L48" i="30"/>
  <c r="C29" i="30" s="1"/>
  <c r="M29" i="30" s="1"/>
  <c r="D49" i="30"/>
  <c r="G49" i="30"/>
  <c r="H49" i="30"/>
  <c r="L49" i="30"/>
  <c r="C30" i="30" s="1"/>
  <c r="M30" i="30" s="1"/>
  <c r="D50" i="30"/>
  <c r="G50" i="30"/>
  <c r="H50" i="30"/>
  <c r="L50" i="30"/>
  <c r="C31" i="30" s="1"/>
  <c r="M31" i="30" s="1"/>
  <c r="D51" i="30"/>
  <c r="G51" i="30"/>
  <c r="H51" i="30"/>
  <c r="L51" i="30"/>
  <c r="C32" i="30" s="1"/>
  <c r="M32" i="30" s="1"/>
  <c r="D52" i="30"/>
  <c r="G52" i="30"/>
  <c r="H52" i="30"/>
  <c r="L52" i="30"/>
  <c r="C33" i="30" s="1"/>
  <c r="M33" i="30" s="1"/>
  <c r="D53" i="30"/>
  <c r="G53" i="30"/>
  <c r="H53" i="30"/>
  <c r="L53" i="30"/>
  <c r="C34" i="30" s="1"/>
  <c r="M34" i="30" s="1"/>
  <c r="D54" i="30"/>
  <c r="G54" i="30"/>
  <c r="H54" i="30"/>
  <c r="L54" i="30"/>
  <c r="C35" i="30" s="1"/>
  <c r="M35" i="30" s="1"/>
  <c r="D55" i="30"/>
  <c r="G55" i="30"/>
  <c r="H55" i="30"/>
  <c r="L55" i="30"/>
  <c r="C36" i="30" s="1"/>
  <c r="M36" i="30" s="1"/>
  <c r="D56" i="30"/>
  <c r="G56" i="30"/>
  <c r="H56" i="30"/>
  <c r="L56" i="30"/>
  <c r="C37" i="30" s="1"/>
  <c r="M37" i="30" s="1"/>
  <c r="D57" i="30"/>
  <c r="G57" i="30"/>
  <c r="H57" i="30"/>
  <c r="L57" i="30"/>
  <c r="C38" i="30" s="1"/>
  <c r="M38" i="30" s="1"/>
  <c r="D58" i="30"/>
  <c r="G58" i="30"/>
  <c r="H58" i="30"/>
  <c r="L58" i="30"/>
  <c r="C39" i="30" s="1"/>
  <c r="M39" i="30" s="1"/>
  <c r="D59" i="30"/>
  <c r="G59" i="30"/>
  <c r="H59" i="30"/>
  <c r="L59" i="30"/>
  <c r="C40" i="30" s="1"/>
  <c r="M40" i="30" s="1"/>
  <c r="D60" i="30"/>
  <c r="G60" i="30"/>
  <c r="H60" i="30"/>
  <c r="L60" i="30"/>
  <c r="C41" i="30" s="1"/>
  <c r="M41" i="30" s="1"/>
  <c r="D61" i="30"/>
  <c r="G61" i="30"/>
  <c r="H61" i="30"/>
  <c r="L61" i="30"/>
  <c r="C42" i="30" s="1"/>
  <c r="M42" i="30" s="1"/>
  <c r="D62" i="30"/>
  <c r="G62" i="30"/>
  <c r="H62" i="30"/>
  <c r="L62" i="30"/>
  <c r="C43" i="30" s="1"/>
  <c r="M43" i="30" s="1"/>
  <c r="D63" i="30"/>
  <c r="G63" i="30"/>
  <c r="H63" i="30"/>
  <c r="L63" i="30"/>
  <c r="C44" i="30" s="1"/>
  <c r="M44" i="30" s="1"/>
  <c r="D64" i="30"/>
  <c r="G64" i="30"/>
  <c r="H64" i="30"/>
  <c r="L64" i="30"/>
  <c r="C45" i="30" s="1"/>
  <c r="M45" i="30" s="1"/>
  <c r="D65" i="30"/>
  <c r="G65" i="30"/>
  <c r="H65" i="30"/>
  <c r="L65" i="30"/>
  <c r="C46" i="30" s="1"/>
  <c r="M46" i="30" s="1"/>
  <c r="D66" i="30"/>
  <c r="G66" i="30"/>
  <c r="H66" i="30"/>
  <c r="L66" i="30"/>
  <c r="C47" i="30" s="1"/>
  <c r="M47" i="30" s="1"/>
  <c r="D67" i="30"/>
  <c r="G67" i="30"/>
  <c r="H67" i="30"/>
  <c r="L67" i="30"/>
  <c r="C48" i="30" s="1"/>
  <c r="M48" i="30" s="1"/>
  <c r="D68" i="30"/>
  <c r="G68" i="30"/>
  <c r="H68" i="30"/>
  <c r="L68" i="30"/>
  <c r="C49" i="30" s="1"/>
  <c r="N49" i="30" s="1"/>
  <c r="O49" i="30" s="1"/>
  <c r="D69" i="30"/>
  <c r="G69" i="30"/>
  <c r="H69" i="30"/>
  <c r="L69" i="30"/>
  <c r="C50" i="30" s="1"/>
  <c r="M50" i="30" s="1"/>
  <c r="D70" i="30"/>
  <c r="G70" i="30"/>
  <c r="H70" i="30"/>
  <c r="L70" i="30"/>
  <c r="C51" i="30" s="1"/>
  <c r="M51" i="30" s="1"/>
  <c r="D71" i="30"/>
  <c r="G71" i="30"/>
  <c r="H71" i="30"/>
  <c r="L71" i="30"/>
  <c r="C52" i="30" s="1"/>
  <c r="M52" i="30" s="1"/>
  <c r="D72" i="30"/>
  <c r="G72" i="30"/>
  <c r="H72" i="30"/>
  <c r="L72" i="30"/>
  <c r="C53" i="30" s="1"/>
  <c r="M53" i="30" s="1"/>
  <c r="D73" i="30"/>
  <c r="G73" i="30"/>
  <c r="H73" i="30"/>
  <c r="L73" i="30"/>
  <c r="C54" i="30" s="1"/>
  <c r="M54" i="30" s="1"/>
  <c r="D74" i="30"/>
  <c r="G74" i="30"/>
  <c r="H74" i="30"/>
  <c r="L74" i="30"/>
  <c r="C55" i="30" s="1"/>
  <c r="M55" i="30" s="1"/>
  <c r="D75" i="30"/>
  <c r="G75" i="30"/>
  <c r="H75" i="30"/>
  <c r="L75" i="30"/>
  <c r="C56" i="30" s="1"/>
  <c r="M56" i="30" s="1"/>
  <c r="D76" i="30"/>
  <c r="G76" i="30"/>
  <c r="H76" i="30"/>
  <c r="L76" i="30"/>
  <c r="C57" i="30" s="1"/>
  <c r="M57" i="30" s="1"/>
  <c r="D77" i="30"/>
  <c r="G77" i="30"/>
  <c r="H77" i="30"/>
  <c r="L77" i="30"/>
  <c r="C58" i="30" s="1"/>
  <c r="M58" i="30" s="1"/>
  <c r="D78" i="30"/>
  <c r="G78" i="30"/>
  <c r="H78" i="30"/>
  <c r="L78" i="30"/>
  <c r="C59" i="30" s="1"/>
  <c r="M59" i="30" s="1"/>
  <c r="D79" i="30"/>
  <c r="G79" i="30"/>
  <c r="H79" i="30"/>
  <c r="L79" i="30"/>
  <c r="C60" i="30" s="1"/>
  <c r="M60" i="30" s="1"/>
  <c r="D80" i="30"/>
  <c r="G80" i="30"/>
  <c r="H80" i="30"/>
  <c r="L80" i="30"/>
  <c r="C61" i="30" s="1"/>
  <c r="M61" i="30" s="1"/>
  <c r="D81" i="30"/>
  <c r="G81" i="30"/>
  <c r="H81" i="30"/>
  <c r="L81" i="30"/>
  <c r="C62" i="30" s="1"/>
  <c r="M62" i="30" s="1"/>
  <c r="D82" i="30"/>
  <c r="G82" i="30"/>
  <c r="H82" i="30"/>
  <c r="L82" i="30"/>
  <c r="C63" i="30" s="1"/>
  <c r="M63" i="30" s="1"/>
  <c r="D83" i="30"/>
  <c r="G83" i="30"/>
  <c r="H83" i="30"/>
  <c r="L83" i="30"/>
  <c r="C64" i="30" s="1"/>
  <c r="M64" i="30" s="1"/>
  <c r="D84" i="30"/>
  <c r="G84" i="30"/>
  <c r="H84" i="30"/>
  <c r="L84" i="30"/>
  <c r="C65" i="30" s="1"/>
  <c r="M65" i="30" s="1"/>
  <c r="D85" i="30"/>
  <c r="G85" i="30"/>
  <c r="H85" i="30"/>
  <c r="L85" i="30"/>
  <c r="C66" i="30" s="1"/>
  <c r="M66" i="30" s="1"/>
  <c r="D86" i="30"/>
  <c r="G86" i="30"/>
  <c r="H86" i="30"/>
  <c r="L86" i="30"/>
  <c r="C67" i="30" s="1"/>
  <c r="M67" i="30" s="1"/>
  <c r="D87" i="30"/>
  <c r="G87" i="30"/>
  <c r="H87" i="30"/>
  <c r="L87" i="30"/>
  <c r="C68" i="30" s="1"/>
  <c r="M68" i="30" s="1"/>
  <c r="D88" i="30"/>
  <c r="G88" i="30"/>
  <c r="H88" i="30"/>
  <c r="L88" i="30"/>
  <c r="C69" i="30" s="1"/>
  <c r="M69" i="30" s="1"/>
  <c r="D89" i="30"/>
  <c r="G89" i="30"/>
  <c r="H89" i="30"/>
  <c r="L89" i="30"/>
  <c r="C70" i="30" s="1"/>
  <c r="M70" i="30" s="1"/>
  <c r="D90" i="30"/>
  <c r="G90" i="30"/>
  <c r="H90" i="30"/>
  <c r="L90" i="30"/>
  <c r="C71" i="30" s="1"/>
  <c r="M71" i="30" s="1"/>
  <c r="D91" i="30"/>
  <c r="G91" i="30"/>
  <c r="H91" i="30"/>
  <c r="L91" i="30"/>
  <c r="C72" i="30" s="1"/>
  <c r="M72" i="30" s="1"/>
  <c r="D92" i="30"/>
  <c r="G92" i="30"/>
  <c r="H92" i="30"/>
  <c r="L92" i="30"/>
  <c r="C73" i="30" s="1"/>
  <c r="M73" i="30" s="1"/>
  <c r="D93" i="30"/>
  <c r="G93" i="30"/>
  <c r="H93" i="30"/>
  <c r="L93" i="30"/>
  <c r="C74" i="30" s="1"/>
  <c r="M74" i="30" s="1"/>
  <c r="D94" i="30"/>
  <c r="G94" i="30"/>
  <c r="H94" i="30"/>
  <c r="L94" i="30"/>
  <c r="C75" i="30" s="1"/>
  <c r="M75" i="30" s="1"/>
  <c r="D95" i="30"/>
  <c r="G95" i="30"/>
  <c r="H95" i="30"/>
  <c r="L95" i="30"/>
  <c r="C76" i="30" s="1"/>
  <c r="M76" i="30" s="1"/>
  <c r="D96" i="30"/>
  <c r="G96" i="30"/>
  <c r="H96" i="30"/>
  <c r="L96" i="30"/>
  <c r="C77" i="30" s="1"/>
  <c r="M77" i="30" s="1"/>
  <c r="D97" i="30"/>
  <c r="G97" i="30"/>
  <c r="H97" i="30"/>
  <c r="L97" i="30"/>
  <c r="C78" i="30" s="1"/>
  <c r="M78" i="30" s="1"/>
  <c r="D98" i="30"/>
  <c r="G98" i="30"/>
  <c r="H98" i="30"/>
  <c r="L98" i="30"/>
  <c r="C79" i="30" s="1"/>
  <c r="M79" i="30" s="1"/>
  <c r="D99" i="30"/>
  <c r="G99" i="30"/>
  <c r="H99" i="30"/>
  <c r="L99" i="30"/>
  <c r="C80" i="30" s="1"/>
  <c r="M80" i="30" s="1"/>
  <c r="D100" i="30"/>
  <c r="G100" i="30"/>
  <c r="H100" i="30"/>
  <c r="L100" i="30"/>
  <c r="C81" i="30" s="1"/>
  <c r="N81" i="30" s="1"/>
  <c r="O81" i="30" s="1"/>
  <c r="D101" i="30"/>
  <c r="G101" i="30"/>
  <c r="H101" i="30"/>
  <c r="L101" i="30"/>
  <c r="C82" i="30" s="1"/>
  <c r="M82" i="30" s="1"/>
  <c r="D102" i="30"/>
  <c r="G102" i="30"/>
  <c r="H102" i="30"/>
  <c r="L102" i="30"/>
  <c r="C83" i="30" s="1"/>
  <c r="M83" i="30" s="1"/>
  <c r="D103" i="30"/>
  <c r="G103" i="30"/>
  <c r="H103" i="30"/>
  <c r="L103" i="30"/>
  <c r="C84" i="30" s="1"/>
  <c r="M84" i="30" s="1"/>
  <c r="D104" i="30"/>
  <c r="G104" i="30"/>
  <c r="H104" i="30"/>
  <c r="L104" i="30"/>
  <c r="C85" i="30" s="1"/>
  <c r="M85" i="30" s="1"/>
  <c r="D105" i="30"/>
  <c r="G105" i="30"/>
  <c r="H105" i="30"/>
  <c r="L105" i="30"/>
  <c r="C86" i="30" s="1"/>
  <c r="M86" i="30" s="1"/>
  <c r="D106" i="30"/>
  <c r="G106" i="30"/>
  <c r="H106" i="30"/>
  <c r="L106" i="30"/>
  <c r="C87" i="30" s="1"/>
  <c r="M87" i="30" s="1"/>
  <c r="D107" i="30"/>
  <c r="G107" i="30"/>
  <c r="H107" i="30"/>
  <c r="L107" i="30"/>
  <c r="C88" i="30" s="1"/>
  <c r="M88" i="30" s="1"/>
  <c r="D108" i="30"/>
  <c r="G108" i="30"/>
  <c r="H108" i="30"/>
  <c r="L108" i="30"/>
  <c r="C89" i="30" s="1"/>
  <c r="M89" i="30" s="1"/>
  <c r="D109" i="30"/>
  <c r="G109" i="30"/>
  <c r="H109" i="30"/>
  <c r="L109" i="30"/>
  <c r="C90" i="30" s="1"/>
  <c r="M90" i="30" s="1"/>
  <c r="D110" i="30"/>
  <c r="G110" i="30"/>
  <c r="H110" i="30"/>
  <c r="L110" i="30"/>
  <c r="C91" i="30" s="1"/>
  <c r="M91" i="30" s="1"/>
  <c r="D111" i="30"/>
  <c r="G111" i="30"/>
  <c r="H111" i="30"/>
  <c r="L111" i="30"/>
  <c r="C92" i="30" s="1"/>
  <c r="M92" i="30" s="1"/>
  <c r="D112" i="30"/>
  <c r="G112" i="30"/>
  <c r="H112" i="30"/>
  <c r="L112" i="30"/>
  <c r="C93" i="30" s="1"/>
  <c r="M93" i="30" s="1"/>
  <c r="D113" i="30"/>
  <c r="G113" i="30"/>
  <c r="H113" i="30"/>
  <c r="L113" i="30"/>
  <c r="C94" i="30" s="1"/>
  <c r="M94" i="30" s="1"/>
  <c r="D114" i="30"/>
  <c r="G114" i="30"/>
  <c r="H114" i="30"/>
  <c r="L114" i="30"/>
  <c r="C95" i="30" s="1"/>
  <c r="M95" i="30" s="1"/>
  <c r="D115" i="30"/>
  <c r="G115" i="30"/>
  <c r="H115" i="30"/>
  <c r="L115" i="30"/>
  <c r="C96" i="30" s="1"/>
  <c r="M96" i="30" s="1"/>
  <c r="D116" i="30"/>
  <c r="G116" i="30"/>
  <c r="H116" i="30"/>
  <c r="L116" i="30"/>
  <c r="C97" i="30" s="1"/>
  <c r="M97" i="30" s="1"/>
  <c r="D117" i="30"/>
  <c r="G117" i="30"/>
  <c r="H117" i="30"/>
  <c r="L117" i="30"/>
  <c r="C98" i="30" s="1"/>
  <c r="M98" i="30" s="1"/>
  <c r="D118" i="30"/>
  <c r="G118" i="30"/>
  <c r="H118" i="30"/>
  <c r="L118" i="30"/>
  <c r="C99" i="30" s="1"/>
  <c r="M99" i="30" s="1"/>
  <c r="D119" i="30"/>
  <c r="G119" i="30"/>
  <c r="H119" i="30"/>
  <c r="L119" i="30"/>
  <c r="C100" i="30" s="1"/>
  <c r="M100" i="30" s="1"/>
  <c r="D120" i="30"/>
  <c r="G120" i="30"/>
  <c r="H120" i="30"/>
  <c r="L120" i="30"/>
  <c r="C101" i="30" s="1"/>
  <c r="M101" i="30" s="1"/>
  <c r="D121" i="30"/>
  <c r="G121" i="30"/>
  <c r="H121" i="30"/>
  <c r="L121" i="30"/>
  <c r="C102" i="30" s="1"/>
  <c r="M102" i="30" s="1"/>
  <c r="D122" i="30"/>
  <c r="G122" i="30"/>
  <c r="H122" i="30"/>
  <c r="L122" i="30"/>
  <c r="C103" i="30" s="1"/>
  <c r="M103" i="30" s="1"/>
  <c r="D123" i="30"/>
  <c r="G123" i="30"/>
  <c r="H123" i="30"/>
  <c r="L123" i="30"/>
  <c r="C104" i="30" s="1"/>
  <c r="M104" i="30" s="1"/>
  <c r="D124" i="30"/>
  <c r="G124" i="30"/>
  <c r="H124" i="30"/>
  <c r="L124" i="30"/>
  <c r="C105" i="30" s="1"/>
  <c r="M105" i="30" s="1"/>
  <c r="D125" i="30"/>
  <c r="G125" i="30"/>
  <c r="H125" i="30"/>
  <c r="L125" i="30"/>
  <c r="C106" i="30" s="1"/>
  <c r="M106" i="30" s="1"/>
  <c r="D126" i="30"/>
  <c r="G126" i="30"/>
  <c r="H126" i="30"/>
  <c r="L126" i="30"/>
  <c r="C107" i="30" s="1"/>
  <c r="M107" i="30" s="1"/>
  <c r="D127" i="30"/>
  <c r="G127" i="30"/>
  <c r="H127" i="30"/>
  <c r="L127" i="30"/>
  <c r="C108" i="30" s="1"/>
  <c r="M108" i="30" s="1"/>
  <c r="D128" i="30"/>
  <c r="G128" i="30"/>
  <c r="H128" i="30"/>
  <c r="L128" i="30"/>
  <c r="C109" i="30" s="1"/>
  <c r="M109" i="30" s="1"/>
  <c r="D129" i="30"/>
  <c r="G129" i="30"/>
  <c r="H129" i="30"/>
  <c r="L129" i="30"/>
  <c r="C110" i="30" s="1"/>
  <c r="M110" i="30" s="1"/>
  <c r="D130" i="30"/>
  <c r="G130" i="30"/>
  <c r="H130" i="30"/>
  <c r="L130" i="30"/>
  <c r="C111" i="30" s="1"/>
  <c r="M111" i="30" s="1"/>
  <c r="D131" i="30"/>
  <c r="G131" i="30"/>
  <c r="H131" i="30"/>
  <c r="L131" i="30"/>
  <c r="C112" i="30" s="1"/>
  <c r="M112" i="30" s="1"/>
  <c r="D132" i="30"/>
  <c r="G132" i="30"/>
  <c r="H132" i="30"/>
  <c r="L132" i="30"/>
  <c r="C113" i="30" s="1"/>
  <c r="N113" i="30" s="1"/>
  <c r="O113" i="30" s="1"/>
  <c r="D133" i="30"/>
  <c r="G133" i="30"/>
  <c r="H133" i="30"/>
  <c r="L133" i="30"/>
  <c r="C114" i="30" s="1"/>
  <c r="M114" i="30" s="1"/>
  <c r="D134" i="30"/>
  <c r="G134" i="30"/>
  <c r="H134" i="30"/>
  <c r="L134" i="30"/>
  <c r="C115" i="30" s="1"/>
  <c r="M115" i="30" s="1"/>
  <c r="D135" i="30"/>
  <c r="G135" i="30"/>
  <c r="H135" i="30"/>
  <c r="L135" i="30"/>
  <c r="C116" i="30" s="1"/>
  <c r="M116" i="30" s="1"/>
  <c r="D136" i="30"/>
  <c r="G136" i="30"/>
  <c r="H136" i="30"/>
  <c r="L136" i="30"/>
  <c r="C117" i="30" s="1"/>
  <c r="M117" i="30" s="1"/>
  <c r="D137" i="30"/>
  <c r="G137" i="30"/>
  <c r="H137" i="30"/>
  <c r="L137" i="30"/>
  <c r="C118" i="30" s="1"/>
  <c r="M118" i="30" s="1"/>
  <c r="D138" i="30"/>
  <c r="G138" i="30"/>
  <c r="H138" i="30"/>
  <c r="L138" i="30"/>
  <c r="C119" i="30" s="1"/>
  <c r="M119" i="30" s="1"/>
  <c r="D139" i="30"/>
  <c r="G139" i="30"/>
  <c r="H139" i="30"/>
  <c r="L139" i="30"/>
  <c r="C120" i="30" s="1"/>
  <c r="M120" i="30" s="1"/>
  <c r="D140" i="30"/>
  <c r="G140" i="30"/>
  <c r="H140" i="30"/>
  <c r="L140" i="30"/>
  <c r="C121" i="30" s="1"/>
  <c r="M121" i="30" s="1"/>
  <c r="D141" i="30"/>
  <c r="G141" i="30"/>
  <c r="H141" i="30"/>
  <c r="L141" i="30"/>
  <c r="C122" i="30" s="1"/>
  <c r="M122" i="30" s="1"/>
  <c r="D142" i="30"/>
  <c r="G142" i="30"/>
  <c r="H142" i="30"/>
  <c r="L142" i="30"/>
  <c r="C123" i="30" s="1"/>
  <c r="M123" i="30" s="1"/>
  <c r="D143" i="30"/>
  <c r="G143" i="30"/>
  <c r="H143" i="30"/>
  <c r="L143" i="30"/>
  <c r="C124" i="30" s="1"/>
  <c r="M124" i="30" s="1"/>
  <c r="D144" i="30"/>
  <c r="G144" i="30"/>
  <c r="H144" i="30"/>
  <c r="L144" i="30"/>
  <c r="C125" i="30" s="1"/>
  <c r="M125" i="30" s="1"/>
  <c r="D145" i="30"/>
  <c r="G145" i="30"/>
  <c r="H145" i="30"/>
  <c r="L145" i="30"/>
  <c r="C126" i="30" s="1"/>
  <c r="M126" i="30" s="1"/>
  <c r="D146" i="30"/>
  <c r="G146" i="30"/>
  <c r="H146" i="30"/>
  <c r="L146" i="30"/>
  <c r="C127" i="30" s="1"/>
  <c r="M127" i="30" s="1"/>
  <c r="D147" i="30"/>
  <c r="G147" i="30"/>
  <c r="H147" i="30"/>
  <c r="L147" i="30"/>
  <c r="C128" i="30" s="1"/>
  <c r="M128" i="30" s="1"/>
  <c r="D148" i="30"/>
  <c r="G148" i="30"/>
  <c r="H148" i="30"/>
  <c r="L148" i="30"/>
  <c r="C129" i="30" s="1"/>
  <c r="M129" i="30" s="1"/>
  <c r="D149" i="30"/>
  <c r="G149" i="30"/>
  <c r="H149" i="30"/>
  <c r="L149" i="30"/>
  <c r="C130" i="30" s="1"/>
  <c r="M130" i="30" s="1"/>
  <c r="D150" i="30"/>
  <c r="G150" i="30"/>
  <c r="H150" i="30"/>
  <c r="L150" i="30"/>
  <c r="C131" i="30" s="1"/>
  <c r="M131" i="30" s="1"/>
  <c r="D151" i="30"/>
  <c r="G151" i="30"/>
  <c r="H151" i="30"/>
  <c r="L151" i="30"/>
  <c r="C132" i="30" s="1"/>
  <c r="M132" i="30" s="1"/>
  <c r="D152" i="30"/>
  <c r="G152" i="30"/>
  <c r="H152" i="30"/>
  <c r="L152" i="30"/>
  <c r="C133" i="30" s="1"/>
  <c r="M133" i="30" s="1"/>
  <c r="D153" i="30"/>
  <c r="G153" i="30"/>
  <c r="H153" i="30"/>
  <c r="L153" i="30"/>
  <c r="C134" i="30" s="1"/>
  <c r="M134" i="30" s="1"/>
  <c r="D154" i="30"/>
  <c r="G154" i="30"/>
  <c r="H154" i="30"/>
  <c r="L154" i="30"/>
  <c r="C135" i="30" s="1"/>
  <c r="M135" i="30" s="1"/>
  <c r="D155" i="30"/>
  <c r="G155" i="30"/>
  <c r="H155" i="30"/>
  <c r="L155" i="30"/>
  <c r="C136" i="30" s="1"/>
  <c r="M136" i="30" s="1"/>
  <c r="D156" i="30"/>
  <c r="G156" i="30"/>
  <c r="H156" i="30"/>
  <c r="L156" i="30"/>
  <c r="C137" i="30" s="1"/>
  <c r="M137" i="30" s="1"/>
  <c r="D157" i="30"/>
  <c r="G157" i="30"/>
  <c r="H157" i="30"/>
  <c r="L157" i="30"/>
  <c r="C138" i="30" s="1"/>
  <c r="M138" i="30" s="1"/>
  <c r="D158" i="30"/>
  <c r="G158" i="30"/>
  <c r="H158" i="30"/>
  <c r="L158" i="30"/>
  <c r="C139" i="30" s="1"/>
  <c r="M139" i="30" s="1"/>
  <c r="D159" i="30"/>
  <c r="G159" i="30"/>
  <c r="H159" i="30"/>
  <c r="L159" i="30"/>
  <c r="C140" i="30" s="1"/>
  <c r="M140" i="30" s="1"/>
  <c r="D160" i="30"/>
  <c r="G160" i="30"/>
  <c r="H160" i="30"/>
  <c r="L160" i="30"/>
  <c r="C141" i="30" s="1"/>
  <c r="M141" i="30" s="1"/>
  <c r="D161" i="30"/>
  <c r="G161" i="30"/>
  <c r="H161" i="30"/>
  <c r="L161" i="30"/>
  <c r="C142" i="30" s="1"/>
  <c r="M142" i="30" s="1"/>
  <c r="D162" i="30"/>
  <c r="G162" i="30"/>
  <c r="H162" i="30"/>
  <c r="L162" i="30"/>
  <c r="C143" i="30" s="1"/>
  <c r="M143" i="30" s="1"/>
  <c r="D163" i="30"/>
  <c r="G163" i="30"/>
  <c r="H163" i="30"/>
  <c r="L163" i="30"/>
  <c r="C144" i="30" s="1"/>
  <c r="M144" i="30" s="1"/>
  <c r="D164" i="30"/>
  <c r="G164" i="30"/>
  <c r="H164" i="30"/>
  <c r="L164" i="30"/>
  <c r="C145" i="30" s="1"/>
  <c r="N145" i="30" s="1"/>
  <c r="O145" i="30" s="1"/>
  <c r="D165" i="30"/>
  <c r="G165" i="30"/>
  <c r="H165" i="30"/>
  <c r="L165" i="30"/>
  <c r="C146" i="30" s="1"/>
  <c r="M146" i="30" s="1"/>
  <c r="D166" i="30"/>
  <c r="G166" i="30"/>
  <c r="H166" i="30"/>
  <c r="L166" i="30"/>
  <c r="C147" i="30" s="1"/>
  <c r="M147" i="30" s="1"/>
  <c r="D167" i="30"/>
  <c r="G167" i="30"/>
  <c r="H167" i="30"/>
  <c r="L167" i="30"/>
  <c r="C148" i="30" s="1"/>
  <c r="M148" i="30" s="1"/>
  <c r="D168" i="30"/>
  <c r="G168" i="30"/>
  <c r="H168" i="30"/>
  <c r="L168" i="30"/>
  <c r="C149" i="30" s="1"/>
  <c r="M149" i="30" s="1"/>
  <c r="D169" i="30"/>
  <c r="G169" i="30"/>
  <c r="H169" i="30"/>
  <c r="L169" i="30"/>
  <c r="C150" i="30" s="1"/>
  <c r="M150" i="30" s="1"/>
  <c r="D170" i="30"/>
  <c r="G170" i="30"/>
  <c r="H170" i="30"/>
  <c r="L170" i="30"/>
  <c r="C151" i="30" s="1"/>
  <c r="M151" i="30" s="1"/>
  <c r="D171" i="30"/>
  <c r="G171" i="30"/>
  <c r="H171" i="30"/>
  <c r="L171" i="30"/>
  <c r="C152" i="30" s="1"/>
  <c r="M152" i="30" s="1"/>
  <c r="D172" i="30"/>
  <c r="G172" i="30"/>
  <c r="H172" i="30"/>
  <c r="L172" i="30"/>
  <c r="C153" i="30" s="1"/>
  <c r="M153" i="30" s="1"/>
  <c r="D173" i="30"/>
  <c r="G173" i="30"/>
  <c r="H173" i="30"/>
  <c r="L173" i="30"/>
  <c r="C154" i="30" s="1"/>
  <c r="M154" i="30" s="1"/>
  <c r="D174" i="30"/>
  <c r="G174" i="30"/>
  <c r="H174" i="30"/>
  <c r="L174" i="30"/>
  <c r="C155" i="30" s="1"/>
  <c r="M155" i="30" s="1"/>
  <c r="D175" i="30"/>
  <c r="G175" i="30"/>
  <c r="H175" i="30"/>
  <c r="L175" i="30"/>
  <c r="C156" i="30" s="1"/>
  <c r="M156" i="30" s="1"/>
  <c r="D176" i="30"/>
  <c r="G176" i="30"/>
  <c r="H176" i="30"/>
  <c r="L176" i="30"/>
  <c r="C157" i="30" s="1"/>
  <c r="M157" i="30" s="1"/>
  <c r="D177" i="30"/>
  <c r="G177" i="30"/>
  <c r="H177" i="30"/>
  <c r="L177" i="30"/>
  <c r="C158" i="30" s="1"/>
  <c r="M158" i="30" s="1"/>
  <c r="D178" i="30"/>
  <c r="G178" i="30"/>
  <c r="H178" i="30"/>
  <c r="L178" i="30"/>
  <c r="C159" i="30" s="1"/>
  <c r="M159" i="30" s="1"/>
  <c r="D179" i="30"/>
  <c r="G179" i="30"/>
  <c r="H179" i="30"/>
  <c r="L179" i="30"/>
  <c r="C160" i="30" s="1"/>
  <c r="M160" i="30" s="1"/>
  <c r="D180" i="30"/>
  <c r="G180" i="30"/>
  <c r="H180" i="30"/>
  <c r="L180" i="30"/>
  <c r="C161" i="30" s="1"/>
  <c r="M161" i="30" s="1"/>
  <c r="D181" i="30"/>
  <c r="G181" i="30"/>
  <c r="H181" i="30"/>
  <c r="L181" i="30"/>
  <c r="C162" i="30" s="1"/>
  <c r="M162" i="30" s="1"/>
  <c r="D182" i="30"/>
  <c r="G182" i="30"/>
  <c r="H182" i="30"/>
  <c r="L182" i="30"/>
  <c r="C163" i="30" s="1"/>
  <c r="M163" i="30" s="1"/>
  <c r="D183" i="30"/>
  <c r="G183" i="30"/>
  <c r="H183" i="30"/>
  <c r="L183" i="30"/>
  <c r="C164" i="30" s="1"/>
  <c r="M164" i="30" s="1"/>
  <c r="D184" i="30"/>
  <c r="G184" i="30"/>
  <c r="H184" i="30"/>
  <c r="L184" i="30"/>
  <c r="C165" i="30" s="1"/>
  <c r="M165" i="30" s="1"/>
  <c r="D185" i="30"/>
  <c r="G185" i="30"/>
  <c r="H185" i="30"/>
  <c r="L185" i="30"/>
  <c r="C166" i="30" s="1"/>
  <c r="M166" i="30" s="1"/>
  <c r="D186" i="30"/>
  <c r="G186" i="30"/>
  <c r="H186" i="30"/>
  <c r="L186" i="30"/>
  <c r="C167" i="30" s="1"/>
  <c r="M167" i="30" s="1"/>
  <c r="D187" i="30"/>
  <c r="G187" i="30"/>
  <c r="H187" i="30"/>
  <c r="L187" i="30"/>
  <c r="C168" i="30" s="1"/>
  <c r="M168" i="30" s="1"/>
  <c r="D188" i="30"/>
  <c r="G188" i="30"/>
  <c r="H188" i="30"/>
  <c r="L188" i="30"/>
  <c r="C169" i="30" s="1"/>
  <c r="M169" i="30" s="1"/>
  <c r="D189" i="30"/>
  <c r="G189" i="30"/>
  <c r="H189" i="30"/>
  <c r="L189" i="30"/>
  <c r="C170" i="30" s="1"/>
  <c r="M170" i="30" s="1"/>
  <c r="D190" i="30"/>
  <c r="G190" i="30"/>
  <c r="H190" i="30"/>
  <c r="L190" i="30"/>
  <c r="C171" i="30" s="1"/>
  <c r="M171" i="30" s="1"/>
  <c r="D191" i="30"/>
  <c r="G191" i="30"/>
  <c r="H191" i="30"/>
  <c r="L191" i="30"/>
  <c r="C172" i="30" s="1"/>
  <c r="M172" i="30" s="1"/>
  <c r="D192" i="30"/>
  <c r="G192" i="30"/>
  <c r="H192" i="30"/>
  <c r="L192" i="30"/>
  <c r="C173" i="30" s="1"/>
  <c r="M173" i="30" s="1"/>
  <c r="D193" i="30"/>
  <c r="G193" i="30"/>
  <c r="H193" i="30"/>
  <c r="L193" i="30"/>
  <c r="C174" i="30" s="1"/>
  <c r="M174" i="30" s="1"/>
  <c r="D194" i="30"/>
  <c r="G194" i="30"/>
  <c r="H194" i="30"/>
  <c r="L194" i="30"/>
  <c r="C175" i="30" s="1"/>
  <c r="M175" i="30" s="1"/>
  <c r="D195" i="30"/>
  <c r="G195" i="30"/>
  <c r="H195" i="30"/>
  <c r="L195" i="30"/>
  <c r="C176" i="30" s="1"/>
  <c r="M176" i="30" s="1"/>
  <c r="D196" i="30"/>
  <c r="G196" i="30"/>
  <c r="H196" i="30"/>
  <c r="L196" i="30"/>
  <c r="C177" i="30" s="1"/>
  <c r="N177" i="30" s="1"/>
  <c r="O177" i="30" s="1"/>
  <c r="D197" i="30"/>
  <c r="G197" i="30"/>
  <c r="H197" i="30"/>
  <c r="L197" i="30"/>
  <c r="C178" i="30" s="1"/>
  <c r="M178" i="30" s="1"/>
  <c r="D198" i="30"/>
  <c r="G198" i="30"/>
  <c r="H198" i="30"/>
  <c r="L198" i="30"/>
  <c r="C179" i="30" s="1"/>
  <c r="M179" i="30" s="1"/>
  <c r="D199" i="30"/>
  <c r="G199" i="30"/>
  <c r="H199" i="30"/>
  <c r="L199" i="30"/>
  <c r="C180" i="30" s="1"/>
  <c r="M180" i="30" s="1"/>
  <c r="D200" i="30"/>
  <c r="G200" i="30"/>
  <c r="H200" i="30"/>
  <c r="L200" i="30"/>
  <c r="C181" i="30" s="1"/>
  <c r="M181" i="30" s="1"/>
  <c r="D201" i="30"/>
  <c r="G201" i="30"/>
  <c r="H201" i="30"/>
  <c r="L201" i="30"/>
  <c r="C182" i="30" s="1"/>
  <c r="M182" i="30" s="1"/>
  <c r="D202" i="30"/>
  <c r="G202" i="30"/>
  <c r="H202" i="30"/>
  <c r="L202" i="30"/>
  <c r="C183" i="30" s="1"/>
  <c r="M183" i="30" s="1"/>
  <c r="D203" i="30"/>
  <c r="G203" i="30"/>
  <c r="H203" i="30"/>
  <c r="L203" i="30"/>
  <c r="C184" i="30" s="1"/>
  <c r="M184" i="30" s="1"/>
  <c r="D204" i="30"/>
  <c r="G204" i="30"/>
  <c r="H204" i="30"/>
  <c r="L204" i="30"/>
  <c r="C185" i="30" s="1"/>
  <c r="M185" i="30" s="1"/>
  <c r="D205" i="30"/>
  <c r="G205" i="30"/>
  <c r="H205" i="30"/>
  <c r="L205" i="30"/>
  <c r="C186" i="30" s="1"/>
  <c r="M186" i="30" s="1"/>
  <c r="D206" i="30"/>
  <c r="G206" i="30"/>
  <c r="H206" i="30"/>
  <c r="L206" i="30"/>
  <c r="C187" i="30" s="1"/>
  <c r="M187" i="30" s="1"/>
  <c r="D207" i="30"/>
  <c r="G207" i="30"/>
  <c r="H207" i="30"/>
  <c r="L207" i="30"/>
  <c r="C188" i="30" s="1"/>
  <c r="M188" i="30" s="1"/>
  <c r="D208" i="30"/>
  <c r="G208" i="30"/>
  <c r="H208" i="30"/>
  <c r="L208" i="30"/>
  <c r="C189" i="30" s="1"/>
  <c r="M189" i="30" s="1"/>
  <c r="D209" i="30"/>
  <c r="G209" i="30"/>
  <c r="H209" i="30"/>
  <c r="L209" i="30"/>
  <c r="C190" i="30" s="1"/>
  <c r="M190" i="30" s="1"/>
  <c r="D210" i="30"/>
  <c r="G210" i="30"/>
  <c r="H210" i="30"/>
  <c r="L210" i="30"/>
  <c r="C191" i="30" s="1"/>
  <c r="M191" i="30" s="1"/>
  <c r="D211" i="30"/>
  <c r="G211" i="30"/>
  <c r="H211" i="30"/>
  <c r="L211" i="30"/>
  <c r="C192" i="30" s="1"/>
  <c r="M192" i="30" s="1"/>
  <c r="D212" i="30"/>
  <c r="G212" i="30"/>
  <c r="H212" i="30"/>
  <c r="L212" i="30"/>
  <c r="C193" i="30" s="1"/>
  <c r="M193" i="30" s="1"/>
  <c r="D213" i="30"/>
  <c r="G213" i="30"/>
  <c r="H213" i="30"/>
  <c r="L213" i="30"/>
  <c r="C194" i="30" s="1"/>
  <c r="M194" i="30" s="1"/>
  <c r="D214" i="30"/>
  <c r="G214" i="30"/>
  <c r="H214" i="30"/>
  <c r="L214" i="30"/>
  <c r="C195" i="30" s="1"/>
  <c r="M195" i="30" s="1"/>
  <c r="D215" i="30"/>
  <c r="G215" i="30"/>
  <c r="H215" i="30"/>
  <c r="L215" i="30"/>
  <c r="C196" i="30" s="1"/>
  <c r="M196" i="30" s="1"/>
  <c r="D216" i="30"/>
  <c r="G216" i="30"/>
  <c r="H216" i="30"/>
  <c r="L216" i="30"/>
  <c r="C197" i="30" s="1"/>
  <c r="M197" i="30" s="1"/>
  <c r="D217" i="30"/>
  <c r="G217" i="30"/>
  <c r="H217" i="30"/>
  <c r="L217" i="30"/>
  <c r="C198" i="30" s="1"/>
  <c r="M198" i="30" s="1"/>
  <c r="D218" i="30"/>
  <c r="G218" i="30"/>
  <c r="H218" i="30"/>
  <c r="L218" i="30"/>
  <c r="C199" i="30" s="1"/>
  <c r="M199" i="30" s="1"/>
  <c r="D219" i="30"/>
  <c r="G219" i="30"/>
  <c r="H219" i="30"/>
  <c r="L219" i="30"/>
  <c r="C200" i="30" s="1"/>
  <c r="M200" i="30" s="1"/>
  <c r="G220" i="30"/>
  <c r="H220" i="30"/>
  <c r="L220" i="30"/>
  <c r="C201" i="30" s="1"/>
  <c r="M201" i="30" s="1"/>
  <c r="G221" i="30"/>
  <c r="H221" i="30"/>
  <c r="L221" i="30"/>
  <c r="C202" i="30" s="1"/>
  <c r="M202" i="30" s="1"/>
  <c r="G222" i="30"/>
  <c r="H222" i="30"/>
  <c r="L222" i="30"/>
  <c r="C203" i="30" s="1"/>
  <c r="M203" i="30" s="1"/>
  <c r="G223" i="30"/>
  <c r="H223" i="30"/>
  <c r="L223" i="30"/>
  <c r="C204" i="30" s="1"/>
  <c r="M204" i="30" s="1"/>
  <c r="G224" i="30"/>
  <c r="H224" i="30"/>
  <c r="L224" i="30"/>
  <c r="C205" i="30" s="1"/>
  <c r="M205" i="30" s="1"/>
  <c r="G225" i="30"/>
  <c r="H225" i="30"/>
  <c r="L225" i="30"/>
  <c r="C206" i="30" s="1"/>
  <c r="M206" i="30" s="1"/>
  <c r="G226" i="30"/>
  <c r="H226" i="30"/>
  <c r="L226" i="30"/>
  <c r="C207" i="30" s="1"/>
  <c r="M207" i="30" s="1"/>
  <c r="G227" i="30"/>
  <c r="H227" i="30"/>
  <c r="L227" i="30"/>
  <c r="C208" i="30" s="1"/>
  <c r="M208" i="30" s="1"/>
  <c r="G228" i="30"/>
  <c r="H228" i="30"/>
  <c r="L228" i="30"/>
  <c r="C209" i="30" s="1"/>
  <c r="N209" i="30" s="1"/>
  <c r="O209" i="30" s="1"/>
  <c r="G229" i="30"/>
  <c r="H229" i="30"/>
  <c r="L229" i="30"/>
  <c r="C210" i="30" s="1"/>
  <c r="M210" i="30" s="1"/>
  <c r="G230" i="30"/>
  <c r="H230" i="30"/>
  <c r="L230" i="30"/>
  <c r="C211" i="30" s="1"/>
  <c r="M211" i="30" s="1"/>
  <c r="G231" i="30"/>
  <c r="H231" i="30"/>
  <c r="L231" i="30"/>
  <c r="C212" i="30" s="1"/>
  <c r="M212" i="30" s="1"/>
  <c r="G232" i="30"/>
  <c r="H232" i="30"/>
  <c r="L232" i="30"/>
  <c r="C213" i="30" s="1"/>
  <c r="M213" i="30" s="1"/>
  <c r="G233" i="30"/>
  <c r="H233" i="30"/>
  <c r="L233" i="30"/>
  <c r="C214" i="30" s="1"/>
  <c r="M214" i="30" s="1"/>
  <c r="L2" i="30"/>
  <c r="H2" i="30"/>
  <c r="G2" i="30"/>
  <c r="D2" i="30"/>
  <c r="P244" i="15"/>
  <c r="U244" i="15"/>
  <c r="V244" i="15"/>
  <c r="W244" i="15"/>
  <c r="P243" i="15"/>
  <c r="U243" i="15"/>
  <c r="V243" i="15"/>
  <c r="W243" i="15"/>
  <c r="O237" i="15" l="1"/>
  <c r="T237" i="15"/>
  <c r="T239" i="15"/>
  <c r="O239" i="15"/>
  <c r="O238" i="15"/>
  <c r="T238" i="15"/>
  <c r="T240" i="15"/>
  <c r="O240" i="15"/>
  <c r="T241" i="15"/>
  <c r="O241" i="15"/>
  <c r="T231" i="15"/>
  <c r="O231" i="15"/>
  <c r="T233" i="15"/>
  <c r="O233" i="15"/>
  <c r="T235" i="15"/>
  <c r="O235" i="15"/>
  <c r="N232" i="30"/>
  <c r="O232" i="30" s="1"/>
  <c r="N231" i="30"/>
  <c r="O231" i="30" s="1"/>
  <c r="M229" i="30"/>
  <c r="M226" i="30"/>
  <c r="N223" i="30"/>
  <c r="O223" i="30" s="1"/>
  <c r="M221" i="30"/>
  <c r="M216" i="30"/>
  <c r="J216" i="30" s="1"/>
  <c r="N230" i="30"/>
  <c r="O230" i="30" s="1"/>
  <c r="N222" i="30"/>
  <c r="O222" i="30" s="1"/>
  <c r="N228" i="30"/>
  <c r="O228" i="30" s="1"/>
  <c r="N220" i="30"/>
  <c r="O220" i="30" s="1"/>
  <c r="N227" i="30"/>
  <c r="O227" i="30" s="1"/>
  <c r="N219" i="30"/>
  <c r="O219" i="30" s="1"/>
  <c r="J219" i="30" s="1"/>
  <c r="N218" i="30"/>
  <c r="O218" i="30" s="1"/>
  <c r="J218" i="30" s="1"/>
  <c r="N233" i="30"/>
  <c r="O233" i="30" s="1"/>
  <c r="N225" i="30"/>
  <c r="O225" i="30" s="1"/>
  <c r="N217" i="30"/>
  <c r="O217" i="30" s="1"/>
  <c r="J217" i="30" s="1"/>
  <c r="N224" i="30"/>
  <c r="O224" i="30" s="1"/>
  <c r="N215" i="30"/>
  <c r="O215" i="30" s="1"/>
  <c r="J215" i="30" s="1"/>
  <c r="N142" i="30"/>
  <c r="O142" i="30" s="1"/>
  <c r="J142" i="30" s="1"/>
  <c r="N78" i="30"/>
  <c r="O78" i="30" s="1"/>
  <c r="J78" i="30" s="1"/>
  <c r="M17" i="30"/>
  <c r="J17" i="30" s="1"/>
  <c r="N139" i="30"/>
  <c r="O139" i="30" s="1"/>
  <c r="J139" i="30" s="1"/>
  <c r="N137" i="30"/>
  <c r="O137" i="30" s="1"/>
  <c r="J137" i="30" s="1"/>
  <c r="N110" i="30"/>
  <c r="O110" i="30" s="1"/>
  <c r="J110" i="30" s="1"/>
  <c r="N107" i="30"/>
  <c r="O107" i="30" s="1"/>
  <c r="J107" i="30" s="1"/>
  <c r="N105" i="30"/>
  <c r="O105" i="30" s="1"/>
  <c r="J105" i="30" s="1"/>
  <c r="N73" i="30"/>
  <c r="O73" i="30" s="1"/>
  <c r="J73" i="30" s="1"/>
  <c r="N46" i="30"/>
  <c r="O46" i="30" s="1"/>
  <c r="J46" i="30" s="1"/>
  <c r="N206" i="30"/>
  <c r="O206" i="30" s="1"/>
  <c r="N43" i="30"/>
  <c r="O43" i="30" s="1"/>
  <c r="J43" i="30" s="1"/>
  <c r="N203" i="30"/>
  <c r="O203" i="30" s="1"/>
  <c r="J203" i="30" s="1"/>
  <c r="N201" i="30"/>
  <c r="O201" i="30" s="1"/>
  <c r="J201" i="30" s="1"/>
  <c r="N174" i="30"/>
  <c r="O174" i="30" s="1"/>
  <c r="J174" i="30" s="1"/>
  <c r="N171" i="30"/>
  <c r="O171" i="30" s="1"/>
  <c r="J171" i="30" s="1"/>
  <c r="N14" i="30"/>
  <c r="O14" i="30" s="1"/>
  <c r="J14" i="30" s="1"/>
  <c r="N169" i="30"/>
  <c r="O169" i="30" s="1"/>
  <c r="J169" i="30" s="1"/>
  <c r="M209" i="30"/>
  <c r="J209" i="30" s="1"/>
  <c r="M177" i="30"/>
  <c r="J177" i="30" s="1"/>
  <c r="M145" i="30"/>
  <c r="J145" i="30" s="1"/>
  <c r="M113" i="30"/>
  <c r="J113" i="30" s="1"/>
  <c r="M81" i="30"/>
  <c r="J81" i="30" s="1"/>
  <c r="M49" i="30"/>
  <c r="N19" i="30"/>
  <c r="O19" i="30" s="1"/>
  <c r="J19" i="30" s="1"/>
  <c r="N70" i="30"/>
  <c r="O70" i="30" s="1"/>
  <c r="J70" i="30" s="1"/>
  <c r="N41" i="30"/>
  <c r="O41" i="30" s="1"/>
  <c r="J41" i="30" s="1"/>
  <c r="N11" i="30"/>
  <c r="O11" i="30" s="1"/>
  <c r="J11" i="30" s="1"/>
  <c r="N198" i="30"/>
  <c r="O198" i="30" s="1"/>
  <c r="J198" i="30" s="1"/>
  <c r="N166" i="30"/>
  <c r="O166" i="30" s="1"/>
  <c r="J166" i="30" s="1"/>
  <c r="N134" i="30"/>
  <c r="O134" i="30" s="1"/>
  <c r="J134" i="30" s="1"/>
  <c r="N102" i="30"/>
  <c r="O102" i="30" s="1"/>
  <c r="J102" i="30" s="1"/>
  <c r="N67" i="30"/>
  <c r="O67" i="30" s="1"/>
  <c r="J67" i="30" s="1"/>
  <c r="N195" i="30"/>
  <c r="O195" i="30" s="1"/>
  <c r="N163" i="30"/>
  <c r="O163" i="30" s="1"/>
  <c r="J163" i="30" s="1"/>
  <c r="N131" i="30"/>
  <c r="O131" i="30" s="1"/>
  <c r="J131" i="30" s="1"/>
  <c r="N99" i="30"/>
  <c r="O99" i="30" s="1"/>
  <c r="J99" i="30" s="1"/>
  <c r="N65" i="30"/>
  <c r="O65" i="30" s="1"/>
  <c r="J65" i="30" s="1"/>
  <c r="N38" i="30"/>
  <c r="O38" i="30" s="1"/>
  <c r="J38" i="30" s="1"/>
  <c r="N9" i="30"/>
  <c r="O9" i="30" s="1"/>
  <c r="J9" i="30" s="1"/>
  <c r="N193" i="30"/>
  <c r="O193" i="30" s="1"/>
  <c r="N161" i="30"/>
  <c r="O161" i="30" s="1"/>
  <c r="J161" i="30" s="1"/>
  <c r="N129" i="30"/>
  <c r="O129" i="30" s="1"/>
  <c r="N97" i="30"/>
  <c r="O97" i="30" s="1"/>
  <c r="J97" i="30" s="1"/>
  <c r="N35" i="30"/>
  <c r="O35" i="30" s="1"/>
  <c r="J35" i="30" s="1"/>
  <c r="N62" i="30"/>
  <c r="O62" i="30" s="1"/>
  <c r="J62" i="30" s="1"/>
  <c r="N33" i="30"/>
  <c r="O33" i="30" s="1"/>
  <c r="J33" i="30" s="1"/>
  <c r="N6" i="30"/>
  <c r="O6" i="30" s="1"/>
  <c r="J6" i="30" s="1"/>
  <c r="N190" i="30"/>
  <c r="O190" i="30" s="1"/>
  <c r="J190" i="30" s="1"/>
  <c r="N158" i="30"/>
  <c r="O158" i="30" s="1"/>
  <c r="J158" i="30" s="1"/>
  <c r="N126" i="30"/>
  <c r="O126" i="30" s="1"/>
  <c r="J126" i="30" s="1"/>
  <c r="N94" i="30"/>
  <c r="O94" i="30" s="1"/>
  <c r="J94" i="30" s="1"/>
  <c r="N59" i="30"/>
  <c r="O59" i="30" s="1"/>
  <c r="J59" i="30" s="1"/>
  <c r="N3" i="30"/>
  <c r="O3" i="30" s="1"/>
  <c r="J3" i="30" s="1"/>
  <c r="N187" i="30"/>
  <c r="O187" i="30" s="1"/>
  <c r="J187" i="30" s="1"/>
  <c r="N155" i="30"/>
  <c r="O155" i="30" s="1"/>
  <c r="J155" i="30" s="1"/>
  <c r="N123" i="30"/>
  <c r="O123" i="30" s="1"/>
  <c r="J123" i="30" s="1"/>
  <c r="N91" i="30"/>
  <c r="O91" i="30" s="1"/>
  <c r="J91" i="30" s="1"/>
  <c r="N30" i="30"/>
  <c r="O30" i="30" s="1"/>
  <c r="J30" i="30" s="1"/>
  <c r="N185" i="30"/>
  <c r="O185" i="30" s="1"/>
  <c r="J185" i="30" s="1"/>
  <c r="N153" i="30"/>
  <c r="O153" i="30" s="1"/>
  <c r="J153" i="30" s="1"/>
  <c r="N121" i="30"/>
  <c r="O121" i="30" s="1"/>
  <c r="J121" i="30" s="1"/>
  <c r="N89" i="30"/>
  <c r="O89" i="30" s="1"/>
  <c r="J89" i="30" s="1"/>
  <c r="N57" i="30"/>
  <c r="O57" i="30" s="1"/>
  <c r="J57" i="30" s="1"/>
  <c r="N27" i="30"/>
  <c r="O27" i="30" s="1"/>
  <c r="J27" i="30" s="1"/>
  <c r="N214" i="30"/>
  <c r="O214" i="30" s="1"/>
  <c r="N182" i="30"/>
  <c r="O182" i="30" s="1"/>
  <c r="J182" i="30" s="1"/>
  <c r="N150" i="30"/>
  <c r="O150" i="30" s="1"/>
  <c r="J150" i="30" s="1"/>
  <c r="N118" i="30"/>
  <c r="O118" i="30" s="1"/>
  <c r="J118" i="30" s="1"/>
  <c r="N86" i="30"/>
  <c r="O86" i="30" s="1"/>
  <c r="J86" i="30" s="1"/>
  <c r="N54" i="30"/>
  <c r="O54" i="30" s="1"/>
  <c r="J54" i="30" s="1"/>
  <c r="N25" i="30"/>
  <c r="O25" i="30" s="1"/>
  <c r="J25" i="30" s="1"/>
  <c r="N211" i="30"/>
  <c r="O211" i="30" s="1"/>
  <c r="N179" i="30"/>
  <c r="O179" i="30" s="1"/>
  <c r="J179" i="30" s="1"/>
  <c r="N147" i="30"/>
  <c r="O147" i="30" s="1"/>
  <c r="J147" i="30" s="1"/>
  <c r="N115" i="30"/>
  <c r="O115" i="30" s="1"/>
  <c r="J115" i="30" s="1"/>
  <c r="N83" i="30"/>
  <c r="O83" i="30" s="1"/>
  <c r="J83" i="30" s="1"/>
  <c r="N51" i="30"/>
  <c r="O51" i="30" s="1"/>
  <c r="J51" i="30" s="1"/>
  <c r="N22" i="30"/>
  <c r="O22" i="30" s="1"/>
  <c r="J22" i="30" s="1"/>
  <c r="N213" i="30"/>
  <c r="O213" i="30" s="1"/>
  <c r="N205" i="30"/>
  <c r="O205" i="30" s="1"/>
  <c r="J205" i="30" s="1"/>
  <c r="N197" i="30"/>
  <c r="O197" i="30" s="1"/>
  <c r="J197" i="30" s="1"/>
  <c r="N189" i="30"/>
  <c r="O189" i="30" s="1"/>
  <c r="J189" i="30" s="1"/>
  <c r="N181" i="30"/>
  <c r="O181" i="30" s="1"/>
  <c r="J181" i="30" s="1"/>
  <c r="N173" i="30"/>
  <c r="O173" i="30" s="1"/>
  <c r="J173" i="30" s="1"/>
  <c r="N165" i="30"/>
  <c r="O165" i="30" s="1"/>
  <c r="J165" i="30" s="1"/>
  <c r="N157" i="30"/>
  <c r="O157" i="30" s="1"/>
  <c r="J157" i="30" s="1"/>
  <c r="N149" i="30"/>
  <c r="O149" i="30" s="1"/>
  <c r="J149" i="30" s="1"/>
  <c r="N141" i="30"/>
  <c r="O141" i="30" s="1"/>
  <c r="J141" i="30" s="1"/>
  <c r="N133" i="30"/>
  <c r="O133" i="30" s="1"/>
  <c r="J133" i="30" s="1"/>
  <c r="N125" i="30"/>
  <c r="O125" i="30" s="1"/>
  <c r="J125" i="30" s="1"/>
  <c r="N117" i="30"/>
  <c r="O117" i="30" s="1"/>
  <c r="J117" i="30" s="1"/>
  <c r="N109" i="30"/>
  <c r="O109" i="30" s="1"/>
  <c r="J109" i="30" s="1"/>
  <c r="N101" i="30"/>
  <c r="O101" i="30" s="1"/>
  <c r="J101" i="30" s="1"/>
  <c r="N93" i="30"/>
  <c r="O93" i="30" s="1"/>
  <c r="J93" i="30" s="1"/>
  <c r="N85" i="30"/>
  <c r="O85" i="30" s="1"/>
  <c r="J85" i="30" s="1"/>
  <c r="N77" i="30"/>
  <c r="O77" i="30" s="1"/>
  <c r="J77" i="30" s="1"/>
  <c r="N69" i="30"/>
  <c r="O69" i="30" s="1"/>
  <c r="J69" i="30" s="1"/>
  <c r="N61" i="30"/>
  <c r="O61" i="30" s="1"/>
  <c r="J61" i="30" s="1"/>
  <c r="N53" i="30"/>
  <c r="O53" i="30" s="1"/>
  <c r="J53" i="30" s="1"/>
  <c r="N45" i="30"/>
  <c r="O45" i="30" s="1"/>
  <c r="J45" i="30" s="1"/>
  <c r="N37" i="30"/>
  <c r="O37" i="30" s="1"/>
  <c r="J37" i="30" s="1"/>
  <c r="N29" i="30"/>
  <c r="O29" i="30" s="1"/>
  <c r="J29" i="30" s="1"/>
  <c r="N21" i="30"/>
  <c r="O21" i="30" s="1"/>
  <c r="J21" i="30" s="1"/>
  <c r="N13" i="30"/>
  <c r="O13" i="30" s="1"/>
  <c r="J13" i="30" s="1"/>
  <c r="N5" i="30"/>
  <c r="O5" i="30" s="1"/>
  <c r="J5" i="30" s="1"/>
  <c r="N212" i="30"/>
  <c r="O212" i="30" s="1"/>
  <c r="N204" i="30"/>
  <c r="O204" i="30" s="1"/>
  <c r="J204" i="30" s="1"/>
  <c r="N196" i="30"/>
  <c r="O196" i="30" s="1"/>
  <c r="J196" i="30" s="1"/>
  <c r="N188" i="30"/>
  <c r="O188" i="30" s="1"/>
  <c r="J188" i="30" s="1"/>
  <c r="N180" i="30"/>
  <c r="O180" i="30" s="1"/>
  <c r="J180" i="30" s="1"/>
  <c r="N172" i="30"/>
  <c r="O172" i="30" s="1"/>
  <c r="J172" i="30" s="1"/>
  <c r="N164" i="30"/>
  <c r="O164" i="30" s="1"/>
  <c r="J164" i="30" s="1"/>
  <c r="N156" i="30"/>
  <c r="O156" i="30" s="1"/>
  <c r="J156" i="30" s="1"/>
  <c r="N148" i="30"/>
  <c r="O148" i="30" s="1"/>
  <c r="J148" i="30" s="1"/>
  <c r="N140" i="30"/>
  <c r="O140" i="30" s="1"/>
  <c r="J140" i="30" s="1"/>
  <c r="N132" i="30"/>
  <c r="O132" i="30" s="1"/>
  <c r="J132" i="30" s="1"/>
  <c r="N124" i="30"/>
  <c r="O124" i="30" s="1"/>
  <c r="J124" i="30" s="1"/>
  <c r="N116" i="30"/>
  <c r="O116" i="30" s="1"/>
  <c r="J116" i="30" s="1"/>
  <c r="N108" i="30"/>
  <c r="O108" i="30" s="1"/>
  <c r="J108" i="30" s="1"/>
  <c r="N100" i="30"/>
  <c r="O100" i="30" s="1"/>
  <c r="J100" i="30" s="1"/>
  <c r="N92" i="30"/>
  <c r="O92" i="30" s="1"/>
  <c r="J92" i="30" s="1"/>
  <c r="N84" i="30"/>
  <c r="O84" i="30" s="1"/>
  <c r="J84" i="30" s="1"/>
  <c r="N76" i="30"/>
  <c r="O76" i="30" s="1"/>
  <c r="J76" i="30" s="1"/>
  <c r="N68" i="30"/>
  <c r="O68" i="30" s="1"/>
  <c r="J68" i="30" s="1"/>
  <c r="N60" i="30"/>
  <c r="O60" i="30" s="1"/>
  <c r="J60" i="30" s="1"/>
  <c r="N52" i="30"/>
  <c r="O52" i="30" s="1"/>
  <c r="J52" i="30" s="1"/>
  <c r="N44" i="30"/>
  <c r="O44" i="30" s="1"/>
  <c r="J44" i="30" s="1"/>
  <c r="N36" i="30"/>
  <c r="O36" i="30" s="1"/>
  <c r="J36" i="30" s="1"/>
  <c r="N28" i="30"/>
  <c r="O28" i="30" s="1"/>
  <c r="J28" i="30" s="1"/>
  <c r="N20" i="30"/>
  <c r="O20" i="30" s="1"/>
  <c r="J20" i="30" s="1"/>
  <c r="N12" i="30"/>
  <c r="O12" i="30" s="1"/>
  <c r="J12" i="30" s="1"/>
  <c r="N4" i="30"/>
  <c r="O4" i="30" s="1"/>
  <c r="J4" i="30" s="1"/>
  <c r="N75" i="30"/>
  <c r="O75" i="30" s="1"/>
  <c r="J75" i="30" s="1"/>
  <c r="M2" i="30"/>
  <c r="J2" i="30" s="1"/>
  <c r="N210" i="30"/>
  <c r="O210" i="30" s="1"/>
  <c r="N202" i="30"/>
  <c r="O202" i="30" s="1"/>
  <c r="J202" i="30" s="1"/>
  <c r="N194" i="30"/>
  <c r="O194" i="30" s="1"/>
  <c r="N186" i="30"/>
  <c r="O186" i="30" s="1"/>
  <c r="J186" i="30" s="1"/>
  <c r="N178" i="30"/>
  <c r="O178" i="30" s="1"/>
  <c r="J178" i="30" s="1"/>
  <c r="N170" i="30"/>
  <c r="O170" i="30" s="1"/>
  <c r="J170" i="30" s="1"/>
  <c r="N162" i="30"/>
  <c r="O162" i="30" s="1"/>
  <c r="J162" i="30" s="1"/>
  <c r="N154" i="30"/>
  <c r="O154" i="30" s="1"/>
  <c r="J154" i="30" s="1"/>
  <c r="N146" i="30"/>
  <c r="O146" i="30" s="1"/>
  <c r="J146" i="30" s="1"/>
  <c r="N138" i="30"/>
  <c r="O138" i="30" s="1"/>
  <c r="J138" i="30" s="1"/>
  <c r="N130" i="30"/>
  <c r="O130" i="30" s="1"/>
  <c r="J130" i="30" s="1"/>
  <c r="N122" i="30"/>
  <c r="O122" i="30" s="1"/>
  <c r="J122" i="30" s="1"/>
  <c r="N114" i="30"/>
  <c r="O114" i="30" s="1"/>
  <c r="J114" i="30" s="1"/>
  <c r="N106" i="30"/>
  <c r="O106" i="30" s="1"/>
  <c r="J106" i="30" s="1"/>
  <c r="N98" i="30"/>
  <c r="O98" i="30" s="1"/>
  <c r="J98" i="30" s="1"/>
  <c r="N90" i="30"/>
  <c r="O90" i="30" s="1"/>
  <c r="J90" i="30" s="1"/>
  <c r="N82" i="30"/>
  <c r="O82" i="30" s="1"/>
  <c r="J82" i="30" s="1"/>
  <c r="N74" i="30"/>
  <c r="O74" i="30" s="1"/>
  <c r="J74" i="30" s="1"/>
  <c r="N66" i="30"/>
  <c r="O66" i="30" s="1"/>
  <c r="J66" i="30" s="1"/>
  <c r="N58" i="30"/>
  <c r="O58" i="30" s="1"/>
  <c r="J58" i="30" s="1"/>
  <c r="N50" i="30"/>
  <c r="O50" i="30" s="1"/>
  <c r="N42" i="30"/>
  <c r="O42" i="30" s="1"/>
  <c r="J42" i="30" s="1"/>
  <c r="N34" i="30"/>
  <c r="O34" i="30" s="1"/>
  <c r="J34" i="30" s="1"/>
  <c r="N26" i="30"/>
  <c r="O26" i="30" s="1"/>
  <c r="J26" i="30" s="1"/>
  <c r="N18" i="30"/>
  <c r="O18" i="30" s="1"/>
  <c r="J18" i="30" s="1"/>
  <c r="N10" i="30"/>
  <c r="O10" i="30" s="1"/>
  <c r="J10" i="30" s="1"/>
  <c r="N208" i="30"/>
  <c r="O208" i="30" s="1"/>
  <c r="J208" i="30" s="1"/>
  <c r="N200" i="30"/>
  <c r="O200" i="30" s="1"/>
  <c r="J200" i="30" s="1"/>
  <c r="N192" i="30"/>
  <c r="O192" i="30" s="1"/>
  <c r="N184" i="30"/>
  <c r="O184" i="30" s="1"/>
  <c r="J184" i="30" s="1"/>
  <c r="N176" i="30"/>
  <c r="O176" i="30" s="1"/>
  <c r="J176" i="30" s="1"/>
  <c r="N168" i="30"/>
  <c r="O168" i="30" s="1"/>
  <c r="J168" i="30" s="1"/>
  <c r="N160" i="30"/>
  <c r="O160" i="30" s="1"/>
  <c r="J160" i="30" s="1"/>
  <c r="N152" i="30"/>
  <c r="O152" i="30" s="1"/>
  <c r="J152" i="30" s="1"/>
  <c r="N144" i="30"/>
  <c r="O144" i="30" s="1"/>
  <c r="J144" i="30" s="1"/>
  <c r="N136" i="30"/>
  <c r="O136" i="30" s="1"/>
  <c r="J136" i="30" s="1"/>
  <c r="N128" i="30"/>
  <c r="O128" i="30" s="1"/>
  <c r="J128" i="30" s="1"/>
  <c r="N120" i="30"/>
  <c r="O120" i="30" s="1"/>
  <c r="J120" i="30" s="1"/>
  <c r="N112" i="30"/>
  <c r="O112" i="30" s="1"/>
  <c r="J112" i="30" s="1"/>
  <c r="N104" i="30"/>
  <c r="O104" i="30" s="1"/>
  <c r="J104" i="30" s="1"/>
  <c r="N96" i="30"/>
  <c r="O96" i="30" s="1"/>
  <c r="J96" i="30" s="1"/>
  <c r="N88" i="30"/>
  <c r="O88" i="30" s="1"/>
  <c r="J88" i="30" s="1"/>
  <c r="N80" i="30"/>
  <c r="O80" i="30" s="1"/>
  <c r="J80" i="30" s="1"/>
  <c r="N72" i="30"/>
  <c r="O72" i="30" s="1"/>
  <c r="J72" i="30" s="1"/>
  <c r="N64" i="30"/>
  <c r="O64" i="30" s="1"/>
  <c r="J64" i="30" s="1"/>
  <c r="N56" i="30"/>
  <c r="O56" i="30" s="1"/>
  <c r="J56" i="30" s="1"/>
  <c r="N48" i="30"/>
  <c r="O48" i="30" s="1"/>
  <c r="J48" i="30" s="1"/>
  <c r="N40" i="30"/>
  <c r="O40" i="30" s="1"/>
  <c r="J40" i="30" s="1"/>
  <c r="N32" i="30"/>
  <c r="O32" i="30" s="1"/>
  <c r="J32" i="30" s="1"/>
  <c r="N24" i="30"/>
  <c r="O24" i="30" s="1"/>
  <c r="J24" i="30" s="1"/>
  <c r="N16" i="30"/>
  <c r="O16" i="30" s="1"/>
  <c r="J16" i="30" s="1"/>
  <c r="N8" i="30"/>
  <c r="O8" i="30" s="1"/>
  <c r="J8" i="30" s="1"/>
  <c r="N207" i="30"/>
  <c r="O207" i="30" s="1"/>
  <c r="J207" i="30" s="1"/>
  <c r="N199" i="30"/>
  <c r="O199" i="30" s="1"/>
  <c r="J199" i="30" s="1"/>
  <c r="N191" i="30"/>
  <c r="O191" i="30" s="1"/>
  <c r="N183" i="30"/>
  <c r="O183" i="30" s="1"/>
  <c r="J183" i="30" s="1"/>
  <c r="N175" i="30"/>
  <c r="O175" i="30" s="1"/>
  <c r="J175" i="30" s="1"/>
  <c r="N167" i="30"/>
  <c r="O167" i="30" s="1"/>
  <c r="J167" i="30" s="1"/>
  <c r="N159" i="30"/>
  <c r="O159" i="30" s="1"/>
  <c r="J159" i="30" s="1"/>
  <c r="N151" i="30"/>
  <c r="O151" i="30" s="1"/>
  <c r="J151" i="30" s="1"/>
  <c r="N143" i="30"/>
  <c r="O143" i="30" s="1"/>
  <c r="J143" i="30" s="1"/>
  <c r="N135" i="30"/>
  <c r="O135" i="30" s="1"/>
  <c r="J135" i="30" s="1"/>
  <c r="N127" i="30"/>
  <c r="O127" i="30" s="1"/>
  <c r="J127" i="30" s="1"/>
  <c r="N119" i="30"/>
  <c r="O119" i="30" s="1"/>
  <c r="J119" i="30" s="1"/>
  <c r="N111" i="30"/>
  <c r="O111" i="30" s="1"/>
  <c r="J111" i="30" s="1"/>
  <c r="N103" i="30"/>
  <c r="O103" i="30" s="1"/>
  <c r="J103" i="30" s="1"/>
  <c r="N95" i="30"/>
  <c r="O95" i="30" s="1"/>
  <c r="J95" i="30" s="1"/>
  <c r="N87" i="30"/>
  <c r="O87" i="30" s="1"/>
  <c r="J87" i="30" s="1"/>
  <c r="N79" i="30"/>
  <c r="O79" i="30" s="1"/>
  <c r="J79" i="30" s="1"/>
  <c r="N71" i="30"/>
  <c r="O71" i="30" s="1"/>
  <c r="J71" i="30" s="1"/>
  <c r="N63" i="30"/>
  <c r="O63" i="30" s="1"/>
  <c r="J63" i="30" s="1"/>
  <c r="N55" i="30"/>
  <c r="O55" i="30" s="1"/>
  <c r="J55" i="30" s="1"/>
  <c r="N47" i="30"/>
  <c r="O47" i="30" s="1"/>
  <c r="J47" i="30" s="1"/>
  <c r="N39" i="30"/>
  <c r="O39" i="30" s="1"/>
  <c r="J39" i="30" s="1"/>
  <c r="N31" i="30"/>
  <c r="O31" i="30" s="1"/>
  <c r="J31" i="30" s="1"/>
  <c r="N23" i="30"/>
  <c r="O23" i="30" s="1"/>
  <c r="J23" i="30" s="1"/>
  <c r="N15" i="30"/>
  <c r="O15" i="30" s="1"/>
  <c r="J15" i="30" s="1"/>
  <c r="N7" i="30"/>
  <c r="O7" i="30" s="1"/>
  <c r="J7" i="30" s="1"/>
  <c r="A148" i="14"/>
  <c r="A149" i="14"/>
  <c r="A150" i="14"/>
  <c r="A151" i="14"/>
  <c r="A152" i="14"/>
  <c r="A153" i="14"/>
  <c r="A154" i="14"/>
  <c r="A155" i="14"/>
  <c r="A156" i="14"/>
  <c r="A157" i="14"/>
  <c r="A158" i="14"/>
  <c r="A159" i="14"/>
  <c r="P242" i="15" l="1"/>
  <c r="U242" i="15"/>
  <c r="V242" i="15"/>
  <c r="W242" i="15"/>
  <c r="P241" i="15"/>
  <c r="U241" i="15"/>
  <c r="V241" i="15"/>
  <c r="W241" i="15"/>
  <c r="P240" i="15"/>
  <c r="U240" i="15"/>
  <c r="V240" i="15"/>
  <c r="W240" i="15"/>
  <c r="P239" i="15"/>
  <c r="U239" i="15"/>
  <c r="V239" i="15"/>
  <c r="W239" i="15"/>
  <c r="P238" i="15"/>
  <c r="U238" i="15"/>
  <c r="V238" i="15"/>
  <c r="W238" i="15"/>
  <c r="P237" i="15" l="1"/>
  <c r="U237" i="15"/>
  <c r="V237" i="15"/>
  <c r="W237" i="15"/>
  <c r="P236" i="15"/>
  <c r="U236" i="15"/>
  <c r="V236" i="15"/>
  <c r="W236" i="15"/>
  <c r="P235" i="15"/>
  <c r="U235" i="15"/>
  <c r="V235" i="15"/>
  <c r="W235" i="15"/>
  <c r="P231" i="15"/>
  <c r="U231" i="15"/>
  <c r="V231" i="15"/>
  <c r="W231" i="15"/>
  <c r="W234" i="15"/>
  <c r="V234" i="15"/>
  <c r="U234" i="15"/>
  <c r="P234" i="15"/>
  <c r="P233" i="15"/>
  <c r="U233" i="15"/>
  <c r="V233" i="15"/>
  <c r="W233" i="15"/>
  <c r="P232" i="15"/>
  <c r="U232" i="15"/>
  <c r="V232" i="15"/>
  <c r="W232" i="15"/>
  <c r="P160" i="18"/>
  <c r="Q160" i="18"/>
  <c r="R160" i="18"/>
  <c r="P44" i="18"/>
  <c r="Q44" i="18"/>
  <c r="R44" i="18"/>
  <c r="P165" i="18"/>
  <c r="Q165" i="18"/>
  <c r="R165" i="18"/>
  <c r="P207" i="18"/>
  <c r="Q207" i="18"/>
  <c r="R207" i="18"/>
  <c r="P42" i="18"/>
  <c r="Q42" i="18"/>
  <c r="R42" i="18"/>
  <c r="P119" i="18"/>
  <c r="Q119" i="18"/>
  <c r="R119" i="18"/>
  <c r="P112" i="18"/>
  <c r="Q112" i="18"/>
  <c r="R112" i="18"/>
  <c r="P63" i="18"/>
  <c r="Q63" i="18"/>
  <c r="R63" i="18"/>
  <c r="P93" i="18"/>
  <c r="Q93" i="18"/>
  <c r="R93" i="18"/>
  <c r="P194" i="18"/>
  <c r="Q194" i="18"/>
  <c r="R194" i="18"/>
  <c r="P192" i="18"/>
  <c r="Q192" i="18"/>
  <c r="R192" i="18"/>
  <c r="P84" i="18"/>
  <c r="Q84" i="18"/>
  <c r="R84" i="18"/>
  <c r="P196" i="18"/>
  <c r="Q196" i="18"/>
  <c r="R196" i="18"/>
  <c r="P159" i="18"/>
  <c r="Q159" i="18"/>
  <c r="R159" i="18"/>
  <c r="P48" i="18"/>
  <c r="Q48" i="18"/>
  <c r="R48" i="18"/>
  <c r="P199" i="18"/>
  <c r="Q199" i="18"/>
  <c r="R199" i="18"/>
  <c r="P30" i="18"/>
  <c r="Q30" i="18"/>
  <c r="R30" i="18"/>
  <c r="P130" i="18"/>
  <c r="Q130" i="18"/>
  <c r="R130" i="18"/>
  <c r="P100" i="18"/>
  <c r="Q100" i="18"/>
  <c r="R100" i="18"/>
  <c r="P64" i="18"/>
  <c r="Q64" i="18"/>
  <c r="R64" i="18"/>
  <c r="P21" i="18"/>
  <c r="Q21" i="18"/>
  <c r="R21" i="18"/>
  <c r="P10" i="18"/>
  <c r="Q10" i="18"/>
  <c r="R10" i="18"/>
  <c r="P113" i="18"/>
  <c r="Q113" i="18"/>
  <c r="R113" i="18"/>
  <c r="P137" i="18"/>
  <c r="Q137" i="18"/>
  <c r="R137" i="18"/>
  <c r="P9" i="18"/>
  <c r="Q9" i="18"/>
  <c r="R9" i="18"/>
  <c r="P107" i="18"/>
  <c r="Q107" i="18"/>
  <c r="R107" i="18"/>
  <c r="P105" i="18"/>
  <c r="Q105" i="18"/>
  <c r="R105" i="18"/>
  <c r="P124" i="18"/>
  <c r="Q124" i="18"/>
  <c r="R124" i="18"/>
  <c r="P169" i="18"/>
  <c r="Q169" i="18"/>
  <c r="R169" i="18"/>
  <c r="P75" i="18"/>
  <c r="Q75" i="18"/>
  <c r="R75" i="18"/>
  <c r="P81" i="18"/>
  <c r="Q81" i="18"/>
  <c r="R81" i="18"/>
  <c r="P132" i="18"/>
  <c r="Q132" i="18"/>
  <c r="R132" i="18"/>
  <c r="P250" i="18"/>
  <c r="Q250" i="18"/>
  <c r="R250" i="18"/>
  <c r="P251" i="18"/>
  <c r="Q251" i="18"/>
  <c r="R251" i="18"/>
  <c r="P255" i="18"/>
  <c r="Q255" i="18"/>
  <c r="R255" i="18"/>
  <c r="P259" i="18"/>
  <c r="Q259" i="18"/>
  <c r="R259" i="18"/>
  <c r="P272" i="18"/>
  <c r="Q272" i="18"/>
  <c r="R272" i="18"/>
  <c r="P273" i="18"/>
  <c r="Q273" i="18"/>
  <c r="R273" i="18"/>
  <c r="P286" i="18"/>
  <c r="Q286" i="18"/>
  <c r="R286" i="18"/>
  <c r="P294" i="18"/>
  <c r="Q294" i="18"/>
  <c r="R294" i="18"/>
  <c r="P295" i="18"/>
  <c r="Q295" i="18"/>
  <c r="R295" i="18"/>
  <c r="P296" i="18"/>
  <c r="Q296" i="18"/>
  <c r="R296" i="18"/>
  <c r="P297" i="18"/>
  <c r="Q297" i="18"/>
  <c r="R297" i="18"/>
  <c r="P298" i="18"/>
  <c r="P299" i="18"/>
  <c r="Q299" i="18"/>
  <c r="R299" i="18"/>
  <c r="P300" i="18"/>
  <c r="Q300" i="18"/>
  <c r="R300" i="18"/>
  <c r="P301" i="18"/>
  <c r="P302" i="18"/>
  <c r="Q302" i="18"/>
  <c r="R302" i="18"/>
  <c r="P303" i="18"/>
  <c r="Q303" i="18"/>
  <c r="R303" i="18"/>
  <c r="P304" i="18"/>
  <c r="Q304" i="18"/>
  <c r="R304" i="18"/>
  <c r="P309" i="18"/>
  <c r="Q309" i="18"/>
  <c r="R309" i="18"/>
  <c r="P310" i="18"/>
  <c r="Q310" i="18"/>
  <c r="R310" i="18"/>
  <c r="P311" i="18"/>
  <c r="Q311" i="18"/>
  <c r="R311" i="18"/>
  <c r="P312" i="18"/>
  <c r="Q312" i="18"/>
  <c r="R312" i="18"/>
  <c r="P313" i="18"/>
  <c r="Q313" i="18"/>
  <c r="R313" i="18"/>
  <c r="P314" i="18"/>
  <c r="Q314" i="18"/>
  <c r="R314" i="18"/>
  <c r="P315" i="18"/>
  <c r="Q315" i="18"/>
  <c r="R315" i="18"/>
  <c r="P316" i="18"/>
  <c r="Q316" i="18"/>
  <c r="R316" i="18"/>
  <c r="P317" i="18"/>
  <c r="Q317" i="18"/>
  <c r="R317" i="18"/>
  <c r="P322" i="18"/>
  <c r="Q322" i="18"/>
  <c r="R322" i="18"/>
  <c r="P323" i="18"/>
  <c r="Q323" i="18"/>
  <c r="R323" i="18"/>
  <c r="P324" i="18"/>
  <c r="Q324" i="18"/>
  <c r="R324" i="18"/>
  <c r="P340" i="18"/>
  <c r="Q340" i="18"/>
  <c r="R340" i="18"/>
  <c r="P341" i="18"/>
  <c r="Q341" i="18"/>
  <c r="R341" i="18"/>
  <c r="P366" i="18"/>
  <c r="Q366" i="18"/>
  <c r="R366" i="18"/>
  <c r="P367" i="18"/>
  <c r="Q367" i="18"/>
  <c r="R367" i="18"/>
  <c r="P380" i="18"/>
  <c r="Q380" i="18"/>
  <c r="R380" i="18"/>
  <c r="P387" i="18"/>
  <c r="Q387" i="18"/>
  <c r="R387" i="18"/>
  <c r="P395" i="18"/>
  <c r="Q395" i="18"/>
  <c r="R395" i="18"/>
  <c r="P396" i="18"/>
  <c r="Q396" i="18"/>
  <c r="R396" i="18"/>
  <c r="P397" i="18"/>
  <c r="Q397" i="18"/>
  <c r="R397" i="18"/>
  <c r="P398" i="18"/>
  <c r="Q398" i="18"/>
  <c r="R398" i="18"/>
  <c r="P409" i="18"/>
  <c r="Q409" i="18"/>
  <c r="R409" i="18"/>
  <c r="P421" i="18"/>
  <c r="Q421" i="18"/>
  <c r="R421" i="18"/>
  <c r="P440" i="18"/>
  <c r="Q440" i="18"/>
  <c r="R440" i="18"/>
  <c r="P456" i="18"/>
  <c r="Q456" i="18"/>
  <c r="R456" i="18"/>
  <c r="P457" i="18"/>
  <c r="Q457" i="18"/>
  <c r="R457" i="18"/>
  <c r="P458" i="18"/>
  <c r="Q458" i="18"/>
  <c r="R458" i="18"/>
  <c r="P459" i="18"/>
  <c r="Q459" i="18"/>
  <c r="R459" i="18"/>
  <c r="P460" i="18"/>
  <c r="Q460" i="18"/>
  <c r="R460" i="18"/>
  <c r="P461" i="18"/>
  <c r="Q461" i="18"/>
  <c r="R461" i="18"/>
  <c r="P510" i="18"/>
  <c r="Q510" i="18"/>
  <c r="R510" i="18"/>
  <c r="P519" i="18"/>
  <c r="Q519" i="18"/>
  <c r="R519" i="18"/>
  <c r="P557" i="18"/>
  <c r="Q557" i="18"/>
  <c r="R557" i="18"/>
  <c r="P572" i="18"/>
  <c r="Q572" i="18"/>
  <c r="R572" i="18"/>
  <c r="P582" i="18"/>
  <c r="Q582" i="18"/>
  <c r="R582" i="18"/>
  <c r="P583" i="18"/>
  <c r="Q583" i="18"/>
  <c r="R583" i="18"/>
  <c r="P590" i="18"/>
  <c r="Q590" i="18"/>
  <c r="R590" i="18"/>
  <c r="P592" i="18"/>
  <c r="Q592" i="18"/>
  <c r="R592" i="18"/>
  <c r="P593" i="18"/>
  <c r="Q593" i="18"/>
  <c r="R593" i="18"/>
  <c r="P594" i="18"/>
  <c r="Q594" i="18"/>
  <c r="R594" i="18"/>
  <c r="P596" i="18"/>
  <c r="Q596" i="18"/>
  <c r="R596" i="18"/>
  <c r="P622" i="18"/>
  <c r="Q622" i="18"/>
  <c r="R622" i="18"/>
  <c r="P623" i="18"/>
  <c r="Q623" i="18"/>
  <c r="R623" i="18"/>
  <c r="P624" i="18"/>
  <c r="Q624" i="18"/>
  <c r="R624" i="18"/>
  <c r="P625" i="18"/>
  <c r="Q625" i="18"/>
  <c r="R625" i="18"/>
  <c r="P626" i="18"/>
  <c r="Q626" i="18"/>
  <c r="R626" i="18"/>
  <c r="P627" i="18"/>
  <c r="Q627" i="18"/>
  <c r="R627" i="18"/>
  <c r="P628" i="18"/>
  <c r="Q628" i="18"/>
  <c r="R628" i="18"/>
  <c r="P633" i="18"/>
  <c r="Q633" i="18"/>
  <c r="R633" i="18"/>
  <c r="P642" i="18"/>
  <c r="Q642" i="18"/>
  <c r="R642" i="18"/>
  <c r="P643" i="18"/>
  <c r="Q643" i="18"/>
  <c r="R643" i="18"/>
  <c r="P645" i="18"/>
  <c r="Q645" i="18"/>
  <c r="R645" i="18"/>
  <c r="P651" i="18"/>
  <c r="Q651" i="18"/>
  <c r="R651" i="18"/>
  <c r="P655" i="18"/>
  <c r="Q655" i="18"/>
  <c r="R655" i="18"/>
  <c r="P659" i="18"/>
  <c r="Q659" i="18"/>
  <c r="R659" i="18"/>
  <c r="P681" i="18"/>
  <c r="Q681" i="18"/>
  <c r="R681" i="18"/>
  <c r="P726" i="18"/>
  <c r="Q726" i="18"/>
  <c r="R726" i="18"/>
  <c r="P735" i="18"/>
  <c r="Q735" i="18"/>
  <c r="R735" i="18"/>
  <c r="P740" i="18"/>
  <c r="Q740" i="18"/>
  <c r="R740" i="18"/>
  <c r="P741" i="18"/>
  <c r="Q741" i="18"/>
  <c r="R741" i="18"/>
  <c r="P742" i="18"/>
  <c r="Q742" i="18"/>
  <c r="R742" i="18"/>
  <c r="P744" i="18"/>
  <c r="Q744" i="18"/>
  <c r="R744" i="18"/>
  <c r="P745" i="18"/>
  <c r="Q745" i="18"/>
  <c r="R745" i="18"/>
  <c r="P746" i="18"/>
  <c r="Q746" i="18"/>
  <c r="R746" i="18"/>
  <c r="P747" i="18"/>
  <c r="Q747" i="18"/>
  <c r="R747" i="18"/>
  <c r="P748" i="18"/>
  <c r="Q748" i="18"/>
  <c r="R748" i="18"/>
  <c r="P764" i="18"/>
  <c r="Q764" i="18"/>
  <c r="R764" i="18"/>
  <c r="P765" i="18"/>
  <c r="Q765" i="18"/>
  <c r="R765" i="18"/>
  <c r="P767" i="18"/>
  <c r="Q767" i="18"/>
  <c r="R767" i="18"/>
  <c r="P770" i="18"/>
  <c r="Q770" i="18"/>
  <c r="R770" i="18"/>
  <c r="P771" i="18"/>
  <c r="Q771" i="18"/>
  <c r="R771" i="18"/>
  <c r="P772" i="18"/>
  <c r="Q772" i="18"/>
  <c r="R772" i="18"/>
  <c r="P776" i="18"/>
  <c r="Q776" i="18"/>
  <c r="R776" i="18"/>
  <c r="P777" i="18"/>
  <c r="Q777" i="18"/>
  <c r="R777" i="18"/>
  <c r="P778" i="18"/>
  <c r="Q778" i="18"/>
  <c r="R778" i="18"/>
  <c r="P792" i="18"/>
  <c r="Q792" i="18"/>
  <c r="R792" i="18"/>
  <c r="P793" i="18"/>
  <c r="Q793" i="18"/>
  <c r="R793" i="18"/>
  <c r="P796" i="18"/>
  <c r="Q796" i="18"/>
  <c r="R796" i="18"/>
  <c r="P822" i="18"/>
  <c r="Q822" i="18"/>
  <c r="R822" i="18"/>
  <c r="P824" i="18"/>
  <c r="Q824" i="18"/>
  <c r="R824" i="18"/>
  <c r="P827" i="18"/>
  <c r="Q827" i="18"/>
  <c r="R827" i="18"/>
  <c r="P828" i="18"/>
  <c r="Q828" i="18"/>
  <c r="R828" i="18"/>
  <c r="P829" i="18"/>
  <c r="Q829" i="18"/>
  <c r="R829" i="18"/>
  <c r="P837" i="18"/>
  <c r="Q837" i="18"/>
  <c r="R837" i="18"/>
  <c r="P839" i="18"/>
  <c r="Q839" i="18"/>
  <c r="R839" i="18"/>
  <c r="P846" i="18"/>
  <c r="Q846" i="18"/>
  <c r="R846" i="18"/>
  <c r="P857" i="18"/>
  <c r="Q857" i="18"/>
  <c r="R857" i="18"/>
  <c r="P858" i="18"/>
  <c r="Q858" i="18"/>
  <c r="R858" i="18"/>
  <c r="P879" i="18"/>
  <c r="Q879" i="18"/>
  <c r="R879" i="18"/>
  <c r="P881" i="18"/>
  <c r="Q881" i="18"/>
  <c r="R881" i="18"/>
  <c r="P882" i="18"/>
  <c r="Q882" i="18"/>
  <c r="R882" i="18"/>
  <c r="P883" i="18"/>
  <c r="Q883" i="18"/>
  <c r="R883" i="18"/>
  <c r="P884" i="18"/>
  <c r="Q884" i="18"/>
  <c r="R884" i="18"/>
  <c r="P887" i="18"/>
  <c r="Q887" i="18"/>
  <c r="R887" i="18"/>
  <c r="P893" i="18"/>
  <c r="Q893" i="18"/>
  <c r="R893" i="18"/>
  <c r="P894" i="18"/>
  <c r="Q894" i="18"/>
  <c r="R894" i="18"/>
  <c r="P895" i="18"/>
  <c r="Q895" i="18"/>
  <c r="R895" i="18"/>
  <c r="P896" i="18"/>
  <c r="Q896" i="18"/>
  <c r="R896" i="18"/>
  <c r="P897" i="18"/>
  <c r="Q897" i="18"/>
  <c r="R897" i="18"/>
  <c r="P898" i="18"/>
  <c r="Q898" i="18"/>
  <c r="R898" i="18"/>
  <c r="P899" i="18"/>
  <c r="Q899" i="18"/>
  <c r="R899" i="18"/>
  <c r="P900" i="18"/>
  <c r="Q900" i="18"/>
  <c r="R900" i="18"/>
  <c r="P904" i="18"/>
  <c r="Q904" i="18"/>
  <c r="R904" i="18"/>
  <c r="P905" i="18"/>
  <c r="Q905" i="18"/>
  <c r="R905" i="18"/>
  <c r="P906" i="18"/>
  <c r="Q906" i="18"/>
  <c r="R906" i="18"/>
  <c r="P910" i="18"/>
  <c r="Q910" i="18"/>
  <c r="R910" i="18"/>
  <c r="P911" i="18"/>
  <c r="Q911" i="18"/>
  <c r="R911" i="18"/>
  <c r="P912" i="18"/>
  <c r="Q912" i="18"/>
  <c r="R912" i="18"/>
  <c r="P913" i="18"/>
  <c r="Q913" i="18"/>
  <c r="R913" i="18"/>
  <c r="P929" i="18"/>
  <c r="Q929" i="18"/>
  <c r="R929" i="18"/>
  <c r="P930" i="18"/>
  <c r="Q930" i="18"/>
  <c r="R930" i="18"/>
  <c r="P936" i="18"/>
  <c r="Q936" i="18"/>
  <c r="R936" i="18"/>
  <c r="P951" i="18"/>
  <c r="Q951" i="18"/>
  <c r="R951" i="18"/>
  <c r="P963" i="18"/>
  <c r="Q963" i="18"/>
  <c r="R963" i="18"/>
  <c r="P964" i="18"/>
  <c r="Q964" i="18"/>
  <c r="R964" i="18"/>
  <c r="P972" i="18"/>
  <c r="Q972" i="18"/>
  <c r="R972" i="18"/>
  <c r="P973" i="18"/>
  <c r="Q973" i="18"/>
  <c r="R973" i="18"/>
  <c r="P976" i="18"/>
  <c r="Q976" i="18"/>
  <c r="R976" i="18"/>
  <c r="P981" i="18"/>
  <c r="Q981" i="18"/>
  <c r="R981" i="18"/>
  <c r="P1059" i="18"/>
  <c r="Q1059" i="18"/>
  <c r="R1059" i="18"/>
  <c r="P1062" i="18"/>
  <c r="Q1062" i="18"/>
  <c r="R1062" i="18"/>
  <c r="P1063" i="18"/>
  <c r="Q1063" i="18"/>
  <c r="R1063" i="18"/>
  <c r="P1083" i="18"/>
  <c r="Q1083" i="18"/>
  <c r="R1083" i="18"/>
  <c r="P1092" i="18"/>
  <c r="Q1092" i="18"/>
  <c r="R1092" i="18"/>
  <c r="P1165" i="18"/>
  <c r="Q1165" i="18"/>
  <c r="R1165" i="18"/>
  <c r="P1172" i="18"/>
  <c r="Q1172" i="18"/>
  <c r="R1172" i="18"/>
  <c r="P1173" i="18"/>
  <c r="Q1173" i="18"/>
  <c r="R1173" i="18"/>
  <c r="P1174" i="18"/>
  <c r="Q1174" i="18"/>
  <c r="R1174" i="18"/>
  <c r="P1175" i="18"/>
  <c r="Q1175" i="18"/>
  <c r="R1175" i="18"/>
  <c r="P1176" i="18"/>
  <c r="Q1176" i="18"/>
  <c r="R1176" i="18"/>
  <c r="P1177" i="18"/>
  <c r="Q1177" i="18"/>
  <c r="R1177" i="18"/>
  <c r="P1178" i="18"/>
  <c r="Q1178" i="18"/>
  <c r="R1178" i="18"/>
  <c r="P1180" i="18"/>
  <c r="Q1180" i="18"/>
  <c r="R1180" i="18"/>
  <c r="P1181" i="18"/>
  <c r="Q1181" i="18"/>
  <c r="R1181" i="18"/>
  <c r="P1225" i="18"/>
  <c r="Q1225" i="18"/>
  <c r="R1225" i="18"/>
  <c r="P1226" i="18"/>
  <c r="Q1226" i="18"/>
  <c r="R1226" i="18"/>
  <c r="P1227" i="18"/>
  <c r="Q1227" i="18"/>
  <c r="R1227" i="18"/>
  <c r="P1229" i="18"/>
  <c r="Q1229" i="18"/>
  <c r="R1229" i="18"/>
  <c r="P1230" i="18"/>
  <c r="Q1230" i="18"/>
  <c r="R1230" i="18"/>
  <c r="P1231" i="18"/>
  <c r="Q1231" i="18"/>
  <c r="R1231" i="18"/>
  <c r="P1232" i="18"/>
  <c r="Q1232" i="18"/>
  <c r="R1232" i="18"/>
  <c r="P1234" i="18"/>
  <c r="Q1234" i="18"/>
  <c r="R1234" i="18"/>
  <c r="P1235" i="18"/>
  <c r="Q1235" i="18"/>
  <c r="R1235" i="18"/>
  <c r="P1239" i="18"/>
  <c r="Q1239" i="18"/>
  <c r="R1239" i="18"/>
  <c r="P1311" i="18"/>
  <c r="Q1311" i="18"/>
  <c r="R1311" i="18"/>
  <c r="P1312" i="18"/>
  <c r="Q1312" i="18"/>
  <c r="R1312" i="18"/>
  <c r="P1316" i="18"/>
  <c r="Q1316" i="18"/>
  <c r="R1316" i="18"/>
  <c r="P1317" i="18"/>
  <c r="Q1317" i="18"/>
  <c r="R1317" i="18"/>
  <c r="P1318" i="18"/>
  <c r="Q1318" i="18"/>
  <c r="R1318" i="18"/>
  <c r="P1319" i="18"/>
  <c r="Q1319" i="18"/>
  <c r="R1319" i="18"/>
  <c r="P1327" i="18"/>
  <c r="Q1327" i="18"/>
  <c r="R1327" i="18"/>
  <c r="P1328" i="18"/>
  <c r="Q1328" i="18"/>
  <c r="R1328" i="18"/>
  <c r="P1329" i="18"/>
  <c r="Q1329" i="18"/>
  <c r="R1329" i="18"/>
  <c r="P1330" i="18"/>
  <c r="Q1330" i="18"/>
  <c r="R1330" i="18"/>
  <c r="P1331" i="18"/>
  <c r="Q1331" i="18"/>
  <c r="R1331" i="18"/>
  <c r="P1332" i="18"/>
  <c r="Q1332" i="18"/>
  <c r="R1332" i="18"/>
  <c r="P228" i="15"/>
  <c r="P229" i="15"/>
  <c r="P230"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38" i="15"/>
  <c r="P139" i="15"/>
  <c r="P140" i="15"/>
  <c r="P141" i="15"/>
  <c r="P142" i="15"/>
  <c r="P143" i="15"/>
  <c r="P144" i="15"/>
  <c r="P145" i="15"/>
  <c r="P146" i="15"/>
  <c r="P147" i="15"/>
  <c r="P148" i="15"/>
  <c r="P149" i="15"/>
  <c r="P150" i="15"/>
  <c r="P151" i="15"/>
  <c r="P152" i="15"/>
  <c r="P153" i="15"/>
  <c r="P154" i="15"/>
  <c r="P155" i="15"/>
  <c r="P156" i="15"/>
  <c r="P157" i="15"/>
  <c r="P158" i="15"/>
  <c r="P159" i="15"/>
  <c r="P160" i="15"/>
  <c r="P161" i="15"/>
  <c r="P162" i="15"/>
  <c r="P163" i="15"/>
  <c r="P164" i="15"/>
  <c r="P165" i="15"/>
  <c r="P166" i="15"/>
  <c r="P167" i="15"/>
  <c r="P168" i="15"/>
  <c r="P169" i="15"/>
  <c r="P170" i="15"/>
  <c r="P171" i="15"/>
  <c r="P172" i="15"/>
  <c r="P173" i="15"/>
  <c r="P174" i="15"/>
  <c r="P175" i="15"/>
  <c r="P176" i="15"/>
  <c r="P177" i="15"/>
  <c r="P178" i="15"/>
  <c r="P179" i="15"/>
  <c r="P180" i="15"/>
  <c r="P181" i="15"/>
  <c r="P182" i="15"/>
  <c r="P183" i="15"/>
  <c r="P184" i="15"/>
  <c r="P185" i="15"/>
  <c r="P186" i="15"/>
  <c r="P187" i="15"/>
  <c r="P188" i="15"/>
  <c r="P189" i="15"/>
  <c r="P190" i="15"/>
  <c r="P191" i="15"/>
  <c r="P192" i="15"/>
  <c r="P193" i="15"/>
  <c r="P194" i="15"/>
  <c r="P195" i="15"/>
  <c r="P196" i="15"/>
  <c r="P197" i="15"/>
  <c r="P198" i="15"/>
  <c r="P199" i="15"/>
  <c r="P200" i="15"/>
  <c r="P201" i="15"/>
  <c r="P202" i="15"/>
  <c r="P203" i="15"/>
  <c r="P204" i="15"/>
  <c r="P205" i="15"/>
  <c r="P206" i="15"/>
  <c r="P207" i="15"/>
  <c r="P208" i="15"/>
  <c r="P209" i="15"/>
  <c r="P210" i="15"/>
  <c r="P211" i="15"/>
  <c r="P212" i="15"/>
  <c r="P213" i="15"/>
  <c r="P214" i="15"/>
  <c r="P215" i="15"/>
  <c r="P216" i="15"/>
  <c r="P217" i="15"/>
  <c r="P218" i="15"/>
  <c r="P219" i="15"/>
  <c r="P220" i="15"/>
  <c r="P221" i="15"/>
  <c r="P222" i="15"/>
  <c r="P223" i="15"/>
  <c r="P224" i="15"/>
  <c r="P225" i="15"/>
  <c r="P226" i="15"/>
  <c r="P227" i="15"/>
  <c r="P13" i="15"/>
  <c r="W226" i="15"/>
  <c r="W220" i="15"/>
  <c r="W219" i="15"/>
  <c r="W218" i="15"/>
  <c r="W217" i="15"/>
  <c r="W216" i="15"/>
  <c r="W215" i="15"/>
  <c r="W214" i="15"/>
  <c r="W213" i="15"/>
  <c r="W212" i="15"/>
  <c r="W211" i="15"/>
  <c r="W210" i="15"/>
  <c r="W209" i="15"/>
  <c r="W208" i="15"/>
  <c r="W207" i="15"/>
  <c r="W206" i="15"/>
  <c r="W205" i="15"/>
  <c r="W204" i="15"/>
  <c r="W203" i="15"/>
  <c r="W202" i="15"/>
  <c r="W201" i="15"/>
  <c r="W200" i="15"/>
  <c r="W199" i="15"/>
  <c r="W198" i="15"/>
  <c r="W197" i="15"/>
  <c r="W196" i="15"/>
  <c r="W195" i="15"/>
  <c r="W194" i="15"/>
  <c r="W193" i="15"/>
  <c r="W192" i="15"/>
  <c r="W191" i="15"/>
  <c r="W190" i="15"/>
  <c r="W189" i="15"/>
  <c r="W188" i="15"/>
  <c r="W187" i="15"/>
  <c r="W186" i="15"/>
  <c r="W185" i="15"/>
  <c r="W184" i="15"/>
  <c r="W183" i="15"/>
  <c r="W182" i="15"/>
  <c r="W181" i="15"/>
  <c r="W180" i="15"/>
  <c r="W179" i="15"/>
  <c r="W178" i="15"/>
  <c r="W177" i="15"/>
  <c r="W176" i="15"/>
  <c r="W175" i="15"/>
  <c r="W174" i="15"/>
  <c r="W173" i="15"/>
  <c r="W172" i="15"/>
  <c r="W171" i="15"/>
  <c r="W170" i="15"/>
  <c r="W169" i="15"/>
  <c r="W168" i="15"/>
  <c r="W167" i="15"/>
  <c r="W166" i="15"/>
  <c r="W165" i="15"/>
  <c r="W164" i="15"/>
  <c r="W163" i="15"/>
  <c r="W162" i="15"/>
  <c r="W161" i="15"/>
  <c r="W160" i="15"/>
  <c r="W159" i="15"/>
  <c r="W158" i="15"/>
  <c r="W157" i="15"/>
  <c r="W156" i="15"/>
  <c r="W155" i="15"/>
  <c r="W154" i="15"/>
  <c r="W153" i="15"/>
  <c r="W152" i="15"/>
  <c r="W151" i="15"/>
  <c r="W150" i="15"/>
  <c r="W149" i="15"/>
  <c r="W148" i="15"/>
  <c r="W147" i="15"/>
  <c r="W146" i="15"/>
  <c r="W145" i="15"/>
  <c r="W144" i="15"/>
  <c r="W143" i="15"/>
  <c r="W142" i="15"/>
  <c r="W141" i="15"/>
  <c r="W140" i="15"/>
  <c r="W139" i="15"/>
  <c r="W138" i="15"/>
  <c r="W137" i="15"/>
  <c r="W136" i="15"/>
  <c r="W135" i="15"/>
  <c r="W134" i="15"/>
  <c r="W133" i="15"/>
  <c r="W132" i="15"/>
  <c r="W131" i="15"/>
  <c r="W130" i="15"/>
  <c r="W129" i="15"/>
  <c r="W128" i="15"/>
  <c r="W127" i="15"/>
  <c r="W126" i="15"/>
  <c r="W125" i="15"/>
  <c r="W124" i="15"/>
  <c r="W123" i="15"/>
  <c r="W122" i="15"/>
  <c r="W121" i="15"/>
  <c r="W120" i="15"/>
  <c r="W119" i="15"/>
  <c r="W118" i="15"/>
  <c r="W117" i="15"/>
  <c r="W116" i="15"/>
  <c r="W115" i="15"/>
  <c r="W114" i="15"/>
  <c r="W113" i="15"/>
  <c r="W112" i="15"/>
  <c r="W111" i="15"/>
  <c r="W110" i="15"/>
  <c r="W109" i="15"/>
  <c r="W108" i="15"/>
  <c r="W107" i="15"/>
  <c r="W106" i="15"/>
  <c r="W105" i="15"/>
  <c r="W104" i="15"/>
  <c r="W103" i="15"/>
  <c r="W102" i="15"/>
  <c r="W101" i="15"/>
  <c r="W100" i="15"/>
  <c r="W99" i="15"/>
  <c r="W98" i="15"/>
  <c r="W97" i="15"/>
  <c r="W96" i="15"/>
  <c r="W95" i="15"/>
  <c r="W94" i="15"/>
  <c r="W93" i="15"/>
  <c r="W92" i="15"/>
  <c r="W91" i="15"/>
  <c r="W90" i="15"/>
  <c r="W89" i="15"/>
  <c r="W88" i="15"/>
  <c r="W87" i="15"/>
  <c r="W86" i="15"/>
  <c r="W85" i="15"/>
  <c r="W84" i="15"/>
  <c r="W83" i="15"/>
  <c r="W82" i="15"/>
  <c r="W81" i="15"/>
  <c r="W80" i="15"/>
  <c r="W79" i="15"/>
  <c r="W78" i="15"/>
  <c r="W77" i="15"/>
  <c r="W76" i="15"/>
  <c r="W75" i="15"/>
  <c r="W74" i="15"/>
  <c r="W73" i="15"/>
  <c r="W72" i="15"/>
  <c r="W71" i="15"/>
  <c r="W70" i="15"/>
  <c r="W69" i="15"/>
  <c r="W68" i="15"/>
  <c r="W67" i="15"/>
  <c r="W66" i="15"/>
  <c r="W65" i="15"/>
  <c r="W64" i="15"/>
  <c r="W63" i="15"/>
  <c r="W62" i="15"/>
  <c r="W61" i="15"/>
  <c r="W60" i="15"/>
  <c r="W59" i="15"/>
  <c r="W58" i="15"/>
  <c r="W57" i="15"/>
  <c r="W56" i="15"/>
  <c r="W55" i="15"/>
  <c r="W54" i="15"/>
  <c r="W53" i="15"/>
  <c r="W52" i="15"/>
  <c r="W51" i="15"/>
  <c r="W50" i="15"/>
  <c r="W49" i="15"/>
  <c r="W48" i="15"/>
  <c r="W47" i="15"/>
  <c r="W46" i="15"/>
  <c r="W45" i="15"/>
  <c r="W44" i="15"/>
  <c r="W43" i="15"/>
  <c r="W42" i="15"/>
  <c r="W41" i="15"/>
  <c r="W40" i="15"/>
  <c r="W39" i="15"/>
  <c r="W38" i="15"/>
  <c r="W37" i="15"/>
  <c r="W36" i="15"/>
  <c r="W35" i="15"/>
  <c r="W34" i="15"/>
  <c r="W33" i="15"/>
  <c r="W32" i="15"/>
  <c r="W31" i="15"/>
  <c r="W30" i="15"/>
  <c r="W29" i="15"/>
  <c r="W28" i="15"/>
  <c r="W27" i="15"/>
  <c r="W26" i="15"/>
  <c r="W25" i="15"/>
  <c r="W24" i="15"/>
  <c r="W23" i="15"/>
  <c r="W22" i="15"/>
  <c r="W21" i="15"/>
  <c r="W20" i="15"/>
  <c r="W19" i="15"/>
  <c r="W18" i="15"/>
  <c r="W17" i="15"/>
  <c r="W16" i="15"/>
  <c r="W15" i="15"/>
  <c r="W14" i="15"/>
  <c r="W13" i="15"/>
  <c r="Y3" i="25" l="1"/>
  <c r="Y4" i="25"/>
  <c r="Y5" i="25"/>
  <c r="Y6" i="25"/>
  <c r="Y7" i="25"/>
  <c r="Y8" i="25"/>
  <c r="Y9" i="25"/>
  <c r="Y10" i="25"/>
  <c r="Y11" i="25"/>
  <c r="Y12" i="25"/>
  <c r="Y13" i="25"/>
  <c r="Y14" i="25"/>
  <c r="Y15" i="25"/>
  <c r="Y16" i="25"/>
  <c r="Y17" i="25"/>
  <c r="Y18" i="25"/>
  <c r="Y19" i="25"/>
  <c r="Y20" i="25"/>
  <c r="Y21" i="25"/>
  <c r="Y22" i="25"/>
  <c r="Y23" i="25"/>
  <c r="Y24" i="25"/>
  <c r="Y25" i="25"/>
  <c r="Y26" i="25"/>
  <c r="Y27" i="25"/>
  <c r="Y28" i="25"/>
  <c r="Y29" i="25"/>
  <c r="Y30" i="25"/>
  <c r="Y31" i="25"/>
  <c r="Y32" i="25"/>
  <c r="Y33" i="25"/>
  <c r="Y34" i="25"/>
  <c r="Y35" i="25"/>
  <c r="Y36" i="25"/>
  <c r="Y37" i="25"/>
  <c r="Y38" i="25"/>
  <c r="Y39" i="25"/>
  <c r="Y40" i="25"/>
  <c r="Y41" i="25"/>
  <c r="Y42" i="25"/>
  <c r="Y43" i="25"/>
  <c r="Y44" i="25"/>
  <c r="Y45" i="25"/>
  <c r="Y46" i="25"/>
  <c r="Y47" i="25"/>
  <c r="Y48" i="25"/>
  <c r="Y49" i="25"/>
  <c r="Y50" i="25"/>
  <c r="Y51" i="25"/>
  <c r="Y52" i="25"/>
  <c r="Y53" i="25"/>
  <c r="Y54" i="25"/>
  <c r="Y55" i="25"/>
  <c r="Y56" i="25"/>
  <c r="Y57" i="25"/>
  <c r="Y58" i="25"/>
  <c r="Y59" i="25"/>
  <c r="Y60" i="25"/>
  <c r="Y61" i="25"/>
  <c r="Y62" i="25"/>
  <c r="Y63" i="25"/>
  <c r="Y64" i="25"/>
  <c r="Y65" i="25"/>
  <c r="Y66" i="25"/>
  <c r="Y67" i="25"/>
  <c r="Y68" i="25"/>
  <c r="Y69" i="25"/>
  <c r="Y70" i="25"/>
  <c r="Y71" i="25"/>
  <c r="Y72" i="25"/>
  <c r="Y73" i="25"/>
  <c r="Y74" i="25"/>
  <c r="Y75" i="25"/>
  <c r="Y76" i="25"/>
  <c r="Y77" i="25"/>
  <c r="Y78" i="25"/>
  <c r="Y79" i="25"/>
  <c r="Y80" i="25"/>
  <c r="Y81" i="25"/>
  <c r="Y82" i="25"/>
  <c r="Y83" i="25"/>
  <c r="Y84" i="25"/>
  <c r="Y85" i="25"/>
  <c r="Y86" i="25"/>
  <c r="Y87" i="25"/>
  <c r="Y88" i="25"/>
  <c r="Y89" i="25"/>
  <c r="Y90" i="25"/>
  <c r="Y91" i="25"/>
  <c r="Y92" i="25"/>
  <c r="Y93" i="25"/>
  <c r="Y94" i="25"/>
  <c r="Y95" i="25"/>
  <c r="Y96" i="25"/>
  <c r="Y97" i="25"/>
  <c r="Y98" i="25"/>
  <c r="Y99" i="25"/>
  <c r="Y100" i="25"/>
  <c r="Y101" i="25"/>
  <c r="Y102" i="25"/>
  <c r="Y103" i="25"/>
  <c r="Y104" i="25"/>
  <c r="Y105" i="25"/>
  <c r="Y106" i="25"/>
  <c r="Y107" i="25"/>
  <c r="Y108" i="25"/>
  <c r="Y109" i="25"/>
  <c r="Y110" i="25"/>
  <c r="Y111" i="25"/>
  <c r="Y112" i="25"/>
  <c r="Y113" i="25"/>
  <c r="Y114" i="25"/>
  <c r="Y115" i="25"/>
  <c r="Y116" i="25"/>
  <c r="Y117" i="25"/>
  <c r="Y118" i="25"/>
  <c r="Y119" i="25"/>
  <c r="Y120" i="25"/>
  <c r="Y121" i="25"/>
  <c r="Y122" i="25"/>
  <c r="Y123" i="25"/>
  <c r="Y124" i="25"/>
  <c r="Y125" i="25"/>
  <c r="Y126" i="25"/>
  <c r="Y127" i="25"/>
  <c r="Y128" i="25"/>
  <c r="Y129" i="25"/>
  <c r="Y130" i="25"/>
  <c r="Y131" i="25"/>
  <c r="Y132" i="25"/>
  <c r="Y133" i="25"/>
  <c r="Y134" i="25"/>
  <c r="Y135" i="25"/>
  <c r="Y136" i="25"/>
  <c r="Y137" i="25"/>
  <c r="Y138" i="25"/>
  <c r="Y139" i="25"/>
  <c r="Y140" i="25"/>
  <c r="Y141" i="25"/>
  <c r="Y142" i="25"/>
  <c r="Y143" i="25"/>
  <c r="Y144" i="25"/>
  <c r="Y145" i="25"/>
  <c r="Y146" i="25"/>
  <c r="Y147" i="25"/>
  <c r="Y148" i="25"/>
  <c r="Y149" i="25"/>
  <c r="Y150" i="25"/>
  <c r="Y151" i="25"/>
  <c r="Y152" i="25"/>
  <c r="Y153" i="25"/>
  <c r="Y154" i="25"/>
  <c r="Y155" i="25"/>
  <c r="Y156" i="25"/>
  <c r="Y157" i="25"/>
  <c r="Y158" i="25"/>
  <c r="Y159" i="25"/>
  <c r="Y160" i="25"/>
  <c r="Y161" i="25"/>
  <c r="Y162" i="25"/>
  <c r="Y163" i="25"/>
  <c r="Y164" i="25"/>
  <c r="Y165" i="25"/>
  <c r="Y166" i="25"/>
  <c r="Y167" i="25"/>
  <c r="Y168" i="25"/>
  <c r="Y169" i="25"/>
  <c r="Y170" i="25"/>
  <c r="Y171" i="25"/>
  <c r="Y172" i="25"/>
  <c r="Y173" i="25"/>
  <c r="Y174" i="25"/>
  <c r="Y175" i="25"/>
  <c r="Y176" i="25"/>
  <c r="Y177" i="25"/>
  <c r="Y178" i="25"/>
  <c r="Y179" i="25"/>
  <c r="Y180" i="25"/>
  <c r="Y181" i="25"/>
  <c r="Y182" i="25"/>
  <c r="Y183" i="25"/>
  <c r="Y184" i="25"/>
  <c r="Y185" i="25"/>
  <c r="Y186" i="25"/>
  <c r="Y187" i="25"/>
  <c r="Y188" i="25"/>
  <c r="Y189" i="25"/>
  <c r="Y190" i="25"/>
  <c r="Y191" i="25"/>
  <c r="Y192" i="25"/>
  <c r="Y193" i="25"/>
  <c r="Y194" i="25"/>
  <c r="Y195" i="25"/>
  <c r="Y196" i="25"/>
  <c r="Y197" i="25"/>
  <c r="Y198" i="25"/>
  <c r="Y199" i="25"/>
  <c r="Y200" i="25"/>
  <c r="Y201" i="25"/>
  <c r="Y202" i="25"/>
  <c r="Y203" i="25"/>
  <c r="Y204" i="25"/>
  <c r="Y205" i="25"/>
  <c r="Y206" i="25"/>
  <c r="Y207" i="25"/>
  <c r="Y208" i="25"/>
  <c r="Y209" i="25"/>
  <c r="Y210" i="25"/>
  <c r="Y211" i="25"/>
  <c r="Y212" i="25"/>
  <c r="Y213" i="25"/>
  <c r="Y214" i="25"/>
  <c r="Y215" i="25"/>
  <c r="Y216" i="25"/>
  <c r="Y2" i="25"/>
  <c r="P148" i="25"/>
  <c r="O148" i="25"/>
  <c r="N148" i="25"/>
  <c r="M148" i="25"/>
  <c r="L148" i="25"/>
  <c r="K148" i="25"/>
  <c r="P159" i="25"/>
  <c r="O159" i="25"/>
  <c r="N159" i="25"/>
  <c r="M159" i="25"/>
  <c r="L159" i="25"/>
  <c r="K159" i="25"/>
  <c r="P63" i="25"/>
  <c r="O63" i="25"/>
  <c r="N63" i="25"/>
  <c r="M63" i="25"/>
  <c r="L63" i="25"/>
  <c r="K63" i="25"/>
  <c r="P62" i="25"/>
  <c r="O62" i="25"/>
  <c r="N62" i="25"/>
  <c r="M62" i="25"/>
  <c r="L62" i="25"/>
  <c r="K62" i="25"/>
  <c r="P61" i="25"/>
  <c r="O61" i="25"/>
  <c r="N61" i="25"/>
  <c r="M61" i="25"/>
  <c r="L61" i="25"/>
  <c r="K61" i="25"/>
  <c r="P60" i="25"/>
  <c r="O60" i="25"/>
  <c r="N60" i="25"/>
  <c r="M60" i="25"/>
  <c r="L60" i="25"/>
  <c r="K60" i="25"/>
  <c r="P59" i="25"/>
  <c r="O59" i="25"/>
  <c r="N59" i="25"/>
  <c r="M59" i="25"/>
  <c r="L59" i="25"/>
  <c r="K59" i="25"/>
  <c r="P79" i="25"/>
  <c r="O79" i="25"/>
  <c r="N79" i="25"/>
  <c r="M79" i="25"/>
  <c r="L79" i="25"/>
  <c r="K79" i="25"/>
  <c r="P80" i="25"/>
  <c r="O80" i="25"/>
  <c r="N80" i="25"/>
  <c r="M80" i="25"/>
  <c r="L80" i="25"/>
  <c r="K80" i="25"/>
  <c r="P13" i="25"/>
  <c r="O13" i="25"/>
  <c r="N13" i="25"/>
  <c r="M13" i="25"/>
  <c r="L13" i="25"/>
  <c r="K13" i="25"/>
  <c r="AF13" i="25" s="1"/>
  <c r="P99" i="25"/>
  <c r="O99" i="25"/>
  <c r="N99" i="25"/>
  <c r="M99" i="25"/>
  <c r="L99" i="25"/>
  <c r="K99" i="25"/>
  <c r="P21" i="25"/>
  <c r="O21" i="25"/>
  <c r="N21" i="25"/>
  <c r="M21" i="25"/>
  <c r="L21" i="25"/>
  <c r="K21" i="25"/>
  <c r="P112" i="25"/>
  <c r="O112" i="25"/>
  <c r="N112" i="25"/>
  <c r="M112" i="25"/>
  <c r="L112" i="25"/>
  <c r="K112" i="25"/>
  <c r="AF112" i="25" s="1"/>
  <c r="P113" i="25"/>
  <c r="O113" i="25"/>
  <c r="N113" i="25"/>
  <c r="M113" i="25"/>
  <c r="L113" i="25"/>
  <c r="K113" i="25"/>
  <c r="AF113" i="25" s="1"/>
  <c r="P216" i="25"/>
  <c r="O216" i="25"/>
  <c r="N216" i="25"/>
  <c r="M216" i="25"/>
  <c r="L216" i="25"/>
  <c r="K216" i="25"/>
  <c r="AF216" i="25" s="1"/>
  <c r="P215" i="25"/>
  <c r="O215" i="25"/>
  <c r="N215" i="25"/>
  <c r="M215" i="25"/>
  <c r="L215" i="25"/>
  <c r="K215" i="25"/>
  <c r="AF215" i="25" s="1"/>
  <c r="P214" i="25"/>
  <c r="O214" i="25"/>
  <c r="N214" i="25"/>
  <c r="M214" i="25"/>
  <c r="L214" i="25"/>
  <c r="K214" i="25"/>
  <c r="P213" i="25"/>
  <c r="O213" i="25"/>
  <c r="N213" i="25"/>
  <c r="M213" i="25"/>
  <c r="L213" i="25"/>
  <c r="K213" i="25"/>
  <c r="P212" i="25"/>
  <c r="O212" i="25"/>
  <c r="N212" i="25"/>
  <c r="M212" i="25"/>
  <c r="L212" i="25"/>
  <c r="K212" i="25"/>
  <c r="P211" i="25"/>
  <c r="O211" i="25"/>
  <c r="N211" i="25"/>
  <c r="M211" i="25"/>
  <c r="L211" i="25"/>
  <c r="K211" i="25"/>
  <c r="P210" i="25"/>
  <c r="O210" i="25"/>
  <c r="N210" i="25"/>
  <c r="M210" i="25"/>
  <c r="L210" i="25"/>
  <c r="K210" i="25"/>
  <c r="P209" i="25"/>
  <c r="O209" i="25"/>
  <c r="N209" i="25"/>
  <c r="M209" i="25"/>
  <c r="L209" i="25"/>
  <c r="K209" i="25"/>
  <c r="P207" i="25"/>
  <c r="O207" i="25"/>
  <c r="N207" i="25"/>
  <c r="M207" i="25"/>
  <c r="L207" i="25"/>
  <c r="K207" i="25"/>
  <c r="P202" i="25"/>
  <c r="O202" i="25"/>
  <c r="N202" i="25"/>
  <c r="M202" i="25"/>
  <c r="L202" i="25"/>
  <c r="K202" i="25"/>
  <c r="P201" i="25"/>
  <c r="O201" i="25"/>
  <c r="N201" i="25"/>
  <c r="M201" i="25"/>
  <c r="L201" i="25"/>
  <c r="K201" i="25"/>
  <c r="P200" i="25"/>
  <c r="O200" i="25"/>
  <c r="N200" i="25"/>
  <c r="M200" i="25"/>
  <c r="L200" i="25"/>
  <c r="K200" i="25"/>
  <c r="P197" i="25"/>
  <c r="O197" i="25"/>
  <c r="N197" i="25"/>
  <c r="M197" i="25"/>
  <c r="L197" i="25"/>
  <c r="K197" i="25"/>
  <c r="P199" i="25"/>
  <c r="O199" i="25"/>
  <c r="N199" i="25"/>
  <c r="M199" i="25"/>
  <c r="L199" i="25"/>
  <c r="K199" i="25"/>
  <c r="AF199" i="25" s="1"/>
  <c r="P198" i="25"/>
  <c r="O198" i="25"/>
  <c r="N198" i="25"/>
  <c r="M198" i="25"/>
  <c r="L198" i="25"/>
  <c r="K198" i="25"/>
  <c r="P196" i="25"/>
  <c r="O196" i="25"/>
  <c r="N196" i="25"/>
  <c r="M196" i="25"/>
  <c r="L196" i="25"/>
  <c r="K196" i="25"/>
  <c r="AF196" i="25" s="1"/>
  <c r="P194" i="25"/>
  <c r="O194" i="25"/>
  <c r="N194" i="25"/>
  <c r="M194" i="25"/>
  <c r="L194" i="25"/>
  <c r="K194" i="25"/>
  <c r="P193" i="25"/>
  <c r="O193" i="25"/>
  <c r="N193" i="25"/>
  <c r="M193" i="25"/>
  <c r="L193" i="25"/>
  <c r="K193" i="25"/>
  <c r="P192" i="25"/>
  <c r="O192" i="25"/>
  <c r="N192" i="25"/>
  <c r="M192" i="25"/>
  <c r="L192" i="25"/>
  <c r="K192" i="25"/>
  <c r="P191" i="25"/>
  <c r="O191" i="25"/>
  <c r="N191" i="25"/>
  <c r="M191" i="25"/>
  <c r="L191" i="25"/>
  <c r="K191" i="25"/>
  <c r="P190" i="25"/>
  <c r="O190" i="25"/>
  <c r="N190" i="25"/>
  <c r="M190" i="25"/>
  <c r="L190" i="25"/>
  <c r="K190" i="25"/>
  <c r="P189" i="25"/>
  <c r="O189" i="25"/>
  <c r="N189" i="25"/>
  <c r="M189" i="25"/>
  <c r="L189" i="25"/>
  <c r="K189" i="25"/>
  <c r="P187" i="25"/>
  <c r="O187" i="25"/>
  <c r="N187" i="25"/>
  <c r="M187" i="25"/>
  <c r="L187" i="25"/>
  <c r="K187" i="25"/>
  <c r="AF187" i="25" s="1"/>
  <c r="P208" i="25"/>
  <c r="O208" i="25"/>
  <c r="N208" i="25"/>
  <c r="M208" i="25"/>
  <c r="L208" i="25"/>
  <c r="K208" i="25"/>
  <c r="P184" i="25"/>
  <c r="O184" i="25"/>
  <c r="N184" i="25"/>
  <c r="M184" i="25"/>
  <c r="L184" i="25"/>
  <c r="K184" i="25"/>
  <c r="AF184" i="25" s="1"/>
  <c r="P183" i="25"/>
  <c r="O183" i="25"/>
  <c r="N183" i="25"/>
  <c r="M183" i="25"/>
  <c r="L183" i="25"/>
  <c r="K183" i="25"/>
  <c r="P180" i="25"/>
  <c r="O180" i="25"/>
  <c r="N180" i="25"/>
  <c r="M180" i="25"/>
  <c r="L180" i="25"/>
  <c r="K180" i="25"/>
  <c r="P182" i="25"/>
  <c r="O182" i="25"/>
  <c r="N182" i="25"/>
  <c r="M182" i="25"/>
  <c r="L182" i="25"/>
  <c r="K182" i="25"/>
  <c r="P181" i="25"/>
  <c r="O181" i="25"/>
  <c r="N181" i="25"/>
  <c r="M181" i="25"/>
  <c r="L181" i="25"/>
  <c r="K181" i="25"/>
  <c r="P178" i="25"/>
  <c r="O178" i="25"/>
  <c r="N178" i="25"/>
  <c r="M178" i="25"/>
  <c r="L178" i="25"/>
  <c r="K178" i="25"/>
  <c r="P176" i="25"/>
  <c r="O176" i="25"/>
  <c r="N176" i="25"/>
  <c r="M176" i="25"/>
  <c r="L176" i="25"/>
  <c r="K176" i="25"/>
  <c r="P177" i="25"/>
  <c r="O177" i="25"/>
  <c r="N177" i="25"/>
  <c r="M177" i="25"/>
  <c r="L177" i="25"/>
  <c r="K177" i="25"/>
  <c r="P175" i="25"/>
  <c r="O175" i="25"/>
  <c r="N175" i="25"/>
  <c r="M175" i="25"/>
  <c r="L175" i="25"/>
  <c r="K175" i="25"/>
  <c r="P174" i="25"/>
  <c r="O174" i="25"/>
  <c r="N174" i="25"/>
  <c r="M174" i="25"/>
  <c r="L174" i="25"/>
  <c r="K174" i="25"/>
  <c r="P173" i="25"/>
  <c r="O173" i="25"/>
  <c r="N173" i="25"/>
  <c r="M173" i="25"/>
  <c r="L173" i="25"/>
  <c r="K173" i="25"/>
  <c r="P172" i="25"/>
  <c r="O172" i="25"/>
  <c r="N172" i="25"/>
  <c r="M172" i="25"/>
  <c r="L172" i="25"/>
  <c r="K172" i="25"/>
  <c r="P161" i="25"/>
  <c r="O161" i="25"/>
  <c r="N161" i="25"/>
  <c r="M161" i="25"/>
  <c r="L161" i="25"/>
  <c r="K161" i="25"/>
  <c r="P160" i="25"/>
  <c r="O160" i="25"/>
  <c r="N160" i="25"/>
  <c r="M160" i="25"/>
  <c r="L160" i="25"/>
  <c r="K160" i="25"/>
  <c r="P158" i="25"/>
  <c r="O158" i="25"/>
  <c r="N158" i="25"/>
  <c r="M158" i="25"/>
  <c r="L158" i="25"/>
  <c r="K158" i="25"/>
  <c r="P157" i="25"/>
  <c r="O157" i="25"/>
  <c r="N157" i="25"/>
  <c r="M157" i="25"/>
  <c r="L157" i="25"/>
  <c r="K157" i="25"/>
  <c r="P156" i="25"/>
  <c r="O156" i="25"/>
  <c r="N156" i="25"/>
  <c r="M156" i="25"/>
  <c r="L156" i="25"/>
  <c r="K156" i="25"/>
  <c r="P155" i="25"/>
  <c r="O155" i="25"/>
  <c r="N155" i="25"/>
  <c r="M155" i="25"/>
  <c r="L155" i="25"/>
  <c r="K155" i="25"/>
  <c r="P150" i="25"/>
  <c r="O150" i="25"/>
  <c r="N150" i="25"/>
  <c r="M150" i="25"/>
  <c r="L150" i="25"/>
  <c r="K150" i="25"/>
  <c r="P147" i="25"/>
  <c r="O147" i="25"/>
  <c r="N147" i="25"/>
  <c r="M147" i="25"/>
  <c r="L147" i="25"/>
  <c r="K147" i="25"/>
  <c r="P151" i="25"/>
  <c r="O151" i="25"/>
  <c r="N151" i="25"/>
  <c r="M151" i="25"/>
  <c r="L151" i="25"/>
  <c r="K151" i="25"/>
  <c r="AF151" i="25" s="1"/>
  <c r="P154" i="25"/>
  <c r="O154" i="25"/>
  <c r="N154" i="25"/>
  <c r="M154" i="25"/>
  <c r="L154" i="25"/>
  <c r="K154" i="25"/>
  <c r="P149" i="25"/>
  <c r="O149" i="25"/>
  <c r="N149" i="25"/>
  <c r="M149" i="25"/>
  <c r="L149" i="25"/>
  <c r="K149" i="25"/>
  <c r="P146" i="25"/>
  <c r="O146" i="25"/>
  <c r="N146" i="25"/>
  <c r="M146" i="25"/>
  <c r="L146" i="25"/>
  <c r="K146" i="25"/>
  <c r="P145" i="25"/>
  <c r="O145" i="25"/>
  <c r="N145" i="25"/>
  <c r="M145" i="25"/>
  <c r="L145" i="25"/>
  <c r="K145" i="25"/>
  <c r="AF145" i="25" s="1"/>
  <c r="P144" i="25"/>
  <c r="O144" i="25"/>
  <c r="N144" i="25"/>
  <c r="M144" i="25"/>
  <c r="L144" i="25"/>
  <c r="K144" i="25"/>
  <c r="P143" i="25"/>
  <c r="O143" i="25"/>
  <c r="N143" i="25"/>
  <c r="M143" i="25"/>
  <c r="L143" i="25"/>
  <c r="K143" i="25"/>
  <c r="P142" i="25"/>
  <c r="O142" i="25"/>
  <c r="N142" i="25"/>
  <c r="M142" i="25"/>
  <c r="L142" i="25"/>
  <c r="K142" i="25"/>
  <c r="P141" i="25"/>
  <c r="O141" i="25"/>
  <c r="N141" i="25"/>
  <c r="M141" i="25"/>
  <c r="L141" i="25"/>
  <c r="K141" i="25"/>
  <c r="P140" i="25"/>
  <c r="O140" i="25"/>
  <c r="N140" i="25"/>
  <c r="M140" i="25"/>
  <c r="L140" i="25"/>
  <c r="K140" i="25"/>
  <c r="P139" i="25"/>
  <c r="O139" i="25"/>
  <c r="N139" i="25"/>
  <c r="M139" i="25"/>
  <c r="L139" i="25"/>
  <c r="K139" i="25"/>
  <c r="AF139" i="25" s="1"/>
  <c r="P138" i="25"/>
  <c r="O138" i="25"/>
  <c r="N138" i="25"/>
  <c r="M138" i="25"/>
  <c r="L138" i="25"/>
  <c r="K138" i="25"/>
  <c r="P137" i="25"/>
  <c r="O137" i="25"/>
  <c r="N137" i="25"/>
  <c r="M137" i="25"/>
  <c r="L137" i="25"/>
  <c r="K137" i="25"/>
  <c r="P136" i="25"/>
  <c r="O136" i="25"/>
  <c r="N136" i="25"/>
  <c r="M136" i="25"/>
  <c r="L136" i="25"/>
  <c r="K136" i="25"/>
  <c r="P153" i="25"/>
  <c r="O153" i="25"/>
  <c r="N153" i="25"/>
  <c r="M153" i="25"/>
  <c r="L153" i="25"/>
  <c r="K153" i="25"/>
  <c r="AF153" i="25" s="1"/>
  <c r="P135" i="25"/>
  <c r="O135" i="25"/>
  <c r="N135" i="25"/>
  <c r="M135" i="25"/>
  <c r="L135" i="25"/>
  <c r="K135" i="25"/>
  <c r="P134" i="25"/>
  <c r="O134" i="25"/>
  <c r="N134" i="25"/>
  <c r="M134" i="25"/>
  <c r="L134" i="25"/>
  <c r="K134" i="25"/>
  <c r="P152" i="25"/>
  <c r="O152" i="25"/>
  <c r="N152" i="25"/>
  <c r="M152" i="25"/>
  <c r="L152" i="25"/>
  <c r="K152" i="25"/>
  <c r="P133" i="25"/>
  <c r="O133" i="25"/>
  <c r="N133" i="25"/>
  <c r="M133" i="25"/>
  <c r="L133" i="25"/>
  <c r="K133" i="25"/>
  <c r="P132" i="25"/>
  <c r="O132" i="25"/>
  <c r="N132" i="25"/>
  <c r="M132" i="25"/>
  <c r="L132" i="25"/>
  <c r="K132" i="25"/>
  <c r="P131" i="25"/>
  <c r="O131" i="25"/>
  <c r="N131" i="25"/>
  <c r="M131" i="25"/>
  <c r="L131" i="25"/>
  <c r="K131" i="25"/>
  <c r="P130" i="25"/>
  <c r="O130" i="25"/>
  <c r="N130" i="25"/>
  <c r="M130" i="25"/>
  <c r="L130" i="25"/>
  <c r="K130" i="25"/>
  <c r="P128" i="25"/>
  <c r="O128" i="25"/>
  <c r="N128" i="25"/>
  <c r="M128" i="25"/>
  <c r="L128" i="25"/>
  <c r="K128" i="25"/>
  <c r="P129" i="25"/>
  <c r="O129" i="25"/>
  <c r="N129" i="25"/>
  <c r="M129" i="25"/>
  <c r="L129" i="25"/>
  <c r="K129" i="25"/>
  <c r="P124" i="25"/>
  <c r="O124" i="25"/>
  <c r="N124" i="25"/>
  <c r="M124" i="25"/>
  <c r="L124" i="25"/>
  <c r="K124" i="25"/>
  <c r="P122" i="25"/>
  <c r="O122" i="25"/>
  <c r="N122" i="25"/>
  <c r="M122" i="25"/>
  <c r="L122" i="25"/>
  <c r="K122" i="25"/>
  <c r="P123" i="25"/>
  <c r="O123" i="25"/>
  <c r="N123" i="25"/>
  <c r="M123" i="25"/>
  <c r="L123" i="25"/>
  <c r="K123" i="25"/>
  <c r="P125" i="25"/>
  <c r="O125" i="25"/>
  <c r="N125" i="25"/>
  <c r="M125" i="25"/>
  <c r="L125" i="25"/>
  <c r="K125" i="25"/>
  <c r="AF125" i="25" s="1"/>
  <c r="P127" i="25"/>
  <c r="O127" i="25"/>
  <c r="N127" i="25"/>
  <c r="M127" i="25"/>
  <c r="L127" i="25"/>
  <c r="K127" i="25"/>
  <c r="P126" i="25"/>
  <c r="O126" i="25"/>
  <c r="N126" i="25"/>
  <c r="M126" i="25"/>
  <c r="L126" i="25"/>
  <c r="K126" i="25"/>
  <c r="AF126" i="25" s="1"/>
  <c r="P116" i="25"/>
  <c r="O116" i="25"/>
  <c r="N116" i="25"/>
  <c r="M116" i="25"/>
  <c r="L116" i="25"/>
  <c r="K116" i="25"/>
  <c r="P114" i="25"/>
  <c r="O114" i="25"/>
  <c r="N114" i="25"/>
  <c r="M114" i="25"/>
  <c r="L114" i="25"/>
  <c r="K114" i="25"/>
  <c r="AF114" i="25" s="1"/>
  <c r="P111" i="25"/>
  <c r="O111" i="25"/>
  <c r="N111" i="25"/>
  <c r="M111" i="25"/>
  <c r="L111" i="25"/>
  <c r="K111" i="25"/>
  <c r="P110" i="25"/>
  <c r="O110" i="25"/>
  <c r="N110" i="25"/>
  <c r="M110" i="25"/>
  <c r="L110" i="25"/>
  <c r="K110" i="25"/>
  <c r="P109" i="25"/>
  <c r="O109" i="25"/>
  <c r="N109" i="25"/>
  <c r="M109" i="25"/>
  <c r="L109" i="25"/>
  <c r="K109" i="25"/>
  <c r="P108" i="25"/>
  <c r="O108" i="25"/>
  <c r="N108" i="25"/>
  <c r="M108" i="25"/>
  <c r="L108" i="25"/>
  <c r="K108" i="25"/>
  <c r="P107" i="25"/>
  <c r="O107" i="25"/>
  <c r="N107" i="25"/>
  <c r="M107" i="25"/>
  <c r="L107" i="25"/>
  <c r="K107" i="25"/>
  <c r="P106" i="25"/>
  <c r="O106" i="25"/>
  <c r="N106" i="25"/>
  <c r="M106" i="25"/>
  <c r="L106" i="25"/>
  <c r="K106" i="25"/>
  <c r="P105" i="25"/>
  <c r="O105" i="25"/>
  <c r="N105" i="25"/>
  <c r="M105" i="25"/>
  <c r="L105" i="25"/>
  <c r="K105" i="25"/>
  <c r="P100" i="25"/>
  <c r="O100" i="25"/>
  <c r="N100" i="25"/>
  <c r="M100" i="25"/>
  <c r="L100" i="25"/>
  <c r="K100" i="25"/>
  <c r="P95" i="25"/>
  <c r="O95" i="25"/>
  <c r="N95" i="25"/>
  <c r="M95" i="25"/>
  <c r="L95" i="25"/>
  <c r="K95" i="25"/>
  <c r="P96" i="25"/>
  <c r="O96" i="25"/>
  <c r="N96" i="25"/>
  <c r="M96" i="25"/>
  <c r="L96" i="25"/>
  <c r="K96" i="25"/>
  <c r="P94" i="25"/>
  <c r="O94" i="25"/>
  <c r="N94" i="25"/>
  <c r="M94" i="25"/>
  <c r="L94" i="25"/>
  <c r="K94" i="25"/>
  <c r="P93" i="25"/>
  <c r="O93" i="25"/>
  <c r="N93" i="25"/>
  <c r="M93" i="25"/>
  <c r="L93" i="25"/>
  <c r="K93" i="25"/>
  <c r="P91" i="25"/>
  <c r="O91" i="25"/>
  <c r="N91" i="25"/>
  <c r="M91" i="25"/>
  <c r="L91" i="25"/>
  <c r="K91" i="25"/>
  <c r="P92" i="25"/>
  <c r="O92" i="25"/>
  <c r="N92" i="25"/>
  <c r="M92" i="25"/>
  <c r="L92" i="25"/>
  <c r="K92" i="25"/>
  <c r="P90" i="25"/>
  <c r="O90" i="25"/>
  <c r="N90" i="25"/>
  <c r="M90" i="25"/>
  <c r="L90" i="25"/>
  <c r="K90" i="25"/>
  <c r="P89" i="25"/>
  <c r="O89" i="25"/>
  <c r="N89" i="25"/>
  <c r="M89" i="25"/>
  <c r="L89" i="25"/>
  <c r="K89" i="25"/>
  <c r="P87" i="25"/>
  <c r="O87" i="25"/>
  <c r="N87" i="25"/>
  <c r="M87" i="25"/>
  <c r="L87" i="25"/>
  <c r="K87" i="25"/>
  <c r="AF87" i="25" s="1"/>
  <c r="P88" i="25"/>
  <c r="O88" i="25"/>
  <c r="N88" i="25"/>
  <c r="M88" i="25"/>
  <c r="L88" i="25"/>
  <c r="K88" i="25"/>
  <c r="AF88" i="25" s="1"/>
  <c r="P86" i="25"/>
  <c r="O86" i="25"/>
  <c r="N86" i="25"/>
  <c r="M86" i="25"/>
  <c r="L86" i="25"/>
  <c r="K86" i="25"/>
  <c r="P85" i="25"/>
  <c r="O85" i="25"/>
  <c r="N85" i="25"/>
  <c r="M85" i="25"/>
  <c r="L85" i="25"/>
  <c r="K85" i="25"/>
  <c r="AF85" i="25" s="1"/>
  <c r="P83" i="25"/>
  <c r="O83" i="25"/>
  <c r="N83" i="25"/>
  <c r="M83" i="25"/>
  <c r="L83" i="25"/>
  <c r="K83" i="25"/>
  <c r="P84" i="25"/>
  <c r="O84" i="25"/>
  <c r="N84" i="25"/>
  <c r="M84" i="25"/>
  <c r="L84" i="25"/>
  <c r="K84" i="25"/>
  <c r="AF84" i="25" s="1"/>
  <c r="P82" i="25"/>
  <c r="O82" i="25"/>
  <c r="N82" i="25"/>
  <c r="M82" i="25"/>
  <c r="L82" i="25"/>
  <c r="K82" i="25"/>
  <c r="AF82" i="25" s="1"/>
  <c r="P81" i="25"/>
  <c r="O81" i="25"/>
  <c r="N81" i="25"/>
  <c r="M81" i="25"/>
  <c r="L81" i="25"/>
  <c r="K81" i="25"/>
  <c r="AF81" i="25" s="1"/>
  <c r="P76" i="25"/>
  <c r="O76" i="25"/>
  <c r="N76" i="25"/>
  <c r="M76" i="25"/>
  <c r="L76" i="25"/>
  <c r="K76" i="25"/>
  <c r="P75" i="25"/>
  <c r="O75" i="25"/>
  <c r="N75" i="25"/>
  <c r="M75" i="25"/>
  <c r="L75" i="25"/>
  <c r="K75" i="25"/>
  <c r="P74" i="25"/>
  <c r="O74" i="25"/>
  <c r="N74" i="25"/>
  <c r="M74" i="25"/>
  <c r="L74" i="25"/>
  <c r="K74" i="25"/>
  <c r="AF74" i="25" s="1"/>
  <c r="P73" i="25"/>
  <c r="O73" i="25"/>
  <c r="N73" i="25"/>
  <c r="M73" i="25"/>
  <c r="L73" i="25"/>
  <c r="K73" i="25"/>
  <c r="AF73" i="25" s="1"/>
  <c r="P72" i="25"/>
  <c r="O72" i="25"/>
  <c r="N72" i="25"/>
  <c r="M72" i="25"/>
  <c r="L72" i="25"/>
  <c r="K72" i="25"/>
  <c r="P71" i="25"/>
  <c r="O71" i="25"/>
  <c r="N71" i="25"/>
  <c r="M71" i="25"/>
  <c r="L71" i="25"/>
  <c r="K71" i="25"/>
  <c r="P70" i="25"/>
  <c r="O70" i="25"/>
  <c r="N70" i="25"/>
  <c r="M70" i="25"/>
  <c r="L70" i="25"/>
  <c r="K70" i="25"/>
  <c r="P69" i="25"/>
  <c r="O69" i="25"/>
  <c r="N69" i="25"/>
  <c r="M69" i="25"/>
  <c r="L69" i="25"/>
  <c r="K69" i="25"/>
  <c r="P68" i="25"/>
  <c r="O68" i="25"/>
  <c r="N68" i="25"/>
  <c r="M68" i="25"/>
  <c r="L68" i="25"/>
  <c r="K68" i="25"/>
  <c r="AF68" i="25" s="1"/>
  <c r="P67" i="25"/>
  <c r="O67" i="25"/>
  <c r="N67" i="25"/>
  <c r="M67" i="25"/>
  <c r="L67" i="25"/>
  <c r="K67" i="25"/>
  <c r="P66" i="25"/>
  <c r="O66" i="25"/>
  <c r="N66" i="25"/>
  <c r="M66" i="25"/>
  <c r="L66" i="25"/>
  <c r="K66" i="25"/>
  <c r="P64" i="25"/>
  <c r="O64" i="25"/>
  <c r="N64" i="25"/>
  <c r="M64" i="25"/>
  <c r="L64" i="25"/>
  <c r="K64" i="25"/>
  <c r="P57" i="25"/>
  <c r="O57" i="25"/>
  <c r="N57" i="25"/>
  <c r="M57" i="25"/>
  <c r="L57" i="25"/>
  <c r="K57" i="25"/>
  <c r="P56" i="25"/>
  <c r="O56" i="25"/>
  <c r="N56" i="25"/>
  <c r="M56" i="25"/>
  <c r="L56" i="25"/>
  <c r="K56" i="25"/>
  <c r="P55" i="25"/>
  <c r="O55" i="25"/>
  <c r="N55" i="25"/>
  <c r="M55" i="25"/>
  <c r="L55" i="25"/>
  <c r="K55" i="25"/>
  <c r="P54" i="25"/>
  <c r="O54" i="25"/>
  <c r="N54" i="25"/>
  <c r="M54" i="25"/>
  <c r="L54" i="25"/>
  <c r="K54" i="25"/>
  <c r="P53" i="25"/>
  <c r="O53" i="25"/>
  <c r="N53" i="25"/>
  <c r="M53" i="25"/>
  <c r="L53" i="25"/>
  <c r="K53" i="25"/>
  <c r="P52" i="25"/>
  <c r="O52" i="25"/>
  <c r="N52" i="25"/>
  <c r="M52" i="25"/>
  <c r="L52" i="25"/>
  <c r="K52" i="25"/>
  <c r="P51" i="25"/>
  <c r="O51" i="25"/>
  <c r="N51" i="25"/>
  <c r="M51" i="25"/>
  <c r="L51" i="25"/>
  <c r="K51" i="25"/>
  <c r="P50" i="25"/>
  <c r="O50" i="25"/>
  <c r="N50" i="25"/>
  <c r="M50" i="25"/>
  <c r="L50" i="25"/>
  <c r="K50" i="25"/>
  <c r="P49" i="25"/>
  <c r="O49" i="25"/>
  <c r="N49" i="25"/>
  <c r="M49" i="25"/>
  <c r="L49" i="25"/>
  <c r="K49" i="25"/>
  <c r="AF49" i="25" s="1"/>
  <c r="P48" i="25"/>
  <c r="O48" i="25"/>
  <c r="N48" i="25"/>
  <c r="M48" i="25"/>
  <c r="L48" i="25"/>
  <c r="K48" i="25"/>
  <c r="P47" i="25"/>
  <c r="O47" i="25"/>
  <c r="N47" i="25"/>
  <c r="M47" i="25"/>
  <c r="L47" i="25"/>
  <c r="K47" i="25"/>
  <c r="P39" i="25"/>
  <c r="O39" i="25"/>
  <c r="N39" i="25"/>
  <c r="M39" i="25"/>
  <c r="L39" i="25"/>
  <c r="K39" i="25"/>
  <c r="P44" i="25"/>
  <c r="O44" i="25"/>
  <c r="N44" i="25"/>
  <c r="M44" i="25"/>
  <c r="L44" i="25"/>
  <c r="K44" i="25"/>
  <c r="P42" i="25"/>
  <c r="O42" i="25"/>
  <c r="N42" i="25"/>
  <c r="M42" i="25"/>
  <c r="L42" i="25"/>
  <c r="K42" i="25"/>
  <c r="P43" i="25"/>
  <c r="O43" i="25"/>
  <c r="N43" i="25"/>
  <c r="M43" i="25"/>
  <c r="L43" i="25"/>
  <c r="K43" i="25"/>
  <c r="AF43" i="25" s="1"/>
  <c r="P41" i="25"/>
  <c r="O41" i="25"/>
  <c r="N41" i="25"/>
  <c r="M41" i="25"/>
  <c r="L41" i="25"/>
  <c r="K41" i="25"/>
  <c r="AF41" i="25" s="1"/>
  <c r="P40" i="25"/>
  <c r="O40" i="25"/>
  <c r="N40" i="25"/>
  <c r="M40" i="25"/>
  <c r="L40" i="25"/>
  <c r="K40" i="25"/>
  <c r="P38" i="25"/>
  <c r="O38" i="25"/>
  <c r="N38" i="25"/>
  <c r="M38" i="25"/>
  <c r="L38" i="25"/>
  <c r="K38" i="25"/>
  <c r="P37" i="25"/>
  <c r="O37" i="25"/>
  <c r="N37" i="25"/>
  <c r="M37" i="25"/>
  <c r="L37" i="25"/>
  <c r="K37" i="25"/>
  <c r="P36" i="25"/>
  <c r="O36" i="25"/>
  <c r="N36" i="25"/>
  <c r="M36" i="25"/>
  <c r="L36" i="25"/>
  <c r="K36" i="25"/>
  <c r="P35" i="25"/>
  <c r="O35" i="25"/>
  <c r="N35" i="25"/>
  <c r="M35" i="25"/>
  <c r="L35" i="25"/>
  <c r="K35" i="25"/>
  <c r="P34" i="25"/>
  <c r="O34" i="25"/>
  <c r="N34" i="25"/>
  <c r="M34" i="25"/>
  <c r="L34" i="25"/>
  <c r="K34" i="25"/>
  <c r="P33" i="25"/>
  <c r="O33" i="25"/>
  <c r="N33" i="25"/>
  <c r="M33" i="25"/>
  <c r="L33" i="25"/>
  <c r="K33" i="25"/>
  <c r="P32" i="25"/>
  <c r="O32" i="25"/>
  <c r="N32" i="25"/>
  <c r="M32" i="25"/>
  <c r="L32" i="25"/>
  <c r="K32" i="25"/>
  <c r="AF32" i="25" s="1"/>
  <c r="P31" i="25"/>
  <c r="O31" i="25"/>
  <c r="N31" i="25"/>
  <c r="M31" i="25"/>
  <c r="L31" i="25"/>
  <c r="K31" i="25"/>
  <c r="AF31" i="25" s="1"/>
  <c r="P30" i="25"/>
  <c r="O30" i="25"/>
  <c r="N30" i="25"/>
  <c r="M30" i="25"/>
  <c r="L30" i="25"/>
  <c r="K30" i="25"/>
  <c r="P29" i="25"/>
  <c r="O29" i="25"/>
  <c r="N29" i="25"/>
  <c r="M29" i="25"/>
  <c r="L29" i="25"/>
  <c r="K29" i="25"/>
  <c r="P28" i="25"/>
  <c r="O28" i="25"/>
  <c r="N28" i="25"/>
  <c r="M28" i="25"/>
  <c r="L28" i="25"/>
  <c r="K28" i="25"/>
  <c r="AF28" i="25" s="1"/>
  <c r="P27" i="25"/>
  <c r="O27" i="25"/>
  <c r="N27" i="25"/>
  <c r="M27" i="25"/>
  <c r="L27" i="25"/>
  <c r="K27" i="25"/>
  <c r="AF27" i="25" s="1"/>
  <c r="P46" i="25"/>
  <c r="O46" i="25"/>
  <c r="N46" i="25"/>
  <c r="M46" i="25"/>
  <c r="L46" i="25"/>
  <c r="K46" i="25"/>
  <c r="P26" i="25"/>
  <c r="O26" i="25"/>
  <c r="N26" i="25"/>
  <c r="M26" i="25"/>
  <c r="L26" i="25"/>
  <c r="K26" i="25"/>
  <c r="P25" i="25"/>
  <c r="O25" i="25"/>
  <c r="N25" i="25"/>
  <c r="M25" i="25"/>
  <c r="L25" i="25"/>
  <c r="K25" i="25"/>
  <c r="AF25" i="25" s="1"/>
  <c r="P45" i="25"/>
  <c r="O45" i="25"/>
  <c r="N45" i="25"/>
  <c r="M45" i="25"/>
  <c r="L45" i="25"/>
  <c r="K45" i="25"/>
  <c r="P24" i="25"/>
  <c r="O24" i="25"/>
  <c r="N24" i="25"/>
  <c r="M24" i="25"/>
  <c r="L24" i="25"/>
  <c r="K24" i="25"/>
  <c r="P23" i="25"/>
  <c r="O23" i="25"/>
  <c r="N23" i="25"/>
  <c r="M23" i="25"/>
  <c r="L23" i="25"/>
  <c r="K23" i="25"/>
  <c r="P22" i="25"/>
  <c r="O22" i="25"/>
  <c r="N22" i="25"/>
  <c r="M22" i="25"/>
  <c r="L22" i="25"/>
  <c r="K22" i="25"/>
  <c r="AF22" i="25" s="1"/>
  <c r="P20" i="25"/>
  <c r="O20" i="25"/>
  <c r="N20" i="25"/>
  <c r="M20" i="25"/>
  <c r="L20" i="25"/>
  <c r="K20" i="25"/>
  <c r="AF20" i="25" s="1"/>
  <c r="P19" i="25"/>
  <c r="O19" i="25"/>
  <c r="N19" i="25"/>
  <c r="M19" i="25"/>
  <c r="L19" i="25"/>
  <c r="K19" i="25"/>
  <c r="P18" i="25"/>
  <c r="O18" i="25"/>
  <c r="N18" i="25"/>
  <c r="M18" i="25"/>
  <c r="L18" i="25"/>
  <c r="K18" i="25"/>
  <c r="AF18" i="25" s="1"/>
  <c r="P14" i="25"/>
  <c r="O14" i="25"/>
  <c r="N14" i="25"/>
  <c r="M14" i="25"/>
  <c r="L14" i="25"/>
  <c r="K14" i="25"/>
  <c r="P12" i="25"/>
  <c r="O12" i="25"/>
  <c r="N12" i="25"/>
  <c r="M12" i="25"/>
  <c r="L12" i="25"/>
  <c r="K12" i="25"/>
  <c r="P11" i="25"/>
  <c r="O11" i="25"/>
  <c r="N11" i="25"/>
  <c r="M11" i="25"/>
  <c r="L11" i="25"/>
  <c r="K11" i="25"/>
  <c r="AF11" i="25" s="1"/>
  <c r="P10" i="25"/>
  <c r="O10" i="25"/>
  <c r="N10" i="25"/>
  <c r="M10" i="25"/>
  <c r="L10" i="25"/>
  <c r="K10" i="25"/>
  <c r="P8" i="25"/>
  <c r="O8" i="25"/>
  <c r="N8" i="25"/>
  <c r="M8" i="25"/>
  <c r="L8" i="25"/>
  <c r="K8" i="25"/>
  <c r="P9" i="25"/>
  <c r="O9" i="25"/>
  <c r="N9" i="25"/>
  <c r="M9" i="25"/>
  <c r="L9" i="25"/>
  <c r="K9" i="25"/>
  <c r="P7" i="25"/>
  <c r="O7" i="25"/>
  <c r="N7" i="25"/>
  <c r="M7" i="25"/>
  <c r="L7" i="25"/>
  <c r="K7" i="25"/>
  <c r="AF7" i="25" s="1"/>
  <c r="P6" i="25"/>
  <c r="O6" i="25"/>
  <c r="N6" i="25"/>
  <c r="M6" i="25"/>
  <c r="L6" i="25"/>
  <c r="K6" i="25"/>
  <c r="P65" i="25"/>
  <c r="O65" i="25"/>
  <c r="N65" i="25"/>
  <c r="M65" i="25"/>
  <c r="L65" i="25"/>
  <c r="K65" i="25"/>
  <c r="AF65" i="25" s="1"/>
  <c r="P195" i="25"/>
  <c r="O195" i="25"/>
  <c r="N195" i="25"/>
  <c r="M195" i="25"/>
  <c r="L195" i="25"/>
  <c r="K195" i="25"/>
  <c r="P115" i="25"/>
  <c r="O115" i="25"/>
  <c r="N115" i="25"/>
  <c r="M115" i="25"/>
  <c r="L115" i="25"/>
  <c r="K115" i="25"/>
  <c r="P17" i="25"/>
  <c r="O17" i="25"/>
  <c r="N17" i="25"/>
  <c r="M17" i="25"/>
  <c r="L17" i="25"/>
  <c r="K17" i="25"/>
  <c r="P16" i="25"/>
  <c r="O16" i="25"/>
  <c r="N16" i="25"/>
  <c r="M16" i="25"/>
  <c r="L16" i="25"/>
  <c r="K16" i="25"/>
  <c r="P103" i="25"/>
  <c r="O103" i="25"/>
  <c r="N103" i="25"/>
  <c r="M103" i="25"/>
  <c r="L103" i="25"/>
  <c r="K103" i="25"/>
  <c r="AF103" i="25" s="1"/>
  <c r="P102" i="25"/>
  <c r="O102" i="25"/>
  <c r="N102" i="25"/>
  <c r="M102" i="25"/>
  <c r="L102" i="25"/>
  <c r="K102" i="25"/>
  <c r="P101" i="25"/>
  <c r="O101" i="25"/>
  <c r="N101" i="25"/>
  <c r="M101" i="25"/>
  <c r="L101" i="25"/>
  <c r="K101" i="25"/>
  <c r="AF101" i="25" s="1"/>
  <c r="P104" i="25"/>
  <c r="O104" i="25"/>
  <c r="N104" i="25"/>
  <c r="M104" i="25"/>
  <c r="L104" i="25"/>
  <c r="K104" i="25"/>
  <c r="P97" i="25"/>
  <c r="O97" i="25"/>
  <c r="N97" i="25"/>
  <c r="M97" i="25"/>
  <c r="L97" i="25"/>
  <c r="K97" i="25"/>
  <c r="P206" i="25"/>
  <c r="O206" i="25"/>
  <c r="N206" i="25"/>
  <c r="M206" i="25"/>
  <c r="L206" i="25"/>
  <c r="K206" i="25"/>
  <c r="AF206" i="25" s="1"/>
  <c r="P204" i="25"/>
  <c r="O204" i="25"/>
  <c r="N204" i="25"/>
  <c r="M204" i="25"/>
  <c r="L204" i="25"/>
  <c r="K204" i="25"/>
  <c r="P205" i="25"/>
  <c r="O205" i="25"/>
  <c r="N205" i="25"/>
  <c r="M205" i="25"/>
  <c r="L205" i="25"/>
  <c r="K205" i="25"/>
  <c r="P203" i="25"/>
  <c r="O203" i="25"/>
  <c r="N203" i="25"/>
  <c r="M203" i="25"/>
  <c r="L203" i="25"/>
  <c r="K203" i="25"/>
  <c r="P179" i="25"/>
  <c r="O179" i="25"/>
  <c r="N179" i="25"/>
  <c r="M179" i="25"/>
  <c r="L179" i="25"/>
  <c r="K179" i="25"/>
  <c r="P168" i="25"/>
  <c r="O168" i="25"/>
  <c r="N168" i="25"/>
  <c r="M168" i="25"/>
  <c r="L168" i="25"/>
  <c r="K168" i="25"/>
  <c r="P186" i="25"/>
  <c r="O186" i="25"/>
  <c r="N186" i="25"/>
  <c r="M186" i="25"/>
  <c r="L186" i="25"/>
  <c r="K186" i="25"/>
  <c r="P185" i="25"/>
  <c r="O185" i="25"/>
  <c r="N185" i="25"/>
  <c r="M185" i="25"/>
  <c r="L185" i="25"/>
  <c r="K185" i="25"/>
  <c r="AF185" i="25" s="1"/>
  <c r="P15" i="25"/>
  <c r="O15" i="25"/>
  <c r="N15" i="25"/>
  <c r="M15" i="25"/>
  <c r="L15" i="25"/>
  <c r="K15" i="25"/>
  <c r="P98" i="25"/>
  <c r="O98" i="25"/>
  <c r="N98" i="25"/>
  <c r="M98" i="25"/>
  <c r="L98" i="25"/>
  <c r="K98" i="25"/>
  <c r="AF98" i="25" s="1"/>
  <c r="P2" i="25"/>
  <c r="O2" i="25"/>
  <c r="N2" i="25"/>
  <c r="M2" i="25"/>
  <c r="L2" i="25"/>
  <c r="K2" i="25"/>
  <c r="P5" i="25"/>
  <c r="O5" i="25"/>
  <c r="N5" i="25"/>
  <c r="M5" i="25"/>
  <c r="L5" i="25"/>
  <c r="K5" i="25"/>
  <c r="AF5" i="25" s="1"/>
  <c r="P4" i="25"/>
  <c r="O4" i="25"/>
  <c r="N4" i="25"/>
  <c r="M4" i="25"/>
  <c r="L4" i="25"/>
  <c r="K4" i="25"/>
  <c r="P3" i="25"/>
  <c r="O3" i="25"/>
  <c r="N3" i="25"/>
  <c r="M3" i="25"/>
  <c r="L3" i="25"/>
  <c r="K3" i="25"/>
  <c r="P120" i="25"/>
  <c r="O120" i="25"/>
  <c r="N120" i="25"/>
  <c r="M120" i="25"/>
  <c r="L120" i="25"/>
  <c r="K120" i="25"/>
  <c r="P117" i="25"/>
  <c r="O117" i="25"/>
  <c r="N117" i="25"/>
  <c r="M117" i="25"/>
  <c r="L117" i="25"/>
  <c r="K117" i="25"/>
  <c r="P119" i="25"/>
  <c r="O119" i="25"/>
  <c r="N119" i="25"/>
  <c r="M119" i="25"/>
  <c r="L119" i="25"/>
  <c r="K119" i="25"/>
  <c r="AF119" i="25" s="1"/>
  <c r="P118" i="25"/>
  <c r="O118" i="25"/>
  <c r="N118" i="25"/>
  <c r="M118" i="25"/>
  <c r="L118" i="25"/>
  <c r="K118" i="25"/>
  <c r="AF118" i="25" s="1"/>
  <c r="P121" i="25"/>
  <c r="O121" i="25"/>
  <c r="N121" i="25"/>
  <c r="M121" i="25"/>
  <c r="L121" i="25"/>
  <c r="K121" i="25"/>
  <c r="P58" i="25"/>
  <c r="O58" i="25"/>
  <c r="N58" i="25"/>
  <c r="M58" i="25"/>
  <c r="L58" i="25"/>
  <c r="K58" i="25"/>
  <c r="P188" i="25"/>
  <c r="O188" i="25"/>
  <c r="N188" i="25"/>
  <c r="M188" i="25"/>
  <c r="L188" i="25"/>
  <c r="K188" i="25"/>
  <c r="P171" i="25"/>
  <c r="O171" i="25"/>
  <c r="N171" i="25"/>
  <c r="M171" i="25"/>
  <c r="L171" i="25"/>
  <c r="K171" i="25"/>
  <c r="P169" i="25"/>
  <c r="O169" i="25"/>
  <c r="N169" i="25"/>
  <c r="M169" i="25"/>
  <c r="L169" i="25"/>
  <c r="K169" i="25"/>
  <c r="AF169" i="25" s="1"/>
  <c r="P170" i="25"/>
  <c r="O170" i="25"/>
  <c r="N170" i="25"/>
  <c r="M170" i="25"/>
  <c r="L170" i="25"/>
  <c r="K170" i="25"/>
  <c r="P164" i="25"/>
  <c r="O164" i="25"/>
  <c r="N164" i="25"/>
  <c r="M164" i="25"/>
  <c r="L164" i="25"/>
  <c r="K164" i="25"/>
  <c r="P167" i="25"/>
  <c r="O167" i="25"/>
  <c r="N167" i="25"/>
  <c r="M167" i="25"/>
  <c r="L167" i="25"/>
  <c r="K167" i="25"/>
  <c r="P166" i="25"/>
  <c r="O166" i="25"/>
  <c r="N166" i="25"/>
  <c r="M166" i="25"/>
  <c r="L166" i="25"/>
  <c r="K166" i="25"/>
  <c r="P165" i="25"/>
  <c r="O165" i="25"/>
  <c r="N165" i="25"/>
  <c r="M165" i="25"/>
  <c r="L165" i="25"/>
  <c r="K165" i="25"/>
  <c r="P78" i="25"/>
  <c r="O78" i="25"/>
  <c r="N78" i="25"/>
  <c r="M78" i="25"/>
  <c r="L78" i="25"/>
  <c r="K78" i="25"/>
  <c r="P77" i="25"/>
  <c r="O77" i="25"/>
  <c r="N77" i="25"/>
  <c r="M77" i="25"/>
  <c r="L77" i="25"/>
  <c r="K77" i="25"/>
  <c r="P163" i="25"/>
  <c r="O163" i="25"/>
  <c r="N163" i="25"/>
  <c r="M163" i="25"/>
  <c r="L163" i="25"/>
  <c r="K163" i="25"/>
  <c r="P162" i="25"/>
  <c r="O162" i="25"/>
  <c r="N162" i="25"/>
  <c r="M162" i="25"/>
  <c r="L162" i="25"/>
  <c r="K162" i="25"/>
  <c r="W221" i="15"/>
  <c r="W222" i="15"/>
  <c r="W223" i="15"/>
  <c r="W224" i="15"/>
  <c r="W225" i="15"/>
  <c r="W227" i="15"/>
  <c r="V13" i="15"/>
  <c r="V14" i="15"/>
  <c r="V15" i="15"/>
  <c r="V16" i="15"/>
  <c r="V17" i="15"/>
  <c r="V18" i="15"/>
  <c r="V19" i="15"/>
  <c r="V20" i="15"/>
  <c r="V21" i="15"/>
  <c r="V22" i="15"/>
  <c r="V23" i="15"/>
  <c r="V24" i="15"/>
  <c r="V25" i="15"/>
  <c r="V26" i="15"/>
  <c r="V27" i="15"/>
  <c r="V28" i="15"/>
  <c r="V29" i="15"/>
  <c r="V30" i="15"/>
  <c r="V31" i="15"/>
  <c r="V32" i="15"/>
  <c r="V33" i="15"/>
  <c r="V34" i="15"/>
  <c r="V35" i="15"/>
  <c r="V36" i="15"/>
  <c r="V37" i="15"/>
  <c r="V38" i="15"/>
  <c r="V39" i="15"/>
  <c r="V40" i="15"/>
  <c r="V41" i="15"/>
  <c r="V42" i="15"/>
  <c r="V43"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V84" i="15"/>
  <c r="V85" i="15"/>
  <c r="V86" i="15"/>
  <c r="V87" i="15"/>
  <c r="V88" i="15"/>
  <c r="V89" i="15"/>
  <c r="V90" i="15"/>
  <c r="V91" i="15"/>
  <c r="V92" i="15"/>
  <c r="V93" i="15"/>
  <c r="V94" i="15"/>
  <c r="V95" i="15"/>
  <c r="V96" i="15"/>
  <c r="V97" i="15"/>
  <c r="V98" i="15"/>
  <c r="V99" i="15"/>
  <c r="V100" i="15"/>
  <c r="V101" i="15"/>
  <c r="V102" i="15"/>
  <c r="V103" i="15"/>
  <c r="V104" i="15"/>
  <c r="V105" i="15"/>
  <c r="V106" i="15"/>
  <c r="V107" i="15"/>
  <c r="V108" i="15"/>
  <c r="V109" i="15"/>
  <c r="V110" i="15"/>
  <c r="V111" i="15"/>
  <c r="V112" i="15"/>
  <c r="V113" i="15"/>
  <c r="V114" i="15"/>
  <c r="V115" i="15"/>
  <c r="V116" i="15"/>
  <c r="V117" i="15"/>
  <c r="V118" i="15"/>
  <c r="V119" i="15"/>
  <c r="V120" i="15"/>
  <c r="V121" i="15"/>
  <c r="V122" i="15"/>
  <c r="V123" i="15"/>
  <c r="V124" i="15"/>
  <c r="V125" i="15"/>
  <c r="V126" i="15"/>
  <c r="V127" i="15"/>
  <c r="V128" i="15"/>
  <c r="V129" i="15"/>
  <c r="V130" i="15"/>
  <c r="V131" i="15"/>
  <c r="V132" i="15"/>
  <c r="V133" i="15"/>
  <c r="V134" i="15"/>
  <c r="V135" i="15"/>
  <c r="V136" i="15"/>
  <c r="V137" i="15"/>
  <c r="V138" i="15"/>
  <c r="V139" i="15"/>
  <c r="V140" i="15"/>
  <c r="V141" i="15"/>
  <c r="V142" i="15"/>
  <c r="V143" i="15"/>
  <c r="V144" i="15"/>
  <c r="V145" i="15"/>
  <c r="V146" i="15"/>
  <c r="V147" i="15"/>
  <c r="V148" i="15"/>
  <c r="V149" i="15"/>
  <c r="V150" i="15"/>
  <c r="V151" i="15"/>
  <c r="V152" i="15"/>
  <c r="V153" i="15"/>
  <c r="V154" i="15"/>
  <c r="V155" i="15"/>
  <c r="V156" i="15"/>
  <c r="V157" i="15"/>
  <c r="V158" i="15"/>
  <c r="V159" i="15"/>
  <c r="V160" i="15"/>
  <c r="V161" i="15"/>
  <c r="V162" i="15"/>
  <c r="V163" i="15"/>
  <c r="V164" i="15"/>
  <c r="V165" i="15"/>
  <c r="V166" i="15"/>
  <c r="V167" i="15"/>
  <c r="V168" i="15"/>
  <c r="V169" i="15"/>
  <c r="V170" i="15"/>
  <c r="V171" i="15"/>
  <c r="V172" i="15"/>
  <c r="V173" i="15"/>
  <c r="V174" i="15"/>
  <c r="V175" i="15"/>
  <c r="V176" i="15"/>
  <c r="V177" i="15"/>
  <c r="V178" i="15"/>
  <c r="V179" i="15"/>
  <c r="V180" i="15"/>
  <c r="V181" i="15"/>
  <c r="V182" i="15"/>
  <c r="V183" i="15"/>
  <c r="V184" i="15"/>
  <c r="V185" i="15"/>
  <c r="V186" i="15"/>
  <c r="V187" i="15"/>
  <c r="V188" i="15"/>
  <c r="V189" i="15"/>
  <c r="V190" i="15"/>
  <c r="V191" i="15"/>
  <c r="V192" i="15"/>
  <c r="V193" i="15"/>
  <c r="V194" i="15"/>
  <c r="V195" i="15"/>
  <c r="V196" i="15"/>
  <c r="V197" i="15"/>
  <c r="V198" i="15"/>
  <c r="V199" i="15"/>
  <c r="V200" i="15"/>
  <c r="V201" i="15"/>
  <c r="V202" i="15"/>
  <c r="V203" i="15"/>
  <c r="V204" i="15"/>
  <c r="V205" i="15"/>
  <c r="V206" i="15"/>
  <c r="V207" i="15"/>
  <c r="V208" i="15"/>
  <c r="V209" i="15"/>
  <c r="V210" i="15"/>
  <c r="V211" i="15"/>
  <c r="V212" i="15"/>
  <c r="V213" i="15"/>
  <c r="V214" i="15"/>
  <c r="V215" i="15"/>
  <c r="V216" i="15"/>
  <c r="V217" i="15"/>
  <c r="V218" i="15"/>
  <c r="V219" i="15"/>
  <c r="V220" i="15"/>
  <c r="V221" i="15"/>
  <c r="V222" i="15"/>
  <c r="V223" i="15"/>
  <c r="V224" i="15"/>
  <c r="V225" i="15"/>
  <c r="V226" i="15"/>
  <c r="V227"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U84" i="15"/>
  <c r="U85" i="15"/>
  <c r="U86" i="15"/>
  <c r="U87" i="15"/>
  <c r="U88" i="15"/>
  <c r="U89" i="15"/>
  <c r="U90" i="15"/>
  <c r="U91" i="15"/>
  <c r="U92" i="15"/>
  <c r="U93" i="15"/>
  <c r="U94" i="15"/>
  <c r="U95" i="15"/>
  <c r="U96" i="15"/>
  <c r="U97" i="15"/>
  <c r="U98" i="15"/>
  <c r="U99" i="15"/>
  <c r="U100" i="15"/>
  <c r="U101" i="15"/>
  <c r="U102" i="15"/>
  <c r="U103" i="15"/>
  <c r="U104" i="15"/>
  <c r="U105" i="15"/>
  <c r="U106" i="15"/>
  <c r="U107" i="15"/>
  <c r="U108" i="15"/>
  <c r="U109" i="15"/>
  <c r="U110" i="15"/>
  <c r="U111" i="15"/>
  <c r="U112" i="15"/>
  <c r="U113" i="15"/>
  <c r="U114" i="15"/>
  <c r="U115" i="15"/>
  <c r="U116" i="15"/>
  <c r="U117" i="15"/>
  <c r="U118" i="15"/>
  <c r="U119" i="15"/>
  <c r="U120" i="15"/>
  <c r="U121" i="15"/>
  <c r="U122" i="15"/>
  <c r="U123" i="15"/>
  <c r="U124" i="15"/>
  <c r="U125" i="15"/>
  <c r="U126" i="15"/>
  <c r="U127" i="15"/>
  <c r="U128" i="15"/>
  <c r="U129" i="15"/>
  <c r="U130" i="15"/>
  <c r="U131" i="15"/>
  <c r="U132" i="15"/>
  <c r="U133" i="15"/>
  <c r="U134" i="15"/>
  <c r="U135" i="15"/>
  <c r="U136" i="15"/>
  <c r="U137" i="15"/>
  <c r="U138" i="15"/>
  <c r="U139" i="15"/>
  <c r="U140" i="15"/>
  <c r="U141" i="15"/>
  <c r="U142" i="15"/>
  <c r="U143" i="15"/>
  <c r="U144" i="15"/>
  <c r="U145" i="15"/>
  <c r="U146" i="15"/>
  <c r="U147" i="15"/>
  <c r="U148" i="15"/>
  <c r="U149" i="15"/>
  <c r="U150" i="15"/>
  <c r="U151" i="15"/>
  <c r="U152" i="15"/>
  <c r="U153" i="15"/>
  <c r="U154" i="15"/>
  <c r="U155" i="15"/>
  <c r="U156" i="15"/>
  <c r="U157" i="15"/>
  <c r="U158" i="15"/>
  <c r="U159" i="15"/>
  <c r="U160" i="15"/>
  <c r="U161" i="15"/>
  <c r="U162" i="15"/>
  <c r="U163" i="15"/>
  <c r="U164" i="15"/>
  <c r="U165" i="15"/>
  <c r="U166" i="15"/>
  <c r="U167" i="15"/>
  <c r="U168" i="15"/>
  <c r="U169" i="15"/>
  <c r="U170" i="15"/>
  <c r="U171" i="15"/>
  <c r="U172" i="15"/>
  <c r="U173" i="15"/>
  <c r="U174" i="15"/>
  <c r="U175" i="15"/>
  <c r="U176" i="15"/>
  <c r="U177" i="15"/>
  <c r="U178" i="15"/>
  <c r="U179" i="15"/>
  <c r="U180" i="15"/>
  <c r="U181" i="15"/>
  <c r="U182" i="15"/>
  <c r="U183" i="15"/>
  <c r="U184" i="15"/>
  <c r="U185" i="15"/>
  <c r="U186" i="15"/>
  <c r="U187" i="15"/>
  <c r="U188" i="15"/>
  <c r="U189" i="15"/>
  <c r="U190" i="15"/>
  <c r="U191" i="15"/>
  <c r="U192" i="15"/>
  <c r="U193" i="15"/>
  <c r="U194" i="15"/>
  <c r="U195" i="15"/>
  <c r="U196" i="15"/>
  <c r="U197" i="15"/>
  <c r="U198" i="15"/>
  <c r="U199" i="15"/>
  <c r="U200" i="15"/>
  <c r="U201" i="15"/>
  <c r="U202" i="15"/>
  <c r="U203" i="15"/>
  <c r="U204" i="15"/>
  <c r="U205" i="15"/>
  <c r="U206" i="15"/>
  <c r="U207" i="15"/>
  <c r="U208" i="15"/>
  <c r="U209" i="15"/>
  <c r="U210" i="15"/>
  <c r="U211" i="15"/>
  <c r="U212" i="15"/>
  <c r="U213" i="15"/>
  <c r="U214" i="15"/>
  <c r="U215" i="15"/>
  <c r="U216" i="15"/>
  <c r="U217" i="15"/>
  <c r="U218" i="15"/>
  <c r="U219" i="15"/>
  <c r="U220" i="15"/>
  <c r="U221" i="15"/>
  <c r="U222" i="15"/>
  <c r="U223" i="15"/>
  <c r="U224" i="15"/>
  <c r="U225" i="15"/>
  <c r="U226" i="15"/>
  <c r="U227" i="15"/>
  <c r="A14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A79" i="14"/>
  <c r="A80" i="14"/>
  <c r="A81" i="14"/>
  <c r="A82" i="14"/>
  <c r="A83" i="14"/>
  <c r="A84" i="14"/>
  <c r="A85" i="14"/>
  <c r="A86" i="14"/>
  <c r="A87" i="14"/>
  <c r="A88" i="14"/>
  <c r="A89" i="14"/>
  <c r="A90" i="14"/>
  <c r="A91" i="14"/>
  <c r="A92" i="14"/>
  <c r="A93"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8"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G3" i="20"/>
  <c r="G4" i="20"/>
  <c r="G5"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2" i="20"/>
  <c r="AF127" i="25"/>
  <c r="AF154" i="25"/>
  <c r="AF144" i="25"/>
  <c r="AF149" i="25"/>
  <c r="AF146" i="25"/>
  <c r="AF143" i="25"/>
  <c r="AF140" i="25"/>
  <c r="AF138" i="25"/>
  <c r="AF137" i="25"/>
  <c r="AF122" i="25"/>
  <c r="AF152" i="25"/>
  <c r="AF124" i="25"/>
  <c r="AF109" i="25"/>
  <c r="AF38" i="25"/>
  <c r="AF40" i="25"/>
  <c r="AF200" i="25"/>
  <c r="AF93" i="25"/>
  <c r="AF208" i="25"/>
  <c r="AF178" i="25"/>
  <c r="AF130" i="25"/>
  <c r="AF128" i="25"/>
  <c r="AF108" i="25"/>
  <c r="AF107" i="25"/>
  <c r="AF95" i="25"/>
  <c r="AF94" i="25"/>
  <c r="AF96" i="25"/>
  <c r="AF100" i="25"/>
  <c r="AF106" i="25"/>
  <c r="AF56" i="25"/>
  <c r="AF52" i="25"/>
  <c r="AF48" i="25"/>
  <c r="AF42" i="25"/>
  <c r="AF24" i="25"/>
  <c r="AF102" i="25"/>
  <c r="AF2" i="25"/>
  <c r="AF115" i="25"/>
  <c r="AF17" i="25"/>
  <c r="AF167" i="25"/>
  <c r="AF83" i="25"/>
  <c r="AF121" i="25"/>
  <c r="AF58" i="25"/>
  <c r="AF71" i="25"/>
  <c r="AF70" i="25"/>
  <c r="AF69" i="25"/>
  <c r="AF72" i="25"/>
  <c r="AF64" i="25"/>
  <c r="AF212" i="25"/>
  <c r="AF210" i="25"/>
  <c r="AF211" i="25"/>
  <c r="AF209" i="25"/>
  <c r="AF180" i="25"/>
  <c r="AF173" i="25"/>
  <c r="AF191" i="25"/>
  <c r="AE150" i="25"/>
  <c r="AE36" i="25"/>
  <c r="AE37" i="25"/>
  <c r="AE156" i="25"/>
  <c r="AE157" i="25"/>
  <c r="AE158" i="25"/>
  <c r="AE155" i="25"/>
  <c r="AE161" i="25"/>
  <c r="AE160" i="25"/>
  <c r="AE172" i="25"/>
  <c r="AE193" i="25"/>
  <c r="AE23" i="25"/>
  <c r="AE91" i="25"/>
  <c r="AE89" i="25"/>
  <c r="AE90" i="25"/>
  <c r="AE35" i="25"/>
  <c r="AE92" i="25"/>
  <c r="AE163" i="25"/>
  <c r="AE77" i="25"/>
  <c r="AE78" i="25"/>
  <c r="AE162" i="25"/>
  <c r="AE66" i="25"/>
  <c r="AE188" i="25"/>
  <c r="AE190" i="25"/>
  <c r="AE191" i="25"/>
  <c r="AE173" i="25"/>
  <c r="AE180" i="25"/>
  <c r="AE209" i="25"/>
  <c r="AE211" i="25"/>
  <c r="AE210" i="25"/>
  <c r="AE212" i="25"/>
  <c r="AE64" i="25"/>
  <c r="AE72" i="25"/>
  <c r="AE69" i="25"/>
  <c r="AE70" i="25"/>
  <c r="AE71" i="25"/>
  <c r="AE58" i="25"/>
  <c r="AE121" i="25"/>
  <c r="AE83" i="25"/>
  <c r="AE196" i="25"/>
  <c r="AE32" i="25"/>
  <c r="AE165" i="25"/>
  <c r="AE166" i="25"/>
  <c r="AE164" i="25"/>
  <c r="AE167" i="25"/>
  <c r="AE170" i="25"/>
  <c r="AE171" i="25"/>
  <c r="AE118" i="25"/>
  <c r="AE119" i="25"/>
  <c r="AE3" i="25"/>
  <c r="AE120" i="25"/>
  <c r="AE4" i="25"/>
  <c r="AE186" i="25"/>
  <c r="AE17" i="25"/>
  <c r="AE18" i="25"/>
  <c r="AE168" i="25"/>
  <c r="AE115" i="25"/>
  <c r="AE5" i="25"/>
  <c r="AE2" i="25"/>
  <c r="AE12" i="25"/>
  <c r="AE98" i="25"/>
  <c r="AE15" i="25"/>
  <c r="AE14" i="25"/>
  <c r="AE185" i="25"/>
  <c r="AE179" i="25"/>
  <c r="AE203" i="25"/>
  <c r="AE205" i="25"/>
  <c r="AE204" i="25"/>
  <c r="AE9" i="25"/>
  <c r="AE104" i="25"/>
  <c r="AE101" i="25"/>
  <c r="AE103" i="25"/>
  <c r="AE102" i="25"/>
  <c r="AE97" i="25"/>
  <c r="AE206" i="25"/>
  <c r="AE195" i="25"/>
  <c r="AE16" i="25"/>
  <c r="AE65" i="25"/>
  <c r="AE8" i="25"/>
  <c r="AE10" i="25"/>
  <c r="AE11" i="25"/>
  <c r="AE6" i="25"/>
  <c r="AE7" i="25"/>
  <c r="AE19" i="25"/>
  <c r="AE20" i="25"/>
  <c r="AE22" i="25"/>
  <c r="AE31" i="25"/>
  <c r="AE33" i="25"/>
  <c r="AE45" i="25"/>
  <c r="AE25" i="25"/>
  <c r="AE26" i="25"/>
  <c r="AE46" i="25"/>
  <c r="AE27" i="25"/>
  <c r="AE28" i="25"/>
  <c r="AE29" i="25"/>
  <c r="AE30" i="25"/>
  <c r="AE34" i="25"/>
  <c r="AE43" i="25"/>
  <c r="AE41" i="25"/>
  <c r="AE44" i="25"/>
  <c r="AE42" i="25"/>
  <c r="AE47" i="25"/>
  <c r="AE39" i="25"/>
  <c r="AE49" i="25"/>
  <c r="AE48" i="25"/>
  <c r="AE50" i="25"/>
  <c r="AE51" i="25"/>
  <c r="AE53" i="25"/>
  <c r="AE52" i="25"/>
  <c r="AE54" i="25"/>
  <c r="AE55" i="25"/>
  <c r="AE57" i="25"/>
  <c r="AE56" i="25"/>
  <c r="AE68" i="25"/>
  <c r="AE82" i="25"/>
  <c r="AE73" i="25"/>
  <c r="AE74" i="25"/>
  <c r="AE75" i="25"/>
  <c r="AE76" i="25"/>
  <c r="AE81" i="25"/>
  <c r="AE84" i="25"/>
  <c r="AE87" i="25"/>
  <c r="AE88" i="25"/>
  <c r="AE105" i="25"/>
  <c r="AE106" i="25"/>
  <c r="AE100" i="25"/>
  <c r="AE96" i="25"/>
  <c r="AE94" i="25"/>
  <c r="AE95" i="25"/>
  <c r="AE107" i="25"/>
  <c r="AE108" i="25"/>
  <c r="AE109" i="25"/>
  <c r="AE110" i="25"/>
  <c r="AE111" i="25"/>
  <c r="AE124" i="25"/>
  <c r="AE128" i="25"/>
  <c r="AE153" i="25"/>
  <c r="AE129" i="25"/>
  <c r="AE130" i="25"/>
  <c r="AE133" i="25"/>
  <c r="AE152" i="25"/>
  <c r="AE134" i="25"/>
  <c r="AE125" i="25"/>
  <c r="AE123" i="25"/>
  <c r="AE135" i="25"/>
  <c r="AE122" i="25"/>
  <c r="AE136" i="25"/>
  <c r="AE137" i="25"/>
  <c r="AE138" i="25"/>
  <c r="AE139" i="25"/>
  <c r="AE140" i="25"/>
  <c r="AE145" i="25"/>
  <c r="AE142" i="25"/>
  <c r="AE141" i="25"/>
  <c r="AE143" i="25"/>
  <c r="AE146" i="25"/>
  <c r="AE149" i="25"/>
  <c r="AE144" i="25"/>
  <c r="AE154" i="25"/>
  <c r="AE131" i="25"/>
  <c r="AE132" i="25"/>
  <c r="AE174" i="25"/>
  <c r="AE175" i="25"/>
  <c r="AE177" i="25"/>
  <c r="AE176" i="25"/>
  <c r="AE181" i="25"/>
  <c r="AE178" i="25"/>
  <c r="AE182" i="25"/>
  <c r="AE184" i="25"/>
  <c r="AE208" i="25"/>
  <c r="AE183" i="25"/>
  <c r="AE187" i="25"/>
  <c r="AE189" i="25"/>
  <c r="AE215" i="25"/>
  <c r="AE192" i="25"/>
  <c r="AE114" i="25"/>
  <c r="AE116" i="25"/>
  <c r="AE126" i="25"/>
  <c r="AE127" i="25"/>
  <c r="AE93" i="25"/>
  <c r="AE194" i="25"/>
  <c r="AE198" i="25"/>
  <c r="AE197" i="25"/>
  <c r="AE200" i="25"/>
  <c r="AE199" i="25"/>
  <c r="AE201" i="25"/>
  <c r="AE202" i="25"/>
  <c r="AE207" i="25"/>
  <c r="AE214" i="25"/>
  <c r="AE216" i="25"/>
  <c r="AE113" i="25"/>
  <c r="AE213" i="25"/>
  <c r="AE112" i="25"/>
  <c r="AE21" i="25"/>
  <c r="AE99" i="25"/>
  <c r="AE13" i="25"/>
  <c r="AE80" i="25"/>
  <c r="AE86" i="25"/>
  <c r="AE85" i="25"/>
  <c r="AE117" i="25"/>
  <c r="AE67" i="25"/>
  <c r="AE169" i="25"/>
  <c r="AE40" i="25"/>
  <c r="AE38" i="25"/>
  <c r="AE151" i="25"/>
  <c r="AE147" i="25"/>
  <c r="AD150" i="25"/>
  <c r="AD36" i="25"/>
  <c r="AD37" i="25"/>
  <c r="AD156" i="25"/>
  <c r="AD157" i="25"/>
  <c r="AD158" i="25"/>
  <c r="AD155" i="25"/>
  <c r="AD161" i="25"/>
  <c r="AD160" i="25"/>
  <c r="AD172" i="25"/>
  <c r="AD193" i="25"/>
  <c r="AD23" i="25"/>
  <c r="AD91" i="25"/>
  <c r="AD89" i="25"/>
  <c r="AD90" i="25"/>
  <c r="AD35" i="25"/>
  <c r="AD92" i="25"/>
  <c r="AD163" i="25"/>
  <c r="AD77" i="25"/>
  <c r="AD78" i="25"/>
  <c r="AD162" i="25"/>
  <c r="AD66" i="25"/>
  <c r="AD188" i="25"/>
  <c r="AD190" i="25"/>
  <c r="AD191" i="25"/>
  <c r="AD173" i="25"/>
  <c r="AD180" i="25"/>
  <c r="AD209" i="25"/>
  <c r="AD211" i="25"/>
  <c r="AD210" i="25"/>
  <c r="AD212" i="25"/>
  <c r="AD64" i="25"/>
  <c r="AD72" i="25"/>
  <c r="AD69" i="25"/>
  <c r="AD70" i="25"/>
  <c r="AD71" i="25"/>
  <c r="AD58" i="25"/>
  <c r="AD121" i="25"/>
  <c r="AD83" i="25"/>
  <c r="AD196" i="25"/>
  <c r="AD32" i="25"/>
  <c r="AD165" i="25"/>
  <c r="AD166" i="25"/>
  <c r="AD164" i="25"/>
  <c r="AD167" i="25"/>
  <c r="AD170" i="25"/>
  <c r="AD171" i="25"/>
  <c r="AD118" i="25"/>
  <c r="AD119" i="25"/>
  <c r="AD3" i="25"/>
  <c r="AD120" i="25"/>
  <c r="AD4" i="25"/>
  <c r="AD186" i="25"/>
  <c r="AD17" i="25"/>
  <c r="AD18" i="25"/>
  <c r="AD168" i="25"/>
  <c r="AD115" i="25"/>
  <c r="AD5" i="25"/>
  <c r="AD2" i="25"/>
  <c r="AD12" i="25"/>
  <c r="AD98" i="25"/>
  <c r="AD15" i="25"/>
  <c r="AD14" i="25"/>
  <c r="AD185" i="25"/>
  <c r="AD179" i="25"/>
  <c r="AD203" i="25"/>
  <c r="AD205" i="25"/>
  <c r="AD204" i="25"/>
  <c r="AD9" i="25"/>
  <c r="AD104" i="25"/>
  <c r="AD101" i="25"/>
  <c r="AD103" i="25"/>
  <c r="AD102" i="25"/>
  <c r="AD97" i="25"/>
  <c r="AD206" i="25"/>
  <c r="AD195" i="25"/>
  <c r="AD16" i="25"/>
  <c r="AD65" i="25"/>
  <c r="AD8" i="25"/>
  <c r="AD10" i="25"/>
  <c r="AD11" i="25"/>
  <c r="AD6" i="25"/>
  <c r="AD7" i="25"/>
  <c r="AD19" i="25"/>
  <c r="AD20" i="25"/>
  <c r="AD22" i="25"/>
  <c r="AD31" i="25"/>
  <c r="AD33" i="25"/>
  <c r="AD45" i="25"/>
  <c r="AD25" i="25"/>
  <c r="AD26" i="25"/>
  <c r="AD46" i="25"/>
  <c r="AD27" i="25"/>
  <c r="AD28" i="25"/>
  <c r="AD29" i="25"/>
  <c r="AD30" i="25"/>
  <c r="AD34" i="25"/>
  <c r="AD43" i="25"/>
  <c r="AD41" i="25"/>
  <c r="AD44" i="25"/>
  <c r="AD42" i="25"/>
  <c r="AD47" i="25"/>
  <c r="AD39" i="25"/>
  <c r="AD49" i="25"/>
  <c r="AD48" i="25"/>
  <c r="AD50" i="25"/>
  <c r="AD51" i="25"/>
  <c r="AD53" i="25"/>
  <c r="AD52" i="25"/>
  <c r="AD54" i="25"/>
  <c r="AD55" i="25"/>
  <c r="AD57" i="25"/>
  <c r="AD56" i="25"/>
  <c r="AD68" i="25"/>
  <c r="AD82" i="25"/>
  <c r="AD73" i="25"/>
  <c r="AD74" i="25"/>
  <c r="AD75" i="25"/>
  <c r="AD76" i="25"/>
  <c r="AD81" i="25"/>
  <c r="AD84" i="25"/>
  <c r="AD87" i="25"/>
  <c r="AD88" i="25"/>
  <c r="AD105" i="25"/>
  <c r="AD106" i="25"/>
  <c r="AD100" i="25"/>
  <c r="AD96" i="25"/>
  <c r="AD94" i="25"/>
  <c r="AD95" i="25"/>
  <c r="AD107" i="25"/>
  <c r="AD108" i="25"/>
  <c r="AD109" i="25"/>
  <c r="AD110" i="25"/>
  <c r="AD111" i="25"/>
  <c r="AD124" i="25"/>
  <c r="AD128" i="25"/>
  <c r="AD153" i="25"/>
  <c r="AD129" i="25"/>
  <c r="AD130" i="25"/>
  <c r="AD133" i="25"/>
  <c r="AD152" i="25"/>
  <c r="AD134" i="25"/>
  <c r="AD125" i="25"/>
  <c r="AD123" i="25"/>
  <c r="AD135" i="25"/>
  <c r="AD122" i="25"/>
  <c r="AD136" i="25"/>
  <c r="AD137" i="25"/>
  <c r="AD138" i="25"/>
  <c r="AD139" i="25"/>
  <c r="AD140" i="25"/>
  <c r="AD145" i="25"/>
  <c r="AD142" i="25"/>
  <c r="AD141" i="25"/>
  <c r="AD143" i="25"/>
  <c r="AD146" i="25"/>
  <c r="AD149" i="25"/>
  <c r="AD144" i="25"/>
  <c r="AD154" i="25"/>
  <c r="AD131" i="25"/>
  <c r="AD132" i="25"/>
  <c r="AD174" i="25"/>
  <c r="AD175" i="25"/>
  <c r="AD177" i="25"/>
  <c r="AD176" i="25"/>
  <c r="AD181" i="25"/>
  <c r="AD178" i="25"/>
  <c r="AD182" i="25"/>
  <c r="AD184" i="25"/>
  <c r="AD208" i="25"/>
  <c r="AD183" i="25"/>
  <c r="AD187" i="25"/>
  <c r="AD189" i="25"/>
  <c r="AD215" i="25"/>
  <c r="AD192" i="25"/>
  <c r="AD114" i="25"/>
  <c r="AD116" i="25"/>
  <c r="AD126" i="25"/>
  <c r="AD127" i="25"/>
  <c r="AD93" i="25"/>
  <c r="AD194" i="25"/>
  <c r="AD198" i="25"/>
  <c r="AD197" i="25"/>
  <c r="AD200" i="25"/>
  <c r="AD199" i="25"/>
  <c r="AD201" i="25"/>
  <c r="AD202" i="25"/>
  <c r="AD207" i="25"/>
  <c r="AD214" i="25"/>
  <c r="AD216" i="25"/>
  <c r="AD113" i="25"/>
  <c r="AD213" i="25"/>
  <c r="AD112" i="25"/>
  <c r="AD21" i="25"/>
  <c r="AD99" i="25"/>
  <c r="AD13" i="25"/>
  <c r="AD80" i="25"/>
  <c r="AD86" i="25"/>
  <c r="AD85" i="25"/>
  <c r="AD117" i="25"/>
  <c r="AD67" i="25"/>
  <c r="AD169" i="25"/>
  <c r="AD40" i="25"/>
  <c r="AD38" i="25"/>
  <c r="AD151" i="25"/>
  <c r="AD147" i="25"/>
  <c r="AF150" i="25"/>
  <c r="AF36" i="25"/>
  <c r="AF37" i="25"/>
  <c r="AF156" i="25"/>
  <c r="AF157" i="25"/>
  <c r="AF158" i="25"/>
  <c r="AF155" i="25"/>
  <c r="AF161" i="25"/>
  <c r="AF160" i="25"/>
  <c r="AF172" i="25"/>
  <c r="AF193" i="25"/>
  <c r="AF23" i="25"/>
  <c r="AF91" i="25"/>
  <c r="AF89" i="25"/>
  <c r="AF90" i="25"/>
  <c r="AF35" i="25"/>
  <c r="AF92" i="25"/>
  <c r="AF163" i="25"/>
  <c r="AF77" i="25"/>
  <c r="AF78" i="25"/>
  <c r="AF162" i="25"/>
  <c r="AF66" i="25"/>
  <c r="AF188" i="25"/>
  <c r="AF190" i="25"/>
  <c r="AF147" i="25"/>
  <c r="AG149" i="25"/>
  <c r="AG144" i="25"/>
  <c r="AG102" i="25"/>
  <c r="AG97" i="25"/>
  <c r="AG131" i="25"/>
  <c r="AG132" i="25"/>
  <c r="AG174" i="25"/>
  <c r="AG154" i="25"/>
  <c r="AG176" i="25"/>
  <c r="AG177" i="25"/>
  <c r="AG181" i="25"/>
  <c r="AG197" i="25"/>
  <c r="AG120" i="25"/>
  <c r="AG73" i="25"/>
  <c r="AG56" i="25"/>
  <c r="AG68" i="25"/>
  <c r="AG57" i="25"/>
  <c r="AG82" i="25"/>
  <c r="AG150" i="25"/>
  <c r="AG36" i="25"/>
  <c r="AG37" i="25"/>
  <c r="AG147" i="25"/>
  <c r="AG27" i="25"/>
  <c r="AG91" i="25"/>
  <c r="AG93" i="25"/>
  <c r="AG194" i="25"/>
  <c r="AG175" i="25"/>
  <c r="AG215" i="25"/>
  <c r="AG80" i="25"/>
  <c r="AG85" i="25"/>
  <c r="AG86" i="25"/>
  <c r="AG117" i="25"/>
  <c r="AG46" i="25"/>
  <c r="AG41" i="25"/>
  <c r="AG30" i="25"/>
  <c r="AG34" i="25"/>
  <c r="AG43" i="25"/>
  <c r="AG89" i="25"/>
  <c r="AG90" i="25"/>
  <c r="AG52" i="25"/>
  <c r="AG214" i="25"/>
  <c r="AG98" i="25"/>
  <c r="AG156" i="25"/>
  <c r="AG157" i="25"/>
  <c r="AG155" i="25"/>
  <c r="AG158" i="25"/>
  <c r="AG161" i="25"/>
  <c r="AG160" i="25"/>
  <c r="AG172" i="25"/>
  <c r="AG23" i="25"/>
  <c r="AG35" i="25"/>
  <c r="AG92" i="25"/>
  <c r="AG163" i="25"/>
  <c r="AG78" i="25"/>
  <c r="AG162" i="25"/>
  <c r="AG66" i="25"/>
  <c r="AG166" i="25"/>
  <c r="AG188" i="25"/>
  <c r="AG190" i="25"/>
  <c r="AF164" i="25"/>
  <c r="AG164" i="25"/>
  <c r="AG191" i="25"/>
  <c r="AG173" i="25"/>
  <c r="AG180" i="25"/>
  <c r="AG209" i="25"/>
  <c r="AG211" i="25"/>
  <c r="AG210" i="25"/>
  <c r="AG212" i="25"/>
  <c r="AG72" i="25"/>
  <c r="AG69" i="25"/>
  <c r="AG70" i="25"/>
  <c r="AG71" i="25"/>
  <c r="AG58" i="25"/>
  <c r="AG83" i="25"/>
  <c r="AG196" i="25"/>
  <c r="AG165" i="25"/>
  <c r="AG32" i="25"/>
  <c r="AG64" i="25"/>
  <c r="AG121" i="25"/>
  <c r="AG167" i="25"/>
  <c r="AG170" i="25"/>
  <c r="AG171" i="25"/>
  <c r="AG118" i="25"/>
  <c r="AG119" i="25"/>
  <c r="AG3" i="25"/>
  <c r="AG4" i="25"/>
  <c r="AG186" i="25"/>
  <c r="AG17" i="25"/>
  <c r="AG12" i="25"/>
  <c r="AG15" i="25"/>
  <c r="AG14" i="25"/>
  <c r="AG185" i="25"/>
  <c r="AG179" i="25"/>
  <c r="AG203" i="25"/>
  <c r="AG205" i="25"/>
  <c r="AG204" i="25"/>
  <c r="AG9" i="25"/>
  <c r="AG104" i="25"/>
  <c r="AG101" i="25"/>
  <c r="AG103" i="25"/>
  <c r="AG16" i="25"/>
  <c r="AG65" i="25"/>
  <c r="AG10" i="25"/>
  <c r="AG8" i="25"/>
  <c r="AG11" i="25"/>
  <c r="AG6" i="25"/>
  <c r="AG19" i="25"/>
  <c r="AG7" i="25"/>
  <c r="AG20" i="25"/>
  <c r="AG22" i="25"/>
  <c r="AG33" i="25"/>
  <c r="AG31" i="25"/>
  <c r="AG24" i="25"/>
  <c r="AG45" i="25"/>
  <c r="AG26" i="25"/>
  <c r="AG25" i="25"/>
  <c r="AG29" i="25"/>
  <c r="AG48" i="25"/>
  <c r="AG44" i="25"/>
  <c r="AG42" i="25"/>
  <c r="AG47" i="25"/>
  <c r="AG39" i="25"/>
  <c r="AG49" i="25"/>
  <c r="AG50" i="25"/>
  <c r="AG53" i="25"/>
  <c r="AG51" i="25"/>
  <c r="AG87" i="25"/>
  <c r="AG88" i="25"/>
  <c r="AG84" i="25"/>
  <c r="AG76" i="25"/>
  <c r="AG75" i="25"/>
  <c r="AG81" i="25"/>
  <c r="AG105" i="25"/>
  <c r="AG106" i="25"/>
  <c r="AG100" i="25"/>
  <c r="AG96" i="25"/>
  <c r="AG94" i="25"/>
  <c r="AG95" i="25"/>
  <c r="AG136" i="25"/>
  <c r="AG107" i="25"/>
  <c r="AG108" i="25"/>
  <c r="AG137" i="25"/>
  <c r="AG109" i="25"/>
  <c r="AG110" i="25"/>
  <c r="AG111" i="25"/>
  <c r="AG124" i="25"/>
  <c r="AG128" i="25"/>
  <c r="AG153" i="25"/>
  <c r="AG129" i="25"/>
  <c r="AG133" i="25"/>
  <c r="AG152" i="25"/>
  <c r="AG134" i="25"/>
  <c r="AG125" i="25"/>
  <c r="AG135" i="25"/>
  <c r="AG138" i="25"/>
  <c r="AG130" i="25"/>
  <c r="AG123" i="25"/>
  <c r="AG122" i="25"/>
  <c r="AG139" i="25"/>
  <c r="AG140" i="25"/>
  <c r="AG145" i="25"/>
  <c r="AG142" i="25"/>
  <c r="AG143" i="25"/>
  <c r="AG146" i="25"/>
  <c r="AG178" i="25"/>
  <c r="AG182" i="25"/>
  <c r="AG184" i="25"/>
  <c r="AG208" i="25"/>
  <c r="AG187" i="25"/>
  <c r="AG183" i="25"/>
  <c r="AG189" i="25"/>
  <c r="AG114" i="25"/>
  <c r="AG116" i="25"/>
  <c r="AG192" i="25"/>
  <c r="AG126" i="25"/>
  <c r="AG127" i="25"/>
  <c r="AG169" i="25"/>
  <c r="AG198" i="25"/>
  <c r="AG200" i="25"/>
  <c r="AG199" i="25"/>
  <c r="AG201" i="25"/>
  <c r="AG202" i="25"/>
  <c r="AG74" i="25"/>
  <c r="AG207" i="25"/>
  <c r="AG216" i="25"/>
  <c r="AG213" i="25"/>
  <c r="AG112" i="25"/>
  <c r="AG113" i="25"/>
  <c r="AG21" i="25"/>
  <c r="AG99" i="25"/>
  <c r="AG13" i="25"/>
  <c r="AG67" i="25"/>
  <c r="AG40" i="25"/>
  <c r="AG38" i="25"/>
  <c r="AG151" i="25"/>
  <c r="AG55" i="25"/>
  <c r="AG54" i="25"/>
  <c r="AG77" i="25"/>
  <c r="AG28" i="25"/>
  <c r="AG193" i="25"/>
  <c r="AG195" i="25"/>
  <c r="AG206" i="25"/>
  <c r="AG18" i="25"/>
  <c r="AG168" i="25"/>
  <c r="AG115" i="25"/>
  <c r="AG5" i="25"/>
  <c r="AG2" i="25"/>
  <c r="AG141" i="25"/>
  <c r="A3" i="26"/>
  <c r="B3" i="26"/>
  <c r="A4" i="26"/>
  <c r="B4" i="26"/>
  <c r="A5" i="26"/>
  <c r="B5" i="26"/>
  <c r="A6" i="26"/>
  <c r="B6" i="26"/>
  <c r="A7" i="26"/>
  <c r="B7" i="26"/>
  <c r="A8" i="26"/>
  <c r="B8" i="26"/>
  <c r="A9" i="26"/>
  <c r="B9" i="26"/>
  <c r="A10" i="26"/>
  <c r="B10" i="26"/>
  <c r="A11" i="26"/>
  <c r="B11" i="26"/>
  <c r="A12" i="26"/>
  <c r="B12" i="26"/>
  <c r="A13" i="26"/>
  <c r="B13" i="26"/>
  <c r="A14" i="26"/>
  <c r="B14" i="26"/>
  <c r="A15" i="26"/>
  <c r="B15" i="26"/>
  <c r="A16" i="26"/>
  <c r="B16" i="26"/>
  <c r="A17" i="26"/>
  <c r="B17" i="26"/>
  <c r="A18" i="26"/>
  <c r="B18" i="26"/>
  <c r="A19" i="26"/>
  <c r="B19" i="26"/>
  <c r="A20" i="26"/>
  <c r="B20" i="26"/>
  <c r="A21" i="26"/>
  <c r="B21" i="26"/>
  <c r="A22" i="26"/>
  <c r="B22" i="26"/>
  <c r="A23" i="26"/>
  <c r="B23" i="26"/>
  <c r="A24" i="26"/>
  <c r="B24" i="26"/>
  <c r="A25" i="26"/>
  <c r="B25" i="26"/>
  <c r="A26" i="26"/>
  <c r="B26" i="26"/>
  <c r="A27" i="26"/>
  <c r="B27" i="26"/>
  <c r="A28" i="26"/>
  <c r="B28" i="26"/>
  <c r="A29" i="26"/>
  <c r="B29" i="26"/>
  <c r="A30" i="26"/>
  <c r="B30" i="26"/>
  <c r="A31" i="26"/>
  <c r="B31" i="26"/>
  <c r="A32" i="26"/>
  <c r="B32" i="26"/>
  <c r="A33" i="26"/>
  <c r="B33" i="26"/>
  <c r="A34" i="26"/>
  <c r="B34" i="26"/>
  <c r="A35" i="26"/>
  <c r="B35" i="26"/>
  <c r="A36" i="26"/>
  <c r="B36" i="26"/>
  <c r="A37" i="26"/>
  <c r="B37" i="26"/>
  <c r="A38" i="26"/>
  <c r="B38" i="26"/>
  <c r="A39" i="26"/>
  <c r="B39" i="26"/>
  <c r="A40" i="26"/>
  <c r="B40" i="26"/>
  <c r="A41" i="26"/>
  <c r="B41" i="26"/>
  <c r="A42" i="26"/>
  <c r="B42" i="26"/>
  <c r="A43" i="26"/>
  <c r="B43" i="26"/>
  <c r="A44" i="26"/>
  <c r="B44" i="26"/>
  <c r="A45" i="26"/>
  <c r="B45" i="26"/>
  <c r="A46" i="26"/>
  <c r="B46" i="26"/>
  <c r="A47" i="26"/>
  <c r="B47" i="26"/>
  <c r="A48" i="26"/>
  <c r="B48" i="26"/>
  <c r="A49" i="26"/>
  <c r="B49" i="26"/>
  <c r="A50" i="26"/>
  <c r="B50" i="26"/>
  <c r="A51" i="26"/>
  <c r="B51" i="26"/>
  <c r="A52" i="26"/>
  <c r="B52" i="26"/>
  <c r="A53" i="26"/>
  <c r="B53" i="26"/>
  <c r="A54" i="26"/>
  <c r="B54" i="26"/>
  <c r="A55" i="26"/>
  <c r="B55" i="26"/>
  <c r="A56" i="26"/>
  <c r="B56" i="26"/>
  <c r="A57" i="26"/>
  <c r="B57" i="26"/>
  <c r="A58" i="26"/>
  <c r="B58" i="26"/>
  <c r="A59" i="26"/>
  <c r="B59" i="26"/>
  <c r="A60" i="26"/>
  <c r="B60" i="26"/>
  <c r="A61" i="26"/>
  <c r="B61" i="26"/>
  <c r="A62" i="26"/>
  <c r="B62" i="26"/>
  <c r="A63" i="26"/>
  <c r="B63" i="26"/>
  <c r="A64" i="26"/>
  <c r="B64" i="26"/>
  <c r="A65" i="26"/>
  <c r="B65" i="26"/>
  <c r="A66" i="26"/>
  <c r="B66" i="26"/>
  <c r="A67" i="26"/>
  <c r="B67" i="26"/>
  <c r="A68" i="26"/>
  <c r="B68" i="26"/>
  <c r="A69" i="26"/>
  <c r="B69" i="26"/>
  <c r="A70" i="26"/>
  <c r="B70" i="26"/>
  <c r="A71" i="26"/>
  <c r="B71" i="26"/>
  <c r="A72" i="26"/>
  <c r="B72" i="26"/>
  <c r="A73" i="26"/>
  <c r="B73" i="26"/>
  <c r="A74" i="26"/>
  <c r="B74" i="26"/>
  <c r="A75" i="26"/>
  <c r="B75" i="26"/>
  <c r="A76" i="26"/>
  <c r="B76" i="26"/>
  <c r="A77" i="26"/>
  <c r="B77" i="26"/>
  <c r="A78" i="26"/>
  <c r="B78" i="26"/>
  <c r="A79" i="26"/>
  <c r="B79" i="26"/>
  <c r="A80" i="26"/>
  <c r="B80" i="26"/>
  <c r="A81" i="26"/>
  <c r="B81" i="26"/>
  <c r="A82" i="26"/>
  <c r="B82" i="26"/>
  <c r="A83" i="26"/>
  <c r="B83" i="26"/>
  <c r="A84" i="26"/>
  <c r="B84" i="26"/>
  <c r="A85" i="26"/>
  <c r="B85" i="26"/>
  <c r="A86" i="26"/>
  <c r="B86" i="26"/>
  <c r="A87" i="26"/>
  <c r="B87" i="26"/>
  <c r="A88" i="26"/>
  <c r="B88" i="26"/>
  <c r="A89" i="26"/>
  <c r="B89" i="26"/>
  <c r="A90" i="26"/>
  <c r="B90" i="26"/>
  <c r="A91" i="26"/>
  <c r="B91" i="26"/>
  <c r="A92" i="26"/>
  <c r="B92" i="26"/>
  <c r="A93" i="26"/>
  <c r="B93" i="26"/>
  <c r="A94" i="26"/>
  <c r="B94" i="26"/>
  <c r="A95" i="26"/>
  <c r="B95" i="26"/>
  <c r="A96" i="26"/>
  <c r="B96" i="26"/>
  <c r="A97" i="26"/>
  <c r="B97" i="26"/>
  <c r="A98" i="26"/>
  <c r="B98" i="26"/>
  <c r="A99" i="26"/>
  <c r="B99" i="26"/>
  <c r="A100" i="26"/>
  <c r="B100" i="26"/>
  <c r="A101" i="26"/>
  <c r="B101" i="26"/>
  <c r="A102" i="26"/>
  <c r="B102" i="26"/>
  <c r="A103" i="26"/>
  <c r="B103" i="26"/>
  <c r="A104" i="26"/>
  <c r="B104" i="26"/>
  <c r="A105" i="26"/>
  <c r="B105" i="26"/>
  <c r="A106" i="26"/>
  <c r="B106" i="26"/>
  <c r="A107" i="26"/>
  <c r="B107" i="26"/>
  <c r="A108" i="26"/>
  <c r="B108" i="26"/>
  <c r="A109" i="26"/>
  <c r="B109" i="26"/>
  <c r="A110" i="26"/>
  <c r="B110" i="26"/>
  <c r="A111" i="26"/>
  <c r="B111" i="26"/>
  <c r="A112" i="26"/>
  <c r="B112" i="26"/>
  <c r="A113" i="26"/>
  <c r="B113" i="26"/>
  <c r="A114" i="26"/>
  <c r="B114" i="26"/>
  <c r="A115" i="26"/>
  <c r="B115" i="26"/>
  <c r="A116" i="26"/>
  <c r="B116" i="26"/>
  <c r="A117" i="26"/>
  <c r="B117" i="26"/>
  <c r="A118" i="26"/>
  <c r="B118" i="26"/>
  <c r="A119" i="26"/>
  <c r="B119" i="26"/>
  <c r="A120" i="26"/>
  <c r="B120" i="26"/>
  <c r="A121" i="26"/>
  <c r="B121" i="26"/>
  <c r="A122" i="26"/>
  <c r="B122" i="26"/>
  <c r="A123" i="26"/>
  <c r="B123" i="26"/>
  <c r="A124" i="26"/>
  <c r="B124" i="26"/>
  <c r="A125" i="26"/>
  <c r="B125" i="26"/>
  <c r="A126" i="26"/>
  <c r="B126" i="26"/>
  <c r="A127" i="26"/>
  <c r="B127" i="26"/>
  <c r="A128" i="26"/>
  <c r="B128" i="26"/>
  <c r="A129" i="26"/>
  <c r="B129" i="26"/>
  <c r="A130" i="26"/>
  <c r="B130" i="26"/>
  <c r="A131" i="26"/>
  <c r="B131" i="26"/>
  <c r="A132" i="26"/>
  <c r="B132" i="26"/>
  <c r="A133" i="26"/>
  <c r="B133" i="26"/>
  <c r="A134" i="26"/>
  <c r="B134" i="26"/>
  <c r="A135" i="26"/>
  <c r="B135" i="26"/>
  <c r="A136" i="26"/>
  <c r="B136" i="26"/>
  <c r="A137" i="26"/>
  <c r="B137" i="26"/>
  <c r="A138" i="26"/>
  <c r="B138" i="26"/>
  <c r="A139" i="26"/>
  <c r="B139" i="26"/>
  <c r="A140" i="26"/>
  <c r="B140" i="26"/>
  <c r="A141" i="26"/>
  <c r="B141" i="26"/>
  <c r="A142" i="26"/>
  <c r="B142" i="26"/>
  <c r="A143" i="26"/>
  <c r="B143" i="26"/>
  <c r="A144" i="26"/>
  <c r="B144" i="26"/>
  <c r="A145" i="26"/>
  <c r="B145" i="26"/>
  <c r="A146" i="26"/>
  <c r="B146" i="26"/>
  <c r="A147" i="26"/>
  <c r="B147" i="26"/>
  <c r="A148" i="26"/>
  <c r="B148" i="26"/>
  <c r="A149" i="26"/>
  <c r="B149" i="26"/>
  <c r="A150" i="26"/>
  <c r="B150" i="26"/>
  <c r="A151" i="26"/>
  <c r="B151" i="26"/>
  <c r="A152" i="26"/>
  <c r="B152" i="26"/>
  <c r="A153" i="26"/>
  <c r="B153" i="26"/>
  <c r="A154" i="26"/>
  <c r="B154" i="26"/>
  <c r="A155" i="26"/>
  <c r="B155" i="26"/>
  <c r="A156" i="26"/>
  <c r="B156" i="26"/>
  <c r="A157" i="26"/>
  <c r="B157" i="26"/>
  <c r="A158" i="26"/>
  <c r="B158" i="26"/>
  <c r="A159" i="26"/>
  <c r="B159" i="26"/>
  <c r="A160" i="26"/>
  <c r="B160" i="26"/>
  <c r="A161" i="26"/>
  <c r="B161" i="26"/>
  <c r="A162" i="26"/>
  <c r="B162" i="26"/>
  <c r="A163" i="26"/>
  <c r="B163" i="26"/>
  <c r="A164" i="26"/>
  <c r="B164" i="26"/>
  <c r="A165" i="26"/>
  <c r="B165" i="26"/>
  <c r="A166" i="26"/>
  <c r="B166" i="26"/>
  <c r="A167" i="26"/>
  <c r="B167" i="26"/>
  <c r="A168" i="26"/>
  <c r="B168" i="26"/>
  <c r="A169" i="26"/>
  <c r="B169" i="26"/>
  <c r="A170" i="26"/>
  <c r="B170" i="26"/>
  <c r="A171" i="26"/>
  <c r="B171" i="26"/>
  <c r="A172" i="26"/>
  <c r="B172" i="26"/>
  <c r="A173" i="26"/>
  <c r="B173" i="26"/>
  <c r="A174" i="26"/>
  <c r="B174" i="26"/>
  <c r="A175" i="26"/>
  <c r="B175" i="26"/>
  <c r="A176" i="26"/>
  <c r="B176" i="26"/>
  <c r="A177" i="26"/>
  <c r="B177" i="26"/>
  <c r="A178" i="26"/>
  <c r="B178" i="26"/>
  <c r="A179" i="26"/>
  <c r="B179" i="26"/>
  <c r="A180" i="26"/>
  <c r="B180" i="26"/>
  <c r="A181" i="26"/>
  <c r="B181" i="26"/>
  <c r="A182" i="26"/>
  <c r="B182" i="26"/>
  <c r="A183" i="26"/>
  <c r="B183" i="26"/>
  <c r="A184" i="26"/>
  <c r="B184" i="26"/>
  <c r="A185" i="26"/>
  <c r="B185" i="26"/>
  <c r="A186" i="26"/>
  <c r="B186" i="26"/>
  <c r="A187" i="26"/>
  <c r="B187" i="26"/>
  <c r="A188" i="26"/>
  <c r="B188" i="26"/>
  <c r="A189" i="26"/>
  <c r="B189" i="26"/>
  <c r="A190" i="26"/>
  <c r="B190" i="26"/>
  <c r="A191" i="26"/>
  <c r="B191" i="26"/>
  <c r="A192" i="26"/>
  <c r="B192" i="26"/>
  <c r="A193" i="26"/>
  <c r="B193" i="26"/>
  <c r="A194" i="26"/>
  <c r="B194" i="26"/>
  <c r="A195" i="26"/>
  <c r="B195" i="26"/>
  <c r="A196" i="26"/>
  <c r="B196" i="26"/>
  <c r="A197" i="26"/>
  <c r="B197" i="26"/>
  <c r="A198" i="26"/>
  <c r="B198" i="26"/>
  <c r="A199" i="26"/>
  <c r="B199" i="26"/>
  <c r="A200" i="26"/>
  <c r="B200" i="26"/>
  <c r="A201" i="26"/>
  <c r="B201" i="26"/>
  <c r="A202" i="26"/>
  <c r="B202" i="26"/>
  <c r="A203" i="26"/>
  <c r="B203" i="26"/>
  <c r="A204" i="26"/>
  <c r="B204" i="26"/>
  <c r="A205" i="26"/>
  <c r="B205" i="26"/>
  <c r="A206" i="26"/>
  <c r="B206" i="26"/>
  <c r="A207" i="26"/>
  <c r="B207" i="26"/>
  <c r="A208" i="26"/>
  <c r="B208" i="26"/>
  <c r="A209" i="26"/>
  <c r="B209" i="26"/>
  <c r="B2" i="26"/>
  <c r="A2" i="26"/>
  <c r="AF39" i="25" l="1"/>
  <c r="AF12" i="25"/>
  <c r="AF136" i="25"/>
  <c r="AF19" i="25"/>
  <c r="AF168" i="25"/>
  <c r="AF55" i="25"/>
  <c r="AF47" i="25"/>
  <c r="AF26" i="25"/>
  <c r="AF111" i="25"/>
  <c r="AF189" i="25"/>
  <c r="AF75" i="25"/>
  <c r="AF9" i="25"/>
  <c r="AF14" i="25"/>
  <c r="AF207" i="25"/>
  <c r="AF204" i="25"/>
  <c r="AF134" i="25"/>
  <c r="AF67" i="25"/>
  <c r="AF8" i="25"/>
  <c r="AF30" i="25"/>
  <c r="AF110" i="25"/>
  <c r="AF175" i="25"/>
  <c r="AF194" i="25"/>
  <c r="AF4" i="25"/>
  <c r="AF86" i="25"/>
  <c r="AF34" i="25"/>
  <c r="AF203" i="25"/>
  <c r="AF51" i="25"/>
  <c r="AF80" i="25"/>
  <c r="AF120" i="25"/>
  <c r="AF117" i="25"/>
  <c r="AF131" i="25"/>
  <c r="AF97" i="25"/>
  <c r="AF29" i="25"/>
  <c r="AF53" i="25"/>
  <c r="AF3" i="25"/>
  <c r="AF179" i="25"/>
  <c r="AF16" i="25"/>
  <c r="AF174" i="25"/>
  <c r="AF50" i="25"/>
  <c r="AF181" i="25"/>
  <c r="AF195" i="25"/>
  <c r="AF99" i="25"/>
  <c r="AF202" i="25"/>
  <c r="AF192" i="25"/>
  <c r="AF182" i="25"/>
  <c r="AF133" i="25"/>
  <c r="AF177" i="25"/>
  <c r="AF21" i="25"/>
  <c r="AF201" i="25"/>
  <c r="AF116" i="25"/>
  <c r="AF123" i="25"/>
  <c r="AF129" i="25"/>
  <c r="AF105" i="25"/>
  <c r="AF45" i="25"/>
  <c r="AF6" i="25"/>
  <c r="AF104" i="25"/>
  <c r="AF15" i="25"/>
  <c r="AF171" i="25"/>
  <c r="AF165" i="25"/>
  <c r="AF197" i="25"/>
  <c r="AF176" i="25"/>
  <c r="AF54" i="25"/>
  <c r="AF213" i="25"/>
  <c r="AF198" i="25"/>
  <c r="AF183" i="25"/>
  <c r="AF142" i="25"/>
  <c r="AF135" i="25"/>
  <c r="AF76" i="25"/>
  <c r="AF44" i="25"/>
  <c r="AF33" i="25"/>
  <c r="AF10" i="25"/>
  <c r="AF205" i="25"/>
  <c r="AF186" i="25"/>
  <c r="AF170" i="25"/>
  <c r="AF166" i="25"/>
  <c r="AF214" i="25"/>
  <c r="AF46" i="25"/>
  <c r="AF57" i="25"/>
  <c r="AF132" i="25"/>
  <c r="AF141"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tc={6497B484-6926-472E-9BC9-97068275539D}</author>
    <author>tc={68195CBA-92F4-457F-9BDA-497D68EE9EA3}</author>
    <author>tc={965B1EA1-1389-4B45-BE9F-0B70A32AF282}</author>
    <author>tc={D51BFBE4-FF70-436A-B861-B9981111013F}</author>
    <author>tc={EBE1A7BB-1275-48FC-8B03-03C6A9F4085E}</author>
    <author>tc={68D1D854-D1CD-433A-8F80-B61740971531}</author>
    <author>tc={B5703918-3A5E-40BB-A360-C6E779551C94}</author>
    <author>tc={E0525BB5-C224-4C69-BB99-8CD1A85B435C}</author>
    <author>tc={EECD0579-9C7A-44E2-B31B-44B6559C7D87}</author>
    <author>tc={E6EB8F68-69B3-4ED2-9188-368CF145405B}</author>
    <author>tc={AA6FB9AF-B0D5-438A-8DD1-E7659533E684}</author>
    <author>tc={2253C0BA-5838-45C5-83A8-0C50A22324FB}</author>
    <author>tc={20C6E180-4FF6-4283-BC10-9714770F389E}</author>
  </authors>
  <commentList>
    <comment ref="D12" authorId="0" shapeId="0" xr:uid="{6497B484-6926-472E-9BC9-97068275539D}">
      <text>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
Enter data type exactly as listed here</t>
      </text>
    </comment>
    <comment ref="H12" authorId="1" shapeId="0" xr:uid="{68195CBA-92F4-457F-9BDA-497D68EE9EA3}">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 ref="A13" authorId="2" shapeId="0" xr:uid="{965B1EA1-1389-4B45-BE9F-0B70A32AF282}">
      <text>
        <t>[Threaded comment]
Your version of Excel allows you to read this threaded comment; however, any edits to it will get removed if the file is opened in a newer version of Excel. Learn more: https://go.microsoft.com/fwlink/?linkid=870924
Comment:
    Converted Cash/Security level to single field</t>
      </text>
    </comment>
    <comment ref="A41" authorId="3" shapeId="0" xr:uid="{D51BFBE4-FF70-436A-B861-B9981111013F}">
      <text>
        <t>[Threaded comment]
Your version of Excel allows you to read this threaded comment; however, any edits to it will get removed if the file is opened in a newer version of Excel. Learn more: https://go.microsoft.com/fwlink/?linkid=870924
Comment:
    Adding Reconciliation in name based on input from Olga. Inform Anand.</t>
      </text>
    </comment>
    <comment ref="A50" authorId="4" shapeId="0" xr:uid="{EBE1A7BB-1275-48FC-8B03-03C6A9F4085E}">
      <text>
        <t>[Threaded comment]
Your version of Excel allows you to read this threaded comment; however, any edits to it will get removed if the file is opened in a newer version of Excel. Learn more: https://go.microsoft.com/fwlink/?linkid=870924
Comment:
    Added after Anand feedback.</t>
      </text>
    </comment>
    <comment ref="A61" authorId="5" shapeId="0" xr:uid="{68D1D854-D1CD-433A-8F80-B61740971531}">
      <text>
        <t>[Threaded comment]
Your version of Excel allows you to read this threaded comment; however, any edits to it will get removed if the file is opened in a newer version of Excel. Learn more: https://go.microsoft.com/fwlink/?linkid=870924
Comment:
    These 2 columns marked as Remove</t>
      </text>
    </comment>
    <comment ref="A69" authorId="6" shapeId="0" xr:uid="{B5703918-3A5E-40BB-A360-C6E779551C94}">
      <text>
        <t>[Threaded comment]
Your version of Excel allows you to read this threaded comment; however, any edits to it will get removed if the file is opened in a newer version of Excel. Learn more: https://go.microsoft.com/fwlink/?linkid=870924
Comment:
    Newly added column inform Anand</t>
      </text>
    </comment>
    <comment ref="A72" authorId="7" shapeId="0" xr:uid="{E0525BB5-C224-4C69-BB99-8CD1A85B435C}">
      <text>
        <t>[Threaded comment]
Your version of Excel allows you to read this threaded comment; however, any edits to it will get removed if the file is opened in a newer version of Excel. Learn more: https://go.microsoft.com/fwlink/?linkid=870924
Comment:
    Newly added inform Anand</t>
      </text>
    </comment>
    <comment ref="A74" authorId="8" shapeId="0" xr:uid="{EECD0579-9C7A-44E2-B31B-44B6559C7D87}">
      <text>
        <t>[Threaded comment]
Your version of Excel allows you to read this threaded comment; however, any edits to it will get removed if the file is opened in a newer version of Excel. Learn more: https://go.microsoft.com/fwlink/?linkid=870924
Comment:
    Added this missed field. Inform Anand</t>
      </text>
    </comment>
    <comment ref="A146" authorId="9" shapeId="0" xr:uid="{E6EB8F68-69B3-4ED2-9188-368CF145405B}">
      <text>
        <t xml:space="preserve">[Threaded comment]
Your version of Excel allows you to read this threaded comment; however, any edits to it will get removed if the file is opened in a newer version of Excel. Learn more: https://go.microsoft.com/fwlink/?linkid=870924
Comment:
    Inform Anand about addition of this missed field. </t>
      </text>
    </comment>
    <comment ref="A152" authorId="10" shapeId="0" xr:uid="{AA6FB9AF-B0D5-438A-8DD1-E7659533E684}">
      <text>
        <t>[Threaded comment]
Your version of Excel allows you to read this threaded comment; however, any edits to it will get removed if the file is opened in a newer version of Excel. Learn more: https://go.microsoft.com/fwlink/?linkid=870924
Comment:
    Newly added column inform Anand</t>
      </text>
    </comment>
    <comment ref="A155" authorId="11" shapeId="0" xr:uid="{2253C0BA-5838-45C5-83A8-0C50A22324FB}">
      <text>
        <t>[Threaded comment]
Your version of Excel allows you to read this threaded comment; however, any edits to it will get removed if the file is opened in a newer version of Excel. Learn more: https://go.microsoft.com/fwlink/?linkid=870924
Comment:
    Newly added inform Anand</t>
      </text>
    </comment>
    <comment ref="A196" authorId="12" shapeId="0" xr:uid="{20C6E180-4FF6-4283-BC10-9714770F389E}">
      <text>
        <t>[Threaded comment]
Your version of Excel allows you to read this threaded comment; however, any edits to it will get removed if the file is opened in a newer version of Excel. Learn more: https://go.microsoft.com/fwlink/?linkid=870924
Comment:
    Was Target transaction Id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tc={C2396F67-93B7-4E4C-8265-94E65090F749}</author>
    <author>tc={ADCB8BFF-A2B1-4A6C-A6BC-9373677838DC}</author>
    <author>tc={0390C947-D489-402A-872F-0731687AD7F6}</author>
    <author>tc={73BC9F5F-CE19-4885-907B-1CEA69581FDC}</author>
    <author>tc={466FB6E8-085B-4E79-A4DC-468154EB186B}</author>
    <author>tc={BAB8B794-C104-4292-AC47-5BB3DC8800E8}</author>
    <author>tc={76933C19-1467-4DE4-A0F2-AA038A87ECBC}</author>
    <author>tc={2FCB3D18-6403-487C-B977-889FB35659E3}</author>
    <author>tc={AB001EEB-9646-4159-9ECE-DAEAFCFBA06B}</author>
    <author>tc={A881CFCC-E2A7-4763-B090-B320B22733B8}</author>
    <author>tc={174B95CD-9234-41AC-A2B4-5541E19E79CA}</author>
    <author>tc={EFFCFA61-57FC-4968-A79D-A3A9B7FB065A}</author>
    <author>tc={0AB0E7B9-CDAC-4521-B872-FFA086BCFB66}</author>
    <author>tc={A18A0895-2D66-4893-874A-3D9399734FDD}</author>
  </authors>
  <commentList>
    <comment ref="D12" authorId="0" shapeId="0" xr:uid="{C2396F67-93B7-4E4C-8265-94E65090F749}">
      <text>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
Enter data type exactly as listed here</t>
      </text>
    </comment>
    <comment ref="H12" authorId="1" shapeId="0" xr:uid="{ADCB8BFF-A2B1-4A6C-A6BC-9373677838DC}">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 ref="A13" authorId="2" shapeId="0" xr:uid="{0390C947-D489-402A-872F-0731687AD7F6}">
      <text>
        <t>[Threaded comment]
Your version of Excel allows you to read this threaded comment; however, any edits to it will get removed if the file is opened in a newer version of Excel. Learn more: https://go.microsoft.com/fwlink/?linkid=870924
Comment:
    Converted Cash/Security level to single field</t>
      </text>
    </comment>
    <comment ref="A41" authorId="3" shapeId="0" xr:uid="{73BC9F5F-CE19-4885-907B-1CEA69581FDC}">
      <text>
        <t>[Threaded comment]
Your version of Excel allows you to read this threaded comment; however, any edits to it will get removed if the file is opened in a newer version of Excel. Learn more: https://go.microsoft.com/fwlink/?linkid=870924
Comment:
    Adding Reconciliation in name based on input from Olga. Inform Anand.</t>
      </text>
    </comment>
    <comment ref="A50" authorId="4" shapeId="0" xr:uid="{466FB6E8-085B-4E79-A4DC-468154EB186B}">
      <text>
        <t>[Threaded comment]
Your version of Excel allows you to read this threaded comment; however, any edits to it will get removed if the file is opened in a newer version of Excel. Learn more: https://go.microsoft.com/fwlink/?linkid=870924
Comment:
    Added after Anand feedback.</t>
      </text>
    </comment>
    <comment ref="A61" authorId="5" shapeId="0" xr:uid="{BAB8B794-C104-4292-AC47-5BB3DC8800E8}">
      <text>
        <t>[Threaded comment]
Your version of Excel allows you to read this threaded comment; however, any edits to it will get removed if the file is opened in a newer version of Excel. Learn more: https://go.microsoft.com/fwlink/?linkid=870924
Comment:
    These 2 columns marked as Remove</t>
      </text>
    </comment>
    <comment ref="A69" authorId="6" shapeId="0" xr:uid="{76933C19-1467-4DE4-A0F2-AA038A87ECBC}">
      <text>
        <t>[Threaded comment]
Your version of Excel allows you to read this threaded comment; however, any edits to it will get removed if the file is opened in a newer version of Excel. Learn more: https://go.microsoft.com/fwlink/?linkid=870924
Comment:
    Newly added column inform Anand</t>
      </text>
    </comment>
    <comment ref="A72" authorId="7" shapeId="0" xr:uid="{2FCB3D18-6403-487C-B977-889FB35659E3}">
      <text>
        <t>[Threaded comment]
Your version of Excel allows you to read this threaded comment; however, any edits to it will get removed if the file is opened in a newer version of Excel. Learn more: https://go.microsoft.com/fwlink/?linkid=870924
Comment:
    Newly added inform Anand</t>
      </text>
    </comment>
    <comment ref="A74" authorId="8" shapeId="0" xr:uid="{AB001EEB-9646-4159-9ECE-DAEAFCFBA06B}">
      <text>
        <t>[Threaded comment]
Your version of Excel allows you to read this threaded comment; however, any edits to it will get removed if the file is opened in a newer version of Excel. Learn more: https://go.microsoft.com/fwlink/?linkid=870924
Comment:
    Added this missed field. Inform Anand</t>
      </text>
    </comment>
    <comment ref="A146" authorId="9" shapeId="0" xr:uid="{A881CFCC-E2A7-4763-B090-B320B22733B8}">
      <text>
        <t xml:space="preserve">[Threaded comment]
Your version of Excel allows you to read this threaded comment; however, any edits to it will get removed if the file is opened in a newer version of Excel. Learn more: https://go.microsoft.com/fwlink/?linkid=870924
Comment:
    Inform Anand about addition of this missed field. </t>
      </text>
    </comment>
    <comment ref="A152" authorId="10" shapeId="0" xr:uid="{174B95CD-9234-41AC-A2B4-5541E19E79CA}">
      <text>
        <t>[Threaded comment]
Your version of Excel allows you to read this threaded comment; however, any edits to it will get removed if the file is opened in a newer version of Excel. Learn more: https://go.microsoft.com/fwlink/?linkid=870924
Comment:
    Newly added column inform Anand</t>
      </text>
    </comment>
    <comment ref="A155" authorId="11" shapeId="0" xr:uid="{EFFCFA61-57FC-4968-A79D-A3A9B7FB065A}">
      <text>
        <t>[Threaded comment]
Your version of Excel allows you to read this threaded comment; however, any edits to it will get removed if the file is opened in a newer version of Excel. Learn more: https://go.microsoft.com/fwlink/?linkid=870924
Comment:
    Newly added inform Anand</t>
      </text>
    </comment>
    <comment ref="A196" authorId="12" shapeId="0" xr:uid="{0AB0E7B9-CDAC-4521-B872-FFA086BCFB66}">
      <text>
        <t>[Threaded comment]
Your version of Excel allows you to read this threaded comment; however, any edits to it will get removed if the file is opened in a newer version of Excel. Learn more: https://go.microsoft.com/fwlink/?linkid=870924
Comment:
    Was Target transaction Id</t>
      </text>
    </comment>
    <comment ref="A221" authorId="13" shapeId="0" xr:uid="{A18A0895-2D66-4893-874A-3D9399734FDD}">
      <text>
        <t>[Threaded comment]
Your version of Excel allows you to read this threaded comment; however, any edits to it will get removed if the file is opened in a newer version of Excel. Learn more: https://go.microsoft.com/fwlink/?linkid=870924
Comment:
    Removal of existing EOD Dim ids in table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tc={1C1F0048-3A68-4707-A15E-0262AFA8A7A0}</author>
    <author>tc={FCA9442A-81C8-4B24-ACE2-B5AD79E44A24}</author>
  </authors>
  <commentList>
    <comment ref="Q1" authorId="0" shapeId="0" xr:uid="{1C1F0048-3A68-4707-A15E-0262AFA8A7A0}">
      <text>
        <t>[Threaded comment]
Your version of Excel allows you to read this threaded comment; however, any edits to it will get removed if the file is opened in a newer version of Excel. Learn more: https://go.microsoft.com/fwlink/?linkid=870924
Comment:
    Filter out all except #N/A</t>
      </text>
    </comment>
    <comment ref="R1" authorId="1" shapeId="0" xr:uid="{FCA9442A-81C8-4B24-ACE2-B5AD79E44A24}">
      <text>
        <t xml:space="preserve">[Threaded comment]
Your version of Excel allows you to read this threaded comment; however, any edits to it will get removed if the file is opened in a newer version of Excel. Learn more: https://go.microsoft.com/fwlink/?linkid=870924
Comment:
    Copy the filtered in rows to notepad, remove last comma(,) and add );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tc={EF5554DB-A7B7-49BA-89CE-7A909EE44673}</author>
    <author>tc={8B2DAAFA-943C-4A97-81FD-7596EA631490}</author>
    <author>tc={52AC08DD-B1DC-46FC-8F1B-55C935DE02DB}</author>
    <author>tc={8996B60A-F164-41CA-AFA3-B3349A529D14}</author>
    <author>tc={DC34B04B-2A13-4090-BD02-19016CCF1DDD}</author>
    <author>tc={EE076F57-4F30-4D84-A355-29E56BD33F38}</author>
    <author>tc={BFCC4E34-4998-4E5B-9C66-B8AAB2DC88B3}</author>
    <author>tc={1C464CD8-3BBA-46A8-8C24-52B12AC493BA}</author>
    <author>tc={CFCBA744-1F7D-4880-A7BE-0A71053CABDC}</author>
    <author>tc={1A5E8085-A9D7-4CFC-B8AF-003DDACC47D4}</author>
    <author>tc={FAF9233C-3064-4BF8-807A-B184CE5C23F7}</author>
    <author>tc={F613C725-DB60-4EC2-8D11-8B90C55EE7AA}</author>
    <author>tc={AC5C20FE-7230-49EF-9EFA-9B7FF06E4952}</author>
    <author>tc={5300CF45-9C8B-4B22-B1A9-038B789DCDB4}</author>
    <author>tc={58654DE1-D543-470A-AEC5-FFD9E37CCAB8}</author>
    <author>tc={979A3476-29E6-42EE-A926-6D982B03E156}</author>
    <author>tc={FDF715AD-895F-4537-B592-C515DE693FD7}</author>
  </authors>
  <commentList>
    <comment ref="C1" authorId="0" shapeId="0" xr:uid="{EF5554DB-A7B7-49BA-89CE-7A909EE44673}">
      <text>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
Enter data type exactly as listed here</t>
      </text>
    </comment>
    <comment ref="G1" authorId="1" shapeId="0" xr:uid="{8B2DAAFA-943C-4A97-81FD-7596EA631490}">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 ref="AF1" authorId="2" shapeId="0" xr:uid="{52AC08DD-B1DC-46FC-8F1B-55C935DE02DB}">
      <text>
        <t xml:space="preserve">[Threaded comment]
Your version of Excel allows you to read this threaded comment; however, any edits to it will get removed if the file is opened in a newer version of Excel. Learn more: https://go.microsoft.com/fwlink/?linkid=870924
Comment:
    Copy the filtered in rows to notepad, remove last comma(,) and add );
</t>
      </text>
    </comment>
    <comment ref="A12" authorId="3" shapeId="0" xr:uid="{8996B60A-F164-41CA-AFA3-B3349A529D14}">
      <text>
        <t>[Threaded comment]
Your version of Excel allows you to read this threaded comment; however, any edits to it will get removed if the file is opened in a newer version of Excel. Learn more: https://go.microsoft.com/fwlink/?linkid=870924
Comment:
    These 2 columns marked as Remove</t>
      </text>
    </comment>
    <comment ref="A16" authorId="4" shapeId="0" xr:uid="{DC34B04B-2A13-4090-BD02-19016CCF1DDD}">
      <text>
        <t>[Threaded comment]
Your version of Excel allows you to read this threaded comment; however, any edits to it will get removed if the file is opened in a newer version of Excel. Learn more: https://go.microsoft.com/fwlink/?linkid=870924
Comment:
    Added after Anand feedback.</t>
      </text>
    </comment>
    <comment ref="A28" authorId="5" shapeId="0" xr:uid="{EE076F57-4F30-4D84-A355-29E56BD33F38}">
      <text>
        <t>[Threaded comment]
Your version of Excel allows you to read this threaded comment; however, any edits to it will get removed if the file is opened in a newer version of Excel. Learn more: https://go.microsoft.com/fwlink/?linkid=870924
Comment:
    Added this missed field. Inform Anand</t>
      </text>
    </comment>
    <comment ref="AF39" authorId="6" shapeId="0" xr:uid="{BFCC4E34-4998-4E5B-9C66-B8AAB2DC88B3}">
      <text>
        <t xml:space="preserve">[Threaded comment]
Your version of Excel allows you to read this threaded comment; however, any edits to it will get removed if the file is opened in a newer version of Excel. Learn more: https://go.microsoft.com/fwlink/?linkid=870924
Comment:
    Copy the filtered in rows to notepad, remove last comma(,) and add );
</t>
      </text>
    </comment>
    <comment ref="A45" authorId="7" shapeId="0" xr:uid="{1C464CD8-3BBA-46A8-8C24-52B12AC493BA}">
      <text>
        <t>[Threaded comment]
Your version of Excel allows you to read this threaded comment; however, any edits to it will get removed if the file is opened in a newer version of Excel. Learn more: https://go.microsoft.com/fwlink/?linkid=870924
Comment:
    Newly added column inform Anand</t>
      </text>
    </comment>
    <comment ref="A46" authorId="8" shapeId="0" xr:uid="{CFCBA744-1F7D-4880-A7BE-0A71053CABDC}">
      <text>
        <t>[Threaded comment]
Your version of Excel allows you to read this threaded comment; however, any edits to it will get removed if the file is opened in a newer version of Excel. Learn more: https://go.microsoft.com/fwlink/?linkid=870924
Comment:
    Newly added inform Anand</t>
      </text>
    </comment>
    <comment ref="A59" authorId="9" shapeId="0" xr:uid="{1A5E8085-A9D7-4CFC-B8AF-003DDACC47D4}">
      <text>
        <t>[Threaded comment]
Your version of Excel allows you to read this threaded comment; however, any edits to it will get removed if the file is opened in a newer version of Excel. Learn more: https://go.microsoft.com/fwlink/?linkid=870924
Comment:
    Removal of existing EOD Dim ids in table</t>
      </text>
    </comment>
    <comment ref="AF76" authorId="10" shapeId="0" xr:uid="{FAF9233C-3064-4BF8-807A-B184CE5C23F7}">
      <text>
        <t xml:space="preserve">[Threaded comment]
Your version of Excel allows you to read this threaded comment; however, any edits to it will get removed if the file is opened in a newer version of Excel. Learn more: https://go.microsoft.com/fwlink/?linkid=870924
Comment:
    Copy the filtered in rows to notepad, remove last comma(,) and add );
</t>
      </text>
    </comment>
    <comment ref="A129" authorId="11" shapeId="0" xr:uid="{F613C725-DB60-4EC2-8D11-8B90C55EE7AA}">
      <text>
        <t xml:space="preserve">[Threaded comment]
Your version of Excel allows you to read this threaded comment; however, any edits to it will get removed if the file is opened in a newer version of Excel. Learn more: https://go.microsoft.com/fwlink/?linkid=870924
Comment:
    Inform Anand about addition of this missed field. </t>
      </text>
    </comment>
    <comment ref="A152" authorId="12" shapeId="0" xr:uid="{AC5C20FE-7230-49EF-9EFA-9B7FF06E4952}">
      <text>
        <t>[Threaded comment]
Your version of Excel allows you to read this threaded comment; however, any edits to it will get removed if the file is opened in a newer version of Excel. Learn more: https://go.microsoft.com/fwlink/?linkid=870924
Comment:
    Newly added column inform Anand</t>
      </text>
    </comment>
    <comment ref="A153" authorId="13" shapeId="0" xr:uid="{5300CF45-9C8B-4B22-B1A9-038B789DCDB4}">
      <text>
        <t>[Threaded comment]
Your version of Excel allows you to read this threaded comment; however, any edits to it will get removed if the file is opened in a newer version of Excel. Learn more: https://go.microsoft.com/fwlink/?linkid=870924
Comment:
    Newly added inform Anand</t>
      </text>
    </comment>
    <comment ref="A162" authorId="14" shapeId="0" xr:uid="{58654DE1-D543-470A-AEC5-FFD9E37CCAB8}">
      <text>
        <t>[Threaded comment]
Your version of Excel allows you to read this threaded comment; however, any edits to it will get removed if the file is opened in a newer version of Excel. Learn more: https://go.microsoft.com/fwlink/?linkid=870924
Comment:
    Converted Cash/Security level to single field</t>
      </text>
    </comment>
    <comment ref="A193" authorId="15" shapeId="0" xr:uid="{979A3476-29E6-42EE-A926-6D982B03E156}">
      <text>
        <t>[Threaded comment]
Your version of Excel allows you to read this threaded comment; however, any edits to it will get removed if the file is opened in a newer version of Excel. Learn more: https://go.microsoft.com/fwlink/?linkid=870924
Comment:
    Was Target transaction Id</t>
      </text>
    </comment>
    <comment ref="A203" authorId="16" shapeId="0" xr:uid="{FDF715AD-895F-4537-B592-C515DE693FD7}">
      <text>
        <t>[Threaded comment]
Your version of Excel allows you to read this threaded comment; however, any edits to it will get removed if the file is opened in a newer version of Excel. Learn more: https://go.microsoft.com/fwlink/?linkid=870924
Comment:
    Adding Reconciliation in name based on input from Olga. Inform Anand.</t>
      </text>
    </comment>
  </commentList>
</comments>
</file>

<file path=xl/sharedStrings.xml><?xml version="1.0" encoding="utf-8"?>
<sst xmlns="http://schemas.openxmlformats.org/spreadsheetml/2006/main" count="21337" uniqueCount="2699">
  <si>
    <t xml:space="preserve">1. View Name - </t>
  </si>
  <si>
    <t>ACTIVITY_FACT_V</t>
  </si>
  <si>
    <t xml:space="preserve">Please read review comments on Table Functional Description, Data Type and Business Definition
</t>
  </si>
  <si>
    <t xml:space="preserve">2. Table Name - </t>
  </si>
  <si>
    <t>AVY_FACT</t>
  </si>
  <si>
    <t xml:space="preserve">3. View Schema Name - </t>
  </si>
  <si>
    <t>SSDS_DAL_OWNER</t>
  </si>
  <si>
    <t xml:space="preserve">4. Table Schema Name - </t>
  </si>
  <si>
    <t>TRANSACTIONS_OWNER</t>
  </si>
  <si>
    <t xml:space="preserve">5. Table Functional Description - </t>
  </si>
  <si>
    <t>This table consists of trades and transactions (Cash and Securities) to meet investment objective of a client.</t>
  </si>
  <si>
    <t>BA Responsbility</t>
  </si>
  <si>
    <t>DA Responsibility</t>
  </si>
  <si>
    <t xml:space="preserve">6. Filter Criteria - </t>
  </si>
  <si>
    <t>Transaction Trade Date &gt;= DATE '2017-10-01'. Refer to [ETL Notes] tab for more filters</t>
  </si>
  <si>
    <t xml:space="preserve">7. Grain (Logical primary key) - </t>
  </si>
  <si>
    <t>Refer to [ETL Notes] tab</t>
  </si>
  <si>
    <t>8. Semantic View Schema Name -</t>
  </si>
  <si>
    <t>ENTERPRISE_SEMANTIC_OWNER</t>
  </si>
  <si>
    <t>9. Semantic View Name -</t>
  </si>
  <si>
    <t>Activity_Fact_cross_domain_V</t>
  </si>
  <si>
    <t>Note:</t>
  </si>
  <si>
    <t>Lighthouse Target</t>
  </si>
  <si>
    <t xml:space="preserve">Source </t>
  </si>
  <si>
    <t xml:space="preserve">Transformation </t>
  </si>
  <si>
    <r>
      <t xml:space="preserve">Logical Name of Attribute 
(Name of column in View </t>
    </r>
    <r>
      <rPr>
        <b/>
        <u/>
        <sz val="11"/>
        <rFont val="Calibri"/>
        <family val="2"/>
        <scheme val="minor"/>
      </rPr>
      <t>without underscores</t>
    </r>
    <r>
      <rPr>
        <b/>
        <sz val="11"/>
        <rFont val="Calibri"/>
        <family val="2"/>
        <scheme val="minor"/>
      </rPr>
      <t>)</t>
    </r>
  </si>
  <si>
    <r>
      <t xml:space="preserve">Physical Name of Attribute (Name of column in Table)
</t>
    </r>
    <r>
      <rPr>
        <b/>
        <u/>
        <sz val="11"/>
        <rFont val="Calibri"/>
        <family val="2"/>
        <scheme val="minor"/>
      </rPr>
      <t>Supplied by DA Team</t>
    </r>
  </si>
  <si>
    <t>Semantic Column Name</t>
  </si>
  <si>
    <r>
      <t xml:space="preserve">Data type in Oracle
</t>
    </r>
    <r>
      <rPr>
        <b/>
        <u/>
        <sz val="11"/>
        <rFont val="Calibri"/>
        <family val="2"/>
        <scheme val="minor"/>
      </rPr>
      <t>VARCHAR2(n), DATE, NUMBER(m,n), TIMETSTAMP(6)</t>
    </r>
  </si>
  <si>
    <r>
      <t xml:space="preserve">Nullable in Table and in Oracle View
</t>
    </r>
    <r>
      <rPr>
        <b/>
        <u/>
        <sz val="11"/>
        <rFont val="Calibri"/>
        <family val="2"/>
        <scheme val="minor"/>
      </rPr>
      <t>NULL, NOT NULL</t>
    </r>
  </si>
  <si>
    <t>Data type in Redshift</t>
  </si>
  <si>
    <t>Nullable in RedshiftTable</t>
  </si>
  <si>
    <t>Business Definition (To go into comments and into Meta Data Hub)</t>
  </si>
  <si>
    <t>Sample data values</t>
  </si>
  <si>
    <t>Action on Attribute
Add,Update,Remove, Blank</t>
  </si>
  <si>
    <t>Action Version</t>
  </si>
  <si>
    <t>Table PBI Number</t>
  </si>
  <si>
    <t>List Functional PBI</t>
  </si>
  <si>
    <t>Include  in View.
Populated with N only when not to be shown in the view.</t>
  </si>
  <si>
    <r>
      <t xml:space="preserve">Is on Data Model
</t>
    </r>
    <r>
      <rPr>
        <b/>
        <u/>
        <sz val="11"/>
        <rFont val="Calibri"/>
        <family val="2"/>
        <scheme val="minor"/>
      </rPr>
      <t>DA responsibility</t>
    </r>
  </si>
  <si>
    <r>
      <t xml:space="preserve">Model Data Type match TRUE/FALSE
</t>
    </r>
    <r>
      <rPr>
        <b/>
        <u/>
        <sz val="11"/>
        <rFont val="Calibri"/>
        <family val="2"/>
        <scheme val="minor"/>
      </rPr>
      <t>DA Responsibilty</t>
    </r>
  </si>
  <si>
    <t>Column2</t>
  </si>
  <si>
    <t>Model Defs. Match</t>
  </si>
  <si>
    <t>Model Nullable Match</t>
  </si>
  <si>
    <t>On Table</t>
  </si>
  <si>
    <t>table data type</t>
  </si>
  <si>
    <t>table Nullable</t>
  </si>
  <si>
    <t>table defintions</t>
  </si>
  <si>
    <t>On View</t>
  </si>
  <si>
    <t xml:space="preserve">Source Schema </t>
  </si>
  <si>
    <t xml:space="preserve"> Source Table</t>
  </si>
  <si>
    <t xml:space="preserve">Source Attribute Name </t>
  </si>
  <si>
    <t xml:space="preserve"> Data Type</t>
  </si>
  <si>
    <t>Nullable?</t>
  </si>
  <si>
    <t xml:space="preserve">Transformation /Business Rules /Join Conditions </t>
  </si>
  <si>
    <t xml:space="preserve"> Notes / Comments</t>
  </si>
  <si>
    <t>Indicator</t>
  </si>
  <si>
    <t>Domain</t>
  </si>
  <si>
    <t>Cross-Domain</t>
  </si>
  <si>
    <t>SHADOW Transaction Type Code</t>
  </si>
  <si>
    <t>SHDW_TXN_TP_CD</t>
  </si>
  <si>
    <t>Shadow_Transaction_Type_Code</t>
  </si>
  <si>
    <t>VARCHAR2(50)</t>
  </si>
  <si>
    <t>Yes</t>
  </si>
  <si>
    <t>character varying(50)</t>
  </si>
  <si>
    <t>Possible values:  ORG, OLD, NEW, REV, REP.</t>
  </si>
  <si>
    <t>OLD
ORG
REP
REV
NEW</t>
  </si>
  <si>
    <t>Add</t>
  </si>
  <si>
    <t>CCAL_REPL_OWNER</t>
  </si>
  <si>
    <t>TXN</t>
  </si>
  <si>
    <t>SRC_TXN_TP</t>
  </si>
  <si>
    <t>N</t>
  </si>
  <si>
    <t>SHADOW Transaction Type Name</t>
  </si>
  <si>
    <t>SHDW_TXN_TP_NM</t>
  </si>
  <si>
    <t>Shadow_Transaction_Type</t>
  </si>
  <si>
    <t>Name of the Shadow Transaction Type Code.</t>
  </si>
  <si>
    <t>SHDW_TXN_TP</t>
  </si>
  <si>
    <t>SRC_TXN_TP_NM</t>
  </si>
  <si>
    <t>Look up using TXN.SRC_TXN_TP=SHDW_TXN_TP.SRC_TXN_TP</t>
  </si>
  <si>
    <t>IMPACT Source Action Code</t>
  </si>
  <si>
    <t>IMP_SRC_ACTN_CD</t>
  </si>
  <si>
    <t>IMPACT_Source_Action_Code</t>
  </si>
  <si>
    <t>VARCHAR2(1)</t>
  </si>
  <si>
    <t>character varying(1)</t>
  </si>
  <si>
    <t>Code representing Action Type in IMPACT source system</t>
  </si>
  <si>
    <t>M
C
I
F
A
P
N
R
Y
S
K
Q
U
V
T</t>
  </si>
  <si>
    <t>SRC_ACTN_CODE</t>
  </si>
  <si>
    <t>IMPACT Source Action Name</t>
  </si>
  <si>
    <t>IMP_SRC_ACTN_NM</t>
  </si>
  <si>
    <t>IMPACT_Source_Action</t>
  </si>
  <si>
    <t>VARCHAR2(100)</t>
  </si>
  <si>
    <t>character varying(100)</t>
  </si>
  <si>
    <t>Name representing Action Type in IMPACT source system</t>
  </si>
  <si>
    <t>1	Security offering document is changed
A	Amend
B	Blind Broker Fail
C	Cancel
D	Trade Settled
F	Pool Factor Change
I	Insert
K	Failed Trade
L	Trade Canceled (was matched)
M	Trade Matched (was unmatched)
N	Trade Settled
O	Failed obligation in Net
P	Trade Settled
Q	Trade Revision
R	Rate Revision
S	Trade Settled
T	Failed Trade
U	Trade Un-Netted
V	DK
W	Trade Revision
X	Trade Unmatched (was matched)
Y	Trade Settled</t>
  </si>
  <si>
    <t>REFERENCE_REPL_OWNER</t>
  </si>
  <si>
    <t>IMPCT_ACTION_LKU</t>
  </si>
  <si>
    <t>desc_text</t>
  </si>
  <si>
    <t>ccal_repl_owner.txn t
left join ccal_repl_owner.impct_action_lku lk ON t.src_actn_code = impct_action_lku.action_code</t>
  </si>
  <si>
    <t>Note to Dev team: IMPCT_ACTION_LKU table exists only in CDS DB but not available in SSDS/Lighthouse DB.
[6/3/24]: Modified target data type for Oracle and Redshift. PBI 1912566</t>
  </si>
  <si>
    <t>SIS Detailed Events Id</t>
  </si>
  <si>
    <t>SIS_DLTD_EV_ID</t>
  </si>
  <si>
    <t>NUMBER(38,0)</t>
  </si>
  <si>
    <t>numeric (38,0)</t>
  </si>
  <si>
    <t>Identifier that determines what type of transaction the record contains. For SIS activity the values depend on the record type.</t>
  </si>
  <si>
    <t>SRC_BUY_SELL_MULTI_ID</t>
  </si>
  <si>
    <t>[6/3/24]: Modified target data type for Oracle and Redshift. PBI 1912566</t>
  </si>
  <si>
    <t>SIS Detailed Events Name</t>
  </si>
  <si>
    <t>SIS_DLTD_EV_NM</t>
  </si>
  <si>
    <t>SIS_Detailed_Event_Name</t>
  </si>
  <si>
    <t>VARCHAR2(200)</t>
  </si>
  <si>
    <t>character varying(200)</t>
  </si>
  <si>
    <t>Name that determines what type of transaction the record contains. For SIS activity the values depend on the record type.</t>
  </si>
  <si>
    <t>3219	Stock dividends
3214	Cash Dividend
3247	Corporate actions
3229	Cash receipts
3230	Disbursements
3234	Credit interest or Foreign Withholding
3246	Disbursements (receive stock)
3233	Debit interest
3231	Journals, Income, Expenses
3245	Cash receipts (deliver stock)</t>
  </si>
  <si>
    <t>CL_VAL</t>
  </si>
  <si>
    <t>CL_VAL_NM</t>
  </si>
  <si>
    <t>ccal_repl_owner.cl_val cv
left join ccal_repl_owner.cl_val cv ON
cv.cl_val_id = t.SRC_BUY_SELL_MULTI_ID
and
cv.CL_SCM_ID = '99'</t>
  </si>
  <si>
    <t>N (add Code, existing PBI)</t>
  </si>
  <si>
    <t>SIS User Id</t>
  </si>
  <si>
    <t>SIS_USR_ID</t>
  </si>
  <si>
    <t>SIS_User_Id</t>
  </si>
  <si>
    <t>VARCHAR2(255)</t>
  </si>
  <si>
    <t>character varying(255)</t>
  </si>
  <si>
    <t>Identifier of the process or user that creates the records sourced from SIS Money Movement</t>
  </si>
  <si>
    <t>LL015</t>
  </si>
  <si>
    <t>USR_ID</t>
  </si>
  <si>
    <t>SIS Account Classification Code</t>
  </si>
  <si>
    <t>SIS_AC_CL_CD</t>
  </si>
  <si>
    <t>SIS_Account_Classification_Code</t>
  </si>
  <si>
    <t>SIS account classification codes</t>
  </si>
  <si>
    <t>Z</t>
  </si>
  <si>
    <t>SRC_PRIM_CL</t>
  </si>
  <si>
    <t>Source Cancellation Reason Id</t>
  </si>
  <si>
    <t>SRC_CNCL_RSN_ID</t>
  </si>
  <si>
    <t>NUMERIC(38,0)</t>
  </si>
  <si>
    <t>Id representing Reason for cancellation in source system</t>
  </si>
  <si>
    <t>3248, 3249</t>
  </si>
  <si>
    <t>Source Cancellation Reason Code</t>
  </si>
  <si>
    <t>SRC_CNCL_RSN_CD</t>
  </si>
  <si>
    <t>Source_Cancellation_Reason_Code</t>
  </si>
  <si>
    <t>VARCHAR2(20)</t>
  </si>
  <si>
    <t>character varying(20)</t>
  </si>
  <si>
    <t>Code representing Reason for cancellation in source system
Valid Values - A ,N, Y, null/blank
Valid values include:
'Y' - Trade is cancelled due to correction, and will not be processed as a new trade
'N' - Trade is an outright cancel.
'A' - Trade is a cancel/correction due to allocation, and will be processed as allocated trade.</t>
  </si>
  <si>
    <t>Y, N, A, null</t>
  </si>
  <si>
    <t>CL_VAL_CODE</t>
  </si>
  <si>
    <t>ccal_repl_owner.txn t
left join ccal_repl_owner.cl_val cv ON 
cl_val.cl_val_id = t.SRC_CNCL_RSN_ID
cs.cl_scm_id = '102'</t>
  </si>
  <si>
    <t>Source Cancellation Reason Name</t>
  </si>
  <si>
    <t>SRC_CNCL_RSN_NM</t>
  </si>
  <si>
    <t>Source_Cancellation_Reason</t>
  </si>
  <si>
    <t>Name representing Reason for cancellation in source system</t>
  </si>
  <si>
    <t>Correction
Outright Cancel
Account Allocation</t>
  </si>
  <si>
    <t>Source Transaction Sequence Number</t>
  </si>
  <si>
    <t>SRC_TXN_SEQ_NUM</t>
  </si>
  <si>
    <t>Source_Transaction_Sequence_Number</t>
  </si>
  <si>
    <t>Transaction number assigned to the transaction in the source system.</t>
  </si>
  <si>
    <t>Dividend Record Date</t>
  </si>
  <si>
    <t>DVDN_RCRD_DT</t>
  </si>
  <si>
    <t>Dividend_Record_Date</t>
  </si>
  <si>
    <t>DATE</t>
  </si>
  <si>
    <t>timestamp without time zone</t>
  </si>
  <si>
    <t>The cut-off date that an organization is expected to use to determine which shareholders are eligible to receive a dividend or income distribution.</t>
  </si>
  <si>
    <t>Owner IMPACT FA Number</t>
  </si>
  <si>
    <t>OWN_IMP_FA_NUM</t>
  </si>
  <si>
    <t>Brokerage_Owner_FA_Fixed_Income_IMPACT_Number</t>
  </si>
  <si>
    <t>FA Number as given in Impact system</t>
  </si>
  <si>
    <t>01A</t>
  </si>
  <si>
    <t>SALE_PSN_NUM</t>
  </si>
  <si>
    <t>Owner FA Number</t>
  </si>
  <si>
    <t>OWN_FA_NUM</t>
  </si>
  <si>
    <t>Brokerage_Owner_FA_Number</t>
  </si>
  <si>
    <t>VARCHAR2(6)</t>
  </si>
  <si>
    <t>character varying(6)</t>
  </si>
  <si>
    <t>Owner FA Number is a FA Number that owns the Arrangement for which activity is recorded</t>
  </si>
  <si>
    <t>25T3</t>
  </si>
  <si>
    <t>CCSI_OWNER</t>
  </si>
  <si>
    <t>AR_GRP_SUBDIM</t>
  </si>
  <si>
    <t>FA_NUM</t>
  </si>
  <si>
    <t>select fa.FA_NUM from 
ccal_repl_owner.txn t
LEFT JOIN ccsi_owner.AR_GRP_SUBDIM fa ON t.AR_ID = fa.AR_ID
and t.td &gt;= fa.EFF_DT
and t.td &lt; fa.END_DT;</t>
  </si>
  <si>
    <t>[9/11/24]: Reflected the change to use TXN.TD from Product Backlog Item 1912566: Change join condition and update data types for Activity</t>
  </si>
  <si>
    <t>Y</t>
  </si>
  <si>
    <t>Owner FA Number Entity Code</t>
  </si>
  <si>
    <t>OWN_FA_NUM_ENT_CD</t>
  </si>
  <si>
    <t>Brokerage_Owner_FA_Number_Entity_Code</t>
  </si>
  <si>
    <t>Entity Code that owns the Owner FA Number</t>
  </si>
  <si>
    <t>10D00</t>
  </si>
  <si>
    <t>FA_NUMBER_V</t>
  </si>
  <si>
    <t>FA_NUMBER_ENTITY_CODE</t>
  </si>
  <si>
    <t>Derive based on OWN_FA_NUM field.
left join SSDS_DAL_OWNER.FA_NUMBER_V fn on fn.FA_NUMBER = OWN_FA_NUM
and t.td &gt;= fn.EFF_DT
AND t.td &lt; fn.END_DT</t>
  </si>
  <si>
    <t>[6/8/24]: Modified target data type for Oracle and Redshift. PBI 1912566
[9/11/24]: Reflected the change to use TXN.TD from Product Backlog Item 1912566: Change join condition and update data types for Activity</t>
  </si>
  <si>
    <t>Owner FA Employee Id</t>
  </si>
  <si>
    <t>FA_OWN_EMPE_ID</t>
  </si>
  <si>
    <t>Brokerage_Owner_FA_Responsible_Party_Employee_ID</t>
  </si>
  <si>
    <t>VARCHAR2(44)</t>
  </si>
  <si>
    <t>character varying(44)</t>
  </si>
  <si>
    <t>PeopleWorks Identifier for the Responsible Party for an FA Number</t>
  </si>
  <si>
    <t>RESPONSIBLE_PARTY_EMPLOYEE_ID</t>
  </si>
  <si>
    <t>[6/8/24]: Modified target data type for Oracle and Redshift. PBI 1912566</t>
  </si>
  <si>
    <t>Owner FA Number Entity Enterprise Id</t>
  </si>
  <si>
    <t>OWN_FA_NUM_ENT_ENTP_ID</t>
  </si>
  <si>
    <t>Brokerage_Owner_FA_entity_enterprise_id</t>
  </si>
  <si>
    <t>NUMBER(22,0)</t>
  </si>
  <si>
    <t>NUMERIC(22,0)</t>
  </si>
  <si>
    <t>Enterprise Id of the Entity that owns the Owner FA Number</t>
  </si>
  <si>
    <t>AHK00</t>
  </si>
  <si>
    <t>ENTERPRISE_ENTITY_DIM_V</t>
  </si>
  <si>
    <t>ENTITY_ENTERPRISE_ID</t>
  </si>
  <si>
    <t xml:space="preserve">Derive based on OWN_FA_NUM_ENT_CD field.
LEFT JOIN SSDS_DAL_OWNER.ENTERPRISE_ENTITY_DIM_V e
ON e.Entity_code_long = OWN_FA_NUM_ENT_CD
AND t.td &gt;= e.EFF_DT 
AND t.td &lt; e.END_DT
AND e.ENTITY_RECYCLED_BOOLEAN='0'
AND e.ENTITY_FINANCIAL_RIA_BOOLEAN = '0'
</t>
  </si>
  <si>
    <t>[6/5/24]: Updated data type from VARCHAR to NUMBER. PBI 1912566
[6/25/24]: As a part of PBI 1912566 ROWNUM logic to pick one record at the very last stage was implemented to avoid duplicates in Entity Dim. The logic is to be revised in the future to write an exception for dupes
[9/11/24]: Reflected the change to use TXN.TD from Product Backlog Item 1912566: Change join condition and update data types for Activity</t>
  </si>
  <si>
    <t>Y (PBI 1931139)</t>
  </si>
  <si>
    <t>ACAT Contra Firm Clearing Number</t>
  </si>
  <si>
    <t>ACAT_CNTRA_FIRM_CLRG_NUM</t>
  </si>
  <si>
    <t>ACAT_Contra_Firm_Clearing_Number</t>
  </si>
  <si>
    <t>VARCHAR2(4)</t>
  </si>
  <si>
    <t>character varying(4)</t>
  </si>
  <si>
    <t>This is the logical identifier for the entity/system (in this case ACAT) that is providing this transaction information or responsible for creation/maintenance of the information. In a case where the information is created and maintained.
Identifier of the system from which CDS database receives/obtains the underlying record. This identifier is specifc to ACAT Contra Firm clearing</t>
  </si>
  <si>
    <t>0352</t>
  </si>
  <si>
    <t>ORIG_SRC_STM_CODE</t>
  </si>
  <si>
    <t>ccal_repl_owner.txn t
where
t.src_stm_id IN ( 53, 54 )</t>
  </si>
  <si>
    <t>ACAT Contra Firm Name</t>
  </si>
  <si>
    <t>ACAT_CNTRA_FIRM_NM</t>
  </si>
  <si>
    <t>ACAT_Contra_Firm</t>
  </si>
  <si>
    <t>ACAT Contra Firm Clearing Name</t>
  </si>
  <si>
    <t>ACATS_BROKER</t>
  </si>
  <si>
    <t>BROKER_NAME</t>
  </si>
  <si>
    <t>ccal_repl_owner.txn t
LEFT join ccal_repl_owner.acats_broker
ON b.broker_id = t.orig_src_stm_code and
t.src_stm_id IN ( 53, 54 )</t>
  </si>
  <si>
    <t>Note to Dev team: ACATS_BROKER table is available in CDS DB but not available in SSDS/Lighthouse DB.
[11/18/25] Corrected orig_src_stm_id with orig_src_stm_code in mapping</t>
  </si>
  <si>
    <t>ACAT Contra Firm Short Name</t>
  </si>
  <si>
    <t>ACAT_CNTRA_FIRM_SHRT_NM</t>
  </si>
  <si>
    <t>VARCHAR2(15)</t>
  </si>
  <si>
    <t>character varying(15)</t>
  </si>
  <si>
    <t>ACAT Contra Firm Clearing Short Name</t>
  </si>
  <si>
    <t>BROKER_SHORT_NAME</t>
  </si>
  <si>
    <t>Note to Dev team: ACATS_BROKER table is available in CDS DB but not available in SSDS/Lighthouse DB.</t>
  </si>
  <si>
    <t>ACAT Contra Firm Clearing ID Type Code</t>
  </si>
  <si>
    <t>ACAT_CNTRA_FIRM_CLRG_ID_TP_CD</t>
  </si>
  <si>
    <t>ACAT Broker ID Type</t>
  </si>
  <si>
    <t>BROKER_ID_TYPE</t>
  </si>
  <si>
    <t>ccal_repl_owner.txn t
LEFT join ccal_repl_owner.acats_broker b
ON b.broker_id = t.orig_src_stm_code and
t.src_stm_id IN ( 53, 54 )</t>
  </si>
  <si>
    <t>Money Movement Alternate Id</t>
  </si>
  <si>
    <t>MM_ALT_ID</t>
  </si>
  <si>
    <t>Money_Movement_Alternate_Id</t>
  </si>
  <si>
    <t>Identifier on all Money movement transactions</t>
  </si>
  <si>
    <t>MM1423054</t>
  </si>
  <si>
    <t>ccal_repl_owner.txn t
where
t.src_stm_id= '60' and t.ORIG_SRC_STM_CODE like 'MM%' and t.SRC_CRT_USRNM = 'BPMWRAPB';</t>
  </si>
  <si>
    <t>Arrangement Originating Source System Code</t>
  </si>
  <si>
    <t>AR_ORIG_SRC_STM_CD</t>
  </si>
  <si>
    <t>Arrangement_Originating_Source_System_Provider_Code</t>
  </si>
  <si>
    <t>Code that represents the source system from which CDS database receives/obtains the underlying Arrangement from.</t>
  </si>
  <si>
    <t>ZTNB.#B066</t>
  </si>
  <si>
    <t>AR_DIM</t>
  </si>
  <si>
    <t>ORIG_SRC_STM_CD</t>
  </si>
  <si>
    <t>ccal_repl_owner.txn t
join ccsi_owner.ar_dim ard ON ard.AR_ID = t.AR_ID
and ard.eff_dt &lt;= t.td
and ard.end_dt &gt; t.td</t>
  </si>
  <si>
    <t>[9/6/24]: Reflected the change to use TXN.TD from Product Backlog Item 1912566: Change join condition and update data types for Activity.
[9/17/24]: Changing to use TXN.AR_ID per Product Backlog Item 1998220: Fix Activity issues for Historical Load</t>
  </si>
  <si>
    <t>Source System Id</t>
  </si>
  <si>
    <t>SRC_STM_ID</t>
  </si>
  <si>
    <t>Source system Id coming from Transaction. This could be different from Source system Id coming from Arrangement information.</t>
  </si>
  <si>
    <t>Source System Name</t>
  </si>
  <si>
    <t>SRC_STM_NM</t>
  </si>
  <si>
    <t>Source_System</t>
  </si>
  <si>
    <t>VARCHAR2(60)</t>
  </si>
  <si>
    <t>character varying(60)</t>
  </si>
  <si>
    <t>Name of the source system information coming from Transaction. e.g., SIS - Securities Industry Software, Raymond James, Raymond James Bank, Shadow Suite</t>
  </si>
  <si>
    <t>Broadridge Financial Solution IMPACT Back Office System</t>
  </si>
  <si>
    <t>COMMON_OWNER</t>
  </si>
  <si>
    <t>SRC_STM_DIM</t>
  </si>
  <si>
    <t xml:space="preserve">ccal_repl_owner.txn t
left JOIN common_owner.src_stm_dim ss
on t.src_stm_id = ss.src_stm_id
</t>
  </si>
  <si>
    <t>Source Cancel / Revision Code</t>
  </si>
  <si>
    <t>SRC_CNCL_X_RVSN_CD</t>
  </si>
  <si>
    <t>Source_Cancel_or_Revision_Code</t>
  </si>
  <si>
    <t>VARCHAR2(3)</t>
  </si>
  <si>
    <t>character varying(3)</t>
  </si>
  <si>
    <t>Cancel or Revise Code in the source system</t>
  </si>
  <si>
    <t>CAN - Transaction has been canceled before verification or approval. 
CXL - Transaction has been revised or canceled after verification. 
CXR - Transaction is a rebill of a previous transaction and that the rebill has been revised or canceled. 
OFF - Transaction is an offset of a transaction that has been revised or canceled. 
OFR - Transaction is an offset of a rebill that has been revised or canceled. 
RBL - Transaction is a rebill of a transaction that has been revised. 
RTN - Indicates a piece of collateral has been returned during the term of a deal. 
IMP - Transaction is an offset of a rebill that has a factor adjustment</t>
  </si>
  <si>
    <t>SRC_CXL_REV</t>
  </si>
  <si>
    <t>[6/3/24]: Modified data type for Redshift from 255 to 3</t>
  </si>
  <si>
    <t>Source Option Class Code</t>
  </si>
  <si>
    <t>SRC_OPT_CLSS_CD</t>
  </si>
  <si>
    <t>Source_Option_Class_Code</t>
  </si>
  <si>
    <t>The code that determines what type of transaction the record contains. For SIS activity the values depend on the record type.</t>
  </si>
  <si>
    <t>M
W
C 
B 
I 
H
L 
F
P
Y
R
A 
G 
J  
2
X
D
T</t>
  </si>
  <si>
    <t>SRC_OPT_CLS</t>
  </si>
  <si>
    <t>Transaction Reconciliation Replay Count</t>
  </si>
  <si>
    <t>TXN_RCNCL_REPL_CNT</t>
  </si>
  <si>
    <t>Numeric counter to show how many attempts were done to reconcile transactions on this account/product/type with the corresponding EOD positions. 
The default value load is '0' and counter is incremented by '1' as transaction is replayed.</t>
  </si>
  <si>
    <t>TXN_REPL_CNT</t>
  </si>
  <si>
    <t>[7/15/24]: Do not add to the view. Product Backlog Item 1948982: Update columns in Activity Fact and Activity Detail Fact</t>
  </si>
  <si>
    <t>Transaction Reconciliation Status Id</t>
  </si>
  <si>
    <t>TXN_RCNCL_ST_ID</t>
  </si>
  <si>
    <t>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identifier</t>
  </si>
  <si>
    <t>TXN_ST_ID</t>
  </si>
  <si>
    <t>Transaction Reconciliation Status Code</t>
  </si>
  <si>
    <t>TXN_RCNCL_ST_CD</t>
  </si>
  <si>
    <t>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code</t>
  </si>
  <si>
    <t>PNR</t>
  </si>
  <si>
    <t>ccal_repl_owner.txn t
left join ccal_repl_owner.cl_val cv ON cv.cl_val_id = t.txn_st_id
and cv.CL_SCM_ID = 12</t>
  </si>
  <si>
    <t>N (REMOVE)</t>
  </si>
  <si>
    <t>Transaction Reconciliation Status Name</t>
  </si>
  <si>
    <t>TXN_RCNCL_ST_NM</t>
  </si>
  <si>
    <t>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investigation.This specifies the status name</t>
  </si>
  <si>
    <t>Pending Reconciliation</t>
  </si>
  <si>
    <t>MF Account Number</t>
  </si>
  <si>
    <t>MF_AC_NUM</t>
  </si>
  <si>
    <t>External_Account_Number</t>
  </si>
  <si>
    <t>VARCHAR2(30)</t>
  </si>
  <si>
    <t>character varying(30)</t>
  </si>
  <si>
    <t>Account number of the mutual fund, if the transaction is on mutual fund.</t>
  </si>
  <si>
    <t>MF_DRC_EXT_AC_NUM</t>
  </si>
  <si>
    <t>ccal_repl_owner.txn t
LEFT join ccsi_owner.ar_dim ard ON ard.AR_ID = t.AR_ID
and ard.eff_dt &lt;= t.td
and ard.end_dt &gt; t.td</t>
  </si>
  <si>
    <t>Offset Originating Source System Arrangement Id</t>
  </si>
  <si>
    <t>OFST_ORIG_SRC_STM_AR_ID</t>
  </si>
  <si>
    <t>Offset_Business_assigned_Arrangement_Id</t>
  </si>
  <si>
    <t>If the transaction was between 2 RJ accounts then this field will contain information about the second arrangement called the offset arrangement. This column contains the account number/contract number of the offset Arrangement from the original source system provider - e.g., SIS Account number for brokerage accounts</t>
  </si>
  <si>
    <t>ORIG_SRC_STM_AR_ID</t>
  </si>
  <si>
    <t>ccal_repl_owner.txn t
join ccal_repl_owner.apa ap ON ap.exec_id = t.txn_id
left join ccsi_owner.ar_dim ad ON AP.OFST_AR_ID =  ad.AR_ID
and t.td &gt;= ad.EFF_DT
and t.td &lt; ad.END_DT</t>
  </si>
  <si>
    <t>[9/6/24]: Reflected the change to use TXN.TD from Product Backlog Item 1912566: Change join condition and update data types for Activity</t>
  </si>
  <si>
    <t>Offset Arrangement Originating Source System Code</t>
  </si>
  <si>
    <t>OFST_AR_ORIG_SRC_STM_CD</t>
  </si>
  <si>
    <t>Offset_Arrangement_Originating_Source_System_Provider_Code</t>
  </si>
  <si>
    <t>If the transaction was between 2 RJ accounts then this field will contain information about the second arrangement called the offset arrangement. This column defines the source system associated with a specific offset arrangement. (e.g., BKRB01, RJB RESI, RJB LOANIQ)</t>
  </si>
  <si>
    <t>Offset Arrangement Settlement Type Code</t>
  </si>
  <si>
    <t>OFST_AR_SETL_TP_CD</t>
  </si>
  <si>
    <t>Offset_arrangement_settlement_type_code</t>
  </si>
  <si>
    <t>If the APA was satisfied by offsetting with another RJ arrangement then, this column will contain information about the offsetted arrangement.
A code that identifies how an arrangement settles its security transactions. This settlement type code is applicable for offset arrangements.</t>
  </si>
  <si>
    <t>SETL_TP_CD</t>
  </si>
  <si>
    <t>Offset Arrangement Settlement Type Description</t>
  </si>
  <si>
    <t>OFST_AR_SETL_TP_DSC</t>
  </si>
  <si>
    <t>Offset_arrangement_settlement_type</t>
  </si>
  <si>
    <t>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t>
  </si>
  <si>
    <t>SETL_TP</t>
  </si>
  <si>
    <t>Arrangement Settlement Type Code</t>
  </si>
  <si>
    <t>AR_SETL_TP_CD</t>
  </si>
  <si>
    <t>Account_Settlement_Type_Code</t>
  </si>
  <si>
    <t>A code that identifies how an arrangement settles its security transactions.</t>
  </si>
  <si>
    <t>Arrangement Settlement Type Description</t>
  </si>
  <si>
    <t>AR_SETL_TP_DSC</t>
  </si>
  <si>
    <t>Account_Settlement_Type</t>
  </si>
  <si>
    <t>A description that identifies how an arrangement settles its security transactions.</t>
  </si>
  <si>
    <t>Originating Source System Arrangement Id</t>
  </si>
  <si>
    <t>Business_Assigned_Arrangement_ID</t>
  </si>
  <si>
    <t>Contains the account number/contract number from the original source system provider - e.g., SIS Account number for brokerage accounts</t>
  </si>
  <si>
    <t>AR_DIM
AR_AC_SUBDIM</t>
  </si>
  <si>
    <t>ORIG_SRC_STM_AR_ID
AC_NUM</t>
  </si>
  <si>
    <t>ccal_repl_owner.txn t
join ccal_repl_owner.apa apa on apa.exec_id = t.txn_id
WHEN txn.src_stm_id = 5 (RJBNK1) and apa.ac_id is not null (NOTE: APA on ESP activity is always APACSH defined on [ETL Notes] tab)
THEN
left join ccsi_owner.ar_ac_subdim aas ON 
aas.ar_id = t.ar_id 
AND aas.dep_ac_setup_id = apa.ac_id
and aas.eff_dt &lt;= t.td
and aas.end_dt &gt; t.td
use aas.AC_NUM
ELSE
ccal_repl_owner.txn t
left join ccsi_owner.ar_dim ard ON ard.AR_ID = t.AR_ID
and ard.eff_dt &lt;= t.td
and ard.end_dt &gt; t.td
use ard.ORIG_SRC_STM_AR_ID</t>
  </si>
  <si>
    <t>[9/6/24]: Updated lookup for RJBNK1 ESP accounts. Product Backlog Item 1998220: Fix Activity issues for Historical Load.
Also reflected the change to use TXN.TD from Product Backlog Item 1912566: Change join condition and update data types for Activity.
[9/18/24]: Corrected Transformation logic to use TXN.AR_ID instead APA.AR_ID.
[9/19/24]: Brought back APA join for APA.AC_ID</t>
  </si>
  <si>
    <t>Trade Date Dimension Id</t>
  </si>
  <si>
    <t>TD_DIM_ID</t>
  </si>
  <si>
    <t>No</t>
  </si>
  <si>
    <t>Synthetic Key identifying a single date in the DATE Dimension, based on Trade date</t>
  </si>
  <si>
    <t>Existing</t>
  </si>
  <si>
    <t>DATE_DIM</t>
  </si>
  <si>
    <t>DT_DIM_ID</t>
  </si>
  <si>
    <t xml:space="preserve">ccal_repl_owner.txn t
LEFT join common_owner.date_dim dd ON t.td = dd.cal_dt
</t>
  </si>
  <si>
    <t>REMOVE (DIM_ID)</t>
  </si>
  <si>
    <t>Exchange Dimension Id</t>
  </si>
  <si>
    <t>EXG_DIM_ID</t>
  </si>
  <si>
    <t>Surrogate key for Exchange Dim - The exchange that the transaction was conducted on</t>
  </si>
  <si>
    <t>CIRD_OWNER</t>
  </si>
  <si>
    <t>EXG_DIM</t>
  </si>
  <si>
    <t>ccal_repl_owner.txn t
left join cird_owner.exg_dim ed ON ed.EXG_CD = t.exg_code</t>
  </si>
  <si>
    <t>SELECT e.exg_dim_id FROM CIRD_OWNER.EXG_DIM e, CCAL_REPL_OWNER.txn t
where t.EXG_CODE = e.EXG_CD
and
t.txn_id = ap.exec_id</t>
  </si>
  <si>
    <t>Accounting Type Code</t>
  </si>
  <si>
    <t>ACG_TP_CD</t>
  </si>
  <si>
    <t>Accounting_Type_Code</t>
  </si>
  <si>
    <t>Accounting type code from SIS (e.g., 1,2)</t>
  </si>
  <si>
    <t>ACG_TP_DIM</t>
  </si>
  <si>
    <t>First preference is to APACASH and then to APASEC
ccal_repl_owner.txn t
join ccal_repl_owner.apa ap ON ap.exec_id = t.txn_id
left join common_owner.acg_tp_dim atd ON AP.ACG_TP_ID = atd.ACG_TP_ID</t>
  </si>
  <si>
    <t>Accounting Type Dimension Id</t>
  </si>
  <si>
    <t>ACG_TP_DIM_ID</t>
  </si>
  <si>
    <t>Surrogate key for SIS Accounting Dimension</t>
  </si>
  <si>
    <t>Accounting Type Name</t>
  </si>
  <si>
    <t>ACG_TP_NM</t>
  </si>
  <si>
    <t>Accounting_Type</t>
  </si>
  <si>
    <t>It is the Sub Account associated with the position identifying the regulatory needs of the position. (e.g., cash account,margin account)</t>
  </si>
  <si>
    <t>Accounting Type Id</t>
  </si>
  <si>
    <t>ACG_TP_ID</t>
  </si>
  <si>
    <t>Numeric identifier of the accounting type ID (e.g., 1006, 1001)</t>
  </si>
  <si>
    <t>APA</t>
  </si>
  <si>
    <t>First preference is to APACASH and then to APASEC
ccal_repl_owner.txn txn
join ccal_repl_owner.apa ap ON ap.exec_id = t.txn_id</t>
  </si>
  <si>
    <t>Active Flag</t>
  </si>
  <si>
    <t>ACTV_F</t>
  </si>
  <si>
    <t>Transaction_Active_Flag</t>
  </si>
  <si>
    <t>Indicates that the row is active</t>
  </si>
  <si>
    <t>Update</t>
  </si>
  <si>
    <t>Aggregate Original Fees</t>
  </si>
  <si>
    <t>AGRT_ORIG_FEES</t>
  </si>
  <si>
    <t>Aggregate_original_fee</t>
  </si>
  <si>
    <t>NUMBER</t>
  </si>
  <si>
    <t>**Deprecated field. Not supported anymore.**</t>
  </si>
  <si>
    <r>
      <rPr>
        <strike/>
        <sz val="11"/>
        <color theme="1"/>
        <rFont val="Calibri"/>
        <family val="2"/>
        <scheme val="minor"/>
      </rPr>
      <t>Remove</t>
    </r>
    <r>
      <rPr>
        <sz val="11"/>
        <color theme="1"/>
        <rFont val="Calibri"/>
        <family val="2"/>
        <scheme val="minor"/>
      </rPr>
      <t xml:space="preserve">
Restore</t>
    </r>
  </si>
  <si>
    <t>FIP</t>
  </si>
  <si>
    <t>FIP_ORIG_AMT</t>
  </si>
  <si>
    <t xml:space="preserve">ccal_repl_owner.txn t
join ccal_repl_owner.apa ap ON ap.exec_id = t.txn_id
LEFT join ccal_repl_owner.fip f ON f.apa_id = ap.apa_id
</t>
  </si>
  <si>
    <t>Remove the field
[7/23/24]: To be restored as there are consumers. Product Backlog Item 1948982: Update columns in Activity Fact and Activity Detail Fact</t>
  </si>
  <si>
    <t>Aggregate Statement Fees</t>
  </si>
  <si>
    <t>AGRT_STMT_FEES</t>
  </si>
  <si>
    <t>Aggregate_statement_fee</t>
  </si>
  <si>
    <t>FIP_STMT_AMT</t>
  </si>
  <si>
    <t>Arrangement Id</t>
  </si>
  <si>
    <t>AR_ID</t>
  </si>
  <si>
    <t>Arrangement_Id</t>
  </si>
  <si>
    <t>Arrangement Id of the Arrangement this APA belongs to.</t>
  </si>
  <si>
    <t>[9/6/24]: Changed source table from APA to TXN. Product Backlog Item 1998220: Fix Activity issues for Historical Load</t>
  </si>
  <si>
    <t>Batch Date</t>
  </si>
  <si>
    <t>BATCH_DT</t>
  </si>
  <si>
    <t>Batch_Date</t>
  </si>
  <si>
    <t>Business Date for the Load run of the Activity Asset Packager row</t>
  </si>
  <si>
    <t>J$TXN</t>
  </si>
  <si>
    <t>ccal_repl_owner.txn t
join ccal_repl_owner.j$txn jt ON jt.txn_id = t.txn_id</t>
  </si>
  <si>
    <t>Booking Date</t>
  </si>
  <si>
    <t>BKG_DT</t>
  </si>
  <si>
    <t>Booking_Date</t>
  </si>
  <si>
    <t>System generated Date Time stamp when the record was created.  In SIS would be represented by Effective Date.</t>
  </si>
  <si>
    <t>Branch Code</t>
  </si>
  <si>
    <t>BR_CD</t>
  </si>
  <si>
    <t>Associate_Department_Branch_Code</t>
  </si>
  <si>
    <t>Entity Code of the Financial Advisor that is executing the trade.</t>
  </si>
  <si>
    <t>BR_CODE</t>
  </si>
  <si>
    <t>Brokerage Arrangement Id</t>
  </si>
  <si>
    <t>BKR_AR_ID</t>
  </si>
  <si>
    <t>Brokerage_Arrangement_Id</t>
  </si>
  <si>
    <t>Brokerage arrangement associated with the Arrangement id. If the transaction is for a brokerage arrangement than both will have same value.</t>
  </si>
  <si>
    <t>APA
TXN</t>
  </si>
  <si>
    <t>BKR_AR_ID
AR_ID</t>
  </si>
  <si>
    <t>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</si>
  <si>
    <t>[9/6/24]: Does not require any ETL. It's a direct map from CCAL.
[9/17/24]: There is a logic for SIS AR_IDs. Reflecting the same and changing to use TXN.AR_ID per Product Backlog Item 1998220: Fix Activity issues for Historical Load.
Adding a lookup for non-SIS activity use case if APA.BKR_AR_ID is missing to use base group.</t>
  </si>
  <si>
    <t>Buy Sell Indicator</t>
  </si>
  <si>
    <t>BUY_SELL_IND</t>
  </si>
  <si>
    <t>Buy_or_Sell_Indicator</t>
  </si>
  <si>
    <t>VARCHAR2(10)</t>
  </si>
  <si>
    <t>character varying(10)</t>
  </si>
  <si>
    <t>Indicator to determine whether the transaction is a sale or a purchase</t>
  </si>
  <si>
    <t>Cash Activity Category</t>
  </si>
  <si>
    <t>CASH_AVY_CGY</t>
  </si>
  <si>
    <t>Cash_Activity_Category</t>
  </si>
  <si>
    <t>VARCHAR2(25)</t>
  </si>
  <si>
    <t>character varying(25)</t>
  </si>
  <si>
    <t>Represents the specific Category of activity such as a 'Purchase' or 'Income'. Further refinement of the categories are captured under Activity Type.
This field will be populated only if the transaction has a Cash leg.</t>
  </si>
  <si>
    <t>AVY_CL</t>
  </si>
  <si>
    <t>AVY_CGY</t>
  </si>
  <si>
    <t xml:space="preserve">Use APACSH logic from 'ETL Notes' tab and below logic:
ccal_repl_owner.txn t
join ccal_repl_owner.apa ap ON ap.exec_id = t.txn_id
left join ccal_repl_owner.txn_avy_cl tac ON tac.txn_id = t.txn_id and tac.actv_f = 'Y' and ap.apa_id = tac.apa_id
left join ccal_repl_owner.avy_cl acl ON acl.avy_cl_id = tac.avy_cl_id </t>
  </si>
  <si>
    <t>Cash Simplified Display Activity Category</t>
  </si>
  <si>
    <t>CASH_SIMP_DSPL_AVY_CGY</t>
  </si>
  <si>
    <t>Cash_Simplified_Display_Activity_Category</t>
  </si>
  <si>
    <t>Simplified Display activity category shown to advisor in applications like client center.
This field will be populated only if the transaction has a Cash leg.</t>
  </si>
  <si>
    <t>DSPL_AVY_CGY</t>
  </si>
  <si>
    <t>Cash Activity Classification Id</t>
  </si>
  <si>
    <t>CSH_AVY_CL_ID</t>
  </si>
  <si>
    <t>Cash_activity_classification_code</t>
  </si>
  <si>
    <t>CDS assigned identifier for the activity class.
This field will be populated only if the transaction has a Cash leg.</t>
  </si>
  <si>
    <t>TXN_AVY_CL</t>
  </si>
  <si>
    <t>AVY_CL_ID</t>
  </si>
  <si>
    <t xml:space="preserve">Use APACSH logic from 'ETL Notes' tab and below logic:
ccal_repl_owner.txn t
join ccal_repl_owner.apa ap ON ap.exec_id = t.txn_id
left join ccal_repl_owner.txn_avy_cl tac ON tac.txn_id = t.txn_id and tac.actv_f = 'Y' and ap.apa_id = tac.apa_id
</t>
  </si>
  <si>
    <t>Cash Activity Type</t>
  </si>
  <si>
    <t>CASH_AVY_TP</t>
  </si>
  <si>
    <t>Cash_Activity_Type</t>
  </si>
  <si>
    <t>Represents a more refined view of the Activity Category.
This field will be populated only if the transaction has a Cash leg.</t>
  </si>
  <si>
    <t>AVY_TP</t>
  </si>
  <si>
    <t>Cash Simplified Display Activity Type</t>
  </si>
  <si>
    <t>CASH_SIMP_DSPL_AVY_TP</t>
  </si>
  <si>
    <t>Cash_Simplified_Display_Activity_Type</t>
  </si>
  <si>
    <t>Simplified Display activity type shown to advisor in applications like client center.
This field will be populated only if the transaction has a Cash leg.</t>
  </si>
  <si>
    <t>DSPL_AVY_TP</t>
  </si>
  <si>
    <t>Cash Alternate Description Trailer 2</t>
  </si>
  <si>
    <t>CASH_ALT_DSC_TRAILER_2</t>
  </si>
  <si>
    <t>Cash_Alternate_Description_Trailer_2</t>
  </si>
  <si>
    <t>VARCHAR2(256)</t>
  </si>
  <si>
    <t>character varying(256)</t>
  </si>
  <si>
    <t>Second line of unformatted, monolingual narrative booking information. SIS trailer field 2. 
This field will be populated only if the transaction has a Cash leg.</t>
  </si>
  <si>
    <t>ALT_DSC</t>
  </si>
  <si>
    <t>Use APACSH logic from 'ETL Notes' tab.</t>
  </si>
  <si>
    <t>Cash Asset Package External Qualifier</t>
  </si>
  <si>
    <t>CASH_APA_EXT_QUALFR</t>
  </si>
  <si>
    <t>Cash_Asset_Package_External_Qualifier</t>
  </si>
  <si>
    <t>Qualifier code from the external source system.
This field will be populated only if the transaction has a Cash leg.</t>
  </si>
  <si>
    <t>APA_EXT_QUALFR</t>
  </si>
  <si>
    <t>Cash Asset Package Id</t>
  </si>
  <si>
    <t>CSH_APA_ID</t>
  </si>
  <si>
    <t>APA_ID from CCAL APA table. It is recorded here for the purpose of maintaining a link with the source. 
This field will be populated only if the transaction has a Cash leg.</t>
  </si>
  <si>
    <t>APA_ID</t>
  </si>
  <si>
    <t>Cash Asset Package Type Code</t>
  </si>
  <si>
    <t>CASH_APA_TP_CD</t>
  </si>
  <si>
    <t>Cash_Asset_Package_Type_Code</t>
  </si>
  <si>
    <t>Code associated with Asset Package Type Id.
This field will be populated only if the transaction has a Cash leg.</t>
  </si>
  <si>
    <t>Cash Asset Package Type Description</t>
  </si>
  <si>
    <t>CASH_APA_TP_DSC</t>
  </si>
  <si>
    <t>Cash_Asset_Package_Type_Description</t>
  </si>
  <si>
    <t>VARCHAR2(1000)</t>
  </si>
  <si>
    <t>character varying(1000)</t>
  </si>
  <si>
    <t>Description associated with Asset Package Type Id.
This field will be populated only if the transaction has a Cash leg.</t>
  </si>
  <si>
    <t>DSC</t>
  </si>
  <si>
    <t>Cash Asset Package Type Id</t>
  </si>
  <si>
    <t>CSH_APA_TP_ID</t>
  </si>
  <si>
    <t>Asset Pacakge type Id from CCAL core.
This field will be populated only if the transaction has a Cash leg.</t>
  </si>
  <si>
    <t>APA_TP_ID</t>
  </si>
  <si>
    <t>Cash asset Package Type Name</t>
  </si>
  <si>
    <t>CASH_APA_TP_NM</t>
  </si>
  <si>
    <t>Cash_Asset_Package_Type</t>
  </si>
  <si>
    <t>Name of Asset Package Type Id.
This field will be populated only if the transaction has a Cash leg.</t>
  </si>
  <si>
    <t>Cash Cird Product Id</t>
  </si>
  <si>
    <t>CASH_CIRD_PD_ID</t>
  </si>
  <si>
    <t>CASH_CIRD_PRODUCT_ID</t>
  </si>
  <si>
    <t>CIRD identifier for product.
This field will be populated only if the transaction has a Cash leg.</t>
  </si>
  <si>
    <t>CCAL_CIRD_PD_MAP</t>
  </si>
  <si>
    <t>CIRD_PD_ID</t>
  </si>
  <si>
    <t>Use APACSH logic from 'ETL Notes' tab and below logic:
ccal_repl_owner.apa ap 
left join ccal_repl_owner.ccal_cird_pd_map ccpd ON ap.pd_id = ccpd.ccal_pd_id and ccpm.actv_f = 'Y'</t>
  </si>
  <si>
    <t>Cash Debit Credit Code</t>
  </si>
  <si>
    <t>CASH_DB_CR_CD</t>
  </si>
  <si>
    <t>A code representing Debit / Credit (e.g. D / C)
This field will be populated only if the transaction has a Cash leg.</t>
  </si>
  <si>
    <t>Use APACSH logic from 'ETL Notes' tab and below logic:
ccal_repl_owner.apa ap 
left join ccal_repl_owner.cl_val cv ON ap.db_cr_id = cv.cl_val_id
and cv.cl_scm_id = '15'</t>
  </si>
  <si>
    <t>Cash Debit Credit Name</t>
  </si>
  <si>
    <t>CASH_DB_CR_NM</t>
  </si>
  <si>
    <t>Cash_Debit_or_Credit</t>
  </si>
  <si>
    <t>A Name representing Debit / Credit (e.g. Debit / Credit)
This field will be populated only if the transaction has a Cash leg.</t>
  </si>
  <si>
    <t>Cash Description Trailer 1</t>
  </si>
  <si>
    <t>CASH_DSC_TRAILER_1</t>
  </si>
  <si>
    <t>Cash_Description_Trailer_1</t>
  </si>
  <si>
    <t>First line of unformatted, monolingual narrative booking information. SIS Trailer field 1.
This field will be populated only if the transaction has a Cash leg.</t>
  </si>
  <si>
    <t>APA_DSC</t>
  </si>
  <si>
    <t>Cash Flow Generation Flag</t>
  </si>
  <si>
    <t>CF_GEN_F</t>
  </si>
  <si>
    <t>VARCHAR2(2)</t>
  </si>
  <si>
    <t>character varying(2)</t>
  </si>
  <si>
    <t>Cash Position Type Code</t>
  </si>
  <si>
    <t>CASH_POS_TP_CD</t>
  </si>
  <si>
    <t>Cash_Position_Type_Code</t>
  </si>
  <si>
    <t>Coded name for the Cash Postion Type e.g., rjtgs2i, rtc</t>
  </si>
  <si>
    <t>CASH_POS_TP_DIM</t>
  </si>
  <si>
    <t>ccal_repl_owner.apa ap 
left join common_owner.cash_pos_tp_dim cptd ON ap.CASH_POS_TP_ID = cptd.CASH_POS_TP_ID</t>
  </si>
  <si>
    <t>Cash Position Type Dimension Id</t>
  </si>
  <si>
    <t>CASH_POS_TP_DIM_ID</t>
  </si>
  <si>
    <t>Surrogate Key for Cash Position Type</t>
  </si>
  <si>
    <t>Cash Position Type Name</t>
  </si>
  <si>
    <t>CASH_POS_TP_NM</t>
  </si>
  <si>
    <t>Cash_Position_Type</t>
  </si>
  <si>
    <t>VARCHAR2(75)</t>
  </si>
  <si>
    <t>character varying(75)</t>
  </si>
  <si>
    <t>Identifying how the cash position is treated at the end of the day for purposes of cash segregation and sweeps. e.g., Goldman Sachs Federal Fund - Income, Real Time Cash</t>
  </si>
  <si>
    <t>Cash Position Type Id</t>
  </si>
  <si>
    <t>CASH_POS_TP_ID</t>
  </si>
  <si>
    <t>An Id representing Cash position type</t>
  </si>
  <si>
    <t>ccal_repl_owner.txn t
join ccal_repl_owner.apa ap ON ap.exec_id = t.txn_id</t>
  </si>
  <si>
    <t>Cash CCAL Product Id</t>
  </si>
  <si>
    <t>CASH_PD_ID</t>
  </si>
  <si>
    <t>Cash_CCAL_Product_Id</t>
  </si>
  <si>
    <t>Product Identifier from Cash Asset package</t>
  </si>
  <si>
    <t>PD_ID</t>
  </si>
  <si>
    <t>Cash Investment Product Dim Id</t>
  </si>
  <si>
    <t>CASH_PD_DIM_ID</t>
  </si>
  <si>
    <t>Surrogate key for Instrument Product Dim.
This field will be populated only if the transaction has a Cash leg.</t>
  </si>
  <si>
    <t>IMT_PD_DIM</t>
  </si>
  <si>
    <t>IMT_PD_DIM_ID</t>
  </si>
  <si>
    <t>Use APACSH logic from 'ETL Notes' tab and below logic.
ccal_repl_owner.txn t
join ccal_repl_owner.apa ap ON ap.exec_id = t.txn_id
LEFT join cird_owner.imt_pd_dim ipd ON ipd.CCAL_PD_ID = ap.PD_ID
and ipd.eff_dt &lt;= t.td
and ipd.end_dt &gt; t.td</t>
  </si>
  <si>
    <t>Cash Source Sequence Number</t>
  </si>
  <si>
    <t>CASH_SRC_SEQ_NUM</t>
  </si>
  <si>
    <t>Cash_Source_Sequence_Number</t>
  </si>
  <si>
    <t>Sequence Number assigned by source system.
This field will be populated only if the transaction has a Cash leg.</t>
  </si>
  <si>
    <t>SRC_SEQ_NUM</t>
  </si>
  <si>
    <t>Cash System Base Currency Amount</t>
  </si>
  <si>
    <t>CASH_SBC_AMT</t>
  </si>
  <si>
    <t>USD_Cash_Transaction_Amount</t>
  </si>
  <si>
    <t>NUMBER(38,6)</t>
  </si>
  <si>
    <t>NUMERIC(38,6)</t>
  </si>
  <si>
    <t>Transaction Amount expressed in System Base Currency.
This field will be populated only if the transaction has a Cash leg.</t>
  </si>
  <si>
    <t>STM_BASE_CCY_AMT</t>
  </si>
  <si>
    <t>Use APACSH logic from 'ETL Notes' tab.
For a Transaction, If 2 APACSH records exists
     If (one record is 'APACSH04' &amp; other is 'APACSH11') 
          then skip 'APACSH04' record and load 'APACSH11' but use the values to
          calculate aggregated value from APA.TXN_AMT fields from 'APACSH04' and 'APACSH11' and store it in Cash Transaction Amount and Cash System base currency amount
	 else exception entire transaction</t>
  </si>
  <si>
    <t>Cash Transaction Amount</t>
  </si>
  <si>
    <t>CASH_TXN_AMT</t>
  </si>
  <si>
    <t>Cash_Transaction_Amount</t>
  </si>
  <si>
    <t>Transaction amount applicable to the Asset package in transaction currency.
This field will be populated only if the transaction has a Cash leg.</t>
  </si>
  <si>
    <t>TXN_AMT</t>
  </si>
  <si>
    <t>Client Friendly Description</t>
  </si>
  <si>
    <t>CLNT_FRIENDLY_DSC</t>
  </si>
  <si>
    <t>Activity_Client_Friendly_Description</t>
  </si>
  <si>
    <t>Client friendly description of the Asset package.</t>
  </si>
  <si>
    <t>CLNT_FRIENDLY_DESC</t>
  </si>
  <si>
    <t xml:space="preserve">ccal_repl_owner.txn t
join ccal_repl_owner.apa ap ON ap.exec_id = t.txn_id
</t>
  </si>
  <si>
    <t>Create Datetime</t>
  </si>
  <si>
    <t>CRT_DTM</t>
  </si>
  <si>
    <t>Create_Datetime</t>
  </si>
  <si>
    <t>The exact date when a record was first created.</t>
  </si>
  <si>
    <t>Create User Name</t>
  </si>
  <si>
    <t>CRT_USR_NM</t>
  </si>
  <si>
    <t>Create_User_name</t>
  </si>
  <si>
    <t>The name that represents the user who created an occurrence of a record.</t>
  </si>
  <si>
    <t>Currency Code</t>
  </si>
  <si>
    <t>CCY_CD</t>
  </si>
  <si>
    <t>Transaction_Currency_Code</t>
  </si>
  <si>
    <t>ISO Currency Code for transaction amount</t>
  </si>
  <si>
    <t>txn_iso_ccy_code</t>
  </si>
  <si>
    <t>N (Bug 2258384)</t>
  </si>
  <si>
    <t>Currency Dimension Id</t>
  </si>
  <si>
    <t>CCY_DIM_ID</t>
  </si>
  <si>
    <t>Surrogate key for Currency dimension based on Currency Code.</t>
  </si>
  <si>
    <t>CCY_DIM</t>
  </si>
  <si>
    <t>ccal_repl_owner.txn t
join ccal_repl_owner.apa ap ON ap.exec_id = t.txn_id
left join cird_owner.ccy_dim cd ON cd.ccy_cd = ap.txn_iso_ccy_code</t>
  </si>
  <si>
    <t>Department Of Labor Indicator Code</t>
  </si>
  <si>
    <t>DOL_IND_CD</t>
  </si>
  <si>
    <t>Transaction_Department_of_Labor_Eligible_Account_Code</t>
  </si>
  <si>
    <t>A code that identifies whether or not an account is deemed eligible in accordance with the DOL fiduciary rule.</t>
  </si>
  <si>
    <t>ccal_repl_owner.txn t
left join ccal_repl_owner.cl_val cv ON t.dol_ind_id = cv.cl_val_id
and cv.cl_scm_id = '35'</t>
  </si>
  <si>
    <t>select cv.cl_val_code from 
ccal_repl_owner.txn t, ccal_repl_owner.cl_val cv
where t.dol_ind_id = cv.cl_val_id
and
t.txn_id = ap.exec_id</t>
  </si>
  <si>
    <t>Department Of Labor Indicator Id</t>
  </si>
  <si>
    <t>DOL_IND_ID</t>
  </si>
  <si>
    <t>Identifier of whether or not an account is deemed eligible in accordance with the DOL fiduciary rule.</t>
  </si>
  <si>
    <t>Department Of Labor Indicator Name</t>
  </si>
  <si>
    <t>DOL_IND_NM</t>
  </si>
  <si>
    <t>Transaction_Department_of_Labor_Eligible_Account</t>
  </si>
  <si>
    <t>Name that identifies whether or not an account is deemed eligible in accordance with the DOL fiduciary rule.</t>
  </si>
  <si>
    <t>select cv.cl_val_nm from 
ccal_repl_owner.txn t, ccal_repl_owner.cl_val cv
where t.dol_ind_id = cv.cl_val_id
and
t.txn_id = ap.exec_id</t>
  </si>
  <si>
    <t>Exchange Code</t>
  </si>
  <si>
    <t>EXG_CD</t>
  </si>
  <si>
    <t>Stock_Exchange_Code</t>
  </si>
  <si>
    <t>Code to indicate an exchange where a given trade was executed.  CIRD uses the MIC code where available/provided.</t>
  </si>
  <si>
    <t>EXG_CODE</t>
  </si>
  <si>
    <t>[9/6/24]: Updated to be sourced from CCAL. Product Backlog Item 1998220: Fix Activity issues for Historical Load</t>
  </si>
  <si>
    <t>Exchange Name</t>
  </si>
  <si>
    <t>EXG_NM</t>
  </si>
  <si>
    <t>Stock_Exchange</t>
  </si>
  <si>
    <t>VARCHAR2(500)</t>
  </si>
  <si>
    <t>character varying(500)</t>
  </si>
  <si>
    <t>Name that represents an exchange where a given trade was executed.  CIRD uses the MIC code where available/provided.</t>
  </si>
  <si>
    <t>SELECT e.exg_nm FROM CIRD_OWNER.EXG_DIM e, CCAL_REPL_OWNER.txn t
where t.EXG_CODE = e.EXG_CD
and
t.txn_id = ap.exec_id</t>
  </si>
  <si>
    <t>Execution Date</t>
  </si>
  <si>
    <t>EXEC_DTM</t>
  </si>
  <si>
    <t>Execution_Datetime</t>
  </si>
  <si>
    <t>TIMESTAMP(6)</t>
  </si>
  <si>
    <t>System generated date time stamp when the order manager determined the information as binding and liable against 3rd parties. That is when an order is executed in the marketplace. This field holds timestamp at microsec level.</t>
  </si>
  <si>
    <t>Execution Subtype Code</t>
  </si>
  <si>
    <t>EXEC_SBTP_CD</t>
  </si>
  <si>
    <t>Execution_Subtype_Code</t>
  </si>
  <si>
    <t>A code for the execution sub-types allow the refinement of execution types for an order manager’s internal diversification only such as strategy level type, e.g.. Bullish Vertical spread, stop limit order.</t>
  </si>
  <si>
    <t>ccal_repl_owner.txn t
left join ccal_repl_owner.cl_val cv ON t.EXEC_SBTP_ID = cv.CL_VAL_ID
and cv.cl_scm_id = '6'</t>
  </si>
  <si>
    <t>Execution Subtype Description</t>
  </si>
  <si>
    <t>EXEC_SBTP_DSC</t>
  </si>
  <si>
    <t>Execution_Subtype_Description</t>
  </si>
  <si>
    <t>A description for the execution sub-types allow the refinement of execution types for an order manager’s internal diversification only such as strategy level type, e.g.. Bullish Vertical spread, stop limit order.</t>
  </si>
  <si>
    <t>Execution Subtype Id</t>
  </si>
  <si>
    <t>EXEC_SBTP_ID</t>
  </si>
  <si>
    <t>Unique numeric identifier tied to various sub-types of trade executions. Execution sub-types allow the refinement of execution types for an order manager’s internal diversification only such as strategy level type, e.g.. Bullish Vertical spread, stop limit order.</t>
  </si>
  <si>
    <t>Execution Subtype Name</t>
  </si>
  <si>
    <t>EXEC_SBTP_NM</t>
  </si>
  <si>
    <t>Execution_Subtype</t>
  </si>
  <si>
    <t>Name for the execution sub-types allow the refinement of execution types for an order manager’s internal diversification only such as strategy level type, e.g.. Bullish Vertical spread, stop limit order.</t>
  </si>
  <si>
    <t>Execution Type Code</t>
  </si>
  <si>
    <t>EXEC_TP_CD</t>
  </si>
  <si>
    <t>Execution_Type_Code</t>
  </si>
  <si>
    <t>Code that represents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t>
  </si>
  <si>
    <t>ccal_repl_owner.txn t
left join ccal_repl_owner.cl_val cv ON t.EXEC_TP_ID = cv.CL_VAL_ID
and cv.cl_scm_id = '5'</t>
  </si>
  <si>
    <t>Execution Type Description</t>
  </si>
  <si>
    <t>EXEC_TP_DSC</t>
  </si>
  <si>
    <t>Execution_Type_Description</t>
  </si>
  <si>
    <t>Description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t>
  </si>
  <si>
    <t>Execution Type Id</t>
  </si>
  <si>
    <t>EXEC_TP_ID</t>
  </si>
  <si>
    <t>Identifier for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t>
  </si>
  <si>
    <t>Execution Type Name</t>
  </si>
  <si>
    <t>EXEC_TP_NM</t>
  </si>
  <si>
    <t>Execution_Type</t>
  </si>
  <si>
    <t>Name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t>
  </si>
  <si>
    <t>FA Number</t>
  </si>
  <si>
    <t>FA_Number</t>
  </si>
  <si>
    <t>A 4 character value assigned to one or more FAs for purposes of paying commissions. Accounts are assigned one FA Number. The FA Number is used to relate Advisors to client accounts.</t>
  </si>
  <si>
    <t>Legacy Cancellation Compliance Reason Type Code</t>
  </si>
  <si>
    <t>LGCY_CNCL_CMPLN_RSN_TP_CD</t>
  </si>
  <si>
    <t>Trade_Cancellation_Reason_Type_Code</t>
  </si>
  <si>
    <t>A code that indicates the Legacy Cancellation Compliance Reason Type.</t>
  </si>
  <si>
    <t>LGCY_CNCL_CMPLN_RSN_TP_DIM</t>
  </si>
  <si>
    <t xml:space="preserve">ccal_repl_owner.txn t
left join transactions_owner.lgcy_cncl_cmpln_rsn_tp_dim ld ON ld.lgcy_cncl_cmpln_rsn_tp_id = t.lgcy_cncl_cmpln_rsn_tp_id
</t>
  </si>
  <si>
    <t>Legacy Cancellation Compliance Reason Type Dimension Id</t>
  </si>
  <si>
    <t>LGCY_CNCL_CMPLN_RSN_DIM_ID</t>
  </si>
  <si>
    <t>Surrogate key for Legacy Cancellation Compliance Reason Type dimension.</t>
  </si>
  <si>
    <t>LGCY_CNCL_CMPLN_RSN_TP_DIM_ID</t>
  </si>
  <si>
    <r>
      <t>select dl.LGCY_CNCL_CMPLN_RSN_TP_ID
from ccal_repl_owner.txn t, transactions_owner.LGCY_CNCL_CMPLN_RSN_TP_DIM dl, ccal_repl_owner.apa ap
WHERE
t.LGCY_CNCL_CMPLN_RSN_TP_ID = dl.LGCY_CNCL_CMPLN_RSN_TP_ID
and
t.txn_id = ap.exec_id
[6/3/24]: Updated Source Attribute Name from LGCY_CNCL_CMPLN_RSN_DIM_ID to LGCY_CNCL_CMPLN_RSN_</t>
    </r>
    <r>
      <rPr>
        <sz val="11"/>
        <color rgb="FFFF0000"/>
        <rFont val="Calibri"/>
        <family val="2"/>
        <scheme val="minor"/>
      </rPr>
      <t>TP_</t>
    </r>
    <r>
      <rPr>
        <sz val="11"/>
        <color theme="1"/>
        <rFont val="Calibri"/>
        <family val="2"/>
        <scheme val="minor"/>
      </rPr>
      <t>DIM_ID</t>
    </r>
  </si>
  <si>
    <t>Legacy Cancellation Compliance Reason Type Name</t>
  </si>
  <si>
    <t>LGCY_CNCL_CMPLN_RSN_TP_NM</t>
  </si>
  <si>
    <t>Trade_Cancellation_Reason_Type</t>
  </si>
  <si>
    <t>Name of the Legacy Cancellation Compliance Reason Type.
This will provide specific reason as to why a trade was cancelled, such as due to a price correction.</t>
  </si>
  <si>
    <t>Legacy Cancellation Compliance Reason Type Id</t>
  </si>
  <si>
    <t>LGCY_CNCL_CMPLN_RSN_TP_ID</t>
  </si>
  <si>
    <t>Identifier for the Legacy Cancellation Compliance Reason Type.</t>
  </si>
  <si>
    <t>Legacy Cancellation Compliance Source Type Code</t>
  </si>
  <si>
    <t>LGCY_CNCL_CMPLN_SRC_TP_CD</t>
  </si>
  <si>
    <t>Trade_Cancellation_Source_Type_Code</t>
  </si>
  <si>
    <t>A code that indicates the Legacy Cancellation Compliance Source Type.</t>
  </si>
  <si>
    <t>LGCY_CNCL_CMPLN_SRC_TP_DIM</t>
  </si>
  <si>
    <t xml:space="preserve">ccal_repl_owner.txn t
left join transactions_owner.lgcy_cncl_cmpln_src_tp_dim ld ON ld.lgcy_cncl_cmpln_src_tp_id = t.lgcy_cncl_cmpln_src_tp_id
</t>
  </si>
  <si>
    <t>Legacy Cancellation Compliance Source Type Dimension Id</t>
  </si>
  <si>
    <t>LGCY_CNCL_CMPLN_SRC_DIM_ID</t>
  </si>
  <si>
    <t>Surrogate key for Legacy Cancellation Compliance Source Type Dimension.</t>
  </si>
  <si>
    <t>LGCY_CNCL_CMPLN_SRC_TP_DIM_ID</t>
  </si>
  <si>
    <r>
      <t>[6/3/24]: Updated Source Attribute Name from LGCY_CNCL_CMPLN_RSN_DIM_ID to LGCY_CNCL_CMPLN_SRC_</t>
    </r>
    <r>
      <rPr>
        <sz val="11"/>
        <color rgb="FFFF0000"/>
        <rFont val="Calibri"/>
        <family val="2"/>
        <scheme val="minor"/>
      </rPr>
      <t>TP_</t>
    </r>
    <r>
      <rPr>
        <sz val="11"/>
        <color theme="1"/>
        <rFont val="Calibri"/>
        <family val="2"/>
        <scheme val="minor"/>
      </rPr>
      <t>DIM_ID</t>
    </r>
  </si>
  <si>
    <t>Legacy Cancellation Compliance Source Type Name</t>
  </si>
  <si>
    <t>LGCY_CNCL_CMPLN_SRC_TP_NM</t>
  </si>
  <si>
    <t>Trade_Cancellation_Source_Type</t>
  </si>
  <si>
    <t>Name of the Legacy Cancellation Compliance Source Type.
This will provide which internal or external source executed the trade cancellation, such as Purchase &amp; Sales department.</t>
  </si>
  <si>
    <t>Legacy Cancellation Compliance Source Type Id</t>
  </si>
  <si>
    <t>LGCY_CNCL_CMPLN_SRC_TP_ID</t>
  </si>
  <si>
    <t>Identifier for the Legacy Cancellation Compliance Source Type.</t>
  </si>
  <si>
    <t>Legacy Market Type Code</t>
  </si>
  <si>
    <t>LGCY_MKT_TP_CD</t>
  </si>
  <si>
    <t>Market_Type_Code</t>
  </si>
  <si>
    <t>Code to indicate what type of market the trade was executed in. Eg. NYSE, OTC, CBOE, etc</t>
  </si>
  <si>
    <t>LGCY_MKT_TP_DIM</t>
  </si>
  <si>
    <t xml:space="preserve">ccal_repl_owner.txn t
left join transactions_owner.lgcy_mkt_tp_dim lmtd ON lmtd.lgcy_mkt_tp_id = t.lgcy_mkt_tp_id
</t>
  </si>
  <si>
    <t>Legacy Market Type Dimension Id</t>
  </si>
  <si>
    <t>LGCY_MKT_TP_DIM_ID</t>
  </si>
  <si>
    <t>Surrogate key for Legacy Market Type Dimension.</t>
  </si>
  <si>
    <t>Legacy Market Type Name</t>
  </si>
  <si>
    <t>LGCY_MKT_TP_NM</t>
  </si>
  <si>
    <t>Market_Type</t>
  </si>
  <si>
    <t>Name that represents what type of market the trade was executed in. Eg. NYSE, OTC, CBOE, etc</t>
  </si>
  <si>
    <t>Legacy Market Type Id</t>
  </si>
  <si>
    <t>LGCY_MKT_TP_ID</t>
  </si>
  <si>
    <t>Identifier that represents what type of market the trade was executed in.</t>
  </si>
  <si>
    <t>Legacy Trade Capacity Type Code</t>
  </si>
  <si>
    <t>LGCY_TRD_CPCTY_TP_CD</t>
  </si>
  <si>
    <t>Trade_Capacity_type_code</t>
  </si>
  <si>
    <t>Code to show what type of capacity the trade was executed in. Eg. acting as principal or agency.</t>
  </si>
  <si>
    <t>TRANSACTIONS_OWNER
CCAL_REPL_OWNER</t>
  </si>
  <si>
    <t>LGCY_TRD_CPCTY_TP_DIM
CL_VAL</t>
  </si>
  <si>
    <t>LGCY_TRD_CPCTY_TP_CD
CL_VAL_CODE</t>
  </si>
  <si>
    <t>If t.src_stm_id &lt;&gt; 3 (not INSTBO1):
ccal_repl_owner.txn t
left join transactions_owner.lgcy_trd_cpcty_tp_dim ltctd ON t.lgcy_trd_cpcty_tp_id = ltctd.lgcy_trd_cpcty_tp_id
If t.src_stm_id = 3 (INSTBO1):
ccal_repl_owner.txn t
left join ccal_repl_owner.cl_val cl on cl.cl_val_id = t.lgcy_trd_cpcty_tp_id</t>
  </si>
  <si>
    <t>[10/1/24]: Added condition for INSTBO1 per Product Backlog Item 2033631: Change Trade Capacity lookup to use CL_VAL for Impact Trades</t>
  </si>
  <si>
    <t>Legacy Trade Capacity Type Dimension Id</t>
  </si>
  <si>
    <t>LGCY_TRD_CPCTY_TP_DIM_ID</t>
  </si>
  <si>
    <t>Surrogate key for Legacy trade Capacity Type Dimension.</t>
  </si>
  <si>
    <t>LGCY_TRD_CPCTY_TP_DIM</t>
  </si>
  <si>
    <t xml:space="preserve">ccal_repl_owner.txn t
left join transactions_owner.lgcy_trd_cpcty_tp_dim ltctd ON t.lgcy_trd_cpcty_tp_id = ltctd.lgcy_trd_cpcty_tp_id
</t>
  </si>
  <si>
    <t>[10/1/24]: It is expected to have 0 for Impact trades since "Impact Capacity" schema is not in LGCY_TRD_CPCTY_TP_DIM</t>
  </si>
  <si>
    <t>Legacy Trade Capacity Type Name</t>
  </si>
  <si>
    <t>LGCY_TRD_CPCTY_TP_NM</t>
  </si>
  <si>
    <t>Trade_Capacity</t>
  </si>
  <si>
    <t>Name that represents what type of capacity the trade was executed in. Eg. acting as principal or agency.</t>
  </si>
  <si>
    <t>LGCY_TRD_CPCTY_TP_NM
CL_VAL_NM</t>
  </si>
  <si>
    <t>Legacy Trade Capacity Type Id</t>
  </si>
  <si>
    <t>LGCY_TRD_CPCTY_TP_ID</t>
  </si>
  <si>
    <t>Identifier that represents what type of capacity the trade was executed in.</t>
  </si>
  <si>
    <t>Offset Arrangement Id</t>
  </si>
  <si>
    <t>OFST_AR_ID</t>
  </si>
  <si>
    <t>Offset_Arrangement_Id</t>
  </si>
  <si>
    <t>If the APA was satisfied by offsetting with another RJ arrangement then, this column will contain the offsetted arrangement.</t>
  </si>
  <si>
    <t>Option Class Code</t>
  </si>
  <si>
    <t>OPT_CLSS_CD</t>
  </si>
  <si>
    <t>Option_Class_Code</t>
  </si>
  <si>
    <t>Field to indicate whether the trade is to Open or Close a position. This field will contain O if the transaction is an option trade to open a position in the account.It will contain C if the transaction is an option trade to close a position.Otherwise the field will have NA</t>
  </si>
  <si>
    <t>OPTS_CLSS_CODE</t>
  </si>
  <si>
    <t>Order Management System Executing Type Code</t>
  </si>
  <si>
    <t>OMS_EXEC_TP_CD</t>
  </si>
  <si>
    <t>Order_Management_System_Executing_Type_Code</t>
  </si>
  <si>
    <t>A code for the type of trade executions used in the Order Management System in a code format.</t>
  </si>
  <si>
    <t>ccal_repl_owner.txn t
left join ccal_repl_owner.cl_val cv ON cv.cl_val_id = t.oms_exec_tp_id
and cv.cl_scm_id = '96'</t>
  </si>
  <si>
    <t>Order Management System Executing Type Description</t>
  </si>
  <si>
    <t>OMS_EXEC_TP_DSC</t>
  </si>
  <si>
    <t>Order_Management_System_Executing_Type_Description</t>
  </si>
  <si>
    <t>A description for the type of trade executions used in the Order Management System in a code format.</t>
  </si>
  <si>
    <t>ccal_repl_owner.txn t
join ccal_repl_owner.apa ap ON ap.exec_id = t.txn_id
left join ccal_repl_owner.cl_val cv ON cv.cl_val_id = t.oms_exec_tp_id
and cv.cl_scm_id = '96'</t>
  </si>
  <si>
    <t>Order Management System Executing Type Id</t>
  </si>
  <si>
    <t>OMS_EXEC_TP_ID</t>
  </si>
  <si>
    <t>Identifier for the type of trade executions used in the Order Management System in a code format.</t>
  </si>
  <si>
    <t>Order Management System Executing Type Name</t>
  </si>
  <si>
    <t>OMS_EXEC_TP_NM</t>
  </si>
  <si>
    <t>Order_Management_System_Executing_Type</t>
  </si>
  <si>
    <t>Name of the type of trade executions used in the Order Management System. Examples of OMS execution types would be 'Agency', 'Principal', 'Open Repo', 'Close Repo' etc.</t>
  </si>
  <si>
    <t>Order Management System Order Key</t>
  </si>
  <si>
    <t>OMS_ORDR_KEY</t>
  </si>
  <si>
    <t>Order_Management_System_Order_Key</t>
  </si>
  <si>
    <t>Unique system generated key from OMS system. This field is required in the CAT extracts and will be used to find the newOrderFDID, a field required on Allocation events (MEPA events).</t>
  </si>
  <si>
    <t>Original Booking Date</t>
  </si>
  <si>
    <t>ORIG_BKG_DT</t>
  </si>
  <si>
    <t>Original_Booking_Date</t>
  </si>
  <si>
    <t>This represents the business day date when the quantity has been “booked” in the system.</t>
  </si>
  <si>
    <t>Original Trade Number</t>
  </si>
  <si>
    <t>ORIG_TRD_NUM</t>
  </si>
  <si>
    <t>Original_Trade_Number</t>
  </si>
  <si>
    <t>Original trade number when a trade is being cancelled, corrected, reversed (if available).</t>
  </si>
  <si>
    <t>Orignal Trade Date</t>
  </si>
  <si>
    <t>ORIG_TD</t>
  </si>
  <si>
    <t>Mutual_Fund_Original_Trade_Date</t>
  </si>
  <si>
    <t>The date trade took place at fund company (specific to level 4 mutual funds).</t>
  </si>
  <si>
    <t>Related Transaction Source System Dim Id</t>
  </si>
  <si>
    <t>REL_TXN_SRC_STM_DIM_ID</t>
  </si>
  <si>
    <t>Surrogate key for Related Transaction Source System Dimension.</t>
  </si>
  <si>
    <t>SRC_STM_DIM_ID</t>
  </si>
  <si>
    <t>ccal_repl_owner.txn t
left join ccal_repl_owner.txn_rltnp tr ON t.txn_id = tr.src_txn_id
and tr.actv_f = 'Y'
left join ccal_repl_owner.txn t2 ON tr.trgt_txn_id = t2.txn_id
left join ccal_repl_owner.src_stm_dim stm ON t2.src_stm_id = stm.src_stm_id</t>
  </si>
  <si>
    <t>Related Transaction Source System Id</t>
  </si>
  <si>
    <t>REL_TXN_SRC_STM_ID</t>
  </si>
  <si>
    <t>CDS assigned source system id for related transaction</t>
  </si>
  <si>
    <t>SRC_STM_ID (from T2)</t>
  </si>
  <si>
    <t xml:space="preserve">ccal_repl_owner.txn t
left join ccal_repl_owner.txn_rltnp tr ON t.txn_id = tr.src_txn_id
and tr.actv_f = 'Y'
left join ccal_repl_owner.txn t2 ON tr.trgt_txn_id = t2.txn_id
</t>
  </si>
  <si>
    <t>Related Transaction Source System Code</t>
  </si>
  <si>
    <t>REL_TXN_SRC_STM_CD</t>
  </si>
  <si>
    <t>Related_Transaction_Source_System_Code</t>
  </si>
  <si>
    <t>CDS assigned source system code for related transaction</t>
  </si>
  <si>
    <t>SRC_STM_CD</t>
  </si>
  <si>
    <t>Related Transaction Relationship Type Id</t>
  </si>
  <si>
    <t>REL_TXN_RLTNP_TP_ID</t>
  </si>
  <si>
    <t>Identifier for Relationship type with the related transaction</t>
  </si>
  <si>
    <t>TXN_RLTNP</t>
  </si>
  <si>
    <t>TXN_RLTNP_TP_ID</t>
  </si>
  <si>
    <t xml:space="preserve">ccal_repl_owner.txn t
left join ccal_repl_owner.txn_rltnp tr ON t.txn_id = tr.src_txn_id
and tr.actv_f = 'Y'
</t>
  </si>
  <si>
    <t>Related Transaction Relationship Type Code</t>
  </si>
  <si>
    <t>REL_TXN_RLTNP_TP_CD</t>
  </si>
  <si>
    <t>Related_Transaction_Relationship_Type_Code</t>
  </si>
  <si>
    <t>Code of Relationship type with the target transaction E.g.R01, R02, R03</t>
  </si>
  <si>
    <t xml:space="preserve">ccal_repl_owner.txn t
left join ccal_repl_owner.txn_rltnp tr ON t.txn_id = tr.src_txn_id and tr.actv_f = 'Y'
left join ccal_repl_owner.cl_val cv ON cl_val_id = tr.TXN_RLTNP_TP_ID
and cv.cl_scm_id = '4'
</t>
  </si>
  <si>
    <t>Related Transaction Relationship Type Name</t>
  </si>
  <si>
    <t>REL_TXN_RLTNP_TP_NM</t>
  </si>
  <si>
    <t>Related_Transaction_Relationship_Type</t>
  </si>
  <si>
    <t>Name of Relation ship with the target transaction E.g. Reversal, Cancel, Correct</t>
  </si>
  <si>
    <t>Sales Charge Rate Multiplier Number</t>
  </si>
  <si>
    <t>SALE_CHRG_RATE_MULTI_NUM</t>
  </si>
  <si>
    <t>Sale_Charge_Rate_Multiplier</t>
  </si>
  <si>
    <t>Sales charge expressed as a multiplier for the portion represented by the asset package. This column will have values if Sales Charge Rate is expressed as a multipler.</t>
  </si>
  <si>
    <t>SALE_CHRG_RATE</t>
  </si>
  <si>
    <t>Use APACSH logic from 'ETL Notes' tab.
For a Transaction, If 2 APACSH records exists
     If (one record is 'APACSH04' &amp; other is 'APACSH11') 
          then skip 'APACSH04' record and load 'APACSH11' but use the values to
          populate sales charge attributes from 'APACSH04' for 5 attributes (Sales Charge Rate Multiplier Number, Sales Charge Rate, Sales Charge Rate Type Code, Sales Charge Rate Type Id, Sales Charge Rate Type Name)
     else exception entire transaction
ccal_repl_owner.txn t
join ccal_repl_owner.apa ap ON ap.exec_id = t.txn_id
left join ccal_repl_owner.cl_val cv ON AP.APA_TP_ID = cv.CL_VAL_ID AND
CASE    WHEN AP.SALE_CHRG_RATE_TP_ID = 2507 
            THEN AP.SALE_CHRG_RATE</t>
  </si>
  <si>
    <t>TXN.TXN_ID = APA.EXEC_ID
SALE_CHRG_RATE where SALE_CHRG_RATE_TP_ID = 2507 ELSE NULL
Ref: Bug 2198208: Sales Charges are not populated for MFL4 trades due to APACSH04 being dropped</t>
  </si>
  <si>
    <t>Sales Charge Rate</t>
  </si>
  <si>
    <t>SALE_CHRG_RATE_PCT</t>
  </si>
  <si>
    <t>Sale_Charge_Rate_Percentage</t>
  </si>
  <si>
    <t>Sales charge expressed as percent for the portion represented by the asset package. This column will have values if Sales Charge Rate Type Identifier indicates that it was recorded as a percentage in CCAL</t>
  </si>
  <si>
    <t>Use APACSH logic from 'ETL Notes' tab.
For a Transaction, If 2 APACSH records exists
     If (one record is 'APACSH04' &amp; other is 'APACSH11') 
          then skip 'APACSH04' record and load 'APACSH11' but use the values to
          populate sales charge attributes from 'APACSH04' for 5 attributes (Sales Charge Rate Multiplier Number, Sales Charge Rate, Sales Charge Rate Type Code, Sales Charge Rate Type Id, Sales Charge Rate Type Name)
     else exception entire transaction
ccal_repl_owner.txn t
join ccal_repl_owner.apa ap ON ap.exec_id = t.txn_id
left join ccal_repl_owner.cl_val cv ON AP.APA_TP_ID = cv.CL_VAL_ID AND
CASE   WHEN AP.SALE_CHRG_RATE_TP_ID = 2506 
            THEN AP.SALE_CHRG_RATE</t>
  </si>
  <si>
    <t>Bug 2198208: Sales Charges are not populated for MFL4 trades due to APACSH04 being dropped</t>
  </si>
  <si>
    <t>N (PBI 2198208)</t>
  </si>
  <si>
    <t>Sales Charge Rate Type Code</t>
  </si>
  <si>
    <t>SALE_CHRG_RATE_TP_CD</t>
  </si>
  <si>
    <t>Sale_Charge_Rate_Type_code</t>
  </si>
  <si>
    <t>A code representing the type of value stored for sales charge</t>
  </si>
  <si>
    <t>Use APACSH logic from 'ETL Notes' tab and below logic:
For a Transaction, If 2 APACSH records exists
     If (one record is 'APACSH04' &amp; other is 'APACSH11') 
          then skip 'APACSH04' record and load 'APACSH11' but use the values to
          populate sales charge attributes from 'APACSH04' for 5 attributes (Sales Charge Rate Multiplier Number, Sales Charge Rate, Sales Charge Rate Type Code, Sales Charge Rate Type Id, Sales Charge Rate Type Name)
     else exception entire transaction
ccal_repl_owner.apa ap 
left join ccal_repl_owner.cl_val cv ON cv.cl_val_id = ap.sale_chrg_rate_tp_id
and cv.cl_scm_id = '73'</t>
  </si>
  <si>
    <t>Sales Charge Rate Type Id</t>
  </si>
  <si>
    <t>SALE_CHRG_RATE_TP_ID</t>
  </si>
  <si>
    <t>Identifier representing the type of value stored for sales charge</t>
  </si>
  <si>
    <t>Use APACSH logic from 'ETL Notes' tab.
For a Transaction, If 2 APACSH records exists
     If (one record is 'APACSH04' &amp; other is 'APACSH11') 
          then skip 'APACSH04' record and load 'APACSH11' but use the values to
          populate sales charge attributes from 'APACSH04' for 5 attributes (Sales Charge Rate Multiplier Number, Sales Charge Rate, Sales Charge Rate Type Code, Sales Charge Rate Type Id, Sales Charge Rate Type Name)
     else exception entire transaction</t>
  </si>
  <si>
    <t>Sales Charge Rate Type Name</t>
  </si>
  <si>
    <t>SALE_CHRG_RATE_TP_NM</t>
  </si>
  <si>
    <t>Sale_Charge_Rate_Type</t>
  </si>
  <si>
    <t>Name of Sales charge type Percentage or Multiplier.</t>
  </si>
  <si>
    <t>Security Activity Category</t>
  </si>
  <si>
    <t>SCR_AVY_CGY</t>
  </si>
  <si>
    <t>Security_Activity_Category</t>
  </si>
  <si>
    <t>Represents the specific Category of activity such as a 'Purchase' or 'Income'. Further refinement of the categories are captured under Activity Type.
This field will be populated only if the transaction has a Security leg.</t>
  </si>
  <si>
    <t xml:space="preserve">Use APASEC logic from 'ETL Notes' tab and below logic:
ccal_repl_owner.txn t
join ccal_repl_owner.apa ap ON ap.exec_id = t.txn_id
left join ccal_repl_owner.txn_avy_cl tac ON tac.txn_id = t.txn_id and tac.actv_f = 'Y' and ap.apa_id = tac.apa_id
left join ccal_repl_owner.avy_cl acl ON acl.avy_cl_id = tac.avy_cl_id </t>
  </si>
  <si>
    <t>Security Simplified Display Activity Category</t>
  </si>
  <si>
    <t>SCR_SIMP_DSPL_AVY_CGY</t>
  </si>
  <si>
    <t>Security_Simplified_Display_Activity_Category</t>
  </si>
  <si>
    <t>Simplified Display activity category shown to advisor in applications like client center.
This field will be populated only if the transaction has a Security leg.</t>
  </si>
  <si>
    <t>Security Activity Classification Id</t>
  </si>
  <si>
    <t>SEC_AVY_CL_ID</t>
  </si>
  <si>
    <t>Security_activity_classification_code</t>
  </si>
  <si>
    <t>CDS assigned identifier for the activity class.
This field will be populated only if the transaction has a Security leg.</t>
  </si>
  <si>
    <t>Security Activity Type</t>
  </si>
  <si>
    <t>SCR_AVY_TP</t>
  </si>
  <si>
    <t>Security_Activity_Type</t>
  </si>
  <si>
    <t>Represents a more refined view of the Activity Category.
This field will be populated only if the transaction has a Security leg.</t>
  </si>
  <si>
    <t>Security Simplified Display Activity Type</t>
  </si>
  <si>
    <t>SCR_SIMP_DSPL_AVY_TP</t>
  </si>
  <si>
    <t>Security_Simplified_Display_Activity_Type</t>
  </si>
  <si>
    <t>Simplified Display activity type shown to advisor in applications like client center.
This field will be populated only if the transaction has a Security leg.</t>
  </si>
  <si>
    <t>Security Alternate Description Trailer 2</t>
  </si>
  <si>
    <t>SEC_ALT_DSC_TRAILER_2</t>
  </si>
  <si>
    <t>Security_Alternate_Description_Trailer_2</t>
  </si>
  <si>
    <t>Second line of unformatted, monolingual narrative booking information. SIS trailer field 2. 
This field will be populated only if the transaction has a Security leg.</t>
  </si>
  <si>
    <t>Use APASEC logic from 'ETL Notes' tab.</t>
  </si>
  <si>
    <t>Security Asset Package External Qualifier</t>
  </si>
  <si>
    <t>SEC_APA_EXT_QUALFR</t>
  </si>
  <si>
    <t>Security_Asset_Package_External_Qualifier</t>
  </si>
  <si>
    <t>Qualifier code from the external source system.
This field will be populated only if the transaction has a Security leg.</t>
  </si>
  <si>
    <t>Use APASEC logic from 'ETL Notes' tab.
Note: In SSDS_DAL_OWNER.ACTIVITY_FACT_V remove security_asset_package_external_qualifier field, because values on this field is always null, so there is no need to expose this field in view.</t>
  </si>
  <si>
    <t>Security Asset Package Id</t>
  </si>
  <si>
    <t>SEC_APA_ID</t>
  </si>
  <si>
    <t>Security_Asset_Package_Id</t>
  </si>
  <si>
    <t>APA_ID from CCAL APA table. It is recorded here for the purpose of maintaining a link with the source. 
This field will be populated only if the transaction has a Security leg.</t>
  </si>
  <si>
    <t>Security Asset Package Type Code</t>
  </si>
  <si>
    <t>SCR_APA_TP_CD</t>
  </si>
  <si>
    <t>Security_Asset_Package_Type_Code</t>
  </si>
  <si>
    <t>Code associated with Asset Package Type Id.
This field will be populated only if the transaction has a Security leg.</t>
  </si>
  <si>
    <t>Security Asset Package Type Description</t>
  </si>
  <si>
    <t>SCR_APA_TP_DSC</t>
  </si>
  <si>
    <t>Security_Asset_Package_Type_Description</t>
  </si>
  <si>
    <t>Description associated with Asset Package Type Id.
This field will be populated only if the transaction has a Security leg.</t>
  </si>
  <si>
    <t>Security Asset Package Type Id</t>
  </si>
  <si>
    <t>SEC_APA_TP_ID</t>
  </si>
  <si>
    <t>Asset Pacakge type Id from CCAL core.
This field will be populated only if the transaction has a Security leg.</t>
  </si>
  <si>
    <t>Security Asset Package Type Name</t>
  </si>
  <si>
    <t>SCR_APA_TP_NM</t>
  </si>
  <si>
    <t>Security_Asset_Package_Type</t>
  </si>
  <si>
    <t>Name of Asset Package Type Id.
This field will be populated only if the transaction has a Security leg.</t>
  </si>
  <si>
    <t>Security CIRD Product Id</t>
  </si>
  <si>
    <t>SEC_CIRD_PD_ID</t>
  </si>
  <si>
    <t>SECURITY_CIRD_PRODUCT_ID</t>
  </si>
  <si>
    <t>CIRD identifier for product.
This field will be populated only if the transaction has a Security leg.</t>
  </si>
  <si>
    <t>ccal_cird_pd_map</t>
  </si>
  <si>
    <t>Product Information: (Security source CUSIP, Security Product Id, Security CIRD Product Id, Security Option Symbol, Symbol, ISIN, Product Composite Description, Product Short Name, Product Description)
If there is atleast 1 APASEC, consider above fields from that APASEC
If there is an iAPASEC but no APASEC, consider above fields from iAPASEC
ccal_repl_owner.txn t
join ccal_repl_owner.apa ap ON ap.exec_id = t.txn_id
left join ccal_repl_owner.ccal_cird_pd_map ccpm on ccpm.ccal_pd_id = ap.pd_id
and ccpm.actv_f = 'Y'</t>
  </si>
  <si>
    <t>Security Debit Credit Code</t>
  </si>
  <si>
    <t>SEC_DB_CR_CD</t>
  </si>
  <si>
    <t>A code representing Debit / Credit (e.g. D / C)
This field will be populated only if the transaction has a Security leg.</t>
  </si>
  <si>
    <t>Use APASEC logic from 'ETL Notes' tab and below logic:
ccal_repl_owner.apa ap
left join ccal_repl_owner.cl_val cv ON cv.cl_val_id = ap.db_cr_id dci
and cv.cl_scm_id = '15'</t>
  </si>
  <si>
    <t>Security Debit Credit Name</t>
  </si>
  <si>
    <t>SEC_DB_CR_NM</t>
  </si>
  <si>
    <t>Security_Debit_or_Credit</t>
  </si>
  <si>
    <t>A Name representing Debit / Credit (e.g. Debit / Credit)
This field will be populated only if the transaction has a Security leg.</t>
  </si>
  <si>
    <t>Security Description Trailer 1</t>
  </si>
  <si>
    <t>SEC_DSC_TRAILER_1</t>
  </si>
  <si>
    <t>Security_Description_Trailer_1</t>
  </si>
  <si>
    <t>First line of unformatted, monolingual narrative booking information. SIS Trailer field 1.
This field will be populated only if the transaction has a Security leg.</t>
  </si>
  <si>
    <t>Security Original Quantity</t>
  </si>
  <si>
    <t>SEC_ORIG_QTY</t>
  </si>
  <si>
    <t>Security_Transaction_Quantity</t>
  </si>
  <si>
    <t>Original Quantity of the Package.
This field will be populated only if the transaction has a Security leg.</t>
  </si>
  <si>
    <t>ORIG_QTY</t>
  </si>
  <si>
    <t>Security source CUSIP</t>
  </si>
  <si>
    <t>SEC_SRC_CUSIP</t>
  </si>
  <si>
    <t>Security_Source_CUSIP</t>
  </si>
  <si>
    <t>CUSIP from source system.
This field will be populated only if the transaction has a Security leg.</t>
  </si>
  <si>
    <t>SRC_PD_ID</t>
  </si>
  <si>
    <t>Use APASEC and Product Information logic from 'ETL Notes' tab.
Product Information: (Security source CUSIP, Security Product Id, Security CIRD Product Id, Security Option Symbol, Symbol, ISIN, Product Composite Description, Product Short Name, Product Description)
If there is atleast 1 APASEC, consider above fields from that APASEC
If there is an iAPASEC but no APASEC, consider above fields from iAPASEC</t>
  </si>
  <si>
    <t>[6/3/24]: Modified target data type for Oracle and Redshift</t>
  </si>
  <si>
    <t>Security Product Id</t>
  </si>
  <si>
    <t>SEC_PD_ID</t>
  </si>
  <si>
    <t>Security_CCAL_Product_Id</t>
  </si>
  <si>
    <t>Product Identifier from Security Asset package</t>
  </si>
  <si>
    <t>N (PBI 2195678)</t>
  </si>
  <si>
    <t>Security Investment Product Dim Id</t>
  </si>
  <si>
    <t>SEC_PD_DIM_ID</t>
  </si>
  <si>
    <t>Surrogate key for Instrument Product Dim.
This field will be populated only if the transaction has a Security leg.</t>
  </si>
  <si>
    <t>Use APASEC logic from 'ETL Notes' tab and below logic.
ccal_repl_owner.txn t
join ccal_repl_owner.apa ap ON ap.exec_id = t.txn_id
LEFT join cird_owner.imt_pd_dim ipd ON ipd.CCAL_PD_ID = ap.PD_ID
and ipd.eff_dt &lt;= t.td
and ipd.end_dt &gt; t.td</t>
  </si>
  <si>
    <t>Security Price In Transaction Currency</t>
  </si>
  <si>
    <t>SEC_PRC_IN_TXN_CCY</t>
  </si>
  <si>
    <t>Security_Price_in_Original_Currency</t>
  </si>
  <si>
    <t>NUMBER(38,8)</t>
  </si>
  <si>
    <t>NUMERIC(38,8)</t>
  </si>
  <si>
    <t>Price of the securities instrument in transaction currency.</t>
  </si>
  <si>
    <t>SCR_PRC_IN_TXN_CCY</t>
  </si>
  <si>
    <t>Security Source Price In System Base Currency</t>
  </si>
  <si>
    <t>SEC_SRC_PRC_IN_SBC</t>
  </si>
  <si>
    <t>USD_Security_Source_Price</t>
  </si>
  <si>
    <t>Principal amount of the trade execution expressed in the system base currency. This value should not include commissions or fees associated with the trade.
This field will be populated only if the transaction has a Security leg.</t>
  </si>
  <si>
    <t>SCR_PRC_IN_SBC</t>
  </si>
  <si>
    <t>Security Source Sequence Number</t>
  </si>
  <si>
    <t>SEC_SRC_SEQ_NUM</t>
  </si>
  <si>
    <t>Security_Source_Sequence_Number</t>
  </si>
  <si>
    <t>Sequence Number assigned by source system.
This field will be populated only if the transaction has a Security leg.</t>
  </si>
  <si>
    <t>Security System Base Currency Amount</t>
  </si>
  <si>
    <t>SEC_SBC_AMT</t>
  </si>
  <si>
    <t>USD_Security_Transaction_Amount</t>
  </si>
  <si>
    <t>Transaction Amount expressed in System Base Currency.
This field will be populated only if the transaction has a Security leg.</t>
  </si>
  <si>
    <t>Security Transaction Amount</t>
  </si>
  <si>
    <t>SEC_TXN_AMT</t>
  </si>
  <si>
    <t>Security_Transaction_Amount</t>
  </si>
  <si>
    <t>Transaction amount applicable to the Asset package in transaction currency.
This field will be populated only if the transaction has a Security leg.</t>
  </si>
  <si>
    <t>Settlement Date</t>
  </si>
  <si>
    <t>SD</t>
  </si>
  <si>
    <t>Settlement_Date</t>
  </si>
  <si>
    <t>Settlement date is a securities industry term describing the date on which a trade settles. That is, the actual day on which transfer of cash or assets is completed and is usually a few days after the trade was done.</t>
  </si>
  <si>
    <t>Settlement Date Dimension Id</t>
  </si>
  <si>
    <t>SD_DIM_ID</t>
  </si>
  <si>
    <t>Synthetic Key identifying a single date in the DATE Dimension based on Settlement date</t>
  </si>
  <si>
    <t>ccal_repl_owner.txn t
left join common_owner.dt_dim dd ON t.sd = dd.cal_dt</t>
  </si>
  <si>
    <t>Source Create User Name</t>
  </si>
  <si>
    <t>SRC_CRT_USRNM</t>
  </si>
  <si>
    <t>Source_Create_User_Name</t>
  </si>
  <si>
    <t>The name that represents the user/process that created row in the primary source table</t>
  </si>
  <si>
    <t>Source Effective Date</t>
  </si>
  <si>
    <t>SRC_EFF_DT</t>
  </si>
  <si>
    <t>Source_Effective_Date</t>
  </si>
  <si>
    <t>Effective date of the APA in the source system</t>
  </si>
  <si>
    <t>Use 'Source effective Date' logic from ETL Notes.
If there is only iAPASEC or only iAPACSH, grab source effective date from the iAPASEC/iAPACSH
If there is atleast 1 APASEC or APACSH, grab source effective date from that APASEC/APACSH
ccal_repl_owner.txn t
join ccal_repl_owner.apa ap ON ap.exec_id = t.txn_id</t>
  </si>
  <si>
    <t>Source Entry Channel Type Code</t>
  </si>
  <si>
    <t>SRC_ENTR_CNL_TP_CD</t>
  </si>
  <si>
    <t>Source_Entry_Channel_Type_Code</t>
  </si>
  <si>
    <t>A code for the communication channel through which the order is placed. If client called to place order, this value could be phone order, if a transaction is system-generated, it could be system, if written instruction was provided by client, it could be written order, etc.</t>
  </si>
  <si>
    <t>SRC_ENTR_CNL_TP_DIM</t>
  </si>
  <si>
    <t xml:space="preserve">ccal_repl_owner.txn t
left join transactions_owner.SRC_ENTR_CNL_TP_DIM sectd ON t.src_entr_cnl_tp_id = sectd.src_entr_cnl_tp_id 
</t>
  </si>
  <si>
    <t>N (should it be removed?)</t>
  </si>
  <si>
    <t>Source Entry Channel Type Dimension Id</t>
  </si>
  <si>
    <t>SRC_ENTR_CNL_TP_DIM_ID</t>
  </si>
  <si>
    <t>Surrogate key for the Source Entry Channel Type Dimension</t>
  </si>
  <si>
    <t>Source Entry Channel Type Name</t>
  </si>
  <si>
    <t>SRC_ENTR_CNL_TP_NM</t>
  </si>
  <si>
    <t>Source_Entry_Channel_Type</t>
  </si>
  <si>
    <t>Name for the communication channel through which the order is placed. If client called to place order, this value could be phone order, if a transaction is system-generated, it could be system, if written instruction was provided by client, it could be written order, etc.</t>
  </si>
  <si>
    <t>Source Entry Channel Type Id</t>
  </si>
  <si>
    <t>SRC_ENTR_CNL_TP_ID</t>
  </si>
  <si>
    <t>Identifier for the Source Entry Channel Type</t>
  </si>
  <si>
    <t>Source Entry Datetime</t>
  </si>
  <si>
    <t>SRC_ENTR_DTM</t>
  </si>
  <si>
    <t>Fact_Event_Datetime_Stamp</t>
  </si>
  <si>
    <t>Time stamp of first occurrence of the transaction in the order entry system.</t>
  </si>
  <si>
    <t>Source Processing Type Dimension Id</t>
  </si>
  <si>
    <t>SRC_PCS_TP_DIM_ID</t>
  </si>
  <si>
    <t>Surrogate key for Source Processing Type Dimension.</t>
  </si>
  <si>
    <t>SRC_PCS_TP_DIM</t>
  </si>
  <si>
    <t xml:space="preserve">ccal_repl_owner.txn t
left join transactions_owner.src_pcs_tp_dim sptd ON t.src_pcs_tp_id = sptd.src_pcs_tp_id
</t>
  </si>
  <si>
    <t>Source Processing Type Id</t>
  </si>
  <si>
    <t>SRC_PCS_TP_ID</t>
  </si>
  <si>
    <t>Identifier for the Source Processing Type</t>
  </si>
  <si>
    <t>Source Processing Type Code</t>
  </si>
  <si>
    <t>SRC_PCS_TP_CD</t>
  </si>
  <si>
    <t>Source_Processing_Type_Code</t>
  </si>
  <si>
    <t>A code for the source processing type, values include backdated, initial, cancel, correction or reversal.</t>
  </si>
  <si>
    <t>Source Processing Type Name</t>
  </si>
  <si>
    <t>SRC_PCS_TP_NM</t>
  </si>
  <si>
    <t>Source_Processing_Type</t>
  </si>
  <si>
    <t>Name of the source processing type, values include backdated, initial, cancel, correction or reversal.</t>
  </si>
  <si>
    <t>Source System Code</t>
  </si>
  <si>
    <t>Source_System_Code</t>
  </si>
  <si>
    <t>Code for the source system information coming from Transaction. e.g., BKRBO1, BKRBO2, RJBNK1, ISO</t>
  </si>
  <si>
    <t xml:space="preserve">ccal_repl_owner.txn t
left join common_owner.src_stm_dim ssd ON ssd.src_stm_id = t.src_stm_id
</t>
  </si>
  <si>
    <t>Transaction Source System Dimension Id</t>
  </si>
  <si>
    <t>TXN_SRC_STM_DIM_ID</t>
  </si>
  <si>
    <t>Surrogate Key for Source system dimension based on source system information coming from Transaction.</t>
  </si>
  <si>
    <t>Source Transaction Code</t>
  </si>
  <si>
    <t>SRC_TXN_CODE</t>
  </si>
  <si>
    <t>Source_Transaction_Code</t>
  </si>
  <si>
    <t>A code that represents the source of the transaction.  Possible values of transaction code include CD Adjustment, Interest Adjustment, and Withdrawal/Redemption.</t>
  </si>
  <si>
    <t>.</t>
  </si>
  <si>
    <t>System Base Currency Calculation Date</t>
  </si>
  <si>
    <t>SBC_CCY_CALC_DT</t>
  </si>
  <si>
    <t>USD_Transaction_Calculation_Datetime</t>
  </si>
  <si>
    <t>Date and time  when transaction amount was converted to system base currency</t>
  </si>
  <si>
    <t>STM_BASE_CCY_CLC_DTM</t>
  </si>
  <si>
    <t>System Base Currency Code</t>
  </si>
  <si>
    <t>SBC_CCY_CD</t>
  </si>
  <si>
    <t>System_Base_Currency_Code</t>
  </si>
  <si>
    <t>Product identifier of the system base currency. This is USD for data coming from CDS currently..</t>
  </si>
  <si>
    <t>STM_BASE_ISO_CCY_CODE</t>
  </si>
  <si>
    <t>System Base Currency Dimension Id</t>
  </si>
  <si>
    <t>SBC_CCY_DIM_ID</t>
  </si>
  <si>
    <t>Surrogate key for Currency dimension</t>
  </si>
  <si>
    <t>ccal_repl_owner.apa ap
left join cird_owner.ccy_dim cd ON ap.stm_base_iso_ccy_code = cd.ccy_cd</t>
  </si>
  <si>
    <t>System Base Currency Exchange Rate</t>
  </si>
  <si>
    <t>SBC_EXG_RATE</t>
  </si>
  <si>
    <t>USD_Exchange_Rate</t>
  </si>
  <si>
    <t>Exchange rate used to calculate transaction amount in system base currency</t>
  </si>
  <si>
    <t>STM_BASE_CCY_EXG_RATE</t>
  </si>
  <si>
    <t>Target Transaction Id</t>
  </si>
  <si>
    <t>REL_TXN_ID</t>
  </si>
  <si>
    <t>Target_Transaction_Id</t>
  </si>
  <si>
    <t>The CDS assigned numeric identfier of the related (target) transaction that this current transaction is cancelling/correcting/reversing.</t>
  </si>
  <si>
    <t>TRGT_TXN_ID</t>
  </si>
  <si>
    <t>ccal_repl_owner.txn t
left join ccal_repl_owner.txn_rltnp tr ON t.txn_id = tr.src_txn_id
and tr.actv_f = 'Y'</t>
  </si>
  <si>
    <r>
      <rPr>
        <b/>
        <sz val="11"/>
        <color theme="1"/>
        <rFont val="Calibri"/>
        <family val="2"/>
        <scheme val="minor"/>
      </rPr>
      <t>Note to Dev Team:</t>
    </r>
    <r>
      <rPr>
        <sz val="11"/>
        <color theme="1"/>
        <rFont val="Calibri"/>
        <family val="2"/>
        <scheme val="minor"/>
      </rPr>
      <t xml:space="preserve">
Rename this column only at table level but in SSDS_DAL_OWNER view retain existing name 'TARGET_TRANSACTION_ID' as-is, so that there won't be any impact to consumers.</t>
    </r>
  </si>
  <si>
    <t>Trade Date</t>
  </si>
  <si>
    <t>TD</t>
  </si>
  <si>
    <t>Trade_Date</t>
  </si>
  <si>
    <t>Trade date of the transaction</t>
  </si>
  <si>
    <t>Trade Number</t>
  </si>
  <si>
    <t>TRD_NUM</t>
  </si>
  <si>
    <t>Trade_Number</t>
  </si>
  <si>
    <t>An identification number of the trade (transaction number) that represents an executed FMI trade transaction.</t>
  </si>
  <si>
    <t>Trade Solicitation Type Dimension Id</t>
  </si>
  <si>
    <t>TRD_SLCT_TP_DIM_ID</t>
  </si>
  <si>
    <t>Surrogate key for the Trade Solicitation Type Dimension</t>
  </si>
  <si>
    <t>TRD_SLCT_TP_DIM</t>
  </si>
  <si>
    <t xml:space="preserve">ccal_repl_owner.txn t
left join transactions_owner.trd_slct_tp_dim tstd ON t.trd_slct_tp_id = tstd.trd_slct_tp_id
</t>
  </si>
  <si>
    <t>https://tfs.rjf.com/tfs/RJ_Git_Collection/CDSIntegration/_workitems/edit/1707564
The change will be to populate all TRD_SLCT_TP_ID = '2380' which indicates Solicited flag.</t>
  </si>
  <si>
    <t>Trade Solicitation Type Id</t>
  </si>
  <si>
    <t>TRD_SLCT_TP_ID</t>
  </si>
  <si>
    <t>Identifier for the Trade Solicitation Type</t>
  </si>
  <si>
    <t>Trade Solicitation Type Code</t>
  </si>
  <si>
    <t>TRD_SLCT_TP_CD</t>
  </si>
  <si>
    <t>Trade_Solicitation_Type_Code</t>
  </si>
  <si>
    <t>A code for the solicitation method in which the trade was executed.  A trade can be initiated by the broker, the client, or done at discretion of broker in discretionary accounts.</t>
  </si>
  <si>
    <t>Trade Solicitation Type Name</t>
  </si>
  <si>
    <t>TRD_SLCT_TP_NM</t>
  </si>
  <si>
    <t>Trade_Solicitation_Type</t>
  </si>
  <si>
    <t>Tname of the solicitation method in which the trade was executed.  A trade can be initiated by the broker, the client, or done at discretion of broker in discretionary accounts.</t>
  </si>
  <si>
    <t>Transaction Classification Flag</t>
  </si>
  <si>
    <t>TXN_CL_F</t>
  </si>
  <si>
    <t>Activity_Classification_Flag</t>
  </si>
  <si>
    <t>Transaction Id</t>
  </si>
  <si>
    <t>TXN_ID</t>
  </si>
  <si>
    <t>Transaction_Id</t>
  </si>
  <si>
    <t>CDS assigned numeric identfier of the transaction</t>
  </si>
  <si>
    <t>Transaction Source Key</t>
  </si>
  <si>
    <t>TXN_SRC_KEY</t>
  </si>
  <si>
    <t>Transaction_Source_Key</t>
  </si>
  <si>
    <t>A unique key which will help tie a CCAL transaction to the original source system transaction for research purposes.</t>
  </si>
  <si>
    <t>Transaction Subtype Code</t>
  </si>
  <si>
    <t>TXN_SUB_TP_CD</t>
  </si>
  <si>
    <t>Transaction_Subtype_Code</t>
  </si>
  <si>
    <t>Code assigned to each transaction subtype. Transaction subtypes offer narrower sub-classification of transactions Base on definition within the line-of-business or source system such as 'ATM Deposit' or '3rd Party ACH' to further refine a transaction type of 'Cash Deposit'.</t>
  </si>
  <si>
    <t xml:space="preserve">ccal_repl_owner.txn t
left join ccal_repl_owner.cl_val cv ON cv.cl_val_id = t.txn_sbtp_id
and cv.cl_scm_id = '3'
</t>
  </si>
  <si>
    <t>Transaction Subtype Description</t>
  </si>
  <si>
    <t>TXN_SUB_TP_DSC</t>
  </si>
  <si>
    <t>Transaction_Subtype_Description</t>
  </si>
  <si>
    <t>Description for the Transaction Subtype code</t>
  </si>
  <si>
    <t>ccal_repl_owner.txn t
left join ccal_repl_owner.cl_val cv ON cv.cl_val_id = t.txn_sbtp_id
and cv.cl_scm_id = '3'</t>
  </si>
  <si>
    <t>Transaction Subtype Id</t>
  </si>
  <si>
    <t>TXN_SBTP_ID</t>
  </si>
  <si>
    <t>CDS assigned Identifier for the transaction subtype  - used for data lineage</t>
  </si>
  <si>
    <t>Transaction Subtype Name</t>
  </si>
  <si>
    <t>TXN_SUB_TP_NM</t>
  </si>
  <si>
    <t>Transaction_Subtype</t>
  </si>
  <si>
    <t>Name of each transaction subtype. Transaction subtypes offer narrower sub-classification of transactions Base on definition within the line-of-business or source system such as 'ATM Deposit' or '3rd Party ACH' to further refine a transaction type of 'Cash Deposit'.</t>
  </si>
  <si>
    <t>Transaction Type Code</t>
  </si>
  <si>
    <t>TXN_TP_CD</t>
  </si>
  <si>
    <t>Transaction_Type_Code</t>
  </si>
  <si>
    <t>Transaction type codes define transactions from different source systems of different types of trades. The codes start with the key letter "T", followed by 4-character abbreviations which indicate the source system, and end with 3-digit numbers represent different types of trade.</t>
  </si>
  <si>
    <t>ccal_repl_owner.txn t
left join ccal_repl_owner.cl_val cv ON cv.cl_val_id = t.txn_tp_id
and cv.cl_scm_id = '2'</t>
  </si>
  <si>
    <t>Transaction Type Description</t>
  </si>
  <si>
    <t>TXN_TP_DSC</t>
  </si>
  <si>
    <t>Transaction_Type_Description</t>
  </si>
  <si>
    <t>Description for the Transaction type</t>
  </si>
  <si>
    <t xml:space="preserve">ccal_repl_owner.txn t
left join ccal_repl_owner.cl_val cv ON cv.cl_val_id = t.txn_tp_id
and cv.cl_scm_id = '2'
</t>
  </si>
  <si>
    <t>Transaction Type Id</t>
  </si>
  <si>
    <t>TXN_TP_ID</t>
  </si>
  <si>
    <t>Identifier for the Transaction type</t>
  </si>
  <si>
    <t>Transaction Type Name</t>
  </si>
  <si>
    <t>TXN_TP_NM</t>
  </si>
  <si>
    <t>Transaction_Type</t>
  </si>
  <si>
    <t>Name that represents transactions from different source systems of different types of trades.</t>
  </si>
  <si>
    <t>Original Source System Id</t>
  </si>
  <si>
    <t>ORIG_SRC_STM_ID</t>
  </si>
  <si>
    <t>Identifier of the source system from which CDS database receives/obtains the underlying record.</t>
  </si>
  <si>
    <t>Original Source System Code</t>
  </si>
  <si>
    <t>Transaction_Originating_Source_System_Code</t>
  </si>
  <si>
    <t>Code that represents the source system from which CDS database receives/obtains the underlying record.</t>
  </si>
  <si>
    <r>
      <t>[6/3/24]: Modified target data type for Oracle and Redshift. PBI 1912566.
Updated Source Attribute from ORIG_SRC_STM_CD to ORIG_SRC_STM_C</t>
    </r>
    <r>
      <rPr>
        <sz val="11"/>
        <color rgb="FFFF0000"/>
        <rFont val="Calibri"/>
        <family val="2"/>
        <scheme val="minor"/>
      </rPr>
      <t>ODE</t>
    </r>
  </si>
  <si>
    <t>Brokerage Arrangement Dim Id</t>
  </si>
  <si>
    <t>BKR_AR_DIM_ID</t>
  </si>
  <si>
    <t>Surrogate Key for Brokerage Arrangement Dimension</t>
  </si>
  <si>
    <t>AR_DIM_ID</t>
  </si>
  <si>
    <t>Populate with AR_DIM_ID based on the lookup for BKR_AR_ID</t>
  </si>
  <si>
    <t>[9/6/24]: Reflected the change to use TXN.TD from Product Backlog Item 1912566: Change join condition and update data types for Activity.
[9/17/24]: NULL in the field is acceptable since the field should not be provisioned to the end users. If implemented as NULL, the DRD is TBU.
[9/19/24]: The column will not be dropped. Changed to use the same logic as for BKR_AR_ID lookup</t>
  </si>
  <si>
    <t>Offset Arrangement Dim Id</t>
  </si>
  <si>
    <t>OFST_AR_DIM_ID</t>
  </si>
  <si>
    <t>Surrogate Key for offset Arrangement Dimension</t>
  </si>
  <si>
    <t>ccal_repl_owner.txn t
join ccal_repl_owner.apa ap ON ap.exec_id = t.txn_id
LEFT join ccsi_repl_owner.ar_dim ard ON ard.AR_ID = ap.OFST_AR_ID
and ard.eff_dt &lt;= t.td
and ard.end_dt &gt; t.td</t>
  </si>
  <si>
    <t>Arrangement Dimension Id</t>
  </si>
  <si>
    <t>Surrogate Key for Arrangement Dimension corresponding to AR_ID</t>
  </si>
  <si>
    <t>[9/6/24]: Reflected the change to use TXN.TD from Product Backlog Item 1912566: Change join condition and update data types for Activity.
[9/17/24]: NULL in the field is acceptable since the field should not be provisioned to the end users. If implemented as NULL, the DRD is TBU. For now updating to use TXN.AR_ID instead of APA.AR_ID as it's a part of the main AR_DIM join.
[9/19/24]: The column will not be dropped</t>
  </si>
  <si>
    <t>Last Update User Name</t>
  </si>
  <si>
    <t>LAST_UDT_USR_NM</t>
  </si>
  <si>
    <t>Last_Update_User_Name</t>
  </si>
  <si>
    <t>The name that represents the user or application who inserted, updated, or deleted each occurrence of row</t>
  </si>
  <si>
    <t>Audit column. DEFAULT sysdate</t>
  </si>
  <si>
    <t>Last Update Datetime</t>
  </si>
  <si>
    <t>LAST_UDT_DTM</t>
  </si>
  <si>
    <t>Last_Update_Datetime</t>
  </si>
  <si>
    <t>The exact date and time when an occurrence is inserted, updated, or deleted a row</t>
  </si>
  <si>
    <t>Audit column. DEFAULT USER</t>
  </si>
  <si>
    <t>EOD Arrangement Dimension Id</t>
  </si>
  <si>
    <t>EOD_AR_DIM_ID</t>
  </si>
  <si>
    <t>Remove</t>
  </si>
  <si>
    <t>[10/24/24]: Dim IDs are not expected. To be removed from the DRD eventually</t>
  </si>
  <si>
    <t>N/A</t>
  </si>
  <si>
    <t>EOD Brokerage Arrangement Dimension Id</t>
  </si>
  <si>
    <t>EOD_BKR_AR_DIM_ID</t>
  </si>
  <si>
    <t>EOD Cash Product Dim Id</t>
  </si>
  <si>
    <t>EOD_CASH_PD_DIM_ID</t>
  </si>
  <si>
    <t>EOD Offset Arrangement Dim Id</t>
  </si>
  <si>
    <t>EOD_OFST_AR_DIM_ID</t>
  </si>
  <si>
    <t>EOD Security Product Dim Id</t>
  </si>
  <si>
    <t>EOD_SEC_PD_DIM_ID</t>
  </si>
  <si>
    <t>Session Number</t>
  </si>
  <si>
    <t>SESS_NO</t>
  </si>
  <si>
    <t>ODI Session Number which created this record</t>
  </si>
  <si>
    <t>Security Option Symbol</t>
  </si>
  <si>
    <t>SCR_OPT_SYMB</t>
  </si>
  <si>
    <t>Security_Option_Symbol</t>
  </si>
  <si>
    <t>Display form of the Option Symbol that includes underlying security symbol, expiration date, option type and strike price for the option series</t>
  </si>
  <si>
    <t>SPX 2025 Feb 03 Put 2740.59</t>
  </si>
  <si>
    <t>OPT_SYMB</t>
  </si>
  <si>
    <t>[10/24/24]: Added new field per Product Backlog Item 2064326: Add Option Symbol attribute to Activity Facts
[11/01/24]: Populated Physical Name Attribute</t>
  </si>
  <si>
    <t>Derived Trade Capacity Code</t>
  </si>
  <si>
    <t>DRVD_TRD_CPCTY_CD</t>
  </si>
  <si>
    <t>Derived_Trade_Capacity_Code</t>
  </si>
  <si>
    <t>Unique Code derived to show type of capacity based on combination of legacy trade capacity and OMS execution type. Eg. acting as principal or agency.</t>
  </si>
  <si>
    <t>Use CL_SCM_ID = 104</t>
  </si>
  <si>
    <t>Derived Trade Capacity Name</t>
  </si>
  <si>
    <t>DRVD_TRD_CPCTY_NM</t>
  </si>
  <si>
    <t>Derived_Trade_Capacity</t>
  </si>
  <si>
    <t>Derived Unique Name that represents what type of capacity based on combination of legacy trade capacity and OMS execution type the trade was executed in. Eg. acting as principal or agency.</t>
  </si>
  <si>
    <t>Derived Trade Capacity Id</t>
  </si>
  <si>
    <t>DRVD_TRD_CPCTY_ID</t>
  </si>
  <si>
    <t>Unique Identifier derived to show type of capacity based on combination of legacy trade capacity and OMS execution type. Eg. acting as principal or agency.</t>
  </si>
  <si>
    <t>DRVD_TRD_CPCTY_TP_ID</t>
  </si>
  <si>
    <t>Per PBI- 2063884</t>
  </si>
  <si>
    <t>Additional Trade Instruction</t>
  </si>
  <si>
    <t>Additional_Trade_Instruction</t>
  </si>
  <si>
    <t>VARCHAR2(5)</t>
  </si>
  <si>
    <t>character varying(5)</t>
  </si>
  <si>
    <t>Five character code used to override an Edit Message to give the system special handling instructions for the trade.</t>
  </si>
  <si>
    <t>PBI 2329172</t>
  </si>
  <si>
    <t>PBI 2030710</t>
  </si>
  <si>
    <t>ADL_TRD_INSR</t>
  </si>
  <si>
    <t>[05/28/25]: Product Backlog Item 2030710: Populate new columns for trade and fee attributes for Activity</t>
  </si>
  <si>
    <t>Trade Factor Rate</t>
  </si>
  <si>
    <t>Trade_Factor_Rate</t>
  </si>
  <si>
    <t>NUMBER(22,8)</t>
  </si>
  <si>
    <t>NUMERIC(22,8)</t>
  </si>
  <si>
    <t>The ratio of the current principal amount of a security to its original principal amount.
It is a numeric field indicating the amortization factor associated with the trade of a GNMA bond, FNMA bond, FHLMC bond, or any bond carrying a factor. All other records should have a value of 1.000.</t>
  </si>
  <si>
    <t>TRD_FCTR_RATE</t>
  </si>
  <si>
    <t>Markup Rate</t>
  </si>
  <si>
    <t>Markup_Rate</t>
  </si>
  <si>
    <t>NUMBER(22,6)</t>
  </si>
  <si>
    <t>NUMERIC(22,6)</t>
  </si>
  <si>
    <t>Percentage added to a product cost to determine its final price.</t>
  </si>
  <si>
    <t>MRKUP_RATE</t>
  </si>
  <si>
    <t>Standard Commission Amount</t>
  </si>
  <si>
    <t>Standard_Commission_Amount</t>
  </si>
  <si>
    <t>Standard amount to be charged by broker or intermediary for trade execution.</t>
  </si>
  <si>
    <t>STD_CMSN_AMT</t>
  </si>
  <si>
    <t>Actual Commission Amount</t>
  </si>
  <si>
    <t>USD_Actual_Commission_Amount</t>
  </si>
  <si>
    <t>Actual amount charged by broker or intermediary for a trade execution.</t>
  </si>
  <si>
    <t>If TXN.SRC_STM_ID in (25, 94) --STSR or STSR2
and TXN.TXN_TP_ID not in (14, 1856) -- not Fund Trades
and FIP.FIP_TP_ID in (123, 160) --FIPCOM01, FIPCOM91
Then move STM_BASE_CCY_AMT</t>
  </si>
  <si>
    <t>Trade Processing Fee Amount</t>
  </si>
  <si>
    <t>USD_Trade_Processing_Fee_Amount</t>
  </si>
  <si>
    <t>Amount charged to cover the operational costs associated with the post-execution processing of a trade</t>
  </si>
  <si>
    <t>If TXN.SRC_STM_ID in (25, 94) --STSR or STSR2
and FIP.FIP_TP_ID = 125 (FIPFEE01, Processing (handling) Fee)
Then move STM_BASE_CCY_AMT</t>
  </si>
  <si>
    <t>SEC Fee Amount</t>
  </si>
  <si>
    <t>USD_SEC_Fee_Amount</t>
  </si>
  <si>
    <t>Regulatory fee charged on the sale of exchange-listed securities, collected under Section 31 of the Securities Exchange Act of 1934. It is designed to help fund operations of the US Securities and Exchange Commission (SEC)</t>
  </si>
  <si>
    <t>If TXN.SRC_STM_ID in (25, 94) --STSR or STSR2
and FIP.FIP_TP_ID = 126 (FIPTAX03, SEC Fee)
Then move STM_BASE_CCY_AMT</t>
  </si>
  <si>
    <t>Accrued Interest Amount</t>
  </si>
  <si>
    <t>USD_Accrued_Interest_Amount</t>
  </si>
  <si>
    <t>The amount of fixed income security interest that has accumulated between the most recent interest payment and the trade</t>
  </si>
  <si>
    <t>If TXN.SRC_STM_ID in (25, 94) --STSR or STSR2
and FIP.FIP_TP_ID = 124 (FIPINT01, Accrued Interest)
Then move STM_BASE_CCY_AMT</t>
  </si>
  <si>
    <t>Concession Amount</t>
  </si>
  <si>
    <t>USD_Concession_Amount</t>
  </si>
  <si>
    <t>Amount paid to the broker or firm that facilitates the sale of the mutual fund shares</t>
  </si>
  <si>
    <t>If TXN.SRC_STM_ID in (25, 94) --STSR or STSR2
and TXN.TXN_TP_ID in (14, 1856) -- Fund Trades
and FIP.FIP_TP_ID in (123, 160) --FIPCOM01, FIPCOM91
Then move STM_BASE_CCY_AMT</t>
  </si>
  <si>
    <t>Contingent Deferred Sales Charge Amount</t>
  </si>
  <si>
    <t>USD_Contingent_Deferred_Sales_Charge_Amount</t>
  </si>
  <si>
    <t>Back-end sales charge paid for Class B mutual fund shares within a specified period from the original purchase date. This fee is also known as Exit Fee.</t>
  </si>
  <si>
    <t>STM_BASE_CCY_AMT
OTHR_FEE</t>
  </si>
  <si>
    <t>If TXN.SRC_STM_ID in (25, 94) --STSR or STSR2
and TXN.TXN_TP_ID in (14, 1856) -- Fund Trades
and TXN.BUY_SELL_IND = 'Sell'
and FIP.FIP_TP_ID = 132 (FIPFEE02, Miscellaneous Fee(s))
Then
for TXN.SRC_STM_ID = 94 move STM_BASE_CCY_AMT
for TXN.SRC_STM_ID = 25 move OTHR_FEE</t>
  </si>
  <si>
    <t>Other Fee Amount</t>
  </si>
  <si>
    <t>USD_Other_Fee_Amount</t>
  </si>
  <si>
    <t>Aggregation of miscellaneous fees associated with the trade. It includes trade schedule charges, Mutual Fund transaction fees, taxes.</t>
  </si>
  <si>
    <t>If TXN.SRC_STM_ID in (25, 94) --STSR or STSR2
and FIP.FIP_TP_ID = 132 (FIPFEE02, Miscellaneous Fee(s))
Then
for TXN.SRC_STM_ID = 94 move STM_BASE_CCY_AMT
for TXN.SRC_STM_ID = 25 move OTHR_FEE</t>
  </si>
  <si>
    <t>Trade Cancelled Flag</t>
  </si>
  <si>
    <t>Trade_Cancelled_Flag</t>
  </si>
  <si>
    <t>The flag that indicates that the trade has been cancelled</t>
  </si>
  <si>
    <t>If there is a record in CCAL_REPL_OWNER.TXN_RLTNP table with TXN.TXN_ID = TXN_RLTNP.TRGT_TXN_ID
and TXN_RLTNP_TP_ID = 69 (Cancel)
and TXN_RLTNP.TRGT_TXN_ID &lt;&gt; TXN_RLTNP.SRC_TXN_ID
then set to 'Y' for both TRGT_TXN_ID and SRC_TXN_ID.
The check should be performed each time when a new record is written into CCAL_REPL_OWNER.TXN_RLTNP with TXN_RLTNP_TP_ID = 69 and update the flag for both TRGT_TXN_ID and SRC_TXN_ID, if TXN_RLTNP.TRGT_TXN_ID &lt;&gt; TXN_RLTNP.SRC_TXN_ID.
Note: TXN_RLTNP.TRGT_TXN_ID &lt;&gt; TXN_RLTNP.SRC_TXN_ID is needed because it is possible that cancellation trade points to itself when the original trade that is being cancelled is not found. In this case Cancelled Flag should not be set to 'Y'</t>
  </si>
  <si>
    <t>[05/28/25]: Product Backlog Item 2030710: Populate new columns for trade and fee attributes for Activity
NOTE: This logic is different from TDS/DWH cancelled_flag. Lighthouse will have the flag set only for [cancellation trade + cancelled trade] pair, while TDS/DWH flag is also set for reversals and orphan cancels that don't point to initial trades</t>
  </si>
  <si>
    <t>Symbol</t>
  </si>
  <si>
    <t>SYMB</t>
  </si>
  <si>
    <t>A ticker symbol or stock symbol is an abbreviation used to uniquely identify publicly traded shares of a particular stock on a particular stock market. A stock symbol may consist of letters, numbers or a combination of both. This is the symbol that is in the executing exchange.</t>
  </si>
  <si>
    <t>[06/16/25]: Product Backlog Item 2030710: Populate new columns for trade and fee attributes for Activity</t>
  </si>
  <si>
    <t>ISIN</t>
  </si>
  <si>
    <t>SOURCE_ISIN</t>
  </si>
  <si>
    <t>ISIN stands for International Securities Identification Number. These numbers are unique codes used to identify and track securities worldwide</t>
  </si>
  <si>
    <t>Transaction Source Tax Code</t>
  </si>
  <si>
    <t>TXN_SRC_TAX_CD</t>
  </si>
  <si>
    <t>RJ_Trust_source_transaction_code</t>
  </si>
  <si>
    <t>Code value representing Tax Code in transaction source system used for tax reporting purposes.
Currently populated for RJ Trust transactions only.</t>
  </si>
  <si>
    <t>PBI 2349114</t>
  </si>
  <si>
    <t>PBI 2399461</t>
  </si>
  <si>
    <t>TXN_SRC_TAX_CODE_LKUP</t>
  </si>
  <si>
    <t>SRC_TAX_CODE</t>
  </si>
  <si>
    <t>Left join to CCAL_REPL_OWNER.TXN_SRC_TAX_CODE_LKUP LKP table on TXN.SRC_TAX_CODE_ID = LKP.SRC_TAX_CODE_ID
and LKP.ACTV_F = 'Y'</t>
  </si>
  <si>
    <t>[8/4/25]: Product Backlog Item 2349114: Add new Tax Code columns in Activity Fact and Activity Detail Fact.
Product Backlog Item 2399461: Populate new Tax Code columns in Activity Fact and Activity Detail Fact
[11/3/25]: Updated column names based on CCAL data modeling output</t>
  </si>
  <si>
    <t>Transaction Source Tax Code Description</t>
  </si>
  <si>
    <t>TXN_SRC_TAX_CD_DSC</t>
  </si>
  <si>
    <t>RJ_Trust_source_transaction_Description</t>
  </si>
  <si>
    <t>Description of the Tax Code in transaction source system used for tax reporting purposes.
Currently populated for RJ Trust transactions only.</t>
  </si>
  <si>
    <t>SRC_TAX_CODE_DSC</t>
  </si>
  <si>
    <t>Time Price Discretion Flag</t>
  </si>
  <si>
    <t>TM_PRC_DISCRETION_F</t>
  </si>
  <si>
    <t>Time_Price_Discretion_Flag</t>
  </si>
  <si>
    <t>A flag that determines whether a trade has been executed with Time and Price Discretion or not. Excpected value- Y or N</t>
  </si>
  <si>
    <t>PBI 2556250</t>
  </si>
  <si>
    <t>CHAR(1)</t>
  </si>
  <si>
    <t>Cash Net New Asset Category ID</t>
  </si>
  <si>
    <t>CASH_NNA_CGY_ID</t>
  </si>
  <si>
    <t>Net New Asset Category Identifier for Cash Asset Package of the transaction</t>
  </si>
  <si>
    <t>PBI 2218755</t>
  </si>
  <si>
    <t>PBI 2218746</t>
  </si>
  <si>
    <t>NNA_CGY_ID</t>
  </si>
  <si>
    <t>[11/3/25]: Product Backlog Item 2218755: Add NNA Category columns to Activity Fact and Activity Detail Fact tables
Product Backlog Item 2218746: Populate NNA Category fields to Activity Fact and Activity Detail Fact tables
[1/28/26]: Corrected Source Table and Source Attribute Name for NNA categories to match with most recent DDL updates in CCAL</t>
  </si>
  <si>
    <t>Cash Net New Asset Category Name</t>
  </si>
  <si>
    <t>CASH_NNA_CGY_NM</t>
  </si>
  <si>
    <t>Cash_Net_New_Asset_Category</t>
  </si>
  <si>
    <t>Net New Asset Category Name for Cash Asset Package of the transaction</t>
  </si>
  <si>
    <t>NNA_CGY</t>
  </si>
  <si>
    <t>NNA_CGY_NM</t>
  </si>
  <si>
    <t>Use APACSH logic from 'ETL Notes' tab and below logic:
ccal_repl_owner.txn t
join ccal_repl_owner.apa ap ON ap.exec_id = t.txn_id
left join ccal_repl_owner.txn_avy_cl tac ON tac.txn_id = t.txn_id and tac.actv_f = 'Y' and ap.apa_id = tac.apa_id
left join ccal_repl_owner.net_new _ast_cgy nna ON nna.net_new_ast_cgy_id = tac.net_new_ast_cgy_id</t>
  </si>
  <si>
    <r>
      <t xml:space="preserve">[11/3/25]: Product Backlog Item 2218755: Add NNA Category columns to Activity Fact and Activity Detail Fact tables
Product Backlog Item 2218746: Populate NNA Category fields to Activity Fact and Activity Detail Fact tables
[1/28/26]: Corrected Source Attribute Name for NNA categories to match with most recent DDL updates in CCAL. TBC if </t>
    </r>
    <r>
      <rPr>
        <sz val="11"/>
        <color theme="1"/>
        <rFont val="Calibri"/>
        <family val="2"/>
        <scheme val="minor"/>
      </rPr>
      <t>AVY should be a part of the field name.
[2/3/26]: Removed AVY from the Source Attribute Name</t>
    </r>
  </si>
  <si>
    <t>Security Net New Asset Category ID</t>
  </si>
  <si>
    <t>SCR_NNA_CGY_ID</t>
  </si>
  <si>
    <t>Net New Asset Category Identifier for Security Asset Package of the transaction</t>
  </si>
  <si>
    <t>Security Net New Asset Category Name</t>
  </si>
  <si>
    <t>SCR_NNA_CGY_NM</t>
  </si>
  <si>
    <t>Security_Net_New_Asset_Category</t>
  </si>
  <si>
    <t>Net New Asset Category Name for Security Asset Package of the transaction</t>
  </si>
  <si>
    <t>Use APASEC logic from 'ETL Notes' tab and below logic:
ccal_repl_owner.txn t
join ccal_repl_owner.apa ap ON ap.exec_id = t.txn_id
left join ccal_repl_owner.txn_avy_cl tac ON tac.txn_id = t.txn_id and tac.actv_f = 'Y' and ap.apa_id = tac.apa_id
left join ccal_repl_owner.net_new _ast_cgy nna ON nna.net_new_ast_cgy_id = tac.net_new_ast_cgy_id</t>
  </si>
  <si>
    <t>Yield</t>
  </si>
  <si>
    <t>YLD</t>
  </si>
  <si>
    <t>Return or earnings generated from the trade.</t>
  </si>
  <si>
    <t>YIELD</t>
  </si>
  <si>
    <t>NUMBER(18,9)</t>
  </si>
  <si>
    <t>value to be picked from APASEC</t>
  </si>
  <si>
    <t>Yield To Worst</t>
  </si>
  <si>
    <t>YTW</t>
  </si>
  <si>
    <t>Yield_To_Worst</t>
  </si>
  <si>
    <t>The lowest potential yield that can be received on a bond without the issuer actually defaulting.</t>
  </si>
  <si>
    <t>YIELD_TO_WORST</t>
  </si>
  <si>
    <t>Yield To Worst Code</t>
  </si>
  <si>
    <t>YTW_CD</t>
  </si>
  <si>
    <t>Yield_To_Worst_Code</t>
  </si>
  <si>
    <t>Character Varying(1)</t>
  </si>
  <si>
    <t>This code indicates till when a bond is being held or when being redeemed.
“M” = Yield to Maturity
“O” = Yield to Par
“C” = Yield to Call
“P” = Yield to Put
“R” = Yield to Pre-refunded
blank = Not Applicable</t>
  </si>
  <si>
    <t>YIELD_TO_WORST_CD</t>
  </si>
  <si>
    <t>Expecetd value- “M” = Yield to Maturity
“O” = Yield to Par
“C” = Yield to Call
“P” = Yield to Put
“R” = Yield to Pre-refunded
blank = Not Applicable</t>
  </si>
  <si>
    <t>Brokerage Account Number</t>
  </si>
  <si>
    <t>BKR_AC_NUM</t>
  </si>
  <si>
    <t>Brokerage_Account_Number</t>
  </si>
  <si>
    <t>A unique identifier assigned to the brokerage account that serves as the primary reference point within an arrangement or account group.</t>
  </si>
  <si>
    <t>Add - New attribute</t>
  </si>
  <si>
    <t>ar_dim</t>
  </si>
  <si>
    <t>orig_src_stm_ar_id</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</si>
  <si>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t>
  </si>
  <si>
    <t>Arrangement</t>
  </si>
  <si>
    <t>SIS Detailed Events Code</t>
  </si>
  <si>
    <t>SIS_DLTD_EV_CD</t>
  </si>
  <si>
    <t>sis_detailed_event_code</t>
  </si>
  <si>
    <t>Code that determines what type of transaction the record contains. For SIS activity the values depend on the record type.</t>
  </si>
  <si>
    <t>ccal_repl_owner.cl_val cv
left join ccal_repl_owner.cl_val cv ON
cv.cl_val_id = t.SRC_BUY_SELL_MULTI_ID
and cv.CL_SCM_ID = '99' (this is excessive; using cl_val_id no need to use CL_SCM. Added for consistency with existing Name attribute)</t>
  </si>
  <si>
    <t>N (PBI 2647476)</t>
  </si>
  <si>
    <t>Debit Card Transaction Date</t>
  </si>
  <si>
    <t>DB_CARD_TXN_DT</t>
  </si>
  <si>
    <t>debit_card_transaction_date</t>
  </si>
  <si>
    <t>TIMESTAMP WITHOUT TIMEZONE</t>
  </si>
  <si>
    <t>For TXN.SRC_STM_ID = 60 (ACTDETTD), use ORIG_TD.
Suppress from Original Trade Date for ACTDETTD source</t>
  </si>
  <si>
    <t>Debit Card Original Currency Code</t>
  </si>
  <si>
    <t>DB_CARD_ORIG_CCY_CD</t>
  </si>
  <si>
    <t>debit_card_original_currency_numeric_code</t>
  </si>
  <si>
    <t>This currency is the currency that was used on a debit card transaction</t>
  </si>
  <si>
    <t>Reference_Repl_Owner</t>
  </si>
  <si>
    <t>CCY</t>
  </si>
  <si>
    <t>CCY_CODE</t>
  </si>
  <si>
    <r>
      <t xml:space="preserve">Only applicable to SRC_STM_ID = 60 (ACTDETTD)
ccal_repl_owner.txn t
join ccal_repl_owner.apa ap ON ap.exec_id = t.txn_id
</t>
    </r>
    <r>
      <rPr>
        <sz val="11"/>
        <color rgb="FFFF0000"/>
        <rFont val="Calibri"/>
        <family val="2"/>
        <scheme val="minor"/>
      </rPr>
      <t>join REFERENCE_repl_OWNER.CCY orig on apa.orig_ccy_id = orig.CCY_ISO_NUM_CODE
TBC if CDS values are to be left padded with 0 to 3</t>
    </r>
  </si>
  <si>
    <t>Debit Card Original Currency</t>
  </si>
  <si>
    <t>DB_CARD_ORIG_CCY</t>
  </si>
  <si>
    <t>debit_card_original_currency</t>
  </si>
  <si>
    <t>VARCHAR2(250)</t>
  </si>
  <si>
    <t>character varying(250)</t>
  </si>
  <si>
    <t>CCY_NM</t>
  </si>
  <si>
    <r>
      <t xml:space="preserve">Only applicable to SRC_STM_ID = 60 (ACTDETTD)
ccal_repl_owner.txn t
join ccal_repl_owner.apa ap ON ap.exec_id = t.txn_id
</t>
    </r>
    <r>
      <rPr>
        <sz val="11"/>
        <color rgb="FFFF0000"/>
        <rFont val="Calibri"/>
        <family val="2"/>
        <scheme val="minor"/>
      </rPr>
      <t>join REFERENCE_repl_OWNER.CCY orig on apa.orig_ccy_id = orig.CCY_ISO_NUM_CODE</t>
    </r>
  </si>
  <si>
    <t>SDIRA Transaction Type Code</t>
  </si>
  <si>
    <t>SDIRA_TXN_TP_CD</t>
  </si>
  <si>
    <t>sdira_transaction_type_code</t>
  </si>
  <si>
    <t>SDIRA Transaction Type identifies the category of activity executed within a Self Directed Individual Retirement Account, describing the nature of how assets or cash move into, within, or out of the account. Common transaction types include contributions, distributions, asset purchases or sales, transfers, rollovers, and fees specific to self directed investments. This classification helps ensure proper tax reporting, regulatory compliance, and accurate tracking of account activity. It also distinguishes permissible retirement account actions from prohibited transactions under retirement account rules.</t>
  </si>
  <si>
    <r>
      <t xml:space="preserve">For TXN.SRC_STM_ID = 60 (ACTDETTD), use TRADE_NUMBER.
Parse to extract SDIRA Transaction Type.
For example, from "02726" value it will be "027", while 26 stands for 2026 year. Lookup CL_VAL_CODE </t>
    </r>
    <r>
      <rPr>
        <sz val="11"/>
        <color rgb="FFFF0000"/>
        <rFont val="Calibri"/>
        <family val="2"/>
        <scheme val="minor"/>
      </rPr>
      <t>(does not exist today)
Suppress from Trade Date for ACTDETTD source</t>
    </r>
  </si>
  <si>
    <t>SDIRA Transaction Type</t>
  </si>
  <si>
    <t>SDIRA_TXN_TP</t>
  </si>
  <si>
    <t>sdira_transaction_type</t>
  </si>
  <si>
    <r>
      <t xml:space="preserve">For TXN.SRC_STM_ID = 60 (ACTDETTD), use TRADE_NUMBER.
Parse to extract SDIRA Transaction Type.
For example, from "02726" value it will be "027", while 26 stands for 2026 year. Lookup CL_VAL_CODE </t>
    </r>
    <r>
      <rPr>
        <sz val="11"/>
        <color rgb="FFFF0000"/>
        <rFont val="Calibri"/>
        <family val="2"/>
        <scheme val="minor"/>
      </rPr>
      <t>(does not exist today)</t>
    </r>
  </si>
  <si>
    <t>SDIRA Transaction Year</t>
  </si>
  <si>
    <t>SDIRA_TXN_YR</t>
  </si>
  <si>
    <t>sdira_transaction_year</t>
  </si>
  <si>
    <t>SDIRA Transaction Year indicates the calendar year in which a transaction occurs or is recognized for a Self Directed Individual Retirement Account. This year is used to determine how the transaction is reported for tax purposes, including contribution limits, distribution requirements, and regulatory disclosures. It reflects the year of record for the activity, regardless of when it is processed or settled. Accurate identification of the transaction year supports compliance with retirement account rules and reporting obligations.</t>
  </si>
  <si>
    <t>For TXN.SRC_STM_ID = 60 (ACTDETTD), use TRADE_NUMBER.
Parse to extract SDIRA Transaction Year (last two digits) and add century part.
For example, from "02726" value it will be "027" for SDIRA Transaction Type, while 26 stands for 2026 year.</t>
  </si>
  <si>
    <t>Transaction Currency</t>
  </si>
  <si>
    <t>TXN_CCY</t>
  </si>
  <si>
    <t>Transaction_Currency</t>
  </si>
  <si>
    <t>Indicator of the currency in which the trade execution price is denominated.</t>
  </si>
  <si>
    <r>
      <t xml:space="preserve">ccal_repl_owner.txn t
join ccal_repl_owner.apa ap ON ap.exec_id = t.txn_id
</t>
    </r>
    <r>
      <rPr>
        <sz val="11"/>
        <color rgb="FFFF0000"/>
        <rFont val="Calibri"/>
        <family val="2"/>
        <scheme val="minor"/>
      </rPr>
      <t>join REFERENCE_repl_OWNER.CCY txn on apa.txn_iso_ccy_code = txn.CCY_CODE</t>
    </r>
  </si>
  <si>
    <t>Brokerage IRA Flag</t>
  </si>
  <si>
    <t>BKR_IRA_F</t>
  </si>
  <si>
    <t>Brokerage_Account_IRA_Flag</t>
  </si>
  <si>
    <t>This identifies if an account is an individual retirement account.</t>
  </si>
  <si>
    <t>IRA_F</t>
  </si>
  <si>
    <t>( nvl(ar_dim .ira_f, 'N') )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t>
  </si>
  <si>
    <t>Brokerage ERISA Flag</t>
  </si>
  <si>
    <t>BKR_ERISA_F</t>
  </si>
  <si>
    <t>Brokerage_Account_ERISA_Flag</t>
  </si>
  <si>
    <t>This flag identifies whether a plan account is subject to the Employment Retirement Income Security Act of 1974 (ERISA). ERISA sets standards for most voluntarily established retirement and health plans in private industry to provide protection for individuals in these plans.</t>
  </si>
  <si>
    <t>ERISSA_F</t>
  </si>
  <si>
    <t>( nvl(ar_dim .ERISSA_F, 'N') )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t>
  </si>
  <si>
    <t>Brokerage Originating Source System Code</t>
  </si>
  <si>
    <t>BKR_ORIG_SRC_STM_CD</t>
  </si>
  <si>
    <t>A code that defines the source system associated with a specific arrangement identifier value (e.g. account number) where the arrangement identifier value was originally generated and maintained.</t>
  </si>
  <si>
    <t>Brokerage ABC Class Code</t>
  </si>
  <si>
    <t>BKR_ABC_CLSS_CD</t>
  </si>
  <si>
    <t>Brokerage_ABC_Class_Code</t>
  </si>
  <si>
    <t>A standard code (0 through 9) that classifies account balances into firm-defined categories
0-Corporate Affiliate Account of RJF
1-RJA account
2-Investment Management Division (IMD)
3-Securities Division (SD)
4-Correspondent account
5-DVP accounts
6-Prime Broker
7-Proprietary Accounts of Introducing Broker (PAIB)
8-Related Family Members of RJF Control Persons
9-Control Persons (RJF officers and principals)</t>
  </si>
  <si>
    <t>ABC_CLSS_CD</t>
  </si>
  <si>
    <t>Brokerage ABC Class</t>
  </si>
  <si>
    <t>BKR_ABC_CLSS</t>
  </si>
  <si>
    <t>Brokerage_ABC_Class</t>
  </si>
  <si>
    <t>Name that corresponds to ABC Class Code
0-Corporate Affiliate Account of RJF
1-RJA account
2-Investment Management Division (IMD)
3-Securities Division (SD)
4-Correspondent account
5-DVP accounts
6-Prime Broker
7-Proprietary Accounts of Introducing Broker (PAIB)
8-Related Family Members of RJF Control Persons
9-Control Persons (RJF officers and principals)</t>
  </si>
  <si>
    <t>ABC_CLSS_NM</t>
  </si>
  <si>
    <t>Account Category Code</t>
  </si>
  <si>
    <t>AC_CGY_CD</t>
  </si>
  <si>
    <t>Account_Category_Code</t>
  </si>
  <si>
    <t>A code representing the group under which an Arrangement Product falls. In brokerage, this code is closely related to how fees are applied to the arrangement.</t>
  </si>
  <si>
    <t>ar_cgy_cd</t>
  </si>
  <si>
    <t>JOIN ccal_repl_owner.txn t with ccal_repl_owner.Apa ap on ap.exec_id = t.txn_id
join ccsi_owner.ar_dim ar_dim on t.ar_id = ar_dim.ar_id
AND  t.td &gt;= ar_dim.eff_dt
AND  t.td &lt; ar_dim.end_dt</t>
  </si>
  <si>
    <t>Brokerage Account Category Code</t>
  </si>
  <si>
    <t>BKR_AC_CGY_CD</t>
  </si>
  <si>
    <t>Brokerage_Account_Category_Code</t>
  </si>
  <si>
    <t>Account Category</t>
  </si>
  <si>
    <t>AC_CGY</t>
  </si>
  <si>
    <t>Account_Category</t>
  </si>
  <si>
    <t>The classification group under which an Arrangement Product falls. In brokerage, this category is closely related to how fees are applied to the arrangement.</t>
  </si>
  <si>
    <t>ar_cgy</t>
  </si>
  <si>
    <t>Brokerage Account Category</t>
  </si>
  <si>
    <t>BKR_AC_CGY</t>
  </si>
  <si>
    <t>Brokerage_Account_Category</t>
  </si>
  <si>
    <t>Brokerage Business Line Affiliation</t>
  </si>
  <si>
    <t>BKR_BSN_LINE_AFFLT</t>
  </si>
  <si>
    <t>Brokerage_Business_Line_Affiliation</t>
  </si>
  <si>
    <t>Information that identifies the Raymond James business line associated with the brokerage account anchoring an arrangement or account group. This affiliation provides context for how the account is supported within the firm’s organizational structure and is used to maintain compatibility with legacy systems. It ensures accurate routing, reporting, and integration of account data across linked accounts.</t>
  </si>
  <si>
    <t>bsn_line_afflt</t>
  </si>
  <si>
    <t>Brokerage Business Line Affiliation Code</t>
  </si>
  <si>
    <t>BKR_BSN_LINE_AFFLT_CD</t>
  </si>
  <si>
    <t>Brokerage_Business_Line_Affiliation_Code</t>
  </si>
  <si>
    <t>A code that identifies the Raymond James business line associated with the brokerage account anchoring an arrangement or account group. This code ensures proper classification for operational support, reporting, and integration with legacy systems. It provides a standardized way to link business line information across related accounts for consistency and compliance.</t>
  </si>
  <si>
    <t>bsn_line_afflt_cd</t>
  </si>
  <si>
    <t>Owner FA Enterprise Entity Id</t>
  </si>
  <si>
    <t>OWN_FA_ENTP_ENT_ID</t>
  </si>
  <si>
    <t xml:space="preserve">A DRM-system-generated unique numeric value assigned to the record in the Management Reporting Hierarchy.  </t>
  </si>
  <si>
    <t>ENTP_ENT_ID</t>
  </si>
  <si>
    <t>Brokerage Owner FA Enterprise Entity Id</t>
  </si>
  <si>
    <t>BKR_OWN_FA_ENTP_ENT_ID</t>
  </si>
  <si>
    <t>A unique numeric ID assigned by the DRM system that links the account to the owning or maintaining entity within the firm's Management Reporting Hierarchy.</t>
  </si>
  <si>
    <t>Brokerage Originating Source System Arrangement Id</t>
  </si>
  <si>
    <t>BKR_ORIG_SRC_STM_AR_ID</t>
  </si>
  <si>
    <t>Test Account Flag</t>
  </si>
  <si>
    <t>TST_AC_F</t>
  </si>
  <si>
    <t>Test_Account_Flag</t>
  </si>
  <si>
    <t>Data Element is used to filter in/out test data (and test entity records).</t>
  </si>
  <si>
    <t>tst_ar_f</t>
  </si>
  <si>
    <t>Brokerage Test Account Flag</t>
  </si>
  <si>
    <t>BKR_TST_AC_F</t>
  </si>
  <si>
    <t>Brokerage_Test_Account_Flag</t>
  </si>
  <si>
    <t>Tax Reporting Client Id</t>
  </si>
  <si>
    <t>TAX_RPT_CLNT_ID</t>
  </si>
  <si>
    <t>Tax_Reporting_Client_Id</t>
  </si>
  <si>
    <t>The unique, enterprise-wide, identifier for a party for the party responsible for the tax liability for an arrangement.</t>
  </si>
  <si>
    <t>tax_rpt_party_id</t>
  </si>
  <si>
    <t>Brokerage Tax Reporting Client Id</t>
  </si>
  <si>
    <t>BKR_TAX_RPT_CLNT_ID</t>
  </si>
  <si>
    <t>Brokerage_Tax_Reporting_Client_Id</t>
  </si>
  <si>
    <t>Taxable Account Flag</t>
  </si>
  <si>
    <t>TAX_AC_F</t>
  </si>
  <si>
    <t>Taxable_Account_Flag</t>
  </si>
  <si>
    <t>A flag indicating whether an account is subject to taxation. A taxable account incurs taxes on any gains realized from its assets during the year, while a non-taxable account defers taxes. The flag values are Y for Taxable, N for Non-taxable, and NULL for unspecified.</t>
  </si>
  <si>
    <t>tax_ac_f</t>
  </si>
  <si>
    <t>Brokerage Taxable Account Flag</t>
  </si>
  <si>
    <t>BKR_TAX_AC_F</t>
  </si>
  <si>
    <t>Brokerage_Taxable_Account_Flag</t>
  </si>
  <si>
    <t xml:space="preserve">A flag indicating whether an account is subject to taxation. A taxable account incurs taxes on any gains realized from its assets during the year, while a non-taxable account defers taxes. The flag values are Y for Taxable, N for Non-taxable, and NULL for unspecified.
</t>
  </si>
  <si>
    <t>Brokerage RJ Tax Reporting Responsibility Flag</t>
  </si>
  <si>
    <t>BKR_RJ_TAX_RPT_RSPL_F</t>
  </si>
  <si>
    <t>Brokerage_RJ_Tax_Reporting_Responsibility_Flag</t>
  </si>
  <si>
    <t>Identifies whether RJ is responsible for the tax reporting on an arrangement. (Y = RJ is responsible, N=RJ is not responsible)</t>
  </si>
  <si>
    <t>rj_tax_rpt_rspl_f</t>
  </si>
  <si>
    <t>RJ Business Unit Code</t>
  </si>
  <si>
    <t>RJ_BSN_UNIT_CD</t>
  </si>
  <si>
    <t>RJ_Business_Unit_Code</t>
  </si>
  <si>
    <t>VARCHAR2(40)</t>
  </si>
  <si>
    <t>character varying(40)</t>
  </si>
  <si>
    <t>A code that indicates a business unit of Raymond James this arrangement belongs to.</t>
  </si>
  <si>
    <t>rj_bsn_unit_cd</t>
  </si>
  <si>
    <t>Brokerage RJ Business Unit Code</t>
  </si>
  <si>
    <t>BKR_RJ_BSN_UNIT_CD</t>
  </si>
  <si>
    <t>Brokerage_RJ_Business_Unit_Code</t>
  </si>
  <si>
    <t>RJ Business Unit</t>
  </si>
  <si>
    <t>RJ_BSN_UNIT</t>
  </si>
  <si>
    <t>RJ_Business_Unit</t>
  </si>
  <si>
    <t>Business unit of Raymond James this arrangement belongs to.</t>
  </si>
  <si>
    <t>rj_bsn_unit</t>
  </si>
  <si>
    <t>Brokerage RJ Business Unit</t>
  </si>
  <si>
    <t>BKR_RJ_BSN_UNIT</t>
  </si>
  <si>
    <t>Brokerage_RJ_Business_Unit</t>
  </si>
  <si>
    <t>Account Ownership Type Code</t>
  </si>
  <si>
    <t>AC_OWNSHP_TP_CD</t>
  </si>
  <si>
    <t>Account_Ownership_Type_Code</t>
  </si>
  <si>
    <t>A code that specifies whether an account is held by a single individual or multiple parties. Common codes include SINGLOWNR (Single Owner), JNTROSSHP (Joint with Right of Survivorship), and JNTCOMN (Joint Tenants in Common). Each code defines the ownership structure and the rights and responsibilities of the account holders regarding the account's assets and transactions</t>
  </si>
  <si>
    <t>ownshp_tp_cd</t>
  </si>
  <si>
    <t>Brokerage Account Ownership Type Code</t>
  </si>
  <si>
    <t>BKR_AC_OWNSHP_TP_CD</t>
  </si>
  <si>
    <t>Brokerage_Account_Ownership_Type_Code</t>
  </si>
  <si>
    <t>Account Ownership Type</t>
  </si>
  <si>
    <t>AC_OWNSHP_TP</t>
  </si>
  <si>
    <t>Account_Ownership_Type</t>
  </si>
  <si>
    <t>Specifies whether an account is held by a single individual or multiple parties. Common ownership types include Single Owner, Joint with Right of Survivorship, and Joint Tenants in Common. Each type defines the rights and responsibilities of the account holders regarding the account's assets and transactions.</t>
  </si>
  <si>
    <t>ownshp_tp</t>
  </si>
  <si>
    <t>Brokerage Account Ownership Type</t>
  </si>
  <si>
    <t>BKR_AC_OWNSHP_TP</t>
  </si>
  <si>
    <t>Brokerage_Account_Ownership_Type</t>
  </si>
  <si>
    <t>Brokerage Firm Account Flag</t>
  </si>
  <si>
    <t>BKR_FIRM_AC_F</t>
  </si>
  <si>
    <t>Brokerage_Firm_Account_Flag</t>
  </si>
  <si>
    <t>Indicates that this arrangement is owned by RJ</t>
  </si>
  <si>
    <t>firm_ac_f</t>
  </si>
  <si>
    <t>Brokerage Fee Based Account Flag</t>
  </si>
  <si>
    <t>BKR_FEE_BASE_AC_F</t>
  </si>
  <si>
    <t>Brokerage_Fee_Based_Account_Flag</t>
  </si>
  <si>
    <t>Indicates if an account is fee based or not.</t>
  </si>
  <si>
    <t>fee_base_f</t>
  </si>
  <si>
    <t>Brokerage RJ Trust Flag</t>
  </si>
  <si>
    <t>BKR_RJ_TRUST_F</t>
  </si>
  <si>
    <t>Brokerage_RJ_Trust_Flag</t>
  </si>
  <si>
    <t>Indicates whether the linked brokerage account is associated with an RJ Trust arrangement. This flag is used to identify accounts managed under trust services for compliance, reporting, and operational purposes.</t>
  </si>
  <si>
    <t>ar_dim.bsn_line_afflt_cd in ('RJTNA','RJTCNH') then 'Y' else 'N' end as rj_trust_flag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t>
  </si>
  <si>
    <t>Owner Primary FA Number</t>
  </si>
  <si>
    <t>OWN_PRIM_FA_NUM</t>
  </si>
  <si>
    <t>Brokerage_Owner_Primary_FA_Number</t>
  </si>
  <si>
    <t>The unique identifier assigned to the primary Financial Advisor who owns the account or relationship. It is used to distinguish the advisor in client records, reporting, and operational systems.</t>
  </si>
  <si>
    <t>ssds_dal_owner</t>
  </si>
  <si>
    <t>fa_number_v</t>
  </si>
  <si>
    <t>fa_number</t>
  </si>
  <si>
    <t>fetch fa_number_v2.fa_number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ssds_dal_owner.fa_number_v fa_number_v2 on fa_number_v2.responsible_party_employee_id = fa_number_v1.responsible_party_employee_id
and fa_number_v2.fa_number_type_code in ('pri','PRI')
AND  t.td &gt;= fa_number_v2.effective_date
AND  t.td &lt; fa_number_v2.end_date</t>
  </si>
  <si>
    <t>CPS</t>
  </si>
  <si>
    <t>Owner FA CSS Person Id</t>
  </si>
  <si>
    <t>OWN_FA_CSS_PSN_ID</t>
  </si>
  <si>
    <t>Brokerage_Owner_FA_CSS_Person_Id</t>
  </si>
  <si>
    <t>A unique numeric or alphanumeric code assigned by the Client Service System (CSS) to identify the Financial Advisor who owns or is responsible for a specific account or arrangement.</t>
  </si>
  <si>
    <t>PERSON_RV</t>
  </si>
  <si>
    <t>CSS_PERSON_ID</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</si>
  <si>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ssds_dal_owner.SSDS_DAL_OWNER.PERSON_RV brk_own_psn on brk_own_psn.EMPLOYEE_ID = fa_number_v1.responsible_party_employee_id
AND t.td &gt;= brk_own_psn.effective_date
AND t.td &lt; brk_own_psn.end_date</t>
  </si>
  <si>
    <t>Owner FA Current Advisor Flag</t>
  </si>
  <si>
    <t>OWN_FA_CRN_ADV_F</t>
  </si>
  <si>
    <t>Brokerage_Owner_FA_Current_Advisor_Flag</t>
  </si>
  <si>
    <t>A data indicator that shows whether the Financial Advisor who owns the account is currently recognized as an active advisor. This flag is set to “Y” when the advisor meets specific internal criteria related to subsidiary, regulatory classification, position code, and production thresholds; otherwise, it is set to “N.” It helps confirm the advisor’s active status for compliance, reporting, and operational processes.</t>
  </si>
  <si>
    <t>PERSON_BROKERAGE_SUBDIMENSION_V</t>
  </si>
  <si>
    <t>CURRENT_ADVISOR_FLAG</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</si>
  <si>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ssds_dal_owner.PERSON_BROKERAGE_SUBDIMENSION_V brk_own_psn_brk_subdim on brk_own_psn_brk.EMPLOYEE_ID = fa_number_v1.responsible_party_employee_id
AND t.td &gt;= brk_own_psn.effective_date
AND t.td &lt; brk_own_psn.end_date</t>
  </si>
  <si>
    <t>Owner FA Department Branch Code</t>
  </si>
  <si>
    <t>OWN_FA_DEPT_BR_CD</t>
  </si>
  <si>
    <t>Brokerage_Owner_FA_Department_Branch_Code</t>
  </si>
  <si>
    <t>A code that identifies the department or branch where the Financial Advisor who owns the account is assigned. It is used to link the advisor to a specific business unit for organizational alignment, reporting, and operational tracking. This code supports accurate segmentation of accounts by branch or department within the firm.</t>
  </si>
  <si>
    <t>DEPARTMENT_BRANCH_CODE</t>
  </si>
  <si>
    <t>Owner FA Discretionary Flag</t>
  </si>
  <si>
    <t>OWN_FA_DSCR_F</t>
  </si>
  <si>
    <t>Brokerage_Owner_FA_Discretionary_Flag</t>
  </si>
  <si>
    <t>An indicator showing whether the Financial Advisor who owns the account is authorized to exercise discretionary trading authority. The flag is set to “Y” when the advisor meets internal approval criteria for discretionary trading; otherwise, it is “N.” This designation ensures compliance with firm policies and regulatory requirements for discretionary account management.</t>
  </si>
  <si>
    <t>PERSON_AMS_DISCRETIONARY_STATUS_V</t>
  </si>
  <si>
    <t>DISCRETIONARY_INDICATOR</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</si>
  <si>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SSDS_DAL_OWNER.PERSON_AMS_DISCRETIONARY_STATUS_V brk_own_resp_ams_disc on brk_own_resp_ams_disc.EMPLOYEE_ID = fa_number_v1.responsible_party_employee_id
AND t.td &gt;= brk_own_resp_ams_disc.effective_date
AND t.td &lt; brk_own_resp_ams_disc.end_date</t>
  </si>
  <si>
    <t>Owner FA Discretionary Status</t>
  </si>
  <si>
    <t>OWN_FA_DSCR_ST</t>
  </si>
  <si>
    <t>Brokerage_Owner_FA_Discretionary_Status</t>
  </si>
  <si>
    <t>The current status indicating whether the Financial Advisor who owns the account has discretionary trading authority. This status reflects the advisor’s approval state and lifecycle stage for discretionary trading privileges, as defined by internal compliance and operational rules. It is used to monitor and enforce regulatory and firm requirements for discretionary account management.</t>
  </si>
  <si>
    <t>DISCRETIONARY_STATUS</t>
  </si>
  <si>
    <t>Owner FA Discretionary Status Code</t>
  </si>
  <si>
    <t>OWN_FA_DSCR_ST_CD</t>
  </si>
  <si>
    <t>Brokerage_Owner_FA_Discretionary_Status_Code</t>
  </si>
  <si>
    <t>A code for the current status indicating whether the Financial Advisor who owns the account has discretionary trading authority. This status reflects the advisor’s approval state and lifecycle stage for discretionary trading privileges, as defined by internal compliance and operational rules. It is used to monitor and enforce regulatory and firm requirements for discretionary account management.</t>
  </si>
  <si>
    <t>DISCRETIONARY_STATUS_CODE</t>
  </si>
  <si>
    <t>Owner FA FINRA CRD Class Code</t>
  </si>
  <si>
    <t>OWN_FA_FINRA_CRD_CLSS_CD</t>
  </si>
  <si>
    <t>Brokerage_Owner_FA_FINRA_CRD_Class_Code</t>
  </si>
  <si>
    <t>VARCHAR2(12)</t>
  </si>
  <si>
    <t>character varying(12)</t>
  </si>
  <si>
    <t>The code that represents the classification assigned by FINRA (Financial Industry Regulatory Authority) based on the Central Registration Depository (CRD) system for the Financial Advisor who owns the account or relationship. It is used to identify the advisor’s regulatory registration category for compliance and reporting purposes.</t>
  </si>
  <si>
    <t>FINRA_CRD_CLASS_CODE</t>
  </si>
  <si>
    <t>Owner FA HR Status Code</t>
  </si>
  <si>
    <t>OWN_FA_HR_ST_CD</t>
  </si>
  <si>
    <t>Brokerage_Owner_FA_HR_Status_Code</t>
  </si>
  <si>
    <t>The code that indicates the employment status of the Financial Advisor who owns the account or relationship, as maintained in the Human Resources system. It is used to identify whether the advisor is active, inactive, or in another employment category for operational and compliance purposes.</t>
  </si>
  <si>
    <t>HR_STATUS_CODE</t>
  </si>
  <si>
    <t>Owner FA Producer Flag</t>
  </si>
  <si>
    <t>OWN_FA_PRODUCER_F</t>
  </si>
  <si>
    <t>Brokerage_Owner_FA_Producer_Flag</t>
  </si>
  <si>
    <t>A flag that indicates whether the Financial Advisor who owns the account or relationship is designated as a producer. It is used to identify advisors who actively generate revenue through client accounts for reporting and compensation purposes.</t>
  </si>
  <si>
    <t>PRODUCER_FLAG</t>
  </si>
  <si>
    <t>Owner FA Qualified Advisor Flag</t>
  </si>
  <si>
    <t>OWN_FA_QUALF_ADV_F</t>
  </si>
  <si>
    <t>Brokerage_Owner_FA_Qualified_Advisor_Flag</t>
  </si>
  <si>
    <t>A flag that indicates whether the Financial Advisor who owns the account or relationship meets the firm’s criteria to be considered a qualified advisor. It is used to identify advisors who satisfy specific eligibility standards for programs, services, or compensation purposes.</t>
  </si>
  <si>
    <t>QUALIFIED_ADVISOR_FLAG</t>
  </si>
  <si>
    <t>Owner FA Entity Branch Code</t>
  </si>
  <si>
    <t>OWN_FA_ENT_BR_CD</t>
  </si>
  <si>
    <t>Brokerage_Owner_FA_Entity_Branch_Code</t>
  </si>
  <si>
    <t>A code representing the branch supervised by the Office of Supervisory Jurisdiction (OSJ) for the Financial Advisor who owns the account. This code is derived from the first three characters of the branch’s primary name and is used for supervisory, compliance, and reporting purposes. It helps link the advisor’s account to the correct supervisory branch within the organization.</t>
  </si>
  <si>
    <t>entity_branch_code</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</si>
  <si>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t>
  </si>
  <si>
    <t>Entity Hierarchy</t>
  </si>
  <si>
    <t>Owner FA Entity Business Status</t>
  </si>
  <si>
    <t>OWN_FA_ENT_BSN_ST</t>
  </si>
  <si>
    <t>Brokerage_Owner_FA_Entity_Business_Status</t>
  </si>
  <si>
    <t>Identifies business status of the entity. If Pending Flag is checked, then "Pending Branch", otherwise, if "Date Closed" is populated, then Closed; otherwise, Opened.</t>
  </si>
  <si>
    <t>entity_business_status</t>
  </si>
  <si>
    <t>Owner FA Entity Division Code</t>
  </si>
  <si>
    <t>OWN_FA_ENT_DIV_CD</t>
  </si>
  <si>
    <t>Brokerage_Owner_FA_Entity_Division_Code</t>
  </si>
  <si>
    <t>The unique identifier that is derived from the MGT_D (Division limb) node in DRM.</t>
  </si>
  <si>
    <t>entity_division_code</t>
  </si>
  <si>
    <t>Owner FA Entity Division Description</t>
  </si>
  <si>
    <t>OWN_FA_ENT_DIV_DSC</t>
  </si>
  <si>
    <t>Brokerage_Owner_FA_Entity_Division_Description</t>
  </si>
  <si>
    <t>A description that is derived from the short description of the Division limb, if the latter exists in the ancestry of the record.</t>
  </si>
  <si>
    <t>entity_division_description</t>
  </si>
  <si>
    <t>Owner FA Entity Division Node</t>
  </si>
  <si>
    <t>OWN_FA_ENT_DIV_NODE</t>
  </si>
  <si>
    <t>Brokerage_Owner_FA_Entity_Division_Node</t>
  </si>
  <si>
    <t>The node identifier representing the division within the organizational hierarchy for the entity branch of the Financial Advisor (FA) that owns the account relationship.</t>
  </si>
  <si>
    <t>entity_division_node</t>
  </si>
  <si>
    <t>Owner FA Entity Main Branch State</t>
  </si>
  <si>
    <t>OWN_FA_ENT_MAIN_BR_STE</t>
  </si>
  <si>
    <t>Brokerage_Owner_FA_Entity_Main_Branch_State</t>
  </si>
  <si>
    <t>The full name of the state where the main branch associated with the Financial Advisor who owns the account is located. This value is used for geographic reporting, compliance, and operational alignment within the organization.</t>
  </si>
  <si>
    <t>entity_main_branch_state</t>
  </si>
  <si>
    <t>Owner FA Entity OSJ</t>
  </si>
  <si>
    <t>OWN_FA_ENT_OSJ</t>
  </si>
  <si>
    <t>Brokerage_Owner_FA_Entity_OSJ</t>
  </si>
  <si>
    <t>3-digit "Office of Supervisory Jurisdiction"'; represents associated main branch (note: the OSJ may not reference the same 3-characters of the sub-branch). Typically this is assigned at a parent limb and cascades down to its children, ensuring all related to retail entities share the same OSJ.
It should be populated with a 3-character code for all US, open, RETAIL entities.</t>
  </si>
  <si>
    <t>entity_osj</t>
  </si>
  <si>
    <t>Owner FA Entity Retail Hierarchy Business Model Code</t>
  </si>
  <si>
    <t>OWN_FA_ENT_RTL_HIER_BSN_MODL_CD</t>
  </si>
  <si>
    <t>Brokerage_Owner_FA_Entity_Retail_Hierarchy_Business_Model_Code</t>
  </si>
  <si>
    <t>The name that a company is known as Code (sourced from source system's DRM Node Name) of this optional hierarchical limb within the retail hierarchy, identifying a collection of related entity records for a given sales business model</t>
  </si>
  <si>
    <t>ENTERPRISE_ENTITY_RETAIL_DIMENSION_V</t>
  </si>
  <si>
    <t>entity_retail_business_model_code</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</si>
  <si>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
Join ssds_dal_owner.ENTERPRISE_ENTITY_RETAIL_DIMENSION_V own_rtl_ent on own_rtl_ent.entity_enterprise_id = own_fa_ent.entity_enterprise_id
AND t.td &gt;= own_rtl_ent.effective_date
AND t.td &lt; own_rtl_ent.end_date</t>
  </si>
  <si>
    <t>Owner FA Entity Retail Hierarchy Business Model Description</t>
  </si>
  <si>
    <t>OWN_FA_ENT_RTL_HIER_BSN_MODL_DSC</t>
  </si>
  <si>
    <t>Brokerage_Owner_FA_Entity_Retail_Hierarchy_Business_Model_Description</t>
  </si>
  <si>
    <t>The name that a company is known as Short Description (sourced from source system's DRM Node Name) of this optional hierarchical limb within the retail hierarchy, identifying a collection of related entity records for a given sales business model</t>
  </si>
  <si>
    <t>entity_retail_business_model_description</t>
  </si>
  <si>
    <t>Owner FA Entity Retail Sales Hierarchy LOB Code</t>
  </si>
  <si>
    <t>OWN_FA_ENT_RTL_SALE_HIER_LOB_CD</t>
  </si>
  <si>
    <t>Brokerage_Owner_FA_Entity_Retail_Sales_Hierarchy_LOB_Code</t>
  </si>
  <si>
    <t>Code derived from the line of business record in the Retail Hierarchy. LOB record in this hierarchy is the lowest level (leaf) and is used as a connection to the Management Reporting hierarchy in DRM. In the database view, however, you will see it as a regular column.</t>
  </si>
  <si>
    <t>entity_retail_sales_lob_code</t>
  </si>
  <si>
    <t>Owner FA Entity Retail Sales Hierarchy LOB Description</t>
  </si>
  <si>
    <t>OWN_FA_ENT_RTL_SALE_HIER_LOB_DSC</t>
  </si>
  <si>
    <t>Brokerage_Owner_FA_Entity_Retail_Sales_Hierarchy_LOB_Description</t>
  </si>
  <si>
    <t>Description derived from the line of business record in the Retail Hierarchy. LOB record in this hierarchy is the lowest level (leaf) and is used as a connection to the Management Reporting hierarchy in DRM. In the database view, however, you will see it as a regular column.</t>
  </si>
  <si>
    <t>entity_retail_sales_lob_description</t>
  </si>
  <si>
    <t>Owner FA Entity Retail Hierarchy Reporting Unit Code</t>
  </si>
  <si>
    <t>OWN_FA_ENT_RTL_HIER_RPT_UNIT_CD</t>
  </si>
  <si>
    <t>Brokerage_Owner_FA_Entity_Retail_Hierarchy_Reporting_Unit_Code</t>
  </si>
  <si>
    <t>Code (sourced from source system's DRM Node Name) of this optional hierarchical limb within the retail hierarchy, identifying a collection of related entity records for a given sales reporting unit</t>
  </si>
  <si>
    <t>entity_retail_reporting_unit_code</t>
  </si>
  <si>
    <t>Owner FA Entity Retail Hierarchy Reporting Unit Description</t>
  </si>
  <si>
    <t>OWN_FA_ENT_RTL_HIER_RPT_UNIT_DSC</t>
  </si>
  <si>
    <t>Brokerage_Owner_FA_Entity_Retail_Hierarchy_Reporting_Unit_Description</t>
  </si>
  <si>
    <t>Short Description (sourced from source system's DRM Node Name) of this optional hierarchical limb within the retail hierarchy, identifying a collection of related entity records for a given sales reporting unit</t>
  </si>
  <si>
    <t>entity_retail_reporting_unit_description</t>
  </si>
  <si>
    <t>Owner FA Entity Retail Sales Division Code</t>
  </si>
  <si>
    <t>OWN_FA_ENT_RTL_SALE_DIV_CD</t>
  </si>
  <si>
    <t>Brokerage_Owner_FA_Entity_Retail_Sales_Division_Code</t>
  </si>
  <si>
    <t xml:space="preserve"> The division code for the entity branch of the Financial Advisor (FA) that owns the account relationship, based on the FA indicated on the Linked Brokerage Account within the relationship group. This code identifies the division within the FA’s organizational hierarchy and is used for classification, reporting, and supervisory purposes.</t>
  </si>
  <si>
    <t>entity_retail_sales_division_code</t>
  </si>
  <si>
    <t>Owner FA Entity Retail Sales Hierarchy Region Code</t>
  </si>
  <si>
    <t>OWN_FA_ENT_RTL_SALE_HIER_RGON_CD</t>
  </si>
  <si>
    <t>Brokerage_Owner_FA_Entity_Retail_Sales_Hierarchy_Region_Code</t>
  </si>
  <si>
    <t>Code (sourced from source system's DRM Node Name) of this optional hierarchical limb within the Retail hierarchy, identifying a collection of related entity records for a given sales region</t>
  </si>
  <si>
    <t>entity_retail_sales_region_code</t>
  </si>
  <si>
    <t>Owner FA Entity Retail Sales Hierarchy Region Description</t>
  </si>
  <si>
    <t>OWN_FA_ENT_RTL_SALE_HIER_RGON_DSC</t>
  </si>
  <si>
    <t>Brokerage_Owner_FA_Entity_Retail_Sales_Hierarchy_Region_Description</t>
  </si>
  <si>
    <t>Short Description (sourced from source system's DRM Node Name) of this optional hierarchical limb within the Retail hierarchy, identifying a collection of related entity records for a given sales region</t>
  </si>
  <si>
    <t>entity_retail_sales_region_description</t>
  </si>
  <si>
    <t>Owner FA Entity Retail Hierarchy Territory Code</t>
  </si>
  <si>
    <t>OWN_FA_ENT_RTL_HIER_TERR_CD</t>
  </si>
  <si>
    <t>Brokerage_Owner_FA_Entity_Retail_Hierarchy_Territory_Code</t>
  </si>
  <si>
    <t>Code (sourced from source system's DRM Node Name) of this optional hierarchical limb within the Retail hierarchy, identifying a collection of related entity records for a given sales territory</t>
  </si>
  <si>
    <t>entity_retail_territory_code</t>
  </si>
  <si>
    <t>Owner FA Entity Retail Hierarchy Territory Description</t>
  </si>
  <si>
    <t>OWN_FA_ENT_RTL_HIER_TERR_DSC</t>
  </si>
  <si>
    <t>Brokerage_Owner_FA_Entity_Retail_Hierarchy_Territory_Description</t>
  </si>
  <si>
    <t>Short Description (sourced from source system's DRM Node Name) of this optional hierarchical limb within the Retail hierarchy, identifying a collection of related entity records for a given sales territory</t>
  </si>
  <si>
    <t>entity_retail_territory_description</t>
  </si>
  <si>
    <t>Owner FA Entity Risk Hierarchy Business Unit Code</t>
  </si>
  <si>
    <t>OWN_FA_ENT_RSK_HIER_BSN_UNIT_CD</t>
  </si>
  <si>
    <t>Brokerage_Owner_FA_Entity_Risk_Hierarchy_Business_Unit_Code</t>
  </si>
  <si>
    <t>The name that a company is known as Code (sourced from source system's DRM Node Name) of the hierarchical limb within the Risk hierarchy, identifying a collection of related entity records for a given business unit</t>
  </si>
  <si>
    <t>ENTERPRISE_ENTITY_RISK_DIM</t>
  </si>
  <si>
    <t>entity_risk_business_unit_code</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</si>
  <si>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brk_own_fa_ent.entity_recycled_boolean  = 0
AND brk_own_fa_ent.entity_financial_ria_boolean  = 0
Join ssds_dal_owner.ENTERPRISE_ENTITY_RISK_DIMENSION_V own_risk_ent on own_fa_ent.entity_enterprise_id = own_risk_ent.entity_enterprise_id
AND t.td &gt;= own_risk_ent.effective_date
AND t.td &lt; own_risk_ent.end_date</t>
  </si>
  <si>
    <t>Owner FA Entity Risk Hierarchy Business Unit Description</t>
  </si>
  <si>
    <t>OWN_FA_ENT_RSK_HIER_BSN_UNIT_DSC</t>
  </si>
  <si>
    <t>Brokerage_Owner_FA_Entity_Risk_Hierarchy_Business_Unit_Description</t>
  </si>
  <si>
    <t>The name that a company is known as Short Description (sourced from source system's DRM Node Name) of the hierarchical limb within the Risk hierarchy, identifying a collection of related entity records for a given business unit</t>
  </si>
  <si>
    <t>entity_risk_business_unit_description</t>
  </si>
  <si>
    <t>Owner FA Entity RJAS Id Flag</t>
  </si>
  <si>
    <t>OWN_FA_ENT_RJAS_ID_F</t>
  </si>
  <si>
    <t>Brokerage_Owner_FA_Entity_RJAS_Id_Flag</t>
  </si>
  <si>
    <t>A flag that indicates whether the Financial Advisor who owns the account or relationship is associated with the RJAS (Raymond James Advisor Select) program. It is used to identify accounts linked to advisors participating in this program for reporting and compliance purposes.</t>
  </si>
  <si>
    <t>entity_rjas_id_boolean</t>
  </si>
  <si>
    <t>case when own_fa_ent.entity_rjas_id_boolean=1 then 'y' else 'n' end                            as Owner_FA_entity_rjas_id_flag,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t>
  </si>
  <si>
    <t>Owner FA Entity Subdivision Code</t>
  </si>
  <si>
    <t>OWN_FA_ENT_SUBDIV_CD</t>
  </si>
  <si>
    <t>Brokerage_Owner_FA_Entity_Subdivision_Code</t>
  </si>
  <si>
    <t>The unique identifier that is derived from the MGT_SD (Subdivision limb) node in DRM.</t>
  </si>
  <si>
    <t>entity_subdivision_code</t>
  </si>
  <si>
    <t>Owner FA Entity Subdivision Description</t>
  </si>
  <si>
    <t>OWN_FA_ENT_SUBDIV_DSC</t>
  </si>
  <si>
    <t>Brokerage_Owner_FA_Entity_Subdivision_Description</t>
  </si>
  <si>
    <t>A description that is derived from the short description of the Subdivision limb, if the latter exists in the ancestry of the record.</t>
  </si>
  <si>
    <t>entity_subdivision_description</t>
  </si>
  <si>
    <t>Owner FA Entity Subsidiary</t>
  </si>
  <si>
    <t>OWN_FA_ENT_SUBS</t>
  </si>
  <si>
    <t>Brokerage_Owner_FA_Entity_Subsidiary</t>
  </si>
  <si>
    <t>Used by the Identity and Access Management (IAM) system to associate back-office rules/processing to a branch/department, such as statement suppression, payroll clearing, etc. This does NOT identify the line of business or company, although they correlate heavily.  For example, multiple businesses use the "COR" subsidiary for some entities, such as RJA PCG, AB, ICD, etc.
COR - Correspondent Firms
EAM - Eagle Asset Management
FID - Financial Institutions Division
HAM - Heritage Asset Management
IAD - Investment Advisors Division
IMD - Investment Management Division
RFS	- Raymond James Financial Services
RIS - Raymond James Investment Services Ltd
RJA	- Raymond James &amp;amp; Associates
RJB - Raymond James Bank
RJF - Raymond James Financial
RJI - Raymond James International Holdings
RJL - Raymond James Limited
RJM - Raymond James Mortgage Capital
RJP - Raymond James Partners
RJT - Raymond James Trust
RSA - Raymond James Financial Services Advisors
RTC - Raymond James Tax Credit Funds
SD - Securities Division</t>
  </si>
  <si>
    <t>entity_subsidiary</t>
  </si>
  <si>
    <t>Owner FA Entity Subtype</t>
  </si>
  <si>
    <t>OWN_FA_ENT_SBTP</t>
  </si>
  <si>
    <t>Brokerage_Owner_FA_Entity_Subtype</t>
  </si>
  <si>
    <t>An optional attribute (defaults to NONE) which provides further clarification as to the flavor of entity record.  
Most commonly, this is the attribute that determines if a retail branch is a satellite.  Values could also include, among others, the following:
RML (Remote Meeting Location)
Satellite Residence
Satellite RML
FID RML</t>
  </si>
  <si>
    <t>entity_subtype</t>
  </si>
  <si>
    <t>Owner FA Entity Subtype Code</t>
  </si>
  <si>
    <t>OWN_FA_ENT_SBTP_CD</t>
  </si>
  <si>
    <t>Brokerage_Owner_FA_Entity_Subtype_Code</t>
  </si>
  <si>
    <t>A code related that defines the subtype.</t>
  </si>
  <si>
    <t>entity_subtype_code</t>
  </si>
  <si>
    <t>Owner FA Entity Type</t>
  </si>
  <si>
    <t>OWN_FA_ENT_TP</t>
  </si>
  <si>
    <t>Brokerage_Owner_FA_Entity_Type</t>
  </si>
  <si>
    <t>Identifier of the type of node.  This applies to both limbs and leaves. Available derived options include:
-Company (Financial) 
-Division (Financial) 
-Subdivision (Financial) 
-Group (Financial) 
-Subgroup (Financial) 
-Location Group
-Branch Group
-Department
-Bank
-Relationship
-Correspondent Firm
Note: MGT_RP limbs and the root node of MGT_RJF do not have an Entity Type, as these limbs can serve a multitude of purposes.</t>
  </si>
  <si>
    <t>entity_type</t>
  </si>
  <si>
    <t>Owner FA Entity Type Code</t>
  </si>
  <si>
    <t>OWN_FA_ENT_TP_CD</t>
  </si>
  <si>
    <t>Brokerage_Owner_FA_Entity_Type_Code</t>
  </si>
  <si>
    <t>Identifier of the type of node. This is a 3-character code that does not include Pending branches (pbr)
For departments/branches, available options are: bra - for Branch
cor - for Correspondent
dep - for Department
iad - for IAD Office
nrl - for Non-Registered Location
nrt - for Non-Retail Branch
sbu - for Strategic Business Unit</t>
  </si>
  <si>
    <t>entity_type_code</t>
  </si>
  <si>
    <t>Owner FA Entity LOB Alex Brown Flag</t>
  </si>
  <si>
    <t>OWN_FA_ENT_LOB_AB_F</t>
  </si>
  <si>
    <t>Brokerage_Owner_FA_Entity_LOB_Alex_Brown_Flag</t>
  </si>
  <si>
    <t>A flag that indicates whether the entity branch for the Financial Advisor (FA) that owns the account relationship is associated with the Alex Brown line of business.</t>
  </si>
  <si>
    <t>lob_alex_brown_boolean</t>
  </si>
  <si>
    <t>case when own_fa_ent.lob_alex_brown_boolean =1 then 'y' else 'n' end as Owner_FA_entity_lob_alex_brown_flag,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t>
  </si>
  <si>
    <t>Owner FA Entity LOB AMS Flag</t>
  </si>
  <si>
    <t>OWN_FA_ENT_LOB_AMS_F</t>
  </si>
  <si>
    <t>Brokerage_Owner_FA_Entity_LOB_AMS_Flag</t>
  </si>
  <si>
    <t>An indicator that specifies whether the Financial Advisor who owns the account is associated with the Asset Management Services (AMS) line of business. The flag is set to “Y” when the advisor is linked to AMS according to internal classification rules; otherwise, it is “N.” This field supports segmentation and reporting by line of business.</t>
  </si>
  <si>
    <t>lob_ams_boolean</t>
  </si>
  <si>
    <t>case when own_fa_ent.lob_ams_boolean=1 then 'y' else 'n' end as Owner_FA_entity_lob_ams_flag,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t>
  </si>
  <si>
    <t>Owner FA Entity LOB Business Model</t>
  </si>
  <si>
    <t>OWN_FA_ENT_LOB_BSN_MODL</t>
  </si>
  <si>
    <t>Brokerage_Owner_FA_Entity_LOB_Business_Model</t>
  </si>
  <si>
    <t>Identifies code of revenue-generating areas, allowing the individual lines of business to represent subsets of this business model.</t>
  </si>
  <si>
    <t>lob_business_model</t>
  </si>
  <si>
    <t>Owner FA Entity Business Open Date</t>
  </si>
  <si>
    <t>OWN_FA_ENT_BSN_OPN_DT</t>
  </si>
  <si>
    <t>Brokerage_Owner_FA_Entity_Business_Open_Date</t>
  </si>
  <si>
    <t>The date the branch/department is available for business use, which may include the first date that an associate could be assigned/associated to a branch/department and/or when the branch became operational in  our systems.</t>
  </si>
  <si>
    <t>entity_business_open_date</t>
  </si>
  <si>
    <t>Owner FA Entity Long Code</t>
  </si>
  <si>
    <t>OWN_FA_ENT_LONG_CD</t>
  </si>
  <si>
    <t>Brokerage_Owner_FA_Entity_Long_Code</t>
  </si>
  <si>
    <t>Longer name of the record. For most departments/branches (leaves), this is the unique 5-character code as it appears in PeopleSoft Financials and HR systems. For hierarchical limbs, this typically is the DRM Node Name.</t>
  </si>
  <si>
    <t>entity_code_long</t>
  </si>
  <si>
    <t>Owner FA Entity Short Code</t>
  </si>
  <si>
    <t>OWN_FA_ENT_SHRT_CD</t>
  </si>
  <si>
    <t>Brokerage_Owner_FA_Entity_Short_Code</t>
  </si>
  <si>
    <t>Unique 3/5/7 (generally) character identifier, as seen in ServiceNow, Associate Inquiry, Practice Center.  Generally speaking, an entity that ends with 00 is displayed as the first 3-digits, most are 5-digits, while SBUs are seen as 5+2 (8 character) identifiers.</t>
  </si>
  <si>
    <t>entity_code_short</t>
  </si>
  <si>
    <t>Owner FA Entity CSS Id</t>
  </si>
  <si>
    <t>OWN_FA_ENT_CSS_ID</t>
  </si>
  <si>
    <t>Brokerage_Owner_FA_Entity_CSS_Id</t>
  </si>
  <si>
    <t>Unique character for records sent to legacy CSS system.  Generated by CSS application. After new records are sent via drip to CSS, CSS then sends the CSS Entity ID back to DRM (as this property is calculated upon insertion of the record into CSS).  The record is then pushed down to EHM for legacy consumers.</t>
  </si>
  <si>
    <t>entity_css_id</t>
  </si>
  <si>
    <t>Owner FA Entity Retail Sales Complex Code</t>
  </si>
  <si>
    <t>OWN_FA_ENT_RTL_SALE_CPX_CD</t>
  </si>
  <si>
    <t>Brokerage_Owner_FA_Entity_Retail_Sales_Complex_Code</t>
  </si>
  <si>
    <t xml:space="preserve"> Code (sourced from source system's DRM Node Name) of this optional hierarchical limb within the retail hierarchy, identifying a collection of related entity records for a given sales complex</t>
  </si>
  <si>
    <t>entity_retail_sales_complex_code</t>
  </si>
  <si>
    <t>Equity Industry</t>
  </si>
  <si>
    <t>EQTY_IDY</t>
  </si>
  <si>
    <t>equity_industry</t>
  </si>
  <si>
    <t>Industry Level - The grouping or classification of companies into the business sectors in which they operate. The Equity Sector Classification schema has 4 levels: Super Sector -&gt; Sector-&gt; Industry Group-&gt; Industry</t>
  </si>
  <si>
    <t>cird_owner</t>
  </si>
  <si>
    <t>imt_pd_dim</t>
  </si>
  <si>
    <t>eqty_sect_lvl_4</t>
  </si>
  <si>
    <t>JOIN ccal_repl_owner.txn t with ccal_repl_owner.Apa ap on ap.exec_id = t.txn_id
JOIN ccal_repl_owner.ccal_cird_pd_map ccal_cird_pd_map on ON ap.pd_id = ccal_cird_pd_map.ccal_pd_id
ND ccal_cird_pd_map.actv_f = 'Y'
JOIN cird_owner.imt_pd_dim  imt_pd_dim1 on ap.pd_id = imt_pd_dim1.cird_pd_id (-- cird_pd-based dimension (only used when src_stm_id = 93))
AND t.td &gt;= imt_pd_dim1.eff_dt
AND t.td &lt; imt_pd_dim1.end_dt
JOIN cird_owner.imt_pd_dim  imt_pd_dim ON  ap.pd_id = imt_pd_dim.ccal_pd_id (ccal_pd-based dimension)
AND t.td &gt;= imt_pd_dim.eff_dt
AND t.td &lt; imt_pd_dim.end_dt
JOIN cird_owner.imt_pd_dim imt_pd_dim_cird ON ccal_cird_pd_map.cird_pd_id = imt_pd_dim_cird.cird_pd_id (Dimension via mapped cird_pd)
AND t.td &gt;= imt_pd_dim_cird.eff_dt
AND t.td &lt; imt_pd_dim_cird.end_dt;</t>
  </si>
  <si>
    <t>Instrument Product</t>
  </si>
  <si>
    <t>Equity Industry Code</t>
  </si>
  <si>
    <t>EQTY_IDY_CD</t>
  </si>
  <si>
    <t>equity_industry_code</t>
  </si>
  <si>
    <t>eqty_sect_lvl_4_cd</t>
  </si>
  <si>
    <t>Equity Industry Group</t>
  </si>
  <si>
    <t>EQTY_IDY_GRP</t>
  </si>
  <si>
    <t>equity_industry_group</t>
  </si>
  <si>
    <t>Industry Group Level - The grouping or classification of companies into the business sectors in which they operate. The Equity Sector Classification schema has 4 levels: Super Sector -&gt; Sector-&gt; Industry Group-&gt; Industry</t>
  </si>
  <si>
    <t>eqty_sect_lvl_3</t>
  </si>
  <si>
    <t>Equity Industry Group Code</t>
  </si>
  <si>
    <t>EQTY_IDY_GRP_CD</t>
  </si>
  <si>
    <t>equity_industry_group_code</t>
  </si>
  <si>
    <t>eqty_sect_lvl_3_cd</t>
  </si>
  <si>
    <t>Equity Sector</t>
  </si>
  <si>
    <t>EQTY_SECT</t>
  </si>
  <si>
    <t>Equity_Sector</t>
  </si>
  <si>
    <t>Sector Level - The grouping or classification of companies into the business sectors in which they operate. The Equity Sector Classification schema has 4 levels: Super Sector -&gt; Sector-&gt; Industry Group-&gt; Industry</t>
  </si>
  <si>
    <t>eqty_sect_lvl_2</t>
  </si>
  <si>
    <t>Equity Sector Code</t>
  </si>
  <si>
    <t>EQTY_SECT_CD</t>
  </si>
  <si>
    <t>Equity_Sector_code</t>
  </si>
  <si>
    <t>eqty_sect_lvl_2_cd</t>
  </si>
  <si>
    <t>Equity Super Sector</t>
  </si>
  <si>
    <t>EQTY_SUP_SECT</t>
  </si>
  <si>
    <t>Equity_Super_Sector</t>
  </si>
  <si>
    <t>Super Sector Level - The grouping or classification of companies into the business sectors in which they operate. The Equity Sector Classification schema has 4 levels: Super Sector -&gt; Sector-&gt; Industry Group-&gt; Industry</t>
  </si>
  <si>
    <t>eqty_sect_lvl_1</t>
  </si>
  <si>
    <t>Equity Super Sector Code</t>
  </si>
  <si>
    <t>EQTY_SUP_SECT_CD</t>
  </si>
  <si>
    <t>Equity_Super_Sector_code</t>
  </si>
  <si>
    <t>eqty_sect_lvl_1_cd</t>
  </si>
  <si>
    <t>Model Strategy Detail Asset Class</t>
  </si>
  <si>
    <t>MODL_STRTG_DTL_AST_CLSS</t>
  </si>
  <si>
    <t>model_strategy_detail_asset_class</t>
  </si>
  <si>
    <t>Alternate hierarchy Firm Model Hierarchy Classification Level 2.</t>
  </si>
  <si>
    <t>firm_modl_lvl_2</t>
  </si>
  <si>
    <t>Model Strategy Detail Asset Class Code</t>
  </si>
  <si>
    <t>MODL_STRTG_DTL_AST_CLSS_CD</t>
  </si>
  <si>
    <t>model_strategy_detail_asset_class_code</t>
  </si>
  <si>
    <t>firm_modl_lvl_2_cd</t>
  </si>
  <si>
    <t>Model Strategy Summary Asset Class</t>
  </si>
  <si>
    <t>MODL_STRTG_SMY_AST_CLSS</t>
  </si>
  <si>
    <t>model_strategy_summary_asset_class</t>
  </si>
  <si>
    <t>Alternate hierarchy Firm Model Hierarchy Classification Level 1 - Top Level.</t>
  </si>
  <si>
    <t>firm_modl_lvl_1</t>
  </si>
  <si>
    <t>Model Strategy Summary Asset Class Code</t>
  </si>
  <si>
    <t>MODL_STRTG_SMY_AST_CLSS_CD</t>
  </si>
  <si>
    <t>model_strategy_summary_asset_class_code</t>
  </si>
  <si>
    <t>firm_modl_lvl_1_cd</t>
  </si>
  <si>
    <t>Product Composite Description</t>
  </si>
  <si>
    <t>PD_CMPOS_DSC</t>
  </si>
  <si>
    <t>product_composite_description</t>
  </si>
  <si>
    <t>VARCHAR2(4000)</t>
  </si>
  <si>
    <t>character varying(4000)</t>
  </si>
  <si>
    <t>An enhanced description of a financial instrument where additional descriptors are appended to the security's general free text description.</t>
  </si>
  <si>
    <t xml:space="preserve">Use Product Information logic from ETL Notes Tab
Product Information: (Security source CUSIP, Security Product Id, Security CIRD Product Id, Security Option Symbol, Symbol, ISIN, Product Composite Description, Product Short Name, Product Description)
If there is atleast 1 APASEC, consider above fields from that APASEC
If there is an iAPASEC but no APASEC, consider above fields from iAPASEC
ccal_repl_owner.apa ap
join ccal_repl_owner.txn t ON  ap.exec_id = t.txn_id
</t>
  </si>
  <si>
    <t>Product Short Name</t>
  </si>
  <si>
    <t>PD_SHRT_NM</t>
  </si>
  <si>
    <t>product_short_name</t>
  </si>
  <si>
    <t>Abbreviated text description of the product</t>
  </si>
  <si>
    <t>pd_nm</t>
  </si>
  <si>
    <t>Use Product Information logic from ETL Notes Tab
Product Information: (Security source CUSIP, Security Product Id, Security CIRD Product Id, Security Option Symbol, Symbol, ISIN, Product Composite Description, Product Short Name, Product Description)
If there is atleast 1 APASEC, consider above fields from that APASEC
If there is an iAPASEC but no APASEC, consider above fields from iAPASEC
JOIN ccal_repl_owner.txn t with ccal_repl_owner.Apa ap on ap.exec_id = t.txn_id
JOIN ccal_repl_owner.ccal_cird_pd_map ccal_cird_pd_map on ON ap.pd_id = ccal_cird_pd_map.ccal_pd_id
ND ccal_cird_pd_map.actv_f = 'Y'
JOIN cird_owner.imt_pd_dim  imt_pd_dim1 on ap.pd_id = imt_pd_dim1.cird_pd_id (-- cird_pd-based dimension (only used when src_stm_id = 93))
AND t.td &gt;= imt_pd_dim1.eff_dt
AND t.td &lt; imt_pd_dim1.end_dt
JOIN cird_owner.imt_pd_dim  imt_pd_dim ON  ap.pd_id = imt_pd_dim.ccal_pd_id (ccal_pd-based dimension)
AND t.td &gt;= imt_pd_dim.eff_dt
AND t.td &lt; imt_pd_dim.end_dt
JOIN cird_owner.imt_pd_dim imt_pd_dim_cird ON ccal_cird_pd_map.cird_pd_id = imt_pd_dim_cird.cird_pd_id (Dimension via mapped cird_pd)
AND t.td &gt;= imt_pd_dim_cird.eff_dt
AND t.td &lt; imt_pd_dim_cird.end_dt;</t>
  </si>
  <si>
    <t>Product Description</t>
  </si>
  <si>
    <t>PD_DSC</t>
  </si>
  <si>
    <t>product_description</t>
  </si>
  <si>
    <t>pd_dsc</t>
  </si>
  <si>
    <t>Reporting Classification Level 1</t>
  </si>
  <si>
    <t>RPT_CL_LVL_1</t>
  </si>
  <si>
    <t>reporting_classification_level_1</t>
  </si>
  <si>
    <t>The product type is the summary classification of the higher level grouping of products called the 'Reporting View', which is intended for display in downstream applications and reports. CIRD's classification of products are based on their descriptive characteristics including, legal structure, issuer type, means of purchase (e.g. via an exchange). The product classification schema is intended to be an explanation of what the product is, filtering out anything that could be instead treated as an attribute of a product (e.g. coupon type, market value, credit rating, etc.).</t>
  </si>
  <si>
    <t>rpt_cl_lvl_1</t>
  </si>
  <si>
    <t>Reporting Classification Level 2</t>
  </si>
  <si>
    <t>RPT_CL_LVL_2</t>
  </si>
  <si>
    <t>reporting_classification_level_2</t>
  </si>
  <si>
    <t>The product subtype is the detailed classification of the higher level grouping of products called the 'Reporting View', which is intended for display in downstream applications and reports. CIRD's classification of products are based on their descriptive characteristics including, legal structure, issuer type, means of purchase (e.g. via an exchange). The product classification schema is intended to be an explanation of what the product is, filtering out anything that could be instead treated as an attribute of a product (e.g. coupon type, market value, credit rating, etc.).</t>
  </si>
  <si>
    <t>rpt_cl_lvl_2</t>
  </si>
  <si>
    <t>Reporting Strategy Detail Asset Class</t>
  </si>
  <si>
    <t>RPT_STRTG_DTL_AST_CLSS</t>
  </si>
  <si>
    <t>reporting_strategy_detail_asset_class</t>
  </si>
  <si>
    <t>Alternate hierarchy Firm Reporting Hierarchy Classification Level 2.</t>
  </si>
  <si>
    <t>firm_rpt_lvl_2</t>
  </si>
  <si>
    <t>Reporting Strategy Detail Asset Class Code</t>
  </si>
  <si>
    <t>RPT_STRTG_DTL_AST_CLSS_CD</t>
  </si>
  <si>
    <t>reporting_strategy_detail_asset_class_code</t>
  </si>
  <si>
    <t>firm_rpt_lvl_2_cd</t>
  </si>
  <si>
    <t>Reporting Strategy Summary Asset Class</t>
  </si>
  <si>
    <t>RPT_STRTG_SMY_AST_CLSS</t>
  </si>
  <si>
    <t>reporting_strategy_summary_asset_class</t>
  </si>
  <si>
    <t>Alternate hierarchy Firm Reporting Hierarchy Classification Level 1 - Top Level.</t>
  </si>
  <si>
    <t>firm_rpt_lvl_1</t>
  </si>
  <si>
    <t>Reporting Strategy Summary Asset Class Code</t>
  </si>
  <si>
    <t>RPT_STRTG_SMY_AST_CLSS_CD</t>
  </si>
  <si>
    <t>reporting_strategy_summary_asset_class_code</t>
  </si>
  <si>
    <t>firm_rpt_lvl_1_cd</t>
  </si>
  <si>
    <t>Fund Family</t>
  </si>
  <si>
    <t>FND_FAM</t>
  </si>
  <si>
    <t>FUND_FAMILY</t>
  </si>
  <si>
    <t>Internal identifier of the fund family to which a given fund belongs</t>
  </si>
  <si>
    <t>fnd_fam</t>
  </si>
  <si>
    <t>Share Class Type Code</t>
  </si>
  <si>
    <t>SHR_CLSS_TP_CD</t>
  </si>
  <si>
    <t>SHARE_CLASS_TYPE_CODE</t>
  </si>
  <si>
    <t xml:space="preserve"> A unique code that specifies the type of mutual fund share class, such as Institutional, Retirement, Clean (management fee only), or Management + Distribution Fee. Each share class type represents the same underlying portfolio but differs in fee structure, eligibility, and distribution method. This identifier helps classify and process transactions accurately across fund families and platforms.</t>
  </si>
  <si>
    <t>shr_clss_tp_cd</t>
  </si>
  <si>
    <t>Share Class Type</t>
  </si>
  <si>
    <t>SHR_CLSS_TP</t>
  </si>
  <si>
    <t>SHARE_CLASS_TYPE</t>
  </si>
  <si>
    <t xml:space="preserve"> A designation applied to mutual funds often determined by how the sales charge is paid. i.e., "No Load", "Mgmt. + Dist Fee"</t>
  </si>
  <si>
    <t>shr_clss_tp_nm</t>
  </si>
  <si>
    <t>Instrument Classification Level 1</t>
  </si>
  <si>
    <t>IMT_CL_LVL_1</t>
  </si>
  <si>
    <t>instrument_classification_level_1</t>
  </si>
  <si>
    <t>Top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</si>
  <si>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imt_cl_lvl_1</t>
  </si>
  <si>
    <t>Instrument Classification Level 1 Code</t>
  </si>
  <si>
    <t>IMT_CL_LVL_1_CD</t>
  </si>
  <si>
    <t>instrument_classification_level_1_code</t>
  </si>
  <si>
    <t>The code for the Instrument Classification Level 1.</t>
  </si>
  <si>
    <t>imt_cl_lvl_1_cd</t>
  </si>
  <si>
    <t>Instrument Classification Level 2</t>
  </si>
  <si>
    <t>IMT_CL_LVL_2</t>
  </si>
  <si>
    <t>instrument_classification_level_2</t>
  </si>
  <si>
    <t>Second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</si>
  <si>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imt_cl_lvl_2</t>
  </si>
  <si>
    <t>Instrument Classification Level 2 Code</t>
  </si>
  <si>
    <t>IMT_CL_LVL_2_CD</t>
  </si>
  <si>
    <t>instrument_classification_level_2_code</t>
  </si>
  <si>
    <t>The code for the Instrument Classification Level 2.</t>
  </si>
  <si>
    <t>imt_cl_lvl_2_cd</t>
  </si>
  <si>
    <t>Instrument Classification Level 3</t>
  </si>
  <si>
    <t>IMT_CL_LVL_3</t>
  </si>
  <si>
    <t>instrument_classification_level_3</t>
  </si>
  <si>
    <t>Third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</si>
  <si>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imt_cl_lvl_3</t>
  </si>
  <si>
    <t>Instrument Classification Level 3 Code</t>
  </si>
  <si>
    <t>IMT_CL_LVL_3_CD</t>
  </si>
  <si>
    <t>instrument_classification_level_3_code</t>
  </si>
  <si>
    <t>The code for the Instrument Classification Level 3.</t>
  </si>
  <si>
    <t>imt_cl_lvl_3_cd</t>
  </si>
  <si>
    <t>Instrument Classification Level 4</t>
  </si>
  <si>
    <t>IMT_CL_LVL_4</t>
  </si>
  <si>
    <t>instrument_classification_level_4</t>
  </si>
  <si>
    <t>Fourth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</si>
  <si>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imt_cl_lvl_4</t>
  </si>
  <si>
    <t>Instrument Classification Level 4 Code</t>
  </si>
  <si>
    <t>IMT_CL_LVL_4_CD</t>
  </si>
  <si>
    <t>instrument_classification_level_4_code</t>
  </si>
  <si>
    <t>The code for the Instrument Classification Level 4.</t>
  </si>
  <si>
    <t>imt_cl_lvl_4_cd</t>
  </si>
  <si>
    <t>Instrument Classification Level 5</t>
  </si>
  <si>
    <t>IMT_CL_LVL_5</t>
  </si>
  <si>
    <t>instrument_classification_level_5</t>
  </si>
  <si>
    <t>Bottom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</si>
  <si>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imt_cl_lvl_5</t>
  </si>
  <si>
    <t>Instrument Classification Level 5 Code</t>
  </si>
  <si>
    <t>IMT_CL_LVL_5_CD</t>
  </si>
  <si>
    <t>instrument_classification_level_5_code</t>
  </si>
  <si>
    <t>The code for the Instrument Classification Level 5.</t>
  </si>
  <si>
    <t>imt_cl_lvl_5_cd</t>
  </si>
  <si>
    <t>Owner FA Number Type Code</t>
  </si>
  <si>
    <t>OWN_FA_NUM_TP_CD</t>
  </si>
  <si>
    <t>Brokerage_Owner_FA_Number_Type_Code</t>
  </si>
  <si>
    <t>FA Number Type Code is a three-character code representing the type of Financial Advisor (FA) number. Examples include 'pri' for primary and 'spl' for split.</t>
  </si>
  <si>
    <t>FA_NUMBER_TYPE_CODE</t>
  </si>
  <si>
    <t>Fetch FA_NUMBER_V.FA_NUMBER_TYPE_CODE As OWN_FA_NUM_TP_CD
LEFT Join with CCAL_REPL_OWNER.TXN TXN With CCSI_OWNER.AR_GRP_SUBDIM AR_GRP_SUBDIM ON TXN.AR_ID = AR_GRP_SUBDIM.AR_ID
And TXN.TD &gt;= AR_GRP_SUBDIM.EFF_DT
And TXN.TD &lt; AR_GRP_SUBDIM.END_DT
Left Join SSDS_DAL_OWNER.FA_NUMBER_V FA_NUMBER_V ON AR_GRP_SUBDIM.FA_NUM = FA_NUMBER_V.FA_NUMBER
And TXN.TD &gt;= FA_NUMBER_V.EFFECTIVE_DATE
And TXN.TD &lt; FA_NUMBER_V.END_DATE</t>
  </si>
  <si>
    <t>Owner FA Number Type</t>
  </si>
  <si>
    <t>OWN_FA_NUM_TP</t>
  </si>
  <si>
    <t>Brokerage_Owner_FA_Number_Type</t>
  </si>
  <si>
    <t>FA Number Type represents the type of Financial Advisor (FA) number.</t>
  </si>
  <si>
    <t>CODE_SET_VALUE_V</t>
  </si>
  <si>
    <t>CODE_VALUE_DESCRIPTION</t>
  </si>
  <si>
    <t>Fetch CODE_SET_VALUE_V.CODE_VALUE_DESCRIPTION As OWN_FA_NUM_TP
LEFT Join with CCAL_REPL_OWNER.TXN TXN With CCSI_OWNER.AR_GRP_SUBDIM AR_GRP_SUBDIM ON TXN.AR_ID = AR_GRP_SUBDIM.AR_ID
And TXN.TD &gt;= AR_GRP_SUBDIM.EFF_DT
And TXN.TD &lt; AR_GRP_SUBDIM.END_DT
Left Join SSDS_DAL_OWNER.FA_NUMBER_V FA_NUMBER_V ON AR_GRP_SUBDIM.FA_NUM = FA_NUMBER_V.FA_NUMBER
And TXN.TD &gt;= FA_NUMBER_V.EFFECTIVE_DATE
And TXN.TD &lt; FA_NUMBER_V.END_DATE
Left Join SSDS_DAL_OWNER.CODE_SET_VALUE_V CODE_SET_VALUE_V ON CODE_SET_VALUE_V.CODE_VALUE_ID = FA_NUMBER_V.FA_NUMBER_TYPE_CODE_ID
And TXN.TD &gt;= CODE_SET_VALUE_V.EFFECTIVE_DATE
And TXN.TD &lt; CODE_SET_VALUE_V.END_DATE</t>
  </si>
  <si>
    <t>Bond Accretion Discount Amount</t>
  </si>
  <si>
    <t>BOND_ACRTN_DCN_AMT</t>
  </si>
  <si>
    <t>Bond_Accretion_Discount_Amount</t>
  </si>
  <si>
    <t>The portion of a bond’s transaction quantity that represents the incremental increase in value of a bond purchased below its face value as it approaches maturity. It reflects the systematic recognition of the discount as interest income over time, increasing the bond’s carrying value toward par value. This amount is calculated for each accounting period based on the bond’s purchase price, face value, and remaining time to maturity.</t>
  </si>
  <si>
    <t>Use APACSH logic from 'ETL Notes' tab.
Applicable only for APACSH82</t>
  </si>
  <si>
    <t>Bond Amortization Premium Amount</t>
  </si>
  <si>
    <t>BOND_AMRZ_PREM_AMT</t>
  </si>
  <si>
    <t>Bond_Amortization_Premium_Amount</t>
  </si>
  <si>
    <t>The portion of a bond’s transaction quantity that represents the gradual reduction of a premium paid when a bond is purchased above its face value. It reflects the systematic allocation of the premium over the remaining life of the bond, reducing the bond’s carrying value toward par value at maturity. This amount is recognized periodically to adjust interest income or interest expense so the bond’s effective yield aligns with market rates.</t>
  </si>
  <si>
    <t>Use APACSH logic from 'ETL Notes' tab.
Applicable only for APACSH83</t>
  </si>
  <si>
    <t>RJ Trust Book Value Amount</t>
  </si>
  <si>
    <t>RJ_TRUST_BOOK_VAL_AMT</t>
  </si>
  <si>
    <t>RJ_Trust_Book_Value_Amount</t>
  </si>
  <si>
    <t xml:space="preserve">The accounting value of a trust-held asset recorded on the books of Raymond James, based on its original transaction quantity adjusted for subsequent accretion, amortization, depreciation, or other applicable accounting adjustments. It reflects the asset’s carrying value rather than its current market value and is used for financial reporting purposes. For securities, this amount generally equals the purchase amount plus or minus recognized premium, discount, or income adjustments over time. </t>
  </si>
  <si>
    <t>Use APACSH logic from 'ETL Notes' tab.
Applicable only for APACSH84</t>
  </si>
  <si>
    <t>RJ Trust Realized Taxable Gain or Loss Amount</t>
  </si>
  <si>
    <t>RJ_TRUST_RLZD_TAX_GAIN_OR_LOSS_AMT</t>
  </si>
  <si>
    <t>RJ_Trust_Realized_Taxable_Gain_or_Loss_Amount</t>
  </si>
  <si>
    <t xml:space="preserve">The profit or loss recognized for tax purposes when a trust-held asset is sold or otherwise disposed of. It is calculated as the difference between the amount received in the transaction and the asset’s adjusted book value at the time of disposition. This amount becomes taxable only upon realization and does not include unrealized changes in market value prior to the transaction. </t>
  </si>
  <si>
    <t>Use APACSH logic from 'ETL Notes' tab.
Applicable only for APACSH85</t>
  </si>
  <si>
    <t>Before Repayment Face Value Amount</t>
  </si>
  <si>
    <t>BFR_REPYMT_FACE_VAL_AMT</t>
  </si>
  <si>
    <t>Before_Repayment_Face_Value_Amount</t>
  </si>
  <si>
    <t xml:space="preserve">The stated principal amount of a debt instrument that is owed prior to any repayment of principal. It reflects the original face value of the instrument as defined at issuance and does not change based on market price fluctuations, accretion, amortization, or partial repayments. This amount serves as the basis for calculating interest payments and the total amount due at maturity before any reductions for repayments or redemptions.  </t>
  </si>
  <si>
    <t>Use APASEC logic from 'ETL Notes' tab.
Applicable only for APASEC81</t>
  </si>
  <si>
    <t>Before Income Payment Face Value Amount</t>
  </si>
  <si>
    <t>BFR_INCM_PYMT_FACE_VAL_AMT</t>
  </si>
  <si>
    <t>Before_Income_Payment_Face_Value_Amount</t>
  </si>
  <si>
    <t>The stated principal amount of a debt instrument that is outstanding immediately prior to an income payment, such as interest or coupon payment. It reflects the original face value of the instrument before any reduction due to principal repayment, call, or redemption. This amount is used as the basis for calculating the income payment owed to the holder.</t>
  </si>
  <si>
    <t>Use APASEC logic from 'ETL Notes' tab.
Applicable only for APASEC83</t>
  </si>
  <si>
    <t>Base Position Quantity</t>
  </si>
  <si>
    <t>BASE_POS_QTY</t>
  </si>
  <si>
    <t>Base_Position_Quantity</t>
  </si>
  <si>
    <t xml:space="preserve">The core quantity of a financial position held in an account before the application of any subsequent transactional, income, valuation, or accounting adjustments. For security instruments, it reflects the number of units or shares held, while for cash instruments it reflects the base cash amount. This quantity serves as the foundational measure from which other position-based calculations, such as market value or gain and loss, are derived.  </t>
  </si>
  <si>
    <t>Use APASEC logic from 'ETL Notes' tab.
Applicable only for APASEC91</t>
  </si>
  <si>
    <t>No SIS security movement Transaction Quantity</t>
  </si>
  <si>
    <t>NO_SIS_SCR_MVMT_TXN_QTY</t>
  </si>
  <si>
    <t>No_SIS_security_movement_Transaction_Quantity</t>
  </si>
  <si>
    <t>The positive or negative quantity associated with a security movement transaction that is processed outside of a Securities Information System. It reflects the change in the number of securities resulting from a transaction that does not involve system‑based settlement or position movement within that system. This quantity is used to record manual, off‑system, or excluded security movements while remaining consistent with standard transaction quantity treatment.</t>
  </si>
  <si>
    <t>Use APASEC logic from 'ETL Notes' tab.
Applicable only for APASEC93</t>
  </si>
  <si>
    <t>No SIS security movement Transaction Price</t>
  </si>
  <si>
    <t>NO_SIS_SCR_MVMT_TXN_PRC</t>
  </si>
  <si>
    <t>No_SIS_security_movement_Transaction_Price</t>
  </si>
  <si>
    <t>The price at which a security movement transaction was executed when the transaction is processed outside of a Securities Information System. It reflects the executed trade price in the original currency of the transaction and is recorded without system‑based settlement or pricing validation by that system. This price is used for off‑system or excluded security movements while remaining consistent with standard transaction price treatment.</t>
  </si>
  <si>
    <t>Reinvested Shares Quantity</t>
  </si>
  <si>
    <t>REIVS_SHR_QTY</t>
  </si>
  <si>
    <t>Reinvested_Shares_Quantity</t>
  </si>
  <si>
    <t>The number of additional shares acquired when income from an investment, such as dividends or distributions, is used to purchase more shares of the same security instead of being received as cash. These shares increase the total position held and may include fractional shares depending on the reinvestment amount and share price. This quantity reflects a transaction-driven increase in holdings resulting from reinvestment activity.</t>
  </si>
  <si>
    <t>Use APASEC logic from 'ETL Notes' tab.
Applicable only for APASEC94</t>
  </si>
  <si>
    <t>Reinvested Price</t>
  </si>
  <si>
    <t>REIVS_PRC</t>
  </si>
  <si>
    <t>Reinvested_Price</t>
  </si>
  <si>
    <t xml:space="preserve">The price at which additional shares are acquired when investment income, such as dividends or distributions, is reinvested instead of being paid out in cash. It reflects the executed purchase price of the security at the time of reinvestment and is expressed in the original currency of the transaction. This price is used to determine the number of whole or fractional shares obtained through the reinvestment event. </t>
  </si>
  <si>
    <t>Step In Out Indicator Code</t>
  </si>
  <si>
    <t>STEP_IN_OUT_IND_CD</t>
  </si>
  <si>
    <t>Step_In_Out_Indicator Code</t>
  </si>
  <si>
    <t>A step in execution will come into force when an external firm/entitity execute a Step Out trade and allocation is shared between firms. Step-in/Step-out are 2 sides of the same coin. For every step-in there a cooresponding step-out somewhere else. (For retail trading, we (Raymond James) really only do the step-in side of equation. We can do step-outs, but those are pretty rare. Example- a trade of 10000 unit was executed and split between 2 firm- 7500 ABC Corp and 2500 RJ. So RJ would enter a Step In trade of 2500 from ABC Corp.
Expected valus- blank, 0 , I and O</t>
  </si>
  <si>
    <t>yes</t>
  </si>
  <si>
    <t>Use CL_VAL_ID =   check in CL_VAL table where CL_SCM_ID = 114 and use CL_VAL_CODE</t>
  </si>
  <si>
    <t>Step In Out Indicator Name</t>
  </si>
  <si>
    <t>STEP_IN_OUT_IND_NM</t>
  </si>
  <si>
    <t>Step_In_Out_Indicator</t>
  </si>
  <si>
    <t>A step in execution will come into force when an external firm/entitity execute a Step Out trade and allocation is shared between firms. Step-in/Step-out are 2 sides of the same coin. For every step-in there a cooresponding step-out somewhere else. (For retail trading, we (Raymond James) really only do the step-in side of equation. We can do step-outs, but those are pretty rare. Example- a trade of 10000 unit was executed and split between 2 firm- 7500 ABC Corp and 2500 RJ. So RJ would enter a Step In trade of 2500 from ABC Corp.
Expected valus- Regular Trade, Step In Indicator, Step Out Indicator</t>
  </si>
  <si>
    <t>Use CL_VAL_ID =   check in CL_VAL table where CL_SCM_ID = 114 and use CL_VAL_NM</t>
  </si>
  <si>
    <t>Short Sale Exempt Code</t>
  </si>
  <si>
    <t>SHRT_SALE_EXMPT_CD</t>
  </si>
  <si>
    <t>Short_Sale_Exempt_Code</t>
  </si>
  <si>
    <t>"Short Sale Exempt" is a designation for specific short-sale orders that are exempt from SEC regulation SHO's price test restrictions, allowing them to be executed even on a downtick. 
Orders should only be marked long when clients own the security/have title to it, if the security being sold is reasonably expected to be delivered by settlement date (i.e., T+1).  Otherwise deemed to own securities should be marked as "short sale exempt" for listed securities (Y) and "short sale (no locate)" for OTC securities (L).
Expected value- Y, L, N(to be ignored)</t>
  </si>
  <si>
    <t>Short Sale Exempt Name</t>
  </si>
  <si>
    <t>SHRT_SALE_EXMPT_NM</t>
  </si>
  <si>
    <t>Short_Sale_Exempt</t>
  </si>
  <si>
    <t>"Short Sale Exempt" is a designation for specific short-sale orders that are exempt from SEC regulation SHO's price test restrictions, allowing them to be executed even on a downtick. 
Orders should only be marked long when clients own the security/have title to it, if the security being sold is reasonably expected to be delivered by settlement date (i.e., T+1).  Otherwise deemed to own securities should be marked as "short sale exempt" for listed securities (Y) and "short sale (no locate)" for OTC securities (L).
Expected value- Sell Short Exempt, Sell  Short Exempt No Locate</t>
  </si>
  <si>
    <t>Use CL_VAL_ID =   , check in CL_VAL table where CL_SCM_ID = 115 and use CL_VAL_NM</t>
  </si>
  <si>
    <t>COLUMN_NAME</t>
  </si>
  <si>
    <t xml:space="preserve"> DATA_TYPE</t>
  </si>
  <si>
    <t xml:space="preserve"> NULLABLE</t>
  </si>
  <si>
    <t xml:space="preserve"> DATA_DEFAULT</t>
  </si>
  <si>
    <t xml:space="preserve"> COLUMN_ID</t>
  </si>
  <si>
    <t xml:space="preserve"> COMMENTS</t>
  </si>
  <si>
    <t xml:space="preserve"> INSERTABLE</t>
  </si>
  <si>
    <t xml:space="preserve"> UPDATABLE</t>
  </si>
  <si>
    <t xml:space="preserve"> DELETABLE</t>
  </si>
  <si>
    <t>ACAT_CONTRA_FIRM_CLEARING_ID_TYPE_CODE</t>
  </si>
  <si>
    <t>YES</t>
  </si>
  <si>
    <t>ACAT_CONTRA_FIRM_CLEARING_NUMBER</t>
  </si>
  <si>
    <t>This is the logical identifier for the entity/system (in this case ACAT) that is providing this transaction information or responsible for creation/maintenance of the information. In a case where the information is created and maintained.Identifier of the system from which CDS database receives/obtains the underlying record. This identifier is specifc to ACAT Contra Firm clearing</t>
  </si>
  <si>
    <t>ACAT_CONTRA_FIRM_NAME</t>
  </si>
  <si>
    <t>ACAT_CONTRA_FIRM_SHORT_NAME</t>
  </si>
  <si>
    <t>ACCOUNTING_TYPE_CODE</t>
  </si>
  <si>
    <t>ACCOUNTING_TYPE_DIMENSION_ID</t>
  </si>
  <si>
    <t>NUMBER(38)</t>
  </si>
  <si>
    <t>ACCOUNTING_TYPE_ID</t>
  </si>
  <si>
    <t>ACCOUNTING_TYPE_NAME</t>
  </si>
  <si>
    <t>ACTIVE_FLAG</t>
  </si>
  <si>
    <t>AGGREGATE_ORIGINAL_FEES</t>
  </si>
  <si>
    <t>AGGREGATE_STATEMENT_FEES</t>
  </si>
  <si>
    <t>ARRANGEMENT_ID</t>
  </si>
  <si>
    <t>ARRANGEMENT_ORIGINATING_SOURCE_SYSTEM_CODE</t>
  </si>
  <si>
    <t>ARRANGEMENT_SETTLEMENT_TYPE_CODE</t>
  </si>
  <si>
    <t>ARRANGEMENT_SETTLEMENT_TYPE_DESCRIPTION</t>
  </si>
  <si>
    <t>BATCH_DATE</t>
  </si>
  <si>
    <t>Business Date for the Load run of the Activity Asset Packager row IBM Unique ID:BDW03041</t>
  </si>
  <si>
    <t>BOOKING_DATE</t>
  </si>
  <si>
    <t>BRANCH_CODE</t>
  </si>
  <si>
    <t>BROKERAGE_ARRANGEMENT_ID</t>
  </si>
  <si>
    <t>BUY_SELL_INDICATOR</t>
  </si>
  <si>
    <t>CASH_ACTIVITY_CATEGORY</t>
  </si>
  <si>
    <t>Represents the specific Category of activity such as a 'Purchase' or 'Income'. Further refinement of the categories are captured under Activity Type.This field will be populated only if the transaction has a Cash leg.</t>
  </si>
  <si>
    <t>CASH_ACTIVITY_CLASSIFICATION_ID</t>
  </si>
  <si>
    <t>CDS assigned identifier for the activity class.This field will be populated only if the transaction has a Cash leg.</t>
  </si>
  <si>
    <t>CASH_ACTIVITY_TYPE</t>
  </si>
  <si>
    <t>Represents a more refined view of the Activity Category.This field will be populated only if the transaction has a Cash leg.</t>
  </si>
  <si>
    <t>CASH_ALTERNATE_DESCRIPTION_TRAILER_2</t>
  </si>
  <si>
    <t>Second line of unformatted, monolingual narrative booking information. SIS trailer field 2. This field will be populated only if the transaction has a Cash leg.</t>
  </si>
  <si>
    <t>CASH_ASSET_PACKAGE_EXTERNAL_QUALIFIER</t>
  </si>
  <si>
    <t>Qualifier code from the external source system._x000D_
This field will be populated only if the transaction has a Cash leg.</t>
  </si>
  <si>
    <t>CASH_ASSET_PACKAGE_ID</t>
  </si>
  <si>
    <t>APA_ID from CCAL APA table. It is recorded here for the purpose of maintaining a link with the source.This field will be populated only if the transaction has a Cash leg.</t>
  </si>
  <si>
    <t>CASH_ASSET_PACKAGE_TYPE_CODE</t>
  </si>
  <si>
    <t>Code associated with Asset Package Type Id.This field will be populated only if the transaction has a Cash leg.</t>
  </si>
  <si>
    <t>CASH_ASSET_PACKAGE_TYPE_DESCRIPTION</t>
  </si>
  <si>
    <t>Description associated with Asset Package Type Id.This field will be populated only if the transaction has a Cash leg.</t>
  </si>
  <si>
    <t>CASH_ASSET_PACKAGE_TYPE_ID</t>
  </si>
  <si>
    <t>Asset Pacakge type Id from CCAL core.This field will be populated only if the transaction has a Cash leg.</t>
  </si>
  <si>
    <t>CASH_ASSET_PACKAGE_TYPE_NAME</t>
  </si>
  <si>
    <t>Name of Asset Package Type Id.This field will be populated only if the transaction has a Cash leg.</t>
  </si>
  <si>
    <t>CIRD identifier for product.This field will be populated only if the transaction has a Cash leg.</t>
  </si>
  <si>
    <t>CASH_DEBIT_CREDIT_CODE</t>
  </si>
  <si>
    <t>A code representing Debit / Credit (e.g. D / C). This field will be populated only if the transaction has a Cash leg.</t>
  </si>
  <si>
    <t>CASH_DEBIT_CREDIT_NAME</t>
  </si>
  <si>
    <t>A Name representing Debit / Credit (e.g. Debit / Credit).This field will be populated only if the transaction has a Cash leg.</t>
  </si>
  <si>
    <t>CASH_DESCRIPTION_TRAILER_1</t>
  </si>
  <si>
    <t>First line of unformatted, monolingual narrative booking information. SIS Trailer field 1.This field will be populated only if the transaction has a Cash leg.</t>
  </si>
  <si>
    <t>CASH_FLOW_GENERATION_FLAG</t>
  </si>
  <si>
    <t>CASH_POSITION_TYPE_CODE</t>
  </si>
  <si>
    <t>CASH_POSITION_TYPE_DIMENSION_ID</t>
  </si>
  <si>
    <t>CASH_POSITION_TYPE_ID</t>
  </si>
  <si>
    <t>CASH_POSITION_TYPE_NAME</t>
  </si>
  <si>
    <t>CASH_PRODUCT_ID</t>
  </si>
  <si>
    <t>CASH_SIMPLIFIED_DISPLAY_ACTIVITY_CATEGORY</t>
  </si>
  <si>
    <t>Simplified Display activity category shown to advisor in applications like client center.This field will be populated only if the transaction has a Cash leg.</t>
  </si>
  <si>
    <t>CASH_SIMPLIFIED_DISPLAY_ACTIVITY_TYPE</t>
  </si>
  <si>
    <t>Simplified Display activity type shown to advisor in applications like client center.This field will be populated only if the transaction has a Cash leg.</t>
  </si>
  <si>
    <t>CASH_SOURCE_SEQUENCE_NUMBER</t>
  </si>
  <si>
    <t>Sequence Number assigned by source system.This field will be populated only if the transaction has a Cash leg.</t>
  </si>
  <si>
    <t>CASH_SYSTEM_BASE_CURRENCY_AMOUNT</t>
  </si>
  <si>
    <t>Transaction Amount expressed in System Base Currency.This field will be populated only if the transaction has a Cash leg.</t>
  </si>
  <si>
    <t>CASH_TRANSACTION_AMOUNT</t>
  </si>
  <si>
    <t>NUMBER(19,4)</t>
  </si>
  <si>
    <t>Transaction amount applicable to the Asset package in transaction currency.This field will be populated only if the transaction has a Cash leg.</t>
  </si>
  <si>
    <t>CLIENT_FRIENDLY_DESCRIPTION</t>
  </si>
  <si>
    <t>CREATE_DATETIME</t>
  </si>
  <si>
    <t>CREATE_USER_NAME</t>
  </si>
  <si>
    <t>CURRENCY_CODE</t>
  </si>
  <si>
    <t>CURRENCY_DIMENSION_ID</t>
  </si>
  <si>
    <t>DEPARTMENT_OF_LABOR_INDICATOR_CODE</t>
  </si>
  <si>
    <t>DEPARTMENT_OF_LABOR_INDICATOR_ID</t>
  </si>
  <si>
    <t>DEPARTMENT_OF_LABOR_INDICATOR_NAME</t>
  </si>
  <si>
    <t>DIVIDEND_RECORD_DATE</t>
  </si>
  <si>
    <t>EXCHANGE_CODE</t>
  </si>
  <si>
    <t>EXCHANGE_DIMENSION_ID</t>
  </si>
  <si>
    <t>EXCHANGE_NAME</t>
  </si>
  <si>
    <t>EXECUTION_DATE</t>
  </si>
  <si>
    <t>EXECUTION_SUBTYPE_CODE</t>
  </si>
  <si>
    <t>A code for the execution sub-types allow the refinement of execution types for an order manager���s internal diversification only such as strategy level type, e.g.. Bullish Vertical spread, stop limit order.</t>
  </si>
  <si>
    <t>EXECUTION_SUBTYPE_DESCRIPTION</t>
  </si>
  <si>
    <t>A description for the execution sub-types allow the refinement of execution types for an order manager���s internal diversification only such as strategy level type, e.g.. Bullish Vertical spread, stop limit order.</t>
  </si>
  <si>
    <t>EXECUTION_SUBTYPE_ID</t>
  </si>
  <si>
    <t>Unique numeric identifier tied to various sub-types of trade executions. Execution sub-types allow the refinement of execution types for an order manager���s internal diversification only such as strategy level type, e.g.. Bullish Vertical spread, stop limit order.</t>
  </si>
  <si>
    <t>EXECUTION_SUBTYPE_NAME</t>
  </si>
  <si>
    <t>Name for the execution sub-types allow the refinement of execution types for an order manager���s internal diversification only such as strategy level type, e.g.. Bullish Vertical spread, stop limit order.</t>
  </si>
  <si>
    <t>EXECUTION_TYPE_CODE</t>
  </si>
  <si>
    <t>EXECUTION_TYPE_DESCRIPTION</t>
  </si>
  <si>
    <t>EXECUTION_TYPE_ID</t>
  </si>
  <si>
    <t>EXECUTION_TYPE_NAME</t>
  </si>
  <si>
    <t>FA_NUMBER</t>
  </si>
  <si>
    <t>IMPACT_SOURCE_ACTION_CODE</t>
  </si>
  <si>
    <t>IMPACT_SOURCE_ACTION_NAME</t>
  </si>
  <si>
    <t>LAST_UPDATE_DATETIME</t>
  </si>
  <si>
    <t>LAST_UPDATE_USER_NAME</t>
  </si>
  <si>
    <t>LEGACY_CANCELLATION_COMPLIANCE_REASON_TYPE_CODE</t>
  </si>
  <si>
    <t>LEGACY_CANCELLATION_COMPLIANCE_REASON_TYPE_DIMENSION_ID</t>
  </si>
  <si>
    <t>LEGACY_CANCELLATION_COMPLIANCE_REASON_TYPE_ID</t>
  </si>
  <si>
    <t>LEGACY_CANCELLATION_COMPLIANCE_REASON_TYPE_NAME</t>
  </si>
  <si>
    <t>Name of the Legacy Cancellation Compliance Reason Type.This will provide specific reason as to why a trade was cancelled, such as due to a price correction.</t>
  </si>
  <si>
    <t>LEGACY_CANCELLATION_COMPLIANCE_SOURCE_TYPE_CODE</t>
  </si>
  <si>
    <t>LEGACY_CANCELLATION_COMPLIANCE_SOURCE_TYPE_DIMENSION_ID</t>
  </si>
  <si>
    <t>LEGACY_CANCELLATION_COMPLIANCE_SOURCE_TYPE_ID</t>
  </si>
  <si>
    <t>LEGACY_CANCELLATION_COMPLIANCE_SOURCE_TYPE_NAME</t>
  </si>
  <si>
    <t>Name of the Legacy Cancellation Compliance Source Type.This will provide which internal or external source executed the trade cancellation, such as Purchase &amp; Sales department.</t>
  </si>
  <si>
    <t>LEGACY_MARKET_TYPE_CODE</t>
  </si>
  <si>
    <t>LEGACY_MARKET_TYPE_DIMENSION_ID</t>
  </si>
  <si>
    <t>LEGACY_MARKET_TYPE_ID</t>
  </si>
  <si>
    <t>LEGACY_MARKET_TYPE_NAME</t>
  </si>
  <si>
    <t>LEGACY_TRADE_CAPACITY_TYPE_CODE</t>
  </si>
  <si>
    <t>LEGACY_TRADE_CAPACITY_TYPE_DIMENSION_ID</t>
  </si>
  <si>
    <t>LEGACY_TRADE_CAPACITY_TYPE_ID</t>
  </si>
  <si>
    <t>LEGACY_TRADE_CAPACITY_TYPE_NAME</t>
  </si>
  <si>
    <t>MF_ACCOUNT_NUMBER</t>
  </si>
  <si>
    <t>MONEY_MOVEMENT_ALTERNATE_ID</t>
  </si>
  <si>
    <t>OFFSET_ARRANGEMENT_ID</t>
  </si>
  <si>
    <t>OFFSET_ARRANGEMENT_ORIGINATING_SOURCE_SYSTEM_CODE</t>
  </si>
  <si>
    <t>OFFSET_ARRANGEMENT_SETTLEMENT_TYPE_CODE</t>
  </si>
  <si>
    <t>If the APA was satisfied by offsetting with another RJ arrangement then, this column will contain information about the offsetted arrangement.A code that identifies how an arrangement settles its security transactions. This settlement type code is applicable for offset arrangements.</t>
  </si>
  <si>
    <t>OFFSET_ARRANGEMENT_SETTLEMENT_TYPE_DESCRIPTION</t>
  </si>
  <si>
    <t>If the APA was satisfied by offsetting with another RJ arrangement then, this column will contain information about the offsetted arrangement.A description that identifies how an arrangement settles its security transactions. This settlement type code is applicable for offset arrangements.</t>
  </si>
  <si>
    <t>OFFSET_ORIGINATING_SOURCE_SYSTEM_ARRANGEMENT_ID</t>
  </si>
  <si>
    <t>OPTION_CLASS_CODE</t>
  </si>
  <si>
    <t>ORDER_MANAGEMENT_SYSTEM_EXECUTING_TYPE_CODE</t>
  </si>
  <si>
    <t>ORDER_MANAGEMENT_SYSTEM_EXECUTING_TYPE_DESCRIPTION</t>
  </si>
  <si>
    <t>ORDER_MANAGEMENT_SYSTEM_EXECUTING_TYPE_ID</t>
  </si>
  <si>
    <t>ORDER_MANAGEMENT_SYSTEM_EXECUTING_TYPE_NAME</t>
  </si>
  <si>
    <t>ORDER_MANAGEMENT_SYSTEM_ORDER_KEY</t>
  </si>
  <si>
    <t>ORIGINAL_BOOKING_DATE</t>
  </si>
  <si>
    <t>This represents the business day date when the quantity has been ���booked��� in the system.</t>
  </si>
  <si>
    <t>ORIGINAL_SOURCE_SYSTEM_CODE</t>
  </si>
  <si>
    <t>ORIGINAL_SOURCE_SYSTEM_ID</t>
  </si>
  <si>
    <t>ORIGINAL_TRADE_NUMBER</t>
  </si>
  <si>
    <t>ORIGINATING_SOURCE_SYSTEM_ARRANGEMENT_ID</t>
  </si>
  <si>
    <t>ORIGNAL_TRADE_DATE</t>
  </si>
  <si>
    <t>OWNER_FA_EMPLOYEE_ID</t>
  </si>
  <si>
    <t>OWNER_FA_NUMBER</t>
  </si>
  <si>
    <t>OWNER_FA_NUMBER_ENTITY_CODE</t>
  </si>
  <si>
    <t>OWNER_FA_NUMBER_ENTITY_ENTERPRISE_ID</t>
  </si>
  <si>
    <t>NUMBER(22)</t>
  </si>
  <si>
    <t>OWNER_IMPACT_FA_NUMBER</t>
  </si>
  <si>
    <t>RELATED_TRANSACTION_RELATIONSHIP_TYPE_CODE</t>
  </si>
  <si>
    <t>RELATED_TRANSACTION_RELATIONSHIP_TYPE_ID</t>
  </si>
  <si>
    <t>RELATED_TRANSACTION_RELATIONSHIP_TYPE_NAME</t>
  </si>
  <si>
    <t>RELATED_TRANSACTION_SOURCE_SYSTEM_DIMENSION_ID</t>
  </si>
  <si>
    <t>SALES_CHARGE_RATE</t>
  </si>
  <si>
    <t>SALES_CHARGE_RATE_MULTIPLIER_NUMBER</t>
  </si>
  <si>
    <t>SALES_CHARGE_RATE_TYPE_CODE</t>
  </si>
  <si>
    <t>SALES_CHARGE_RATE_TYPE_ID</t>
  </si>
  <si>
    <t>SALES_CHARGE_RATE_TYPE_NAME</t>
  </si>
  <si>
    <t>SECURITY_ACTIVITY_CATEGORY</t>
  </si>
  <si>
    <t>Represents the specific Category of activity such as a 'Purchase' or 'Income'. Further refinement of the categories are captured under Activity Type.This field will be populated only if the transaction has a Security leg.</t>
  </si>
  <si>
    <t>SECURITY_ACTIVITY_CLASSIFICATION_ID</t>
  </si>
  <si>
    <t>CDS assigned identifier for the activity class.This field will be populated only if the transaction has a Security leg.</t>
  </si>
  <si>
    <t>SECURITY_ACTIVITY_TYPE</t>
  </si>
  <si>
    <t>Represents a more refined view of the Activity Category.This field will be populated only if the transaction has a Security leg.</t>
  </si>
  <si>
    <t>SECURITY_ALTERNATE_DESCRIPTION_TRAILER_2</t>
  </si>
  <si>
    <t>Second line of unformatted, monolingual narrative booking information. SIS trailer field 2. This field will be populated only if the transaction has a Security leg.</t>
  </si>
  <si>
    <t>SECURITY_ASSET_PACKAGE_EXTERNAL_QUALIFIER</t>
  </si>
  <si>
    <t>Qualifier code from the external source system.This field will be populated only if the transaction has a Security leg.</t>
  </si>
  <si>
    <t>SECURITY_ASSET_PACKAGE_ID</t>
  </si>
  <si>
    <t>APA_ID from CCAL APA table. It is recorded here for the purpose of maintaining a link with the source. This field will be populated only if the transaction has a Security leg.</t>
  </si>
  <si>
    <t>SECURITY_ASSET_PACKAGE_TYPE_CODE</t>
  </si>
  <si>
    <t>Code associated with Asset Package Type Id.This field will be populated only if the transaction has a Security leg.</t>
  </si>
  <si>
    <t>SECURITY_ASSET_PACKAGE_TYPE_DESCRIPTION</t>
  </si>
  <si>
    <t>Description associated with Asset Package Type Id.This field will be populated only if the transaction has a Security leg.</t>
  </si>
  <si>
    <t>SECURITY_ASSET_PACKAGE_TYPE_ID</t>
  </si>
  <si>
    <t>Asset Pacakge type Id from CCAL core.This field will be populated only if the transaction has a Security leg.</t>
  </si>
  <si>
    <t>SECURITY_ASSET_PACKAGE_TYPE_NAME</t>
  </si>
  <si>
    <t>Name of Asset Package Type Id.This field will be populated only if the transaction has a Security leg.</t>
  </si>
  <si>
    <t>CIRD identifier for product. This field will be populated only if the transaction has a Security leg.</t>
  </si>
  <si>
    <t>SECURITY_DEBIT_CREDIT_CODE</t>
  </si>
  <si>
    <t>A code representing Debit / Credit (e.g. D / C).This field will be populated only if the transaction has a Security leg.</t>
  </si>
  <si>
    <t>SECURITY_DEBIT_CREDIT_NAME</t>
  </si>
  <si>
    <t>A Name representing Debit / Credit (e.g. Debit / Credit).This field will be populated only if the transaction has a Security leg.</t>
  </si>
  <si>
    <t>SECURITY_DESCRIPTION_TRAILER_1</t>
  </si>
  <si>
    <t>First line of unformatted, monolingual narrative booking information. SIS Trailer field 1.This field will be populated only if the transaction has a Security leg.</t>
  </si>
  <si>
    <t>SECURITY_ORIGINAL_QUANTITY</t>
  </si>
  <si>
    <t>Original Quantity of the Package.This field will be populated only if the transaction has a Security leg.</t>
  </si>
  <si>
    <t>SECURITY_PRICE_IN_TRANSACTION_CURRENCY</t>
  </si>
  <si>
    <t>SECURITY_PRODUCT_ID</t>
  </si>
  <si>
    <t>CIRD identifier for product.This field will be populated only if the transaction has a Security leg.</t>
  </si>
  <si>
    <t>SECURITY_SIMPLIFIED_DISPLAY_ACTIVITY_CATEGORY</t>
  </si>
  <si>
    <t>Simplified Display activity category shown to advisor in applications like client center.This field will be populated only if the transaction has a Security leg.</t>
  </si>
  <si>
    <t>SECURITY_SIMPLIFIED_DISPLAY_ACTIVITY_TYPE</t>
  </si>
  <si>
    <t>Simplified Display activity type shown to advisor in applications like client center.This field will be populated only if the transaction has a Security leg.</t>
  </si>
  <si>
    <t>SECURITY_SOURCE_CUSIP</t>
  </si>
  <si>
    <t>CUSIP from source system._x000D_
This field will be populated only if the transaction has a Security leg.</t>
  </si>
  <si>
    <t>SECURITY_SOURCE_PRICE_IN_SYSTEM_BASE_CURRENCY</t>
  </si>
  <si>
    <t>Principal amount of the trade execution expressed in the system base currency. This value should not include commissions or fees associated with the trade.This field will be populated only if the transaction has a Security leg.</t>
  </si>
  <si>
    <t>SECURITY_SOURCE_SEQUENCE_NUMBER</t>
  </si>
  <si>
    <t>Sequence Number assigned by source system.This field will be populated only if the transaction has a Security leg.</t>
  </si>
  <si>
    <t>SECURITY_SYSTEM_BASE_CURRENCY_AMOUNT</t>
  </si>
  <si>
    <t>Principal amount of the trade execution expressed in the system base currency. This value should not include commissions or fees associated with the trade.</t>
  </si>
  <si>
    <t>SECURITY_TRANSACTION_AMOUNT</t>
  </si>
  <si>
    <t>Transaction amount applicable to the Asset package in transaction currency.This field will be populated only if the transaction has a Security leg.</t>
  </si>
  <si>
    <t>SESSION_NUMBER</t>
  </si>
  <si>
    <t>ODI Session Number for last update</t>
  </si>
  <si>
    <t>SETTLEMENT_DATE</t>
  </si>
  <si>
    <t>SETTLEMENT_DATE_DIMENSION_ID</t>
  </si>
  <si>
    <t>SHADOW_TRANSACTION_TYPE_CODE</t>
  </si>
  <si>
    <t xml:space="preserve">Possible values:  ORG, OLD, NEW, REV, REP.  </t>
  </si>
  <si>
    <t>SHADOW_TRANSACTION_TYPE_NAME</t>
  </si>
  <si>
    <t>SIS_ACCOUNT_CLASSIFICATION_CODE</t>
  </si>
  <si>
    <t>SIS_DETAILED_EVENTS_ID</t>
  </si>
  <si>
    <t>SIS_DETAILED_EVENTS_NAME</t>
  </si>
  <si>
    <t>SIS_USER_ID</t>
  </si>
  <si>
    <t>SOURCE_CANCEL_X_REVISION_CODE</t>
  </si>
  <si>
    <t>SOURCE_CANCELLATION_REASON_CODE</t>
  </si>
  <si>
    <t>Code representing Reason for cancellation in source system_x000D_
Valid Values - A ,N, Y, null/blank_x000D_
Valid values include:_x000D_
'Y' - Trade is cancelled due to correction, and will not be processed as a new trade_x000D_
'N' - Trade is an outright cancel._x000D_
'A' - Trade is a cancel/correction due to allocation, and will be processed as allocated trade.</t>
  </si>
  <si>
    <t>SOURCE_CANCELLATION_REASON_ID</t>
  </si>
  <si>
    <t>SOURCE_CANCELLATION_REASON_NAME</t>
  </si>
  <si>
    <t>SOURCE_CREATE_USER_NAME</t>
  </si>
  <si>
    <t>SOURCE_EFFECTIVE_DATE</t>
  </si>
  <si>
    <t>SOURCE_ENTRY_CHANNEL_TYPE_CODE</t>
  </si>
  <si>
    <t>SOURCE_ENTRY_CHANNEL_TYPE_DIMENSION_ID</t>
  </si>
  <si>
    <t>SOURCE_ENTRY_CHANNEL_TYPE_ID</t>
  </si>
  <si>
    <t>SOURCE_ENTRY_CHANNEL_TYPE_NAME</t>
  </si>
  <si>
    <t>SOURCE_ENTRY_DATETIME</t>
  </si>
  <si>
    <t>SOURCE_OPTION_CLASS_CODE</t>
  </si>
  <si>
    <t xml:space="preserve">The code that determines what type of transaction the record contains. For SIS activity the values depend on the record type.	</t>
  </si>
  <si>
    <t>SOURCE_PROCESSING_TYPE_CODE</t>
  </si>
  <si>
    <t>SOURCE_PROCESSING_TYPE_DIMENSION_ID</t>
  </si>
  <si>
    <t>SOURCE_PROCESSING_TYPE_ID</t>
  </si>
  <si>
    <t>SOURCE_PROCESSING_TYPE_NAME</t>
  </si>
  <si>
    <t>SOURCE_SYSTEM_CODE</t>
  </si>
  <si>
    <t>SOURCE_SYSTEM_ID</t>
  </si>
  <si>
    <t>SOURCE_SYSTEM_NAME</t>
  </si>
  <si>
    <t>SOURCE_TRANSACTION_CODE</t>
  </si>
  <si>
    <t>SOURCE_TRANSACTION_SEQUENCE_NUMBER</t>
  </si>
  <si>
    <t>SYSTEM_BASE_CURRENCY_CALCULATION_DATE</t>
  </si>
  <si>
    <t>SYSTEM_BASE_CURRENCY_CODE</t>
  </si>
  <si>
    <t>SYSTEM_BASE_CURRENCY_DIMENSION_ID</t>
  </si>
  <si>
    <t>SYSTEM_BASE_CURRENCY_EXCHANGE_RATE</t>
  </si>
  <si>
    <t>TARGET_TRANSACTION_ID</t>
  </si>
  <si>
    <t>TRADE_DATE</t>
  </si>
  <si>
    <t>TRADE_DATE_DIMENSION_ID</t>
  </si>
  <si>
    <t>TRADE_NUMBER</t>
  </si>
  <si>
    <t>TRADE_SOLICITATION_TYPE_CODE</t>
  </si>
  <si>
    <t>TRADE_SOLICITATION_TYPE_DIMENSION_ID</t>
  </si>
  <si>
    <t>TRADE_SOLICITATION_TYPE_ID</t>
  </si>
  <si>
    <t>TRADE_SOLICITATION_TYPE_NAME</t>
  </si>
  <si>
    <t>TRANSACTION_CLASSIFICATION_FLAG</t>
  </si>
  <si>
    <t>TRANSACTION_ID</t>
  </si>
  <si>
    <t>TRANSACTION_SOURCE_KEY</t>
  </si>
  <si>
    <t>TRANSACTION_SOURCE_SYSTEM_DIMENSION_ID</t>
  </si>
  <si>
    <t>TRANSACTION_SUBTYPE_CODE</t>
  </si>
  <si>
    <t>TRANSACTION_SUBTYPE_DESCRIPTION</t>
  </si>
  <si>
    <t>TRANSACTION_SUBTYPE_ID</t>
  </si>
  <si>
    <t>TRANSACTION_SUBTYPE_NAME</t>
  </si>
  <si>
    <t>TRANSACTION_TYPE_CODE</t>
  </si>
  <si>
    <t>TRANSACTION_TYPE_DESCRIPTION</t>
  </si>
  <si>
    <t>TRANSACTION_TYPE_ID</t>
  </si>
  <si>
    <t>TRANSACTION_TYPE_NAME</t>
  </si>
  <si>
    <t>VARCHAR2(1 BYTE)</t>
  </si>
  <si>
    <t>VARCHAR2(4 BYTE)</t>
  </si>
  <si>
    <t>VARCHAR2(50 BYTE)</t>
  </si>
  <si>
    <t>VARCHAR2(15 BYTE)</t>
  </si>
  <si>
    <t>VARCHAR2(30 BYTE)</t>
  </si>
  <si>
    <t xml:space="preserve">'Y' </t>
  </si>
  <si>
    <t>VARCHAR2(20 BYTE)</t>
  </si>
  <si>
    <t xml:space="preserve">A code that identifies how an arrangement settles its security transactions. </t>
  </si>
  <si>
    <t>VARCHAR2(100 BYTE)</t>
  </si>
  <si>
    <t>VARCHAR2(10 BYTE)</t>
  </si>
  <si>
    <t>VARCHAR2(256 BYTE)</t>
  </si>
  <si>
    <t>Second line of unformatted, monolingual narrative booking information. SIS trailer field 2.This field will be populated only if the transaction has a Cash leg.</t>
  </si>
  <si>
    <t>Qualifier code from the external source system.This field will be populated only if the transaction has a Cash leg.</t>
  </si>
  <si>
    <t>VARCHAR2(1000 BYTE)</t>
  </si>
  <si>
    <t>VARCHAR2(200 BYTE)</t>
  </si>
  <si>
    <t>VARCHAR2(25 BYTE)</t>
  </si>
  <si>
    <t>A code representing Debit / Credit (e.g. D / C).This field will be populated only if the transaction has a Cash leg.</t>
  </si>
  <si>
    <t>Surrogate key for Instrument Product Dim.This field will be populated only if the transaction has a Cash leg.</t>
  </si>
  <si>
    <t>VARCHAR2(75 BYTE)</t>
  </si>
  <si>
    <t>VARCHAR2(3 BYTE)</t>
  </si>
  <si>
    <t>VARCHAR2(2 BYTE)</t>
  </si>
  <si>
    <t xml:space="preserve">SYSDATE </t>
  </si>
  <si>
    <t xml:space="preserve">USER  </t>
  </si>
  <si>
    <t>VARCHAR2(500 BYTE)</t>
  </si>
  <si>
    <t>VARCHAR2(44 BYTE)</t>
  </si>
  <si>
    <t xml:space="preserve">USER </t>
  </si>
  <si>
    <t>Name of the Legacy Cancellation Compliance Source Type.This will provide which internal or external source executed the trade cancellation, such as Purchase and Sales department.</t>
  </si>
  <si>
    <t xml:space="preserve">If the APA was satisfied by offsetting with another RJ arrangement then, this column will contain information about the offsetted arrangement.A description that identifies how an arrangement settles its security transactions. This settlement type code is applicable for offset arrangements. </t>
  </si>
  <si>
    <t>VARCHAR2(6 BYTE)</t>
  </si>
  <si>
    <t>Second line of unformatted, monolingual narrative booking information. SIS trailer field 2.This field will be populated only if the transaction has a Security leg.</t>
  </si>
  <si>
    <t>APA_ID from CCAL APA table. It is recorded here for the purpose of maintaining a link with the source.This field will be populated only if the transaction has a Security leg.</t>
  </si>
  <si>
    <t>Surrogate key for Instrument Product Dim.This field will be populated only if the transaction has a Security leg.</t>
  </si>
  <si>
    <t>Transaction Amount expressed in System Base Currency.This field will be populated only if the transaction has a Security leg.</t>
  </si>
  <si>
    <t>CUSIP from source system.This field will be populated only if the transaction has a Security leg.</t>
  </si>
  <si>
    <t>OCI Session Number which created this record</t>
  </si>
  <si>
    <t>VARCHAR2(255 BYTE)</t>
  </si>
  <si>
    <t>Code representing Reason for cancellation in source system_x000D_
								Valid Values - A ,N, Y, null/blank_x000D_
								Valid values include:_x000D_
								'Y' - Trade is cancelled due to correction, and will not be processed as a new trade_x000D_
								'N' - Trade is an outright cancel._x000D_
								'A' - Trade is a cancel/correction due to allocation, and will be processed as allocated trade.</t>
  </si>
  <si>
    <t>VARCHAR2(60 BYTE)</t>
  </si>
  <si>
    <t>Numeric counter to show how many attempts were done to reconcile transactions on this account/product/type with the corresponding EOD positions. The default value load is '0' and counter is incremented by '1' as transaction is replayed.</t>
  </si>
  <si>
    <t>Transaction type codes define transactions from different source systems of different types of trades. The codes start with the key letter 'T', followed by 4-character abbreviations which indicate the source system, and end with 3-digit numbers represent different types of trade.</t>
  </si>
  <si>
    <t>1. View Name - RJM_ACTIVITY_FACT_V</t>
  </si>
  <si>
    <t>3. View Schema Name - SSDS_CUSTOM_CONSUMER_DAL_OWNER</t>
  </si>
  <si>
    <t>5. Table Functional Description - Activity for RJ Investment Management consumers</t>
  </si>
  <si>
    <t>6. Filter Criteria -  from SSDS_DAL_OWNER.ACTIVITY_FACT_V  a,
SSDS_DAL_OWNER.ARRANGEMENT_MANAGED_ACCOUNT_SUBDIMENSION_V b
where b.MONEY_MANAGER_CODE = 'RJM'
and a.ARRANGEMENT_ID= b.ARRANGEMENT_ID
and a.TRADE_DATE + INTERVAL '23:59:59' HOUR TO SECOND BETWEEN b.EFFECTIVE_DATE and b.END_DATE</t>
  </si>
  <si>
    <t>Logic if necessary: All fields - same as provisioned by Activity Fact View</t>
  </si>
  <si>
    <t>1. View Name - RJBANK_ACTIVITY_FACT_V</t>
  </si>
  <si>
    <r>
      <t xml:space="preserve">3. View Schema Name - </t>
    </r>
    <r>
      <rPr>
        <b/>
        <sz val="11"/>
        <color rgb="FFFF0000"/>
        <rFont val="Calibri"/>
        <family val="2"/>
        <scheme val="minor"/>
      </rPr>
      <t>SSDS_DAL_OWNER (TBU with SSDS_CUSTOM_CONSUMER_DAL_OWNER?)</t>
    </r>
  </si>
  <si>
    <t>5. Table Functional Description - Activity for RJ Bank datashare. Only in Lighthouse Redshift DB</t>
  </si>
  <si>
    <t>6. Filter Criteria -  no filter</t>
  </si>
  <si>
    <r>
      <t xml:space="preserve">Logic if necessary: Part of the fields provisioned by Activty Fact View </t>
    </r>
    <r>
      <rPr>
        <b/>
        <sz val="11"/>
        <color rgb="FFFF0000"/>
        <rFont val="Calibri"/>
        <family val="2"/>
        <scheme val="minor"/>
      </rPr>
      <t>(requirement TBU)</t>
    </r>
  </si>
  <si>
    <t>Attribute Name</t>
  </si>
  <si>
    <t>Target Schema</t>
  </si>
  <si>
    <t>Target View</t>
  </si>
  <si>
    <t>Target Column</t>
  </si>
  <si>
    <t>Source Schema</t>
  </si>
  <si>
    <t>Source Table</t>
  </si>
  <si>
    <t>Source Column</t>
  </si>
  <si>
    <t>Comment</t>
  </si>
  <si>
    <t>RJBANK_ACTIVITY_FACT_V</t>
  </si>
  <si>
    <t>[8/21/24]: Bug 1981864: RJ Bank Activity Fact View has not been updated with new columns</t>
  </si>
  <si>
    <t>SECURITY_OPTION_SYMBOL</t>
  </si>
  <si>
    <t>[10/24/24]: Add new field per Product Backlog Item 2064326: Add Option Symbol attribute to Activity Facts
[11/01/24]: Populated Source Column with physical name</t>
  </si>
  <si>
    <t>ADDITIONAL_TRADE_INSTRUCTIONS</t>
  </si>
  <si>
    <t>TBU</t>
  </si>
  <si>
    <t>[6/9/25]: Add new columns for trade and fee attributes for Activity</t>
  </si>
  <si>
    <t>TRADE_FACTOR_RATE</t>
  </si>
  <si>
    <t>MARKUP_RATE</t>
  </si>
  <si>
    <t>STANDARD_COMMISSION_AMOUNT</t>
  </si>
  <si>
    <t>ACTUAL_COMMISSION_AMOUNT</t>
  </si>
  <si>
    <t>TRADE_PROCESSING_FEE_AMOUNT</t>
  </si>
  <si>
    <t>SEC_FEE_AMOUNT</t>
  </si>
  <si>
    <t>ACCRUED_INTEREST_AMOUNT</t>
  </si>
  <si>
    <t>CONCESSION_AMOUNT</t>
  </si>
  <si>
    <t>CONTINGENT_DEFERRED_SALES_CHARGE_AMOUNT</t>
  </si>
  <si>
    <t>OTHER_FEE_AMOUNT</t>
  </si>
  <si>
    <t>TRADE_CANCELLED_FLAG</t>
  </si>
  <si>
    <r>
      <t xml:space="preserve">The grain of this fact table is </t>
    </r>
    <r>
      <rPr>
        <b/>
        <sz val="11"/>
        <color theme="1"/>
        <rFont val="Calibri"/>
        <family val="2"/>
        <scheme val="minor"/>
      </rPr>
      <t>one row per transaction</t>
    </r>
  </si>
  <si>
    <r>
      <t xml:space="preserve">The grain of this fact table is </t>
    </r>
    <r>
      <rPr>
        <b/>
        <sz val="11"/>
        <rFont val="Calibri"/>
        <family val="2"/>
        <scheme val="minor"/>
      </rPr>
      <t>at TXN level.</t>
    </r>
  </si>
  <si>
    <r>
      <t>The APA table has 4 types of APAs - cash, security, cash info, security info.  
In Activity Fact, We consider Cash</t>
    </r>
    <r>
      <rPr>
        <strike/>
        <sz val="11"/>
        <color rgb="FFFF0000"/>
        <rFont val="Calibri"/>
        <family val="2"/>
        <scheme val="minor"/>
      </rPr>
      <t>, Cash Info</t>
    </r>
    <r>
      <rPr>
        <sz val="11"/>
        <color rgb="FFFF0000"/>
        <rFont val="Calibri"/>
        <family val="2"/>
        <scheme val="minor"/>
      </rPr>
      <t xml:space="preserve"> </t>
    </r>
    <r>
      <rPr>
        <sz val="11"/>
        <rFont val="Calibri"/>
        <family val="2"/>
        <scheme val="minor"/>
      </rPr>
      <t xml:space="preserve"> &amp; Security records.
We exclude Security Info </t>
    </r>
    <r>
      <rPr>
        <sz val="11"/>
        <color rgb="FFFF0000"/>
        <rFont val="Calibri"/>
        <family val="2"/>
        <scheme val="minor"/>
      </rPr>
      <t>and Cash Info</t>
    </r>
    <r>
      <rPr>
        <sz val="11"/>
        <rFont val="Calibri"/>
        <family val="2"/>
        <scheme val="minor"/>
      </rPr>
      <t xml:space="preserve"> records from Activity Fact, because we can not have duplicate TXN ids to exist in Activity Fact table.</t>
    </r>
  </si>
  <si>
    <r>
      <rPr>
        <b/>
        <sz val="11"/>
        <rFont val="Calibri"/>
        <family val="2"/>
        <scheme val="minor"/>
      </rPr>
      <t>Mapping logic of various APA types:</t>
    </r>
    <r>
      <rPr>
        <sz val="11"/>
        <rFont val="Calibri"/>
        <family val="2"/>
        <scheme val="minor"/>
      </rPr>
      <t xml:space="preserve">
ccal_repl_owner.txn t
join ccal_repl_owner.apa ap ON ap.exec_id = t.txn_id
join ccal_repl_owner.cl_val cv ON cv.cl_val_id = ap.apa_tp_id
APA.APA_TP_ID = CL_VAL.CL_VAL_ID
CASE	WHEN CL_VAL.CL_VAL_CODE between 'APACSH01' and 'APACSH78'  THEN '</t>
    </r>
    <r>
      <rPr>
        <b/>
        <sz val="11"/>
        <rFont val="Calibri"/>
        <family val="2"/>
        <scheme val="minor"/>
      </rPr>
      <t>APACASH</t>
    </r>
    <r>
      <rPr>
        <sz val="11"/>
        <rFont val="Calibri"/>
        <family val="2"/>
        <scheme val="minor"/>
      </rPr>
      <t>'
	WHEN CL_VAL.CL_VAL_CODE between 'APACSH80' and 'APACSH99'  THEN '</t>
    </r>
    <r>
      <rPr>
        <b/>
        <sz val="11"/>
        <rFont val="Calibri"/>
        <family val="2"/>
        <scheme val="minor"/>
      </rPr>
      <t>iAPACSH'</t>
    </r>
    <r>
      <rPr>
        <sz val="11"/>
        <rFont val="Calibri"/>
        <family val="2"/>
        <scheme val="minor"/>
      </rPr>
      <t xml:space="preserve">
WHEN CL_VAL.CL_VAL_CODE between 'APASEC01' and 'APASEC78' THEN '</t>
    </r>
    <r>
      <rPr>
        <b/>
        <sz val="11"/>
        <rFont val="Calibri"/>
        <family val="2"/>
        <scheme val="minor"/>
      </rPr>
      <t>APASEC</t>
    </r>
    <r>
      <rPr>
        <sz val="11"/>
        <rFont val="Calibri"/>
        <family val="2"/>
        <scheme val="minor"/>
      </rPr>
      <t>'
WHEN CL_VAL.CL_VAL_CODE between 'APASEC80' and 'APASEC99' THEN '</t>
    </r>
    <r>
      <rPr>
        <b/>
        <sz val="11"/>
        <rFont val="Calibri"/>
        <family val="2"/>
        <scheme val="minor"/>
      </rPr>
      <t>iAPASEC</t>
    </r>
    <r>
      <rPr>
        <sz val="11"/>
        <rFont val="Calibri"/>
        <family val="2"/>
        <scheme val="minor"/>
      </rPr>
      <t xml:space="preserve">' </t>
    </r>
  </si>
  <si>
    <t>If transaction has only informational APAs, i.e. APA types have codes 80..99, load the transaction (APA attributes will remain blank)</t>
  </si>
  <si>
    <t>A TXN can have (1 or Many) APAs</t>
  </si>
  <si>
    <t>An APA can have (0 or Many) FIPs (i.e. Fees)</t>
  </si>
  <si>
    <t>To determine the APA type, the APA_TP_ID needs to be decoded and the coded value parsed, like this:</t>
  </si>
  <si>
    <r>
      <t xml:space="preserve">ccal_repl_owner.apa ap
</t>
    </r>
    <r>
      <rPr>
        <strike/>
        <sz val="11"/>
        <color rgb="FFFF0000"/>
        <rFont val="Calibri"/>
        <family val="2"/>
        <scheme val="minor"/>
      </rPr>
      <t>join ccal_repl_owner.txn t ON  ap.exec_id = t.txn_id</t>
    </r>
    <r>
      <rPr>
        <sz val="11"/>
        <color theme="1"/>
        <rFont val="Calibri"/>
        <family val="2"/>
        <scheme val="minor"/>
      </rPr>
      <t xml:space="preserve">
join ccal_repl_owner.cl_val cv ON cv.cl_val_id = ap.apa_tp_id
WHERE cv.cl_scm_id = '7'</t>
    </r>
  </si>
  <si>
    <r>
      <rPr>
        <b/>
        <sz val="11"/>
        <color theme="1"/>
        <rFont val="Calibri"/>
        <family val="2"/>
        <scheme val="minor"/>
      </rPr>
      <t xml:space="preserve">APACASH :
</t>
    </r>
    <r>
      <rPr>
        <sz val="11"/>
        <color theme="1"/>
        <rFont val="Calibri"/>
        <family val="2"/>
        <scheme val="minor"/>
      </rPr>
      <t>Check for regexp_like(cv.cl_val_code,'^APACSH</t>
    </r>
    <r>
      <rPr>
        <sz val="11"/>
        <color rgb="FFFF0000"/>
        <rFont val="Calibri"/>
        <family val="2"/>
        <scheme val="minor"/>
      </rPr>
      <t>[0-7][0-9]</t>
    </r>
    <r>
      <rPr>
        <sz val="11"/>
        <color theme="1"/>
        <rFont val="Calibri"/>
        <family val="2"/>
        <scheme val="minor"/>
      </rPr>
      <t xml:space="preserve">')
For a Transaction, 
If only one record exists then consider that record.
If 2 records exists ( 
     If (one record is 'APACSH04' &amp; other is 'APACSH11') 
          then </t>
    </r>
    <r>
      <rPr>
        <strike/>
        <sz val="11"/>
        <color rgb="FFFF0000"/>
        <rFont val="Calibri"/>
        <family val="2"/>
        <scheme val="minor"/>
      </rPr>
      <t>consider</t>
    </r>
    <r>
      <rPr>
        <sz val="11"/>
        <color rgb="FFFF0000"/>
        <rFont val="Calibri"/>
        <family val="2"/>
        <scheme val="minor"/>
      </rPr>
      <t xml:space="preserve"> skip</t>
    </r>
    <r>
      <rPr>
        <sz val="11"/>
        <color theme="1"/>
        <rFont val="Calibri"/>
        <family val="2"/>
        <scheme val="minor"/>
      </rPr>
      <t xml:space="preserve"> 'APACSH04' record </t>
    </r>
    <r>
      <rPr>
        <sz val="11"/>
        <color rgb="FFFF0000"/>
        <rFont val="Calibri"/>
        <family val="2"/>
        <scheme val="minor"/>
      </rPr>
      <t xml:space="preserve">and load 'APACSH11' </t>
    </r>
    <r>
      <rPr>
        <sz val="11"/>
        <rFont val="Calibri"/>
        <family val="2"/>
        <scheme val="minor"/>
      </rPr>
      <t>but use the values to</t>
    </r>
    <r>
      <rPr>
        <sz val="11"/>
        <color rgb="FFFF0000"/>
        <rFont val="Calibri"/>
        <family val="2"/>
        <scheme val="minor"/>
      </rPr>
      <t xml:space="preserve">
</t>
    </r>
    <r>
      <rPr>
        <sz val="11"/>
        <color theme="1"/>
        <rFont val="Calibri"/>
        <family val="2"/>
        <scheme val="minor"/>
      </rPr>
      <t xml:space="preserve">          (1) calculate aggregated value from APA.TXN_AMT fields from 'APACSH04' and 'APACSH11' and store it in Cash Transaction Amount and Cash System base currency amount
          (2) populate sales charge attributes from 'APACSH04' for 5 attributes (Sales Charge Rate Multiplier Number, Sales Charge Rate, Sales Charge Rate Type Code, Sales Charge Rate Type Id, Sales Charge Rate Type Name)
     </t>
    </r>
    <r>
      <rPr>
        <sz val="11"/>
        <color rgb="FFFF0000"/>
        <rFont val="Calibri"/>
        <family val="2"/>
        <scheme val="minor"/>
      </rPr>
      <t xml:space="preserve">else </t>
    </r>
    <r>
      <rPr>
        <strike/>
        <sz val="11"/>
        <color rgb="FFFF0000"/>
        <rFont val="Calibri"/>
        <family val="2"/>
        <scheme val="minor"/>
      </rPr>
      <t>Drop those 2 records</t>
    </r>
    <r>
      <rPr>
        <sz val="11"/>
        <color rgb="FFFF0000"/>
        <rFont val="Calibri"/>
        <family val="2"/>
        <scheme val="minor"/>
      </rPr>
      <t xml:space="preserve"> exception entire transaction</t>
    </r>
    <r>
      <rPr>
        <sz val="11"/>
        <color theme="1"/>
        <rFont val="Calibri"/>
        <family val="2"/>
        <scheme val="minor"/>
      </rPr>
      <t xml:space="preserve">
)
</t>
    </r>
    <r>
      <rPr>
        <b/>
        <sz val="11"/>
        <color theme="1"/>
        <rFont val="Calibri"/>
        <family val="2"/>
        <scheme val="minor"/>
      </rPr>
      <t>APASEC :</t>
    </r>
    <r>
      <rPr>
        <sz val="11"/>
        <color theme="1"/>
        <rFont val="Calibri"/>
        <family val="2"/>
        <scheme val="minor"/>
      </rPr>
      <t xml:space="preserve">
Check for cl_val_Code like '^APASEC[0-7][0-9]' THEN consider as 'Security' record.
</t>
    </r>
    <r>
      <rPr>
        <b/>
        <sz val="11"/>
        <color theme="1"/>
        <rFont val="Calibri"/>
        <family val="2"/>
        <scheme val="minor"/>
      </rPr>
      <t>iAPASEC/iAPACSH:</t>
    </r>
    <r>
      <rPr>
        <sz val="11"/>
        <color theme="1"/>
        <rFont val="Calibri"/>
        <family val="2"/>
        <scheme val="minor"/>
      </rPr>
      <t xml:space="preserve">
Refer to below section for further filter criteria on iAPASEC/iAPACSH. Applicable to both iAPACSH and iAPASEC.</t>
    </r>
  </si>
  <si>
    <r>
      <rPr>
        <b/>
        <sz val="11"/>
        <color theme="1"/>
        <rFont val="Calibri"/>
        <family val="2"/>
        <scheme val="minor"/>
      </rPr>
      <t xml:space="preserve">Product Information: (Security source CUSIP, Security Product Id, Security CIRD Product Id, Security Option Symbol, Symbol, ISIN, Product Composite Description, Product Short Name, Product Description)
</t>
    </r>
    <r>
      <rPr>
        <sz val="11"/>
        <color theme="1"/>
        <rFont val="Calibri"/>
        <family val="2"/>
        <scheme val="minor"/>
      </rPr>
      <t xml:space="preserve">If there is atleast 1 APASEC, consider above fields from that APASEC
If there is an iAPASEC but no APASEC, consider above fields from iAPASEC
</t>
    </r>
    <r>
      <rPr>
        <b/>
        <sz val="11"/>
        <color theme="1"/>
        <rFont val="Calibri"/>
        <family val="2"/>
        <scheme val="minor"/>
      </rPr>
      <t>Source Effective Date:</t>
    </r>
    <r>
      <rPr>
        <sz val="11"/>
        <color theme="1"/>
        <rFont val="Calibri"/>
        <family val="2"/>
        <scheme val="minor"/>
      </rPr>
      <t xml:space="preserve">
If there is only iAPASEC or only iAPACSH, grab source effective date from the iAPASEC/iAPACSH
If there is atleast 1 APASEC or APACSH, grab source effective date from that APASEC/APACSH</t>
    </r>
  </si>
  <si>
    <t>Updates from below user names should be skipped by main process (Product Backlog Item 1937973: Skip Activity updates from additional usernames)</t>
  </si>
  <si>
    <t>CCAL_PKG_TXN_RECON_REPL (EOD CCAL Recon Replay)</t>
  </si>
  <si>
    <t>PERF_MAP_CF_MASTER_STG_PROC (Cash Flow Generation)</t>
  </si>
  <si>
    <t>CCAL_PKG_TXN_POS_RECON_STS_UPD (EOD CCAL Recon)</t>
  </si>
  <si>
    <t>CCAL_PERF_PKG_CF_MSTR_LOAD_RJTRST  (Cash Flow Generation)</t>
  </si>
  <si>
    <t>CCAL_PKG_TXN_POS_RECON (EOD CCAL Recon)</t>
  </si>
  <si>
    <t>CCAL_PKG_TXN_RECON_RJTRUST_1 (EOD CCAL Recon)</t>
  </si>
  <si>
    <t>PERF_PKG_CF_MSTR_LOAD (Cash Flow Generation)</t>
  </si>
  <si>
    <t>CCAL_PKG_TXN_RECON_SHADOW_1 (EOD CCAL Recon)</t>
  </si>
  <si>
    <t>CCAL_PKG_LOAD_TXN_AY_CL_1 (Activity Reclassification)</t>
  </si>
  <si>
    <t>CCAL_PKG_LOAD_TXN_AY_CL_2 (Activity Reclassification)</t>
  </si>
  <si>
    <t>CCAL_PKG_LOAD_TXN_AY_CL_3 (Activity Reclassification)</t>
  </si>
  <si>
    <t>CCAL_PKG_LOAD_TXN_AY_CL_4 (Activity Reclassification)</t>
  </si>
  <si>
    <t>CCAL_PKG_LOAD_TXN_AY_CL_5 (Activity Reclassification)</t>
  </si>
  <si>
    <t>CCAL_PKG_LOAD_TXN_AY_CL_6 (Activity Reclassification)</t>
  </si>
  <si>
    <t>CCAL_PKG_LOAD_TXN_AY_CL_7 (Activity Reclassification)</t>
  </si>
  <si>
    <t>CCAL_PKG_LOAD_TXN_AY_CL_8 (Activity Reclassification)</t>
  </si>
  <si>
    <t>CCAL_PKG_LOAD_TXN_AY_CL_9 (Activity Reclassification)</t>
  </si>
  <si>
    <t>CCAL_PKG_LOAD_TXN_AY_CL_10 (Activity Reclassification)</t>
  </si>
  <si>
    <t>Update Trade Cancelled Flag on original trade when cancellation arrives (Product Backlog Item 2030710: Add columns available in DWH and missing in Lighthouse for Trade Activity)</t>
  </si>
  <si>
    <t>attr</t>
  </si>
  <si>
    <t>def</t>
  </si>
  <si>
    <t>ent</t>
  </si>
  <si>
    <t>Activity Fact</t>
  </si>
  <si>
    <t>Transaction trade Capacity Type Code</t>
  </si>
  <si>
    <t>A Code to show what type of capacity the trade was executed in. Eg. acting as principal or agency. Which is derived based on Legacy Capacity &amp; OMS execution type</t>
  </si>
  <si>
    <t>Transaction trade Capacity Type Dimension ID</t>
  </si>
  <si>
    <t>Surrogate key for trade Capacity Type Dimension.</t>
  </si>
  <si>
    <t>Transaction trade Capacity Type Name</t>
  </si>
  <si>
    <t>Transaction trade Capacity Type ID</t>
  </si>
  <si>
    <t>Entity Name (Logical table Name)</t>
  </si>
  <si>
    <t>Table Name (Physical Table name)</t>
  </si>
  <si>
    <t>Attribute Name (Target Attribute Logical)</t>
  </si>
  <si>
    <t>Column Name (Target attribute physical)</t>
  </si>
  <si>
    <t>Data type (  varchar2/ date / Number etc.)</t>
  </si>
  <si>
    <t>Table Definition</t>
  </si>
  <si>
    <t>Attribute Definition</t>
  </si>
  <si>
    <t>Nullability - 'NULL' or 'NOT NULL'</t>
  </si>
  <si>
    <t>Primary Key - 'True' or 'False'</t>
  </si>
  <si>
    <t>domain</t>
  </si>
  <si>
    <t>DOmain DIctionary</t>
  </si>
  <si>
    <t>VARCHAR(50)</t>
  </si>
  <si>
    <t>Light House DataDictionary</t>
  </si>
  <si>
    <t>VARCHAR(1)</t>
  </si>
  <si>
    <t>VARCHAR(100)</t>
  </si>
  <si>
    <t>VARCHAR(200)</t>
  </si>
  <si>
    <t>VARCHAR(255)</t>
  </si>
  <si>
    <t>VARCHAR(20)</t>
  </si>
  <si>
    <t>xx</t>
  </si>
  <si>
    <t>VARCHAR(6)</t>
  </si>
  <si>
    <t>VARCHAR(44)</t>
  </si>
  <si>
    <t>VARCHAR(4)</t>
  </si>
  <si>
    <t>VARCHAR(15)</t>
  </si>
  <si>
    <t>VARCHAR(60)</t>
  </si>
  <si>
    <t>VARCHAR(3)</t>
  </si>
  <si>
    <t>VARCHAR(30)</t>
  </si>
  <si>
    <t>NUMBER(0,0)</t>
  </si>
  <si>
    <t>Number Number</t>
  </si>
  <si>
    <t>VARCHAR(10)</t>
  </si>
  <si>
    <t>VARCHAR(25)</t>
  </si>
  <si>
    <t>VARCHAR(256)</t>
  </si>
  <si>
    <t>VARCHAR(1000)</t>
  </si>
  <si>
    <t>VARCHAR(2)</t>
  </si>
  <si>
    <t>VARCHAR(75)</t>
  </si>
  <si>
    <t>VARCHAR(500)</t>
  </si>
  <si>
    <t>TIMESTAMP/DATE</t>
  </si>
  <si>
    <t>NINI_NOT_NULL</t>
  </si>
  <si>
    <t>NINI</t>
  </si>
  <si>
    <t>VARCHAR(5)</t>
  </si>
  <si>
    <t>AMOUNT_22d6</t>
  </si>
  <si>
    <t>A38d6</t>
  </si>
  <si>
    <t>Entity Name</t>
  </si>
  <si>
    <t>Table Name</t>
  </si>
  <si>
    <t>Column Name</t>
  </si>
  <si>
    <t>Attribute/Column Definition</t>
  </si>
  <si>
    <t>Column Datatype</t>
  </si>
  <si>
    <t>Column Null Option</t>
  </si>
  <si>
    <t>In View_table</t>
  </si>
  <si>
    <t>In AVY_FACT</t>
  </si>
  <si>
    <t>ALTER TABLE TRANSACTIONS_OWNER.AVY_FACT ADD(</t>
  </si>
  <si>
    <t>Hemanth Comments</t>
  </si>
  <si>
    <t>Decision</t>
  </si>
  <si>
    <t>ACAT Contra Firm Clearing Id Type Code</t>
  </si>
  <si>
    <t>Code_01</t>
  </si>
  <si>
    <t>NULL</t>
  </si>
  <si>
    <t>Code_04</t>
  </si>
  <si>
    <t>Code_50</t>
  </si>
  <si>
    <t>Name_15</t>
  </si>
  <si>
    <t>NOT NULL</t>
  </si>
  <si>
    <t>Name_30</t>
  </si>
  <si>
    <t>ACR_INT_AMT</t>
  </si>
  <si>
    <t>Flag</t>
  </si>
  <si>
    <t>ACT_CMSN_AMT</t>
  </si>
  <si>
    <t>Code_20</t>
  </si>
  <si>
    <t>Name_100</t>
  </si>
  <si>
    <t>Date</t>
  </si>
  <si>
    <t>Name that corresponds to ABC Class Code_x000D_
0-Corporate Affiliate Account of RJF_x000D_
1-RJA account_x000D_
2-Investment Management Division (IMD)_x000D_
3-Securities Division (SD)_x000D_
4-Correspondent account_x000D_
5-DVP accounts_x000D_
6-Prime Broker_x000D_
7-Proprietary Accounts of Introducing Broker (PAIB)_x000D_
8-Related Family Members of RJF Control Persons_x000D_
9-Control Persons (RJF officers and principals)</t>
  </si>
  <si>
    <t>A standard code (0 through 9) that classifies account balances into firm-defined categories_x000D_
0-Corporate Affiliate Account of RJF_x000D_
1-RJA account_x000D_
2-Investment Management Division (IMD)_x000D_
3-Securities Division (SD)_x000D_
4-Correspondent account_x000D_
5-DVP accounts_x000D_
6-Prime Broker_x000D_
7-Proprietary Accounts of Introducing Broker (PAIB)_x000D_
8-Related Family Members of RJF Control Persons_x000D_
9-Control Persons (RJF officers and principals)</t>
  </si>
  <si>
    <t>Field from APA, so removed.</t>
  </si>
  <si>
    <t xml:space="preserve">A flag indicating whether an account is subject to taxation. A taxable account incurs taxes on any gains realized from its assets during the year, while a non-taxable account defers taxes. The flag values are Y for Taxable, N for Non-taxable, and NULL for unspecified._x000D_
</t>
  </si>
  <si>
    <t>Code_10</t>
  </si>
  <si>
    <t>Name_25</t>
  </si>
  <si>
    <t>Name_256</t>
  </si>
  <si>
    <t>Description_1000</t>
  </si>
  <si>
    <t>Name_200</t>
  </si>
  <si>
    <t>we have 'Cash Flow Generation FLAG'</t>
  </si>
  <si>
    <t>Name_50</t>
  </si>
  <si>
    <t>cash Position Type Dimension Id</t>
  </si>
  <si>
    <t>Name_75</t>
  </si>
  <si>
    <t>CNCSN_AMT</t>
  </si>
  <si>
    <t>CDSC_AMT</t>
  </si>
  <si>
    <t>Code_03</t>
  </si>
  <si>
    <t>Code_30</t>
  </si>
  <si>
    <t>Name500</t>
  </si>
  <si>
    <t>Timestamp</t>
  </si>
  <si>
    <t>A code for the execution sub-types allow the refinement of execution types for an order manager?s internal diversification only such as strategy level type, e.g.. Bullish Vertical spread, stop limit order.</t>
  </si>
  <si>
    <t>A description for the execution sub-types allow the refinement of execution types for an order manager?s internal diversification only such as strategy level type, e.g.. Bullish Vertical spread, stop limit order.</t>
  </si>
  <si>
    <t>Unique numeric identifier tied to various sub-types of trade executions. Execution sub-types allow the refinement of execution types for an order manager?s internal diversification only such as strategy level type, e.g.. Bullish Vertical spread, stop limit order.</t>
  </si>
  <si>
    <t>Name for the execution sub-types allow the refinement of execution types for an order manager?s internal diversification only such as strategy level type, e.g.. Bullish Vertical spread, stop limit order.</t>
  </si>
  <si>
    <t>instrument classification level 1</t>
  </si>
  <si>
    <t>instrument classification level 1 code</t>
  </si>
  <si>
    <t>instrument classification level 2</t>
  </si>
  <si>
    <t>instrument classification level 2 code</t>
  </si>
  <si>
    <t>MF one is still there. Bank related one is deleted as it is from APA.</t>
  </si>
  <si>
    <t>instrument classification level 3</t>
  </si>
  <si>
    <t>instrument classification level 3 code</t>
  </si>
  <si>
    <t>instrument classification level 4</t>
  </si>
  <si>
    <t>instrument classification level 4 code</t>
  </si>
  <si>
    <t>instrument classification level 5</t>
  </si>
  <si>
    <t>instrument classification level 5 code</t>
  </si>
  <si>
    <t>There is already a field with name 'Security price in Transaction currency'</t>
  </si>
  <si>
    <t>Already marked Remove</t>
  </si>
  <si>
    <t>Legacy Cancellation Compliance Reason Type dimension ID</t>
  </si>
  <si>
    <t>Legacy Cancellation Compliance Source Type Dimension ID</t>
  </si>
  <si>
    <t>Legacy trade Capacity Type Dimension ID</t>
  </si>
  <si>
    <t>Offset Arrangement Dimension Id</t>
  </si>
  <si>
    <t>This represents the business day date when the quantity has been ?booked? in the system.</t>
  </si>
  <si>
    <t>OTHR_FEE_AMT</t>
  </si>
  <si>
    <t>3-digit "Office of Supervisory Jurisdiction"'; represents associated main branch (note: the OSJ may not reference the same 3-characters of the sub-branch). Typically this is assigned at a parent limb and cascades down to its children, ensuring all related to retail entities share the same OSJ._x000D_
_x000D_
It should be populated with a 3-character code for all US, open, RETAIL entities.</t>
  </si>
  <si>
    <t>Code (sourced from source system's DRM Node Name) of this optional hierarchical limb within the retail hierarchy, identifying a collection of related entity records for a given sales complex</t>
  </si>
  <si>
    <t>The division code for the entity branch of the Financial Advisor (FA) that owns the account relationship, based on the FA indicated on the Linked Brokerage Account within the relationship group. This code identifies the division within the FA’s organizational hierarchy and is used for classification, reporting, and supervisory purposes.</t>
  </si>
  <si>
    <t>Used by the Identity and Access Management (IAM) system to associate back-office rules/processing to a branch/department, such as statement suppression, payroll clearing, etc. This does NOT identify the line of business or company, although they correlate heavily.  For example, multiple businesses use the "COR" subsidiary for some entities, such as RJA PCG, AB, ICD, etc._x000D_
COR - Correspondent Firms_x000D_
EAM - Eagle Asset Management_x000D_
FID - Financial Institutions Division_x000D_
HAM - Heritage Asset Management_x000D_
IAD - Investment Advisors Division_x000D_
IMD - Investment Management Division_x000D_
RFS	- Raymond James Financial Services_x000D_
RIS - Raymond James Investment Services Ltd_x000D_
RJA	- Raymond James &amp;amp; Associates_x000D_
RJB - Raymond James Bank_x000D_
RJF - Raymond James Financial_x000D_
RJI - Raymond James International Holdings_x000D_
RJL - Raymond James Limited_x000D_
RJM - Raymond James Mortgage Capital_x000D_
RJP - Raymond James Partners_x000D_
RJT - Raymond James Trust_x000D_
RSA - Raymond James Financial Services Advisors_x000D_
RTC - Raymond James Tax Credit Funds_x000D_
SD - Securities Division</t>
  </si>
  <si>
    <t>An optional attribute (defaults to NONE) which provides further clarification as to the flavor of entity record.  _x000D_
_x000D_
Most commonly, this is the attribute that determines if a retail branch is a satellite.  Values could also include, among others, the following:_x000D_
RML (Remote Meeting Location)_x000D_
Satellite Residence_x000D_
Satellite RML_x000D_
FID RML</t>
  </si>
  <si>
    <t>Identifier of the type of node.  This applies to both limbs and leaves. Available derived options include:_x000D_
-Company (Financial) _x000D_
-Division (Financial) _x000D_
-Subdivision (Financial) _x000D_
-Group (Financial) _x000D_
-Subgroup (Financial) _x000D_
-Location Group_x000D_
-Branch Group_x000D_
-Department_x000D_
-Bank_x000D_
-Relationship_x000D_
-Correspondent Firm_x000D_
_x000D_
_x000D_
Note: MGT_RP limbs and the root node of MGT_RJF do not have an Entity Type, as these limbs can serve a multitude of purposes.</t>
  </si>
  <si>
    <t>Identifier of the type of node. This is a 3-character code that does not include Pending branches (pbr)_x000D_
_x000D_
For departments/branches, available options are: bra - for Branch_x000D_
cor - for Correspondent_x000D_
dep - for Department_x000D_
iad - for IAD Office_x000D_
nrl - for Non-Registered Location_x000D_
nrt - for Non-Retail Branch_x000D_
sbu - for Strategic Business Unit</t>
  </si>
  <si>
    <t>Number_22</t>
  </si>
  <si>
    <t>Related Transaction Source System Dimension Id</t>
  </si>
  <si>
    <t>SEC_FEE_AMT</t>
  </si>
  <si>
    <t>we have 'Source Entry Datetime'</t>
  </si>
  <si>
    <t>Amount_38d8</t>
  </si>
  <si>
    <t>A designation applied to mutual funds often determined by how the sales charge is paid. i.e., "No Load", "Mgmt. + Dist Fee"</t>
  </si>
  <si>
    <t>A unique code that specifies the type of mutual fund share class, such as Institutional, Retirement, Clean (management fee only), or Management + Distribution Fee. Each share class type represents the same underlying portfolio but differs in fee structure, eligibility, and distribution method. This identifier helps classify and process transactions accurately across fund families and platforms.</t>
  </si>
  <si>
    <t>Name_255</t>
  </si>
  <si>
    <t>Not available in Abde DRD</t>
  </si>
  <si>
    <t>Name_60</t>
  </si>
  <si>
    <t>we have 'Transaction Reconciliation Status Name'</t>
  </si>
  <si>
    <t>Added in latest DRD</t>
  </si>
  <si>
    <t>Add to DRD</t>
  </si>
  <si>
    <t>A?ticker symbol?or stock?symbol?is an abbreviation used to uniquely identify publicly traded shares of a particular stock on a particular stock market. A stock?symbol?may consist of letters, numbers or a combination of both. This is the symbol that is in the executing exchange.</t>
  </si>
  <si>
    <t>A flag that determines whether a trade has been executed with Time &amp; Price Discretion or not. Excpected value- Y or N</t>
  </si>
  <si>
    <t>TRD_CNCLD_F</t>
  </si>
  <si>
    <t>The ratio of the current principal amount of a security to its original principal amount._x000D_
It is a numeric field indicating the amortization factor associated with the trade of a GNMA bond, FNMA bond, FHLMC bond, or any bond carrying a factor. All other records should have a value of 1.000.</t>
  </si>
  <si>
    <t>TRD_PCS_FEE_AMT</t>
  </si>
  <si>
    <t>Currency is a medium of exchange for goods and services. In short, it's money, in the form of paper or coins, usually issued by a government and generally accepted at its face value as a method of payment.</t>
  </si>
  <si>
    <t>Numeric counter to show how many attempts were done to reconcile transactions on this account/product/type with the corresponding EOD positions. _x000D_
The default value load is '0' and counter is incremented by '1' as transaction is replayed.</t>
  </si>
  <si>
    <t>Code value representing Tax Code in transaction source system used for tax reporting purposes._x000D_
Currently populated for RJ Trust transactions only.</t>
  </si>
  <si>
    <t>Description of the Tax Code in transaction source system used for tax reporting purposes._x000D_
Currently populated for RJ Trust transactions only.</t>
  </si>
  <si>
    <t>This code indicates till when a bond is being held or when being redeemed.</t>
  </si>
  <si>
    <t>we have 'Transaction Reconciliation Status Id'</t>
  </si>
  <si>
    <t>Are you referring to 'Transaction Source Key'. It is existing field so we do not want to rename.</t>
  </si>
  <si>
    <t>we have 'Execution DateTime'</t>
  </si>
  <si>
    <t>Added a part of audit columns</t>
  </si>
  <si>
    <t>There is already a field with name 'Security Source price in system base currency'</t>
  </si>
  <si>
    <t>we have 'Impact Source Action Name'</t>
  </si>
  <si>
    <t>Not available in Abde DRD. It is not related to cash or security and we don't have Name in source.</t>
  </si>
  <si>
    <t>Having cash &amp; security level Ctg &amp; Tp fields. Existing fields.</t>
  </si>
  <si>
    <t>we already aligned to remove this field</t>
  </si>
  <si>
    <t>We tried to rename to 'Cash System Base Currency Transaction Amount', but in impact analysis saw dependency and we need to retain as is.</t>
  </si>
  <si>
    <t>we have 'Transaction Reconciliation Status Code'</t>
  </si>
  <si>
    <t>we have 'Impact Source Action Code'</t>
  </si>
  <si>
    <t>On Model</t>
  </si>
  <si>
    <t xml:space="preserve">'Y'  </t>
  </si>
  <si>
    <t>DROP</t>
  </si>
  <si>
    <t>drop</t>
  </si>
  <si>
    <t>Surrogate Key for Arrangement Dimension - CDS Arrangement Identifier for Account Number</t>
  </si>
  <si>
    <t>Surrogate Key for Arrangement Dimension - Associated Broker Arrangement Identifier (eg. AR ID for brokerage acct linked to Annuity or Shadow).</t>
  </si>
  <si>
    <t>Second line of unformatted, monolingual narrative booking information. SIS trailer field 2.</t>
  </si>
  <si>
    <t>A transaction package type groups transaction packages with identical rules about its information content. The same transaction package type may be used with different EXT types. Only the combination with the EXT and transaction type becomes meaningful for clients. The transaction package type cannot be changed during the whole life cycle of a transaction. CCAL governs the change process for transaction package types, since coordination over multiple consuming solution domains is essential.Code starts with APA as abbreviation of Asset package, followed by 3-letter code which represents the asset package type, and ends with 2-digit number referring to different operations</t>
  </si>
  <si>
    <t>Description of the Cash Asset Package Type (e.g., Cash asset package for STSR trading operations, Security asset package for STSR trading operations, Cash Transfer)</t>
  </si>
  <si>
    <t>Name of the Cash Asset Package Type (e.g., Cash asset package for STSR trading operations, Security asset package for STSR trading operations, Cash Transfer)</t>
  </si>
  <si>
    <t>The activity category for the Security side of the transaction</t>
  </si>
  <si>
    <t>The activity type for the Security side of the transaction</t>
  </si>
  <si>
    <t>indicate on which side of the client balance sheet the posting is booked. Important in reversal bookings where the sign of the original quantity changes but the debit credit code remains unchanged.C for Credit, D for Debit</t>
  </si>
  <si>
    <t>First line of unformatted, monolingual narrative booking information. SIS Trailer field 1.</t>
  </si>
  <si>
    <t>Surrogate key for Instrument Product Dim</t>
  </si>
  <si>
    <t>Surrogate Key for Cash Position Type - for the cash portion of the transaction</t>
  </si>
  <si>
    <t>System generated Source Sequence Number for the Cash</t>
  </si>
  <si>
    <t>Monetary equivalent value of the original quantity. The valuation is based on a security rate in transaction currency.</t>
  </si>
  <si>
    <t>Record creation datetime</t>
  </si>
  <si>
    <t>User/Process who created this record</t>
  </si>
  <si>
    <t>Non Intelligent Numeric Identifier as the unique label of the Security asset package.</t>
  </si>
  <si>
    <t>CDS assigned identifier for the activity class on the Security side of the transaction</t>
  </si>
  <si>
    <t>EXEC_DT</t>
  </si>
  <si>
    <t>rename</t>
  </si>
  <si>
    <t>Executed transaction specification allows the refinement of execution types. For an order managers internal diversification only.Strategy level type, e.g.. Bullish Vertical spread, stop limit order.</t>
  </si>
  <si>
    <t>An executed transaction type groups executed transactions with identical processing rules and results. The same EXT may be used in different transaction types as a generic process which becomes meaningful in combination with the transaction type of the documented transaction. The EXT type cannot be changed during the life cycle of a transaction.</t>
  </si>
  <si>
    <t>An executed transaction type groups executed transactions with identical processing rules and results. The same EXT may be used in different transaction types as a generic process which becomes meaningful in combination with the transaction type of the documented transaction. The EXT type cannot be changed during the life cycle of a transaction. Business Application Architecture governs the change process for EXT types since coordination over multiple consuming solution domains is essential.The code starts with "EXT" as abbreviation of "execution", followed by 3-letter trade type, and ends with 2-digit number that indicates execution type. For example, the code "EXTTRD01", EXT means execution, TRD stands for Trade, and 01 refers to stock/bond buy.</t>
  </si>
  <si>
    <t>Surrogate key for the Legacy Cancel Compliance Reason Type Dimension</t>
  </si>
  <si>
    <t>Surrogate key for the Legacy Cancel Compliance Source Type Dimension</t>
  </si>
  <si>
    <t>Surrogate key for the Legacy Market Type Dimension</t>
  </si>
  <si>
    <t>Surrogate key for the Legacy Trade Capacity Type Dimension</t>
  </si>
  <si>
    <t>Surrogate Key for Arrangement Dimension - Accountï¿½that reduces the gross balance of anotherï¿½accountï¿½to yield a net balance.</t>
  </si>
  <si>
    <t>When cancelling a trade, this is the original ï¿½booking dateï¿½ of the posting quantity that may correspond with the business day date, and represents that the quantity that has been ï¿½bookedï¿½ in the system as of this date</t>
  </si>
  <si>
    <t>Surrogate Key for Source system dim</t>
  </si>
  <si>
    <t>Fee paid to purchase or sell a specific investment.  Represented as a percentage.</t>
  </si>
  <si>
    <t>Indicates whether or not the sales charge rate is being represented as a percentage (P) or multiplier(M).</t>
  </si>
  <si>
    <t>Identifier to indicate whether or not the sales charge rate is being represented as a percentage or multiplier.</t>
  </si>
  <si>
    <t>System generated Date Time stamp when the currency calculation was performed</t>
  </si>
  <si>
    <t>Surrogate key for currency</t>
  </si>
  <si>
    <t>Foreign exchange rate used to calculate base currency from original currency</t>
  </si>
  <si>
    <t>Description of the Security Asset Package Type (e.g., Cash asset package for STSR trading operations, Security asset package for STSR trading operations, Cash Transfer)</t>
  </si>
  <si>
    <t>Name of the Security Asset Package Type (e.g., Cash asset package for STSR trading operations, Security asset package for STSR trading operations, Cash Transfer)</t>
  </si>
  <si>
    <t>Synthetic Key identifying a single date in the DATE Dimension</t>
  </si>
  <si>
    <t>Asset package external qualifier</t>
  </si>
  <si>
    <t>Positive or negative quantity calculated in the currency of the account. For an APA settled with EUR on an account of US dollars, the quantity will be calculated based on US dollar.When the underlying instrument is security, this will store the number of securities; if the underlying instrument is currency, this will store the total number of the units of the currency.</t>
  </si>
  <si>
    <t xml:space="preserve"> the cusip from source system - mapped from APA.SRC_PD_ID column</t>
  </si>
  <si>
    <t>Price of the securities in system base currency.</t>
  </si>
  <si>
    <t>System generated Source Sequence Number for the Security</t>
  </si>
  <si>
    <t>Surrogate key for the Source Processing Type Dimension</t>
  </si>
  <si>
    <t>The CDS assigned numeric identfier of the related (target) transaction as captured in the TXN_RLTNP table</t>
  </si>
  <si>
    <t>Source system generated transaction identifier</t>
  </si>
  <si>
    <t>Transaction type specialization allows the refinement of transaction types by the issuing order managers (OM).</t>
  </si>
  <si>
    <t>Description for the Code TXN_SBTP_CODE</t>
  </si>
  <si>
    <t>Description for the Code TXN_TP_CODE</t>
  </si>
  <si>
    <t>Nullable in View in Redshift</t>
  </si>
  <si>
    <t>Act</t>
  </si>
  <si>
    <t>what?</t>
  </si>
  <si>
    <t>COMMENT</t>
  </si>
  <si>
    <t>ACAT Contra Firm Clearing number</t>
  </si>
  <si>
    <t>ccal_repl_owner.txn t
LEFT join ccal_repl_owner.acats_broker
ON b.broker_id = t.orig_src_stm_id and
t.src_stm_id IN ( 53, 54 )</t>
  </si>
  <si>
    <t>Accounting Type ID</t>
  </si>
  <si>
    <t>Arrangement Dimension ID</t>
  </si>
  <si>
    <t>Arrangement ID</t>
  </si>
  <si>
    <t>Branch code</t>
  </si>
  <si>
    <t>ren</t>
  </si>
  <si>
    <t>Cash Activity Classification ID</t>
  </si>
  <si>
    <t>Cash Asset Package ID</t>
  </si>
  <si>
    <t>Cash asset Package Type Code</t>
  </si>
  <si>
    <t>Cash asset Package Type Description</t>
  </si>
  <si>
    <t>Cash Asset Package Type ID</t>
  </si>
  <si>
    <t>Cash Cird Product ID</t>
  </si>
  <si>
    <t>Cash debit Credit Code</t>
  </si>
  <si>
    <t>Cash debit Credit Name</t>
  </si>
  <si>
    <t>Cash Flow Generation FLAG</t>
  </si>
  <si>
    <t>Cash Position Type CODE</t>
  </si>
  <si>
    <t>Cash Position Type ID</t>
  </si>
  <si>
    <t>Cash Position Type NAME</t>
  </si>
  <si>
    <t>Cash Product Id</t>
  </si>
  <si>
    <t>Currency code</t>
  </si>
  <si>
    <t>Currency dimension Id</t>
  </si>
  <si>
    <t>Exchange code</t>
  </si>
  <si>
    <t>Exchange name</t>
  </si>
  <si>
    <t>Execution subtype Code</t>
  </si>
  <si>
    <t>Execution subtype Description</t>
  </si>
  <si>
    <t>Execution subtype Id</t>
  </si>
  <si>
    <t>Execution subtype Name</t>
  </si>
  <si>
    <t>Execution type Code</t>
  </si>
  <si>
    <t>Execution type Description</t>
  </si>
  <si>
    <t>Execution type Id</t>
  </si>
  <si>
    <t>Execution type Name</t>
  </si>
  <si>
    <t>FA number</t>
  </si>
  <si>
    <t>Impact Source Action Code</t>
  </si>
  <si>
    <t>Impact Source Action Name</t>
  </si>
  <si>
    <t>Legacy Cancellation Compliance Reason Type code</t>
  </si>
  <si>
    <t>Legacy Cancellation Compliance Reason Type ID</t>
  </si>
  <si>
    <t>Legacy Cancellation Compliance Source Type code</t>
  </si>
  <si>
    <t>Legacy Cancellation Compliance Source Type ID</t>
  </si>
  <si>
    <t>Legacy Cancellation Compliance Source Type name</t>
  </si>
  <si>
    <t>Legacy market Type Code</t>
  </si>
  <si>
    <t>Legacy Market Type ID</t>
  </si>
  <si>
    <t>Legacy trade Capacity Type Code</t>
  </si>
  <si>
    <t>Legacy trade Capacity Type ID</t>
  </si>
  <si>
    <t>Legacy trade Capacity Type Name</t>
  </si>
  <si>
    <t>Money Movement Alternate ID</t>
  </si>
  <si>
    <t xml:space="preserve">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 </t>
  </si>
  <si>
    <t>Offset Originating Source System Arrangement ID</t>
  </si>
  <si>
    <t>Originating Source System Arrangement ID</t>
  </si>
  <si>
    <t>Owner FA Number Entity Enterprise ID</t>
  </si>
  <si>
    <t>Owner Impact FA Number</t>
  </si>
  <si>
    <t>Related Transaction Source System ID</t>
  </si>
  <si>
    <t>Use APACSH logic from 'ETL Notes' tab.
ccal_repl_owner.txn t
join ccal_repl_owner.apa ap ON ap.exec_id = t.txn_id
left join ccal_repl_owner.cl_val cv ON AP.APA_TP_ID = cv.CL_VAL_ID AND
CASE   WHEN AP.SALE_CHRG_RATE_TP_ID = 2506 
            THEN AP.SALE_CHRG_RATE</t>
  </si>
  <si>
    <t>Use APACSH logic from 'ETL Notes' tab.
ccal_repl_owner.txn t
join ccal_repl_owner.apa ap ON ap.exec_id = t.txn_id
left join ccal_repl_owner.cl_val cv ON AP.APA_TP_ID = cv.CL_VAL_ID AND
CASE    WHEN AP.SALE_CHRG_RATE_TP_ID = 2507 
            THEN AP.SALE_CHRG_RATE</t>
  </si>
  <si>
    <t>TXN.TXN_ID = APA.EXEC_ID
SALE_CHRG_RATE where SALE_CHRG_RATE_TP_ID = 2507 ELSE NULL</t>
  </si>
  <si>
    <t>Use APACSH logic from 'ETL Notes' tab and below logic:
ccal_repl_owner.apa ap 
left join ccal_repl_owner.cl_val cv ON cv.cl_val_id = ap.sale_chrg_rate_tp_id
and cv.cl_scm_id = '73'</t>
  </si>
  <si>
    <t>Sales Charge Rate Type ID</t>
  </si>
  <si>
    <t>Sales Charge Rate Type name</t>
  </si>
  <si>
    <t>Security activity Category</t>
  </si>
  <si>
    <t>Security activity classification ID</t>
  </si>
  <si>
    <t>Security activity Type</t>
  </si>
  <si>
    <t>Security alternate description trailer 2</t>
  </si>
  <si>
    <t>Security asset package external qualifier</t>
  </si>
  <si>
    <t>Security asset package ID</t>
  </si>
  <si>
    <t>Security asset Package Type Code</t>
  </si>
  <si>
    <t>Security asset Package Type Description</t>
  </si>
  <si>
    <t>Security asset Package Type ID</t>
  </si>
  <si>
    <t>Security asset Package Type Name</t>
  </si>
  <si>
    <t>Security CIRD product ID</t>
  </si>
  <si>
    <t>ccal_repl_owner.txn t
join ccal_repl_owner.apa ap ON ap.exec_id = t.txn_id
left join ccal_repl_owner.ccal_cird_pd_map ccpm on ccpm.ccal_pd_id = ap.pd_id
and ccpm.actv_f = 'Y'</t>
  </si>
  <si>
    <t>[10/24/24]: Added new field per Product Backlog Item 2064326: Add Option Symbol attribute to Activity Facts</t>
  </si>
  <si>
    <t>Security price in Transaction currency</t>
  </si>
  <si>
    <t>Security Source price in system base currency</t>
  </si>
  <si>
    <t>Settlement date</t>
  </si>
  <si>
    <t>Shadow Transaction Type Code</t>
  </si>
  <si>
    <t>Shadow Transaction Type Name</t>
  </si>
  <si>
    <t>SIS account classification code</t>
  </si>
  <si>
    <t>SIS Detailed Events ID</t>
  </si>
  <si>
    <t>Source Create User name</t>
  </si>
  <si>
    <t>Source Entry Channel Type ID</t>
  </si>
  <si>
    <t>Source Entry Channel Type NAME</t>
  </si>
  <si>
    <t>Source Option Class code</t>
  </si>
  <si>
    <t>Source Processing Type code</t>
  </si>
  <si>
    <t>Source Processing Type ID</t>
  </si>
  <si>
    <t>Source Processing Type name</t>
  </si>
  <si>
    <t>Source System ID</t>
  </si>
  <si>
    <t>Trade number</t>
  </si>
  <si>
    <t>Trade Solicitation Type code</t>
  </si>
  <si>
    <t>Trade Solicitation Type ID</t>
  </si>
  <si>
    <t>Trade Solicitation Type name</t>
  </si>
  <si>
    <t>Transaction ID</t>
  </si>
  <si>
    <t>Transaction Reconciliation Replay count</t>
  </si>
  <si>
    <t>Transaction Subtype code</t>
  </si>
  <si>
    <t>Transaction subtype Description</t>
  </si>
  <si>
    <t>Transaction subtype name</t>
  </si>
  <si>
    <t>Transaction type Code</t>
  </si>
  <si>
    <t>Transaction type Description</t>
  </si>
  <si>
    <t>Transaction type Id</t>
  </si>
  <si>
    <t>AVY_FACT_SIDE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</si>
</sst>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2">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d/yyyy\ h:mm:ss\ AM/PM"/>
    <numFmt numFmtId="165" formatCode="[$-409]mmmm\ d\,\ yyyy;@"/>
    <numFmt numFmtId="166" formatCode="#\ ??/32"/>
    <numFmt numFmtId="167" formatCode="&quot;$&quot;#,##0.0,_);[Red]\(&quot;$&quot;#,##0.0,\)"/>
    <numFmt numFmtId="168" formatCode="_(* #,##0,_);_(* \(#,##0,\);_(* &quot;-&quot;_);_(@_)"/>
    <numFmt numFmtId="169" formatCode="_(* #,##0.0,_);_(* \(#,##0.0,\);_(* &quot;-&quot;_);_(@_)"/>
    <numFmt numFmtId="170" formatCode="_(* #,##0.00_);_(* \(#,##0.00\);_(* &quot;-&quot;_);_(@_)"/>
    <numFmt numFmtId="171" formatCode="_(* #,##0,,_);_(* \(#,##0,,\);_(* &quot;-&quot;_);_(@_)"/>
    <numFmt numFmtId="172" formatCode="_(* #,##0.0,,_);_(* \(#,##0.0,,\);_(* &quot;-&quot;_);_(@_)"/>
    <numFmt numFmtId="173" formatCode="0.0%"/>
    <numFmt numFmtId="174" formatCode="0.0%_);\(0.0%\)"/>
    <numFmt numFmtId="175" formatCode="&quot;\&quot;#,##0.00;[Red]&quot;\&quot;\-#,##0.00"/>
    <numFmt numFmtId="176" formatCode="_-* #,##0_-;\-* #,##0_-;_-* &quot;-&quot;_-;_-@_-"/>
    <numFmt numFmtId="177" formatCode="??/64"/>
    <numFmt numFmtId="178" formatCode="0.0_)\%;\(0.0\)\%;0.0_)\%;@_)_%"/>
    <numFmt numFmtId="179" formatCode="#,##0.0_)_%;\(#,##0.0\)_%;0.0_)_%;@_)_%"/>
    <numFmt numFmtId="180" formatCode="#,##0.0_);\(#,##0.0\);#,##0.0_);@_)"/>
    <numFmt numFmtId="181" formatCode="#,##0.0_);\(#,##0.0\)"/>
    <numFmt numFmtId="182" formatCode="&quot;$&quot;_(#,##0.00_);&quot;$&quot;\(#,##0.00\);&quot;$&quot;_(0.00_);@_)"/>
    <numFmt numFmtId="183" formatCode="&quot;$&quot;_(#,##0.00_);&quot;$&quot;\(#,##0.00\)"/>
    <numFmt numFmtId="184" formatCode="#,##0.00_);\(#,##0.00\);0.00_);@_)"/>
    <numFmt numFmtId="185" formatCode="\€_(#,##0.00_);\€\(#,##0.00\);\€_(0.00_);@_)"/>
    <numFmt numFmtId="186" formatCode="#,##0_)\x;\(#,##0\)\x;0_)\x;@_)_x"/>
    <numFmt numFmtId="187" formatCode="#,##0.0_)\x;\(#,##0.0\)\x"/>
    <numFmt numFmtId="188" formatCode="#,##0_)_x;\(#,##0\)_x;0_)_x;@_)_x"/>
    <numFmt numFmtId="189" formatCode="#,##0.0_)_x;\(#,##0.0\)_x"/>
    <numFmt numFmtId="190" formatCode="0.0_)\%;\(0.0\)\%"/>
    <numFmt numFmtId="191" formatCode="0.0%;\(0.0\)%;@\ \ "/>
    <numFmt numFmtId="192" formatCode="#,##0.0_)_%;\(#,##0.0\)_%"/>
    <numFmt numFmtId="193" formatCode="0.0000000%"/>
    <numFmt numFmtId="194" formatCode="#,##0.000_);[Red]\(#,##0.000\)"/>
    <numFmt numFmtId="195" formatCode="&quot;$&quot;#,##0"/>
    <numFmt numFmtId="196" formatCode="#,##0_);\(#,##0\);&quot;&quot;"/>
    <numFmt numFmtId="197" formatCode="0.0_);\(0.0\)"/>
    <numFmt numFmtId="198" formatCode="#,##0,_);[Red]\(#,##0,\)"/>
    <numFmt numFmtId="199" formatCode="[&gt;1]&quot;10Q: &quot;0&quot; qtrs&quot;;&quot;10Q: &quot;0&quot; qtr&quot;"/>
    <numFmt numFmtId="200" formatCode="0.00\ ;\(0.00\)"/>
    <numFmt numFmtId="201" formatCode="_(* #,##0.0_);_(* \(#,##0.0\);_(* &quot;-&quot;?_);_(@_)"/>
    <numFmt numFmtId="202" formatCode="_(&quot;$&quot;* #,##0.0_);_(&quot;$&quot;* \(#,##0.0\);_(&quot;$&quot;* &quot;-&quot;?_);_(@_)"/>
    <numFmt numFmtId="203" formatCode="_(* #,##0_);[Red]_(* \(#,##0\);_(* &quot;-&quot;_);_(@_)"/>
    <numFmt numFmtId="204" formatCode="m\-d\-yy"/>
    <numFmt numFmtId="205" formatCode="#,##0.00;\(#,##0.00\)"/>
    <numFmt numFmtId="206" formatCode="#,##0.0_);[Red]\(#,##0.0\)"/>
    <numFmt numFmtId="207" formatCode="_(* #,##0.0,_);_(* \(#,##0.0,\);_(* &quot;–&quot;??_);* _(@_)"/>
    <numFmt numFmtId="208" formatCode="m/yy"/>
    <numFmt numFmtId="209" formatCode="General_)"/>
    <numFmt numFmtId="210" formatCode="_-* #,##0.00_-;\-* #,##0.00_-;_-* &quot;-&quot;??_-;_-@_-"/>
    <numFmt numFmtId="211" formatCode="0&quot; bp&quot;"/>
    <numFmt numFmtId="212" formatCode="0.0000%"/>
    <numFmt numFmtId="213" formatCode="&quot;$&quot;#,##0.00"/>
    <numFmt numFmtId="214" formatCode="#,##0.0000_);[Red]\(#,##0.0000\)"/>
    <numFmt numFmtId="215" formatCode="0.000"/>
    <numFmt numFmtId="216" formatCode="mm\-yy"/>
    <numFmt numFmtId="217" formatCode="0.00000000"/>
    <numFmt numFmtId="218" formatCode="&quot;£&quot;#,###.##\ ;\(&quot;£&quot;#,###.##\);"/>
    <numFmt numFmtId="219" formatCode="#,##0.000_);\(#,##0.000\)"/>
    <numFmt numFmtId="220" formatCode="#,##0.0000_);\(#,##0.0000\)"/>
    <numFmt numFmtId="221" formatCode="&quot;$&quot;* #,##0_);&quot;$&quot;* \(#,##0\)"/>
    <numFmt numFmtId="222" formatCode="mmmm"/>
    <numFmt numFmtId="223" formatCode="0.00\ "/>
    <numFmt numFmtId="224" formatCode="_(* #,##0.00_);_(* \(#,##0.00\);_(* &quot;–&quot;??_);* _(@_)"/>
    <numFmt numFmtId="225" formatCode="&quot;$&quot;#,##0.00;\(&quot;$&quot;#,##0.00\)"/>
    <numFmt numFmtId="226" formatCode="&quot;For COB: &quot;d\ mmm\ yyyy"/>
    <numFmt numFmtId="227" formatCode=";;;_w@_w"/>
    <numFmt numFmtId="228" formatCode="&quot;$&quot;#,##0;\(&quot;$&quot;#,##0\)"/>
    <numFmt numFmtId="229" formatCode="0.000_)"/>
    <numFmt numFmtId="230" formatCode="_-* \(#,##0\);_-* #,##0_-;_-* &quot;-     &quot;_-;_-@_-"/>
    <numFmt numFmtId="231" formatCode="_(* #,##0_);_(* \(#,##0\);_(* &quot;-     &quot;_);_(@_)"/>
    <numFmt numFmtId="232" formatCode="0.0&quot; &quot;\ "/>
    <numFmt numFmtId="233" formatCode="_._.* #,##0.0_)_%;_._.* \(#,##0.0\)_%"/>
    <numFmt numFmtId="234" formatCode="_._.* #,##0.00_)_%;_._.* \(#,##0.00\)_%"/>
    <numFmt numFmtId="235" formatCode="_._.* #,##0.000_)_%;_._.* \(#,##0.000\)_%"/>
    <numFmt numFmtId="236" formatCode="_._.* #,##0.0000_)_%;_._.* \(#,##0.0000\)_%"/>
    <numFmt numFmtId="237" formatCode="#,##0;\(#,##0\)"/>
    <numFmt numFmtId="238" formatCode="0.0"/>
    <numFmt numFmtId="239" formatCode="#,##0.0,,_);\(#,##0.0,,\)"/>
    <numFmt numFmtId="240" formatCode="_(* #,###.0,_);_(* \(#,###.0,\);_(* &quot;—&quot;?_);_(@_)"/>
    <numFmt numFmtId="241" formatCode="_(* #,###.00,_);_(* \(#,###.00,\);_(* &quot;—&quot;??_);_(@_)"/>
    <numFmt numFmtId="242" formatCode="_(* #,###.0,,_);_(* \(#,###.0,,\);_(* &quot;—&quot;?_);_(@_)"/>
    <numFmt numFmtId="243" formatCode="0%;\(0%\)"/>
    <numFmt numFmtId="244" formatCode="#,##0.0_);[Red]\(#,##0.0\);\ \-\ "/>
    <numFmt numFmtId="245" formatCode="#,##0.0"/>
    <numFmt numFmtId="246" formatCode="&quot;$&quot;#,##0.00_);[Red]\(&quot;$&quot;#,##0.00\);&quot;--  &quot;;_(@_)"/>
    <numFmt numFmtId="247" formatCode="_-&quot;$&quot;* \(#,##0\);_-&quot;$&quot;* #,##0_);_-&quot;$&quot;* &quot;-     &quot;_-;_-@_-"/>
    <numFmt numFmtId="248" formatCode="_(&quot;$&quot;* #,##0_);_(&quot;$&quot;* \(#,##0\);_(&quot;$&quot;* &quot;-     &quot;_);_(@_)"/>
    <numFmt numFmtId="249" formatCode="\(\ \)"/>
    <numFmt numFmtId="250" formatCode="_._.&quot;$&quot;* #,##0.0_)_%;_._.&quot;$&quot;* \(#,##0.0\)_%"/>
    <numFmt numFmtId="251" formatCode="_._.&quot;$&quot;* #,##0.00_)_%;_._.&quot;$&quot;* \(#,##0.00\)_%"/>
    <numFmt numFmtId="252" formatCode="_._.&quot;$&quot;* #,##0.000_)_%;_._.&quot;$&quot;* \(#,##0.000\)_%"/>
    <numFmt numFmtId="253" formatCode="_._.&quot;$&quot;* #,##0.0000_)_%;_._.&quot;$&quot;* \(#,##0.0000\)_%"/>
    <numFmt numFmtId="254" formatCode="&quot;$&quot;#,##0.0_);[Red]\(&quot;$&quot;#,##0.0\)"/>
    <numFmt numFmtId="255" formatCode="m/d/yy;@"/>
    <numFmt numFmtId="256" formatCode="_(&quot;$&quot;* #,###.0,_);_(&quot;$&quot;* \(#,###.0,\);_(&quot;$&quot;* &quot;—&quot;?_);_(@_)"/>
    <numFmt numFmtId="257" formatCode="&quot;$&quot;#,##0.00_)\ \ ;\(&quot;$&quot;#,##0.00\)\ \ "/>
    <numFmt numFmtId="258" formatCode="&quot;$&quot;#,##0.000_);&quot;$&quot;\(#,##0.000\)%"/>
    <numFmt numFmtId="259" formatCode="mm"/>
    <numFmt numFmtId="260" formatCode="#,##0.00\ \ ;\(#,##0.00\);"/>
    <numFmt numFmtId="261" formatCode="0.00000%"/>
    <numFmt numFmtId="262" formatCode="\ #,##0.000_);\(&quot;$&quot;#,##0.000\)"/>
    <numFmt numFmtId="263" formatCode="mm/dd/yy"/>
    <numFmt numFmtId="264" formatCode="#,##0.0_);\(#,##0.0\);&quot;-&quot;;@"/>
    <numFmt numFmtId="265" formatCode="mmm\-d\-yy"/>
    <numFmt numFmtId="266" formatCode="mmm\-d\-yyyy"/>
    <numFmt numFmtId="267" formatCode="mmm\-yyyy"/>
    <numFmt numFmtId="268" formatCode="ddd\ dd/mm/yy"/>
    <numFmt numFmtId="269" formatCode="_(* #,##0.0\x_);_(* \(#,##0.0\);_(* &quot;-&quot;??_);_(@_)"/>
    <numFmt numFmtId="270" formatCode="mmmm\ d\,\ yyyy"/>
    <numFmt numFmtId="271" formatCode="mmmm\ d"/>
    <numFmt numFmtId="272" formatCode="yyyy"/>
    <numFmt numFmtId="273" formatCode="#,##0.0;\(#,##0.0\)"/>
    <numFmt numFmtId="274" formatCode="_-* #,##0\ _D_M_-;\-* #,##0\ _D_M_-;_-* &quot;-&quot;\ _D_M_-;_-@_-"/>
    <numFmt numFmtId="275" formatCode="_-* #,##0.00\ _D_M_-;\-* #,##0.00\ _D_M_-;_-* &quot;-&quot;??\ _D_M_-;_-@_-"/>
    <numFmt numFmtId="276" formatCode="_(* #,##0.0000_);_(* \(#,##0.0000\);_(* &quot;-&quot;??_);_(@_)"/>
    <numFmt numFmtId="277" formatCode="#,##0&quot;?&quot;_);[Red]\(#,##0&quot;?&quot;\)"/>
    <numFmt numFmtId="278" formatCode="#,##0.00000000000;[Red]\-#,##0.00000000000"/>
    <numFmt numFmtId="279" formatCode="&quot;$&quot;\ #,##0;[Red]&quot;$&quot;\ \(#,##0\);&quot;$&quot;\ 0"/>
    <numFmt numFmtId="280" formatCode="&quot;$&quot;#,##0_);\(&quot;$&quot;#,##0\);\-\-_)"/>
    <numFmt numFmtId="281" formatCode="&quot;$&quot;#,##0.0_);\(&quot;$&quot;#,##0.0\);\-\-_)"/>
    <numFmt numFmtId="282" formatCode="&quot;$&quot;#,##0.00_);\(&quot;$&quot;#,##0.00\);\-\-_)"/>
    <numFmt numFmtId="283" formatCode="#,##0.0\ ;\(#,##0.0\)"/>
    <numFmt numFmtId="284" formatCode="0.00%;[Red]\(0.00%\)"/>
    <numFmt numFmtId="285" formatCode="[Blue]d/m/yyyy"/>
    <numFmt numFmtId="286" formatCode="ddd\ dd\-mmm\-yy"/>
    <numFmt numFmtId="287" formatCode="_([$€-2]* #,##0.00_);_([$€-2]* \(#,##0.00\);_([$€-2]* &quot;-&quot;??_)"/>
    <numFmt numFmtId="288" formatCode="&quot;E&quot;\ #,##0;[Red]&quot;E&quot;\ \(#,##0\);&quot;E&quot;\ 0"/>
    <numFmt numFmtId="289" formatCode="0&quot;%&quot;_);\(0&quot;%&quot;\)"/>
    <numFmt numFmtId="290" formatCode="0.0&quot;%&quot;_);\(0.0&quot;%&quot;\)"/>
    <numFmt numFmtId="291" formatCode="0.00&quot;%&quot;_);\(0.00&quot;%&quot;\)"/>
    <numFmt numFmtId="292" formatCode="_(&quot;$&quot;* #,##0,_);_(&quot;$&quot;* \(#,##0,\);_(&quot;$&quot;* &quot;-&quot;_);_(@_)"/>
    <numFmt numFmtId="293" formatCode="###0_);\(###0\)"/>
    <numFmt numFmtId="294" formatCode="0.0000"/>
    <numFmt numFmtId="295" formatCode="ddd\-dd\-mmm\-yy"/>
    <numFmt numFmtId="296" formatCode="0.00%_);[Red]\(0.00%\)"/>
    <numFmt numFmtId="297" formatCode="0.0_x"/>
    <numFmt numFmtId="298" formatCode="_(#,##0_);\(#,##0\)"/>
    <numFmt numFmtId="299" formatCode="&quot;$&quot;#,##0.0_)\ \ ;\(&quot;$&quot;#,##0.0\)\ \ "/>
    <numFmt numFmtId="300" formatCode="0.0\ \x\ \ \ \ ;&quot;NM      &quot;;\ 0.0\ \x\ \ \ \ "/>
    <numFmt numFmtId="301" formatCode="0.0%_)\ \ ;\(0.0%\)\ \ "/>
    <numFmt numFmtId="302" formatCode="#,##0.000;\(#,##0.000\)"/>
    <numFmt numFmtId="303" formatCode="0.0%;[Red]\(0.0%\);&quot;--  &quot;"/>
    <numFmt numFmtId="304" formatCode="_(* #,##0.0_);[Red]_(* \(#,##0.0\);&quot;nm &quot;"/>
    <numFmt numFmtId="305" formatCode="_ * #,##0_ ;_ * \-#,##0_ ;_ * &quot;-&quot;_ ;_ @_ "/>
    <numFmt numFmtId="306" formatCode="_ * #,##0.00_ ;_ * \-#,##0.00_ ;_ * &quot;-&quot;??_ ;_ @_ "/>
    <numFmt numFmtId="307" formatCode="_-* #,##0\ _F_-;\-* #,##0\ _F_-;_-* &quot;-&quot;\ _F_-;_-@_-"/>
    <numFmt numFmtId="308" formatCode="_-* #,##0.00\ &quot;F&quot;_-;\-* #,##0.00\ &quot;F&quot;_-;_-* &quot;-&quot;??\ &quot;F&quot;_-;_-@_-"/>
    <numFmt numFmtId="309" formatCode="_(* #,##0,,_);_(* \(#,##0,,\);_(* &quot;–&quot;?_);* _(@_)"/>
    <numFmt numFmtId="310" formatCode="#,##0.0,_);\(#,##0.0,\)"/>
    <numFmt numFmtId="311" formatCode="_(* #,##0.0,,_);_(* \(#,##0.0,,\);_(* &quot;-&quot;?_);_(@_)"/>
    <numFmt numFmtId="312" formatCode="_ &quot;S/&quot;* #,##0_ ;_ &quot;S/&quot;* \-#,##0_ ;_ &quot;S/&quot;* &quot;-&quot;_ ;_ @_ "/>
    <numFmt numFmtId="313" formatCode="_ &quot;S/&quot;* #,##0.00_ ;_ &quot;S/&quot;* \-#,##0.00_ ;_ &quot;S/&quot;* &quot;-&quot;??_ ;_ @_ "/>
    <numFmt numFmtId="314" formatCode="_-* #,##0\ &quot;F&quot;_-;\-* #,##0\ &quot;F&quot;_-;_-* &quot;-&quot;\ &quot;F&quot;_-;_-@_-"/>
    <numFmt numFmtId="315" formatCode="mmmm\ yyyy"/>
    <numFmt numFmtId="316" formatCode="_(0.0\x_);[Red]_(\ \(0.0\x\)"/>
    <numFmt numFmtId="317" formatCode="0.0&quot;x&quot;_);\(0.0&quot;x&quot;\)"/>
    <numFmt numFmtId="318" formatCode="0.00&quot;x&quot;_);\(0.00&quot;x&quot;\)"/>
    <numFmt numFmtId="319" formatCode="#,##0.0_);[Red]\(#,##0.0\);&quot;N/A &quot;"/>
    <numFmt numFmtId="320" formatCode="0.0_x_);\(0.0\)_x"/>
    <numFmt numFmtId="321" formatCode="0.00_x_);\(0.00\)_x"/>
    <numFmt numFmtId="322" formatCode="0_%_);\(0\)_%"/>
    <numFmt numFmtId="323" formatCode="0.0_%_);\(0.0\)_%"/>
    <numFmt numFmtId="324" formatCode="0.00_%_);\(0.00\)_%"/>
    <numFmt numFmtId="325" formatCode="#,##0.0_);[Red]\(#,##0.0\);&quot;--  &quot;"/>
    <numFmt numFmtId="326" formatCode="&quot;Rp&quot;\ #,##0_);\(&quot;Rp&quot;\ #,##0\)"/>
    <numFmt numFmtId="327" formatCode="#,##0.0_)\ \ ;[Red]\(#,##0.0\)\ \ "/>
    <numFmt numFmtId="328" formatCode="_(* #,##0.000000000000000_);_(* \(#,##0.000000000000000\);_(* &quot;-&quot;_);_(@_)"/>
    <numFmt numFmtId="329" formatCode="_(* #,##0.0000000000000000_);_(* \(#,##0.0000000000000000\);_(* &quot;-&quot;_);_(@_)"/>
    <numFmt numFmtId="330" formatCode="0_);[Red]\(0\)"/>
    <numFmt numFmtId="331" formatCode="_(* #,##0.0000000000_);_(* \(#,##0.0000000000\);_(* &quot;-&quot;_);_(@_)"/>
    <numFmt numFmtId="332" formatCode="_(* #,##0.0000000000000_);_(* \(#,##0.0000000000000\);_(* &quot;-&quot;_);_(@_)"/>
    <numFmt numFmtId="333" formatCode="_(* #,##0.00000000_);_(* \(#,##0.00000000\);_(* &quot;-&quot;_);_(@_)"/>
    <numFmt numFmtId="334" formatCode="_(* #,##0.0000000000000000000_);_(* \(#,##0.0000000000000000000\);_(* &quot;-&quot;_);_(@_)"/>
    <numFmt numFmtId="335" formatCode="#,##0.00&quot;x&quot;;[Red]\(#,##0.00&quot;x&quot;\)"/>
    <numFmt numFmtId="336" formatCode="#,##0.00_)&quot; &quot;;[Red]\(#,##0.00\)&quot; &quot;"/>
    <numFmt numFmtId="337" formatCode="_(* #,##0_);_(* \(#,##0\);_(* &quot;-&quot;??_);_(@_)"/>
    <numFmt numFmtId="338" formatCode="0.0%&quot;NetPPE/sales&quot;"/>
    <numFmt numFmtId="339" formatCode="#,##0_);\(#,##0\);\-\-_)"/>
    <numFmt numFmtId="340" formatCode="#,##0.0_);\(#,##0.0\);\-\-_)"/>
    <numFmt numFmtId="341" formatCode="#,##0.00_);\(#,##0.00\);\-\-_)"/>
    <numFmt numFmtId="342" formatCode="#,##0.00;\-#,##0.00"/>
    <numFmt numFmtId="343" formatCode="0.000000_);\(0.000000\)"/>
    <numFmt numFmtId="344" formatCode="0.0%&quot;NWI/Sls&quot;"/>
    <numFmt numFmtId="345" formatCode="#,##0.000000"/>
    <numFmt numFmtId="346" formatCode="0;;"/>
    <numFmt numFmtId="347" formatCode="0.0%;\(0.0%\)"/>
    <numFmt numFmtId="348" formatCode="_(0_)%;\(0\)%"/>
    <numFmt numFmtId="349" formatCode="_._._(* 0_)%;_._.* \(0\)%"/>
    <numFmt numFmtId="350" formatCode="_(* #,##0%_);_(* \(#,##0%\);_(* &quot;-&quot;_);_(@_)"/>
    <numFmt numFmtId="351" formatCode="0%_);\(0%\)"/>
    <numFmt numFmtId="352" formatCode="_-* #,##0&quot;RUB&quot;_-;\-* #,##0&quot;RUB&quot;_-;_-* &quot;-&quot;&quot;RUB&quot;_-;_-@_-"/>
    <numFmt numFmtId="353" formatCode="0.0%;[Red]\(0.0%\)"/>
    <numFmt numFmtId="354" formatCode="#,##0.0\%_);\(#,##0.0\%\);#,##0.0\%_);@_)"/>
    <numFmt numFmtId="355" formatCode="_(* #,##0.0%_);_(* \(#,##0.0%\);_(* &quot;-&quot;??_);_(@_)"/>
    <numFmt numFmtId="356" formatCode="_(* #.00%_);_(* \(#.00%\);_(* &quot;—&quot;_%_);_(@_)"/>
    <numFmt numFmtId="357" formatCode="&quot;Printed: &quot;d\ mmm\ yyyy"/>
    <numFmt numFmtId="358" formatCode="_-&quot;£&quot;* #,##0.00_-;\-&quot;£&quot;* #,##0.00_-;_-&quot;£&quot;* &quot;-&quot;??_-;_-@_-"/>
    <numFmt numFmtId="359" formatCode="#,##0,,_);\(#,##0,,\)"/>
  </numFmts>
  <fonts count="250">
    <font>
      <sz val="11"/>
      <color theme="1"/>
      <name val="Calibri"/>
      <family val="2"/>
      <scheme val="minor"/>
    </font>
    <font>
      <sz val="11"/>
      <color theme="1"/>
      <name val="Calibri"/>
      <family val="2"/>
      <scheme val="minor"/>
    </font>
    <font>
      <b/>
      <sz val="11"/>
      <color theme="1"/>
      <name val="Calibri"/>
      <family val="2"/>
      <scheme val="minor"/>
    </font>
    <font>
      <sz val="10"/>
      <color rgb="FF000000"/>
      <name val="Tahoma"/>
      <family val="2"/>
    </font>
    <font>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font>
    <font>
      <sz val="18"/>
      <color theme="3"/>
      <name val="Cambria"/>
      <family val="2"/>
      <scheme val="major"/>
    </font>
    <font>
      <sz val="10"/>
      <color theme="1"/>
      <name val="Calibri"/>
      <family val="2"/>
      <scheme val="minor"/>
    </font>
    <font>
      <sz val="10"/>
      <name val="Times New Roman"/>
      <family val="1"/>
    </font>
    <font>
      <sz val="10"/>
      <name val="Helv"/>
      <charset val="204"/>
    </font>
    <font>
      <sz val="10"/>
      <color indexed="8"/>
      <name val="MS Sans Serif"/>
      <family val="2"/>
    </font>
    <font>
      <b/>
      <sz val="10"/>
      <name val="MS Sans Serif"/>
      <family val="2"/>
    </font>
    <font>
      <sz val="10"/>
      <name val="바탕체"/>
      <family val="1"/>
      <charset val="129"/>
    </font>
    <font>
      <sz val="10"/>
      <name val="GillSans"/>
      <family val="2"/>
    </font>
    <font>
      <sz val="8"/>
      <color indexed="49"/>
      <name val="Times New Roman"/>
      <family val="1"/>
    </font>
    <font>
      <sz val="10"/>
      <name val="Helvetica"/>
      <family val="2"/>
    </font>
    <font>
      <sz val="11"/>
      <color indexed="8"/>
      <name val="MS P????"/>
      <family val="3"/>
    </font>
    <font>
      <sz val="11"/>
      <name val="Times New Roman"/>
      <family val="1"/>
    </font>
    <font>
      <u/>
      <sz val="8.4"/>
      <color indexed="12"/>
      <name val="Arial"/>
      <family val="2"/>
    </font>
    <font>
      <sz val="11"/>
      <name val="MS P????"/>
      <family val="3"/>
      <charset val="128"/>
    </font>
    <font>
      <sz val="12"/>
      <name val="Times New Roman"/>
      <family val="1"/>
    </font>
    <font>
      <b/>
      <u/>
      <sz val="10"/>
      <name val="Courier"/>
      <family val="3"/>
    </font>
    <font>
      <sz val="10"/>
      <name val="Helv"/>
      <family val="2"/>
    </font>
    <font>
      <sz val="10"/>
      <name val="Helv"/>
    </font>
    <font>
      <sz val="10"/>
      <name val="MS Sans Serif"/>
      <family val="2"/>
    </font>
    <font>
      <sz val="10"/>
      <name val="Courier"/>
      <family val="3"/>
    </font>
    <font>
      <sz val="8"/>
      <color indexed="8"/>
      <name val="Arial"/>
      <family val="2"/>
    </font>
    <font>
      <sz val="8"/>
      <name val="Tahoma"/>
      <family val="2"/>
    </font>
    <font>
      <b/>
      <sz val="10"/>
      <name val="Arial"/>
      <family val="2"/>
    </font>
    <font>
      <sz val="9"/>
      <name val="ＭＳ 明朝"/>
      <family val="1"/>
      <charset val="128"/>
    </font>
    <font>
      <b/>
      <sz val="22"/>
      <color indexed="18"/>
      <name val="Arial"/>
      <family val="2"/>
    </font>
    <font>
      <sz val="10"/>
      <color indexed="8"/>
      <name val="Arial"/>
      <family val="2"/>
    </font>
    <font>
      <sz val="9"/>
      <color indexed="8"/>
      <name val="Arial"/>
      <family val="2"/>
    </font>
    <font>
      <b/>
      <sz val="14"/>
      <color indexed="18"/>
      <name val="Arial"/>
      <family val="2"/>
    </font>
    <font>
      <b/>
      <sz val="10"/>
      <color indexed="18"/>
      <name val="Arial"/>
      <family val="2"/>
    </font>
    <font>
      <b/>
      <u val="singleAccounting"/>
      <sz val="10"/>
      <color indexed="18"/>
      <name val="Arial"/>
      <family val="2"/>
    </font>
    <font>
      <b/>
      <sz val="10"/>
      <name val="Trebuchet MS"/>
      <family val="2"/>
    </font>
    <font>
      <sz val="8"/>
      <name val="Arial"/>
      <family val="2"/>
    </font>
    <font>
      <sz val="10"/>
      <color indexed="10"/>
      <name val="Arial"/>
      <family val="2"/>
    </font>
    <font>
      <b/>
      <sz val="9"/>
      <color indexed="9"/>
      <name val="Trebuchet MS"/>
      <family val="2"/>
    </font>
    <font>
      <sz val="9"/>
      <color indexed="8"/>
      <name val="Trebuchet MS"/>
      <family val="2"/>
    </font>
    <font>
      <sz val="14"/>
      <name val="Tms Rmn"/>
    </font>
    <font>
      <i/>
      <sz val="8"/>
      <color indexed="12"/>
      <name val="Times New Roman"/>
      <family val="1"/>
    </font>
    <font>
      <sz val="10"/>
      <color theme="0"/>
      <name val="Calibri"/>
      <family val="2"/>
      <scheme val="minor"/>
    </font>
    <font>
      <sz val="12"/>
      <name val="Arial MT"/>
    </font>
    <font>
      <sz val="12"/>
      <name val="Helv"/>
    </font>
    <font>
      <sz val="10"/>
      <name val="Univers (WN)"/>
      <family val="2"/>
    </font>
    <font>
      <sz val="8"/>
      <name val="Arial Narrow"/>
      <family val="2"/>
    </font>
    <font>
      <b/>
      <sz val="8"/>
      <name val="Arial"/>
      <family val="2"/>
    </font>
    <font>
      <sz val="10"/>
      <name val="Geneva"/>
      <family val="2"/>
    </font>
    <font>
      <sz val="8"/>
      <name val="Times New Roman"/>
      <family val="1"/>
    </font>
    <font>
      <sz val="8"/>
      <color indexed="45"/>
      <name val="Trebuchet MS"/>
      <family val="2"/>
    </font>
    <font>
      <sz val="9"/>
      <name val="Times New Roman"/>
      <family val="1"/>
    </font>
    <font>
      <b/>
      <i/>
      <sz val="10"/>
      <name val="Arial"/>
      <family val="2"/>
    </font>
    <font>
      <b/>
      <sz val="8"/>
      <color indexed="8"/>
      <name val="Arial"/>
      <family val="2"/>
    </font>
    <font>
      <sz val="8"/>
      <color indexed="12"/>
      <name val="Tms Rmn"/>
    </font>
    <font>
      <b/>
      <sz val="8"/>
      <color indexed="12"/>
      <name val="Arial"/>
      <family val="2"/>
    </font>
    <font>
      <sz val="12"/>
      <name val="Tms Rmn"/>
    </font>
    <font>
      <sz val="24"/>
      <name val="Helv"/>
    </font>
    <font>
      <b/>
      <sz val="12"/>
      <name val="Times New Roman"/>
      <family val="1"/>
    </font>
    <font>
      <b/>
      <u/>
      <sz val="8"/>
      <name val="CG Times (WN)"/>
    </font>
    <font>
      <b/>
      <sz val="10"/>
      <name val="Arial Narrow"/>
      <family val="2"/>
    </font>
    <font>
      <sz val="8"/>
      <name val="CG Times (E1)"/>
    </font>
    <font>
      <sz val="10"/>
      <name val="Trebuchet MS"/>
      <family val="2"/>
    </font>
    <font>
      <sz val="9"/>
      <name val="Trebuchet MS"/>
      <family val="2"/>
    </font>
    <font>
      <sz val="10"/>
      <name val="Arial MT"/>
    </font>
    <font>
      <b/>
      <i/>
      <sz val="12"/>
      <name val="Times New Roman"/>
      <family val="1"/>
    </font>
    <font>
      <i/>
      <sz val="8"/>
      <color indexed="12"/>
      <name val="Arial"/>
      <family val="2"/>
    </font>
    <font>
      <sz val="10"/>
      <color indexed="9"/>
      <name val="Helv"/>
    </font>
    <font>
      <b/>
      <sz val="10"/>
      <color indexed="8"/>
      <name val="Times New Roman"/>
      <family val="1"/>
    </font>
    <font>
      <b/>
      <i/>
      <sz val="14"/>
      <name val="Arial"/>
      <family val="2"/>
    </font>
    <font>
      <b/>
      <sz val="14"/>
      <name val="Arial"/>
      <family val="2"/>
    </font>
    <font>
      <b/>
      <sz val="24"/>
      <name val="Arial Narrow"/>
      <family val="2"/>
    </font>
    <font>
      <b/>
      <i/>
      <sz val="12"/>
      <name val="Arial"/>
      <family val="2"/>
    </font>
    <font>
      <b/>
      <sz val="12"/>
      <name val="Arial"/>
      <family val="2"/>
    </font>
    <font>
      <i/>
      <sz val="12"/>
      <name val="Arial"/>
      <family val="2"/>
    </font>
    <font>
      <sz val="12"/>
      <name val="Arial"/>
      <family val="2"/>
    </font>
    <font>
      <i/>
      <sz val="10"/>
      <name val="Arial"/>
      <family val="2"/>
    </font>
    <font>
      <sz val="12"/>
      <color indexed="18"/>
      <name val="Times New Roman"/>
      <family val="1"/>
    </font>
    <font>
      <i/>
      <sz val="10"/>
      <color indexed="18"/>
      <name val="Arial"/>
      <family val="2"/>
    </font>
    <font>
      <sz val="10"/>
      <color indexed="18"/>
      <name val="Arial"/>
      <family val="2"/>
    </font>
    <font>
      <i/>
      <sz val="9"/>
      <color indexed="18"/>
      <name val="Arial"/>
      <family val="2"/>
    </font>
    <font>
      <sz val="9"/>
      <color indexed="18"/>
      <name val="Arial"/>
      <family val="2"/>
    </font>
    <font>
      <sz val="9"/>
      <color indexed="8"/>
      <name val="Tahoma"/>
      <family val="2"/>
    </font>
    <font>
      <b/>
      <sz val="8"/>
      <name val="Times New Roman"/>
      <family val="1"/>
    </font>
    <font>
      <sz val="8"/>
      <name val="Tms Rmn"/>
    </font>
    <font>
      <sz val="10"/>
      <color indexed="18"/>
      <name val="Times New Roman"/>
      <family val="1"/>
    </font>
    <font>
      <sz val="9"/>
      <name val="Arial Narrow"/>
      <family val="2"/>
    </font>
    <font>
      <b/>
      <i/>
      <sz val="8"/>
      <name val="Arial"/>
      <family val="2"/>
    </font>
    <font>
      <b/>
      <sz val="9"/>
      <color indexed="12"/>
      <name val="Arial"/>
      <family val="2"/>
    </font>
    <font>
      <b/>
      <sz val="8"/>
      <name val="Book Antiqua"/>
      <family val="1"/>
    </font>
    <font>
      <sz val="10"/>
      <color indexed="12"/>
      <name val="Times New Roman"/>
      <family val="1"/>
    </font>
    <font>
      <sz val="10"/>
      <color indexed="11"/>
      <name val="Times New Roman"/>
      <family val="1"/>
    </font>
    <font>
      <sz val="10"/>
      <color indexed="10"/>
      <name val="Times New Roman"/>
      <family val="1"/>
    </font>
    <font>
      <b/>
      <i/>
      <u val="singleAccounting"/>
      <sz val="10"/>
      <color indexed="12"/>
      <name val="Tahoma"/>
      <family val="2"/>
    </font>
    <font>
      <sz val="11"/>
      <name val="Tms Rmn"/>
    </font>
    <font>
      <b/>
      <i/>
      <sz val="8"/>
      <color indexed="19"/>
      <name val="Arial"/>
      <family val="2"/>
    </font>
    <font>
      <u val="singleAccounting"/>
      <sz val="10"/>
      <name val="Times New Roman"/>
      <family val="1"/>
    </font>
    <font>
      <sz val="8"/>
      <name val="Palatino"/>
      <family val="1"/>
    </font>
    <font>
      <sz val="10"/>
      <color theme="1"/>
      <name val="Arial"/>
      <family val="2"/>
    </font>
    <font>
      <sz val="11"/>
      <color indexed="8"/>
      <name val="Calibri"/>
      <family val="2"/>
      <scheme val="minor"/>
    </font>
    <font>
      <b/>
      <sz val="12"/>
      <name val="Geneva"/>
      <family val="2"/>
    </font>
    <font>
      <sz val="10"/>
      <name val="BERNHARD"/>
    </font>
    <font>
      <sz val="10"/>
      <color indexed="24"/>
      <name val="Arial"/>
      <family val="2"/>
    </font>
    <font>
      <sz val="8"/>
      <color indexed="16"/>
      <name val="MS Sans Serif"/>
      <family val="2"/>
    </font>
    <font>
      <sz val="24"/>
      <name val="MS Sans Serif"/>
      <family val="2"/>
    </font>
    <font>
      <b/>
      <sz val="13"/>
      <name val="Arial"/>
      <family val="2"/>
    </font>
    <font>
      <b/>
      <sz val="11"/>
      <name val="Times New Roman"/>
      <family val="1"/>
    </font>
    <font>
      <sz val="10"/>
      <name val="MS Serif"/>
      <family val="1"/>
    </font>
    <font>
      <sz val="9"/>
      <color indexed="8"/>
      <name val="Helv"/>
    </font>
    <font>
      <b/>
      <sz val="10"/>
      <color indexed="8"/>
      <name val="Helv"/>
    </font>
    <font>
      <sz val="10"/>
      <name val="France"/>
    </font>
    <font>
      <b/>
      <sz val="8"/>
      <name val="Helv"/>
    </font>
    <font>
      <sz val="10"/>
      <name val="TimesNewRomanPS"/>
    </font>
    <font>
      <sz val="11"/>
      <color indexed="12"/>
      <name val="Book Antiqua"/>
      <family val="1"/>
    </font>
    <font>
      <b/>
      <sz val="14"/>
      <name val="Tms Rmn"/>
    </font>
    <font>
      <b/>
      <sz val="8"/>
      <color indexed="21"/>
      <name val="Arial"/>
      <family val="2"/>
    </font>
    <font>
      <b/>
      <u/>
      <sz val="9"/>
      <color indexed="21"/>
      <name val="Arial"/>
      <family val="2"/>
    </font>
    <font>
      <i/>
      <sz val="8"/>
      <color indexed="21"/>
      <name val="Arial"/>
      <family val="2"/>
    </font>
    <font>
      <sz val="8"/>
      <color indexed="12"/>
      <name val="Arial"/>
      <family val="2"/>
    </font>
    <font>
      <b/>
      <u/>
      <sz val="8"/>
      <color indexed="8"/>
      <name val="Times New Roman"/>
      <family val="1"/>
    </font>
    <font>
      <i/>
      <sz val="8"/>
      <name val="Arial"/>
      <family val="2"/>
    </font>
    <font>
      <sz val="1"/>
      <color indexed="8"/>
      <name val="Courier"/>
      <family val="3"/>
    </font>
    <font>
      <b/>
      <sz val="10"/>
      <name val="Tahoma"/>
      <family val="2"/>
    </font>
    <font>
      <sz val="10"/>
      <color indexed="48"/>
      <name val="Arial"/>
      <family val="2"/>
    </font>
    <font>
      <sz val="9"/>
      <color indexed="12"/>
      <name val="Times New Roman"/>
      <family val="1"/>
    </font>
    <font>
      <sz val="9"/>
      <name val="Arial"/>
      <family val="2"/>
    </font>
    <font>
      <i/>
      <sz val="12"/>
      <name val="Helv"/>
    </font>
    <font>
      <b/>
      <sz val="1"/>
      <color indexed="8"/>
      <name val="Courier"/>
      <family val="3"/>
    </font>
    <font>
      <sz val="10"/>
      <color indexed="16"/>
      <name val="MS Serif"/>
      <family val="1"/>
    </font>
    <font>
      <b/>
      <sz val="8"/>
      <color indexed="9"/>
      <name val="Times New Roman"/>
      <family val="1"/>
    </font>
    <font>
      <sz val="10"/>
      <color indexed="12"/>
      <name val="Arial"/>
      <family val="2"/>
    </font>
    <font>
      <sz val="10"/>
      <color indexed="16"/>
      <name val="Arial"/>
      <family val="2"/>
    </font>
    <font>
      <sz val="10"/>
      <color indexed="22"/>
      <name val="Arial"/>
      <family val="2"/>
    </font>
    <font>
      <sz val="8"/>
      <color indexed="18"/>
      <name val="Arial"/>
      <family val="2"/>
    </font>
    <font>
      <b/>
      <sz val="12"/>
      <color indexed="10"/>
      <name val="Tms Rmn"/>
    </font>
    <font>
      <sz val="8"/>
      <color indexed="16"/>
      <name val="Helv"/>
    </font>
    <font>
      <u/>
      <sz val="12"/>
      <color indexed="36"/>
      <name val="Arial"/>
      <family val="2"/>
    </font>
    <font>
      <sz val="7"/>
      <name val="Arial"/>
      <family val="2"/>
    </font>
    <font>
      <sz val="8"/>
      <name val="Helv"/>
    </font>
    <font>
      <sz val="8"/>
      <color indexed="8"/>
      <name val="Helvetica"/>
      <family val="2"/>
    </font>
    <font>
      <b/>
      <i/>
      <sz val="8"/>
      <color indexed="23"/>
      <name val="Arial"/>
      <family val="2"/>
    </font>
    <font>
      <b/>
      <sz val="8"/>
      <color indexed="17"/>
      <name val="Arial"/>
      <family val="2"/>
    </font>
    <font>
      <sz val="8"/>
      <color indexed="22"/>
      <name val="Arial"/>
      <family val="2"/>
    </font>
    <font>
      <sz val="8"/>
      <color indexed="17"/>
      <name val="Times New Roman"/>
      <family val="1"/>
    </font>
    <font>
      <sz val="9"/>
      <color indexed="18"/>
      <name val="Tahoma"/>
      <family val="2"/>
    </font>
    <font>
      <b/>
      <sz val="16"/>
      <name val="Times New Roman"/>
      <family val="1"/>
    </font>
    <font>
      <b/>
      <u/>
      <sz val="11"/>
      <color indexed="37"/>
      <name val="Arial"/>
      <family val="2"/>
    </font>
    <font>
      <b/>
      <sz val="8"/>
      <name val="Palatino"/>
      <family val="1"/>
    </font>
    <font>
      <b/>
      <sz val="8"/>
      <name val="MS Sans Serif"/>
      <family val="2"/>
    </font>
    <font>
      <b/>
      <u/>
      <sz val="18"/>
      <name val="Arial"/>
      <family val="2"/>
    </font>
    <font>
      <b/>
      <sz val="10"/>
      <name val="Helv"/>
    </font>
    <font>
      <i/>
      <u/>
      <sz val="9"/>
      <color indexed="12"/>
      <name val="Times New Roman"/>
      <family val="1"/>
    </font>
    <font>
      <u/>
      <sz val="12"/>
      <color indexed="12"/>
      <name val="Arial"/>
      <family val="2"/>
    </font>
    <font>
      <sz val="10"/>
      <color indexed="17"/>
      <name val="Helvetica"/>
      <family val="2"/>
    </font>
    <font>
      <b/>
      <sz val="10"/>
      <color indexed="8"/>
      <name val="Geneva"/>
      <family val="2"/>
    </font>
    <font>
      <sz val="10"/>
      <color indexed="12"/>
      <name val="Geneva"/>
      <family val="2"/>
    </font>
    <font>
      <sz val="8"/>
      <color indexed="39"/>
      <name val="Arial"/>
      <family val="2"/>
    </font>
    <font>
      <sz val="8"/>
      <color indexed="12"/>
      <name val="Palatino"/>
      <family val="1"/>
    </font>
    <font>
      <i/>
      <sz val="8"/>
      <name val="Times New Roman"/>
      <family val="1"/>
    </font>
    <font>
      <u/>
      <sz val="10"/>
      <color indexed="12"/>
      <name val="Arial"/>
      <family val="2"/>
    </font>
    <font>
      <u/>
      <sz val="7.5"/>
      <color indexed="36"/>
      <name val="Arial"/>
      <family val="2"/>
    </font>
    <font>
      <b/>
      <sz val="10"/>
      <name val="Palatino"/>
      <family val="1"/>
    </font>
    <font>
      <sz val="9"/>
      <color indexed="12"/>
      <name val="Arial"/>
      <family val="2"/>
    </font>
    <font>
      <sz val="12"/>
      <color indexed="9"/>
      <name val="Helv"/>
    </font>
    <font>
      <sz val="9"/>
      <color indexed="17"/>
      <name val="Tahoma"/>
      <family val="2"/>
    </font>
    <font>
      <sz val="9"/>
      <color indexed="20"/>
      <name val="Tahoma"/>
      <family val="2"/>
    </font>
    <font>
      <sz val="12"/>
      <color indexed="14"/>
      <name val="Arial"/>
      <family val="2"/>
    </font>
    <font>
      <sz val="8"/>
      <color indexed="18"/>
      <name val="Times New Roman"/>
      <family val="1"/>
    </font>
    <font>
      <sz val="10"/>
      <name val="Tahoma"/>
      <family val="2"/>
    </font>
    <font>
      <sz val="9"/>
      <color indexed="10"/>
      <name val="Arial Narrow"/>
      <family val="2"/>
    </font>
    <font>
      <sz val="10"/>
      <color indexed="17"/>
      <name val="Arial"/>
      <family val="2"/>
    </font>
    <font>
      <sz val="7"/>
      <name val="Small Fonts"/>
      <family val="2"/>
    </font>
    <font>
      <sz val="11"/>
      <color indexed="8"/>
      <name val="Calibri"/>
      <family val="2"/>
    </font>
    <font>
      <sz val="10"/>
      <color rgb="FF000000"/>
      <name val="Times New Roman"/>
      <family val="1"/>
    </font>
    <font>
      <b/>
      <sz val="10"/>
      <name val="Helvetica"/>
      <family val="2"/>
    </font>
    <font>
      <sz val="8"/>
      <name val="Helvetica"/>
      <family val="2"/>
    </font>
    <font>
      <sz val="12"/>
      <color indexed="8"/>
      <name val="Tms Rmn"/>
    </font>
    <font>
      <sz val="12"/>
      <color indexed="48"/>
      <name val="Times New Roman"/>
      <family val="1"/>
    </font>
    <font>
      <sz val="6"/>
      <name val="Courier New"/>
      <family val="3"/>
    </font>
    <font>
      <sz val="10"/>
      <name val="Garamond"/>
      <family val="1"/>
    </font>
    <font>
      <sz val="8"/>
      <name val="Book Antiqua"/>
      <family val="1"/>
    </font>
    <font>
      <sz val="11"/>
      <name val="‚l‚r –¾’©"/>
      <charset val="128"/>
    </font>
    <font>
      <b/>
      <sz val="13.5"/>
      <name val="MS Sans Serif"/>
      <family val="2"/>
    </font>
    <font>
      <b/>
      <i/>
      <sz val="10"/>
      <color indexed="8"/>
      <name val="Arial"/>
      <family val="2"/>
    </font>
    <font>
      <b/>
      <sz val="10"/>
      <color indexed="9"/>
      <name val="Arial"/>
      <family val="2"/>
    </font>
    <font>
      <sz val="10"/>
      <color indexed="14"/>
      <name val="Geneva"/>
      <family val="2"/>
    </font>
    <font>
      <i/>
      <sz val="8"/>
      <color indexed="8"/>
      <name val="Helv"/>
      <family val="2"/>
    </font>
    <font>
      <b/>
      <sz val="10"/>
      <color indexed="17"/>
      <name val="Arial"/>
      <family val="2"/>
    </font>
    <font>
      <b/>
      <sz val="10"/>
      <color indexed="13"/>
      <name val="Arial"/>
      <family val="2"/>
    </font>
    <font>
      <b/>
      <sz val="26"/>
      <name val="Times New Roman"/>
      <family val="1"/>
    </font>
    <font>
      <b/>
      <sz val="18"/>
      <name val="Times New Roman"/>
      <family val="1"/>
    </font>
    <font>
      <b/>
      <sz val="14"/>
      <name val="Geneva"/>
      <family val="2"/>
    </font>
    <font>
      <sz val="12"/>
      <color indexed="8"/>
      <name val="Arial"/>
      <family val="2"/>
    </font>
    <font>
      <b/>
      <sz val="10"/>
      <name val="Times New Roman"/>
      <family val="1"/>
    </font>
    <font>
      <b/>
      <sz val="8"/>
      <color indexed="10"/>
      <name val="Arial"/>
      <family val="2"/>
    </font>
    <font>
      <sz val="8"/>
      <name val="Wingdings"/>
      <charset val="2"/>
    </font>
    <font>
      <sz val="8"/>
      <name val="MS Sans Serif"/>
      <family val="2"/>
    </font>
    <font>
      <b/>
      <i/>
      <u/>
      <sz val="12"/>
      <name val="Arial"/>
      <family val="2"/>
    </font>
    <font>
      <sz val="9"/>
      <name val="NewsGoth Lt BT"/>
      <family val="2"/>
    </font>
    <font>
      <sz val="9"/>
      <name val="NewsGoth Dm BT"/>
      <family val="2"/>
    </font>
    <font>
      <sz val="10"/>
      <name val="NewsGoth Dm BT"/>
      <family val="2"/>
    </font>
    <font>
      <b/>
      <sz val="12"/>
      <name val="NewsGoth BT"/>
      <family val="2"/>
    </font>
    <font>
      <sz val="9"/>
      <name val="NewsGoth BT"/>
      <family val="2"/>
    </font>
    <font>
      <sz val="7.5"/>
      <name val="NewsGoth Lt BT"/>
      <family val="2"/>
    </font>
    <font>
      <b/>
      <sz val="9"/>
      <name val="Arial"/>
      <family val="2"/>
    </font>
    <font>
      <sz val="7"/>
      <name val="Times New Roman"/>
      <family val="1"/>
    </font>
    <font>
      <b/>
      <sz val="8"/>
      <name val="CG Times (E1)"/>
    </font>
    <font>
      <b/>
      <u/>
      <sz val="9"/>
      <name val="Arial"/>
      <family val="2"/>
    </font>
    <font>
      <b/>
      <sz val="10"/>
      <name val="CG Times (WN)"/>
    </font>
    <font>
      <b/>
      <sz val="7"/>
      <name val="Arial"/>
      <family val="2"/>
    </font>
    <font>
      <b/>
      <sz val="8"/>
      <name val="CG Times (WN)"/>
    </font>
    <font>
      <sz val="10"/>
      <color indexed="8"/>
      <name val="Geneva"/>
      <family val="2"/>
    </font>
    <font>
      <sz val="10"/>
      <color rgb="FF000000"/>
      <name val="Arial"/>
      <family val="2"/>
    </font>
    <font>
      <b/>
      <sz val="11"/>
      <name val="Calibri"/>
      <family val="2"/>
      <scheme val="minor"/>
    </font>
    <font>
      <sz val="11"/>
      <color rgb="FF000000"/>
      <name val="Calibri"/>
      <family val="2"/>
      <scheme val="minor"/>
    </font>
    <font>
      <b/>
      <sz val="12"/>
      <color rgb="FF000000"/>
      <name val="Calibri"/>
      <family val="2"/>
      <scheme val="minor"/>
    </font>
    <font>
      <sz val="10"/>
      <color rgb="FF000000"/>
      <name val="Calibri"/>
      <family val="2"/>
      <scheme val="minor"/>
    </font>
    <font>
      <sz val="11"/>
      <name val="Calibri"/>
      <family val="2"/>
      <scheme val="minor"/>
    </font>
    <font>
      <b/>
      <sz val="20"/>
      <color rgb="FFFF0000"/>
      <name val="Calibri"/>
      <family val="2"/>
      <scheme val="minor"/>
    </font>
    <font>
      <b/>
      <u/>
      <sz val="11"/>
      <name val="Calibri"/>
      <family val="2"/>
      <scheme val="minor"/>
    </font>
    <font>
      <u/>
      <sz val="11"/>
      <color theme="10"/>
      <name val="Calibri"/>
      <family val="2"/>
      <scheme val="minor"/>
    </font>
    <font>
      <sz val="9"/>
      <color theme="1"/>
      <name val="Lucida Console"/>
      <family val="3"/>
    </font>
    <font>
      <sz val="10"/>
      <color rgb="FFFF0000"/>
      <name val="Calibri"/>
      <family val="2"/>
      <scheme val="minor"/>
    </font>
    <font>
      <strike/>
      <sz val="11"/>
      <color theme="1"/>
      <name val="Calibri"/>
      <family val="2"/>
      <scheme val="minor"/>
    </font>
    <font>
      <strike/>
      <sz val="11"/>
      <color rgb="FFFF0000"/>
      <name val="Calibri"/>
      <family val="2"/>
      <scheme val="minor"/>
    </font>
    <font>
      <b/>
      <sz val="11"/>
      <color rgb="FFFF0000"/>
      <name val="Calibri"/>
      <family val="2"/>
      <scheme val="minor"/>
    </font>
    <font>
      <i/>
      <sz val="11"/>
      <color rgb="FFFF0000"/>
      <name val="Calibri"/>
      <family val="2"/>
      <scheme val="minor"/>
    </font>
    <font>
      <sz val="8"/>
      <name val="Calibri"/>
      <family val="2"/>
      <scheme val="minor"/>
    </font>
    <font>
      <sz val="11"/>
      <name val="Calibri"/>
      <family val="2"/>
    </font>
    <font>
      <sz val="10"/>
      <name val="Calibri"/>
      <family val="2"/>
      <scheme val="minor"/>
    </font>
    <font>
      <strike/>
      <sz val="11"/>
      <name val="Calibri"/>
      <family val="2"/>
      <scheme val="minor"/>
    </font>
    <font>
      <sz val="11"/>
      <color rgb="FF000000"/>
      <name val="Segoe UI"/>
      <family val="2"/>
    </font>
    <font>
      <sz val="14"/>
      <color rgb="FF000000"/>
      <name val="Segoe UI"/>
      <family val="2"/>
    </font>
    <font>
      <strike/>
      <sz val="14"/>
      <color rgb="FFFF0000"/>
      <name val="Segoe UI"/>
      <family val="2"/>
    </font>
    <font>
      <sz val="11"/>
      <color rgb="FF000000"/>
      <name val="Aptos Narrow"/>
      <family val="2"/>
    </font>
  </fonts>
  <fills count="99">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indexed="43"/>
      </patternFill>
    </fill>
    <fill>
      <patternFill patternType="solid">
        <fgColor indexed="18"/>
        <bgColor indexed="64"/>
      </patternFill>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mediumGray">
        <fgColor indexed="17"/>
      </patternFill>
    </fill>
    <fill>
      <patternFill patternType="solid">
        <fgColor indexed="43"/>
        <bgColor indexed="64"/>
      </patternFill>
    </fill>
    <fill>
      <patternFill patternType="solid">
        <fgColor indexed="12"/>
      </patternFill>
    </fill>
    <fill>
      <patternFill patternType="solid">
        <fgColor indexed="13"/>
      </patternFill>
    </fill>
    <fill>
      <patternFill patternType="solid">
        <fgColor indexed="10"/>
      </patternFill>
    </fill>
    <fill>
      <patternFill patternType="solid">
        <fgColor indexed="23"/>
        <bgColor indexed="64"/>
      </patternFill>
    </fill>
    <fill>
      <patternFill patternType="solid">
        <fgColor indexed="40"/>
        <bgColor indexed="64"/>
      </patternFill>
    </fill>
    <fill>
      <patternFill patternType="solid">
        <fgColor indexed="49"/>
        <bgColor indexed="64"/>
      </patternFill>
    </fill>
    <fill>
      <patternFill patternType="mediumGray">
        <fgColor indexed="22"/>
      </patternFill>
    </fill>
    <fill>
      <patternFill patternType="solid">
        <fgColor indexed="15"/>
        <bgColor indexed="64"/>
      </patternFill>
    </fill>
    <fill>
      <patternFill patternType="lightGray">
        <fgColor indexed="12"/>
      </patternFill>
    </fill>
    <fill>
      <patternFill patternType="solid">
        <fgColor indexed="29"/>
        <bgColor indexed="64"/>
      </patternFill>
    </fill>
    <fill>
      <patternFill patternType="solid">
        <fgColor indexed="43"/>
        <bgColor indexed="9"/>
      </patternFill>
    </fill>
    <fill>
      <patternFill patternType="solid">
        <fgColor indexed="42"/>
        <bgColor indexed="64"/>
      </patternFill>
    </fill>
    <fill>
      <patternFill patternType="solid">
        <fgColor indexed="8"/>
      </patternFill>
    </fill>
    <fill>
      <patternFill patternType="solid">
        <fgColor indexed="22"/>
      </patternFill>
    </fill>
    <fill>
      <patternFill patternType="solid">
        <fgColor indexed="9"/>
      </patternFill>
    </fill>
    <fill>
      <patternFill patternType="solid">
        <fgColor indexed="10"/>
        <bgColor indexed="64"/>
      </patternFill>
    </fill>
    <fill>
      <patternFill patternType="gray0625"/>
    </fill>
    <fill>
      <patternFill patternType="solid">
        <fgColor indexed="9"/>
        <bgColor indexed="9"/>
      </patternFill>
    </fill>
    <fill>
      <patternFill patternType="lightGray">
        <fgColor indexed="8"/>
      </patternFill>
    </fill>
    <fill>
      <patternFill patternType="solid">
        <fgColor indexed="15"/>
      </patternFill>
    </fill>
    <fill>
      <patternFill patternType="solid">
        <fgColor indexed="60"/>
        <bgColor indexed="64"/>
      </patternFill>
    </fill>
    <fill>
      <patternFill patternType="darkGray">
        <fgColor indexed="9"/>
        <bgColor indexed="15"/>
      </patternFill>
    </fill>
    <fill>
      <patternFill patternType="solid">
        <fgColor indexed="31"/>
        <bgColor indexed="64"/>
      </patternFill>
    </fill>
    <fill>
      <patternFill patternType="solid">
        <fgColor indexed="22"/>
        <bgColor indexed="9"/>
      </patternFill>
    </fill>
    <fill>
      <patternFill patternType="solid">
        <fgColor indexed="33"/>
        <bgColor indexed="64"/>
      </patternFill>
    </fill>
    <fill>
      <patternFill patternType="solid">
        <fgColor indexed="26"/>
      </patternFill>
    </fill>
    <fill>
      <patternFill patternType="solid">
        <fgColor indexed="17"/>
      </patternFill>
    </fill>
    <fill>
      <patternFill patternType="mediumGray">
        <fgColor indexed="9"/>
        <bgColor indexed="17"/>
      </patternFill>
    </fill>
    <fill>
      <patternFill patternType="mediumGray">
        <fgColor indexed="9"/>
        <bgColor indexed="18"/>
      </patternFill>
    </fill>
    <fill>
      <patternFill patternType="mediumGray">
        <fgColor indexed="20"/>
        <bgColor indexed="9"/>
      </patternFill>
    </fill>
    <fill>
      <patternFill patternType="mediumGray">
        <fgColor indexed="16"/>
        <bgColor indexed="9"/>
      </patternFill>
    </fill>
    <fill>
      <patternFill patternType="mediumGray">
        <fgColor indexed="9"/>
        <bgColor indexed="23"/>
      </patternFill>
    </fill>
    <fill>
      <patternFill patternType="darkGray">
        <fgColor indexed="9"/>
        <bgColor indexed="13"/>
      </patternFill>
    </fill>
    <fill>
      <patternFill patternType="solid">
        <fgColor indexed="23"/>
        <bgColor indexed="16"/>
      </patternFill>
    </fill>
    <fill>
      <patternFill patternType="mediumGray">
        <fgColor indexed="18"/>
      </patternFill>
    </fill>
    <fill>
      <patternFill patternType="mediumGray">
        <fgColor indexed="16"/>
      </patternFill>
    </fill>
    <fill>
      <patternFill patternType="mediumGray">
        <fgColor indexed="21"/>
      </patternFill>
    </fill>
    <fill>
      <patternFill patternType="mediumGray">
        <fgColor indexed="20"/>
      </patternFill>
    </fill>
    <fill>
      <patternFill patternType="mediumGray">
        <fgColor indexed="9"/>
        <bgColor indexed="19"/>
      </patternFill>
    </fill>
    <fill>
      <patternFill patternType="darkVertical"/>
    </fill>
    <fill>
      <patternFill patternType="solid">
        <fgColor indexed="63"/>
        <bgColor indexed="64"/>
      </patternFill>
    </fill>
    <fill>
      <patternFill patternType="solid">
        <fgColor indexed="13"/>
        <bgColor indexed="64"/>
      </patternFill>
    </fill>
    <fill>
      <patternFill patternType="solid">
        <fgColor indexed="8"/>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D4ECFA"/>
        <bgColor indexed="64"/>
      </patternFill>
    </fill>
    <fill>
      <patternFill patternType="solid">
        <fgColor rgb="FFFFFF00"/>
        <bgColor indexed="64"/>
      </patternFill>
    </fill>
    <fill>
      <patternFill patternType="solid">
        <fgColor rgb="FFFFC000"/>
        <bgColor indexed="64"/>
      </patternFill>
    </fill>
    <fill>
      <patternFill patternType="solid">
        <fgColor theme="9" tint="-0.249977111117893"/>
        <bgColor indexed="64"/>
      </patternFill>
    </fill>
    <fill>
      <patternFill patternType="solid">
        <fgColor rgb="FF97F12B"/>
        <bgColor indexed="64"/>
      </patternFill>
    </fill>
    <fill>
      <patternFill patternType="solid">
        <fgColor theme="3" tint="0.59999389629810485"/>
        <bgColor indexed="64"/>
      </patternFill>
    </fill>
    <fill>
      <patternFill patternType="solid">
        <fgColor rgb="FFFFFF66"/>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92D050"/>
        <bgColor indexed="64"/>
      </patternFill>
    </fill>
  </fills>
  <borders count="71">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hair">
        <color indexed="8"/>
      </top>
      <bottom style="hair">
        <color indexed="8"/>
      </bottom>
      <diagonal/>
    </border>
    <border>
      <left/>
      <right/>
      <top/>
      <bottom style="medium">
        <color indexed="18"/>
      </bottom>
      <diagonal/>
    </border>
    <border>
      <left/>
      <right/>
      <top/>
      <bottom style="thin">
        <color indexed="63"/>
      </bottom>
      <diagonal/>
    </border>
    <border>
      <left style="thin">
        <color indexed="64"/>
      </left>
      <right/>
      <top style="thin">
        <color indexed="65"/>
      </top>
      <bottom/>
      <diagonal/>
    </border>
    <border>
      <left style="double">
        <color indexed="64"/>
      </left>
      <right/>
      <top/>
      <bottom style="hair">
        <color indexed="64"/>
      </bottom>
      <diagonal/>
    </border>
    <border>
      <left style="thin">
        <color indexed="58"/>
      </left>
      <right style="thin">
        <color indexed="58"/>
      </right>
      <top style="thin">
        <color indexed="58"/>
      </top>
      <bottom style="thin">
        <color indexed="58"/>
      </bottom>
      <diagonal/>
    </border>
    <border>
      <left style="thick">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bottom style="medium">
        <color indexed="8"/>
      </bottom>
      <diagonal/>
    </border>
    <border>
      <left/>
      <right/>
      <top style="double">
        <color indexed="64"/>
      </top>
      <bottom/>
      <diagonal/>
    </border>
    <border>
      <left style="thin">
        <color indexed="8"/>
      </left>
      <right style="thin">
        <color indexed="8"/>
      </right>
      <top style="thin">
        <color indexed="8"/>
      </top>
      <bottom style="thin">
        <color indexed="8"/>
      </bottom>
      <diagonal/>
    </border>
    <border>
      <left/>
      <right/>
      <top/>
      <bottom style="medium">
        <color indexed="64"/>
      </bottom>
      <diagonal/>
    </border>
    <border>
      <left/>
      <right/>
      <top/>
      <bottom style="thin">
        <color indexed="44"/>
      </bottom>
      <diagonal/>
    </border>
    <border>
      <left/>
      <right/>
      <top/>
      <bottom style="thin">
        <color auto="1"/>
      </bottom>
      <diagonal/>
    </border>
    <border>
      <left/>
      <right/>
      <top style="thin">
        <color indexed="59"/>
      </top>
      <bottom style="thin">
        <color indexed="59"/>
      </bottom>
      <diagonal/>
    </border>
    <border>
      <left/>
      <right/>
      <top/>
      <bottom style="thin">
        <color indexed="59"/>
      </bottom>
      <diagonal/>
    </border>
    <border>
      <left/>
      <right/>
      <top style="thin">
        <color indexed="59"/>
      </top>
      <bottom/>
      <diagonal/>
    </border>
    <border>
      <left/>
      <right/>
      <top style="thin">
        <color indexed="8"/>
      </top>
      <bottom style="double">
        <color indexed="8"/>
      </bottom>
      <diagonal/>
    </border>
    <border>
      <left/>
      <right/>
      <top style="thin">
        <color indexed="8"/>
      </top>
      <bottom/>
      <diagonal/>
    </border>
    <border>
      <left/>
      <right/>
      <top style="thin">
        <color indexed="64"/>
      </top>
      <bottom/>
      <diagonal/>
    </border>
    <border>
      <left/>
      <right/>
      <top/>
      <bottom style="thin">
        <color indexed="8"/>
      </bottom>
      <diagonal/>
    </border>
    <border>
      <left/>
      <right/>
      <top style="medium">
        <color indexed="64"/>
      </top>
      <bottom style="thin">
        <color indexed="64"/>
      </bottom>
      <diagonal/>
    </border>
    <border>
      <left/>
      <right style="thin">
        <color indexed="8"/>
      </right>
      <top/>
      <bottom style="thin">
        <color indexed="8"/>
      </bottom>
      <diagonal/>
    </border>
    <border>
      <left style="double">
        <color indexed="64"/>
      </left>
      <right style="thin">
        <color indexed="64"/>
      </right>
      <top style="thick">
        <color indexed="64"/>
      </top>
      <bottom/>
      <diagonal/>
    </border>
    <border>
      <left style="thin">
        <color indexed="23"/>
      </left>
      <right style="thin">
        <color indexed="23"/>
      </right>
      <top/>
      <bottom/>
      <diagonal/>
    </border>
    <border>
      <left/>
      <right style="thin">
        <color indexed="8"/>
      </right>
      <top style="thin">
        <color indexed="8"/>
      </top>
      <bottom/>
      <diagonal/>
    </border>
    <border>
      <left/>
      <right/>
      <top/>
      <bottom style="double">
        <color indexed="8"/>
      </bottom>
      <diagonal/>
    </border>
    <border>
      <left/>
      <right/>
      <top style="double">
        <color indexed="64"/>
      </top>
      <bottom style="double">
        <color indexed="64"/>
      </bottom>
      <diagonal/>
    </border>
    <border>
      <left/>
      <right style="medium">
        <color indexed="64"/>
      </right>
      <top/>
      <bottom/>
      <diagonal/>
    </border>
    <border>
      <left/>
      <right/>
      <top/>
      <bottom style="dotted">
        <color indexed="64"/>
      </bottom>
      <diagonal/>
    </border>
    <border>
      <left style="hair">
        <color indexed="12"/>
      </left>
      <right style="hair">
        <color indexed="12"/>
      </right>
      <top style="hair">
        <color indexed="12"/>
      </top>
      <bottom style="hair">
        <color indexed="12"/>
      </bottom>
      <diagonal/>
    </border>
    <border>
      <left style="medium">
        <color indexed="10"/>
      </left>
      <right style="medium">
        <color indexed="10"/>
      </right>
      <top style="hair">
        <color indexed="10"/>
      </top>
      <bottom style="hair">
        <color indexed="10"/>
      </bottom>
      <diagonal/>
    </border>
    <border>
      <left/>
      <right/>
      <top style="medium">
        <color indexed="64"/>
      </top>
      <bottom/>
      <diagonal/>
    </border>
    <border>
      <left/>
      <right/>
      <top style="medium">
        <color auto="1"/>
      </top>
      <bottom style="medium">
        <color auto="1"/>
      </bottom>
      <diagonal/>
    </border>
    <border>
      <left style="thin">
        <color auto="1"/>
      </left>
      <right/>
      <top/>
      <bottom/>
      <diagonal/>
    </border>
    <border>
      <left style="double">
        <color indexed="64"/>
      </left>
      <right style="double">
        <color indexed="64"/>
      </right>
      <top style="double">
        <color indexed="64"/>
      </top>
      <bottom style="double">
        <color indexed="64"/>
      </bottom>
      <diagonal/>
    </border>
    <border>
      <left style="medium">
        <color indexed="64"/>
      </left>
      <right style="thin">
        <color indexed="64"/>
      </right>
      <top/>
      <bottom/>
      <diagonal/>
    </border>
    <border>
      <left/>
      <right/>
      <top style="hair">
        <color indexed="64"/>
      </top>
      <bottom/>
      <diagonal/>
    </border>
    <border>
      <left/>
      <right/>
      <top style="dotted">
        <color indexed="64"/>
      </top>
      <bottom style="dotted">
        <color indexed="64"/>
      </bottom>
      <diagonal/>
    </border>
    <border>
      <left style="thin">
        <color indexed="64"/>
      </left>
      <right style="thin">
        <color indexed="64"/>
      </right>
      <top/>
      <bottom style="hair">
        <color indexed="64"/>
      </bottom>
      <diagonal/>
    </border>
    <border>
      <left/>
      <right style="double">
        <color indexed="64"/>
      </right>
      <top/>
      <bottom style="thin">
        <color indexed="64"/>
      </bottom>
      <diagonal/>
    </border>
    <border>
      <left style="thin">
        <color indexed="22"/>
      </left>
      <right style="thin">
        <color indexed="22"/>
      </right>
      <top style="thin">
        <color indexed="22"/>
      </top>
      <bottom style="thin">
        <color indexed="22"/>
      </bottom>
      <diagonal/>
    </border>
    <border>
      <left style="double">
        <color indexed="64"/>
      </left>
      <right/>
      <top/>
      <bottom/>
      <diagonal/>
    </border>
    <border>
      <left style="thin">
        <color indexed="22"/>
      </left>
      <right style="thin">
        <color indexed="61"/>
      </right>
      <top style="thin">
        <color indexed="22"/>
      </top>
      <bottom style="thin">
        <color indexed="61"/>
      </bottom>
      <diagonal/>
    </border>
    <border>
      <left/>
      <right/>
      <top/>
      <bottom style="hair">
        <color indexed="64"/>
      </bottom>
      <diagonal/>
    </border>
    <border>
      <left/>
      <right/>
      <top style="hair">
        <color indexed="22"/>
      </top>
      <bottom/>
      <diagonal/>
    </border>
    <border>
      <left style="hair">
        <color indexed="64"/>
      </left>
      <right/>
      <top style="hair">
        <color indexed="64"/>
      </top>
      <bottom/>
      <diagonal/>
    </border>
    <border>
      <left/>
      <right style="hair">
        <color indexed="64"/>
      </right>
      <top style="hair">
        <color indexed="64"/>
      </top>
      <bottom/>
      <diagonal/>
    </border>
    <border>
      <left/>
      <right/>
      <top/>
      <bottom style="double">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s>
  <cellStyleXfs count="4548">
    <xf numFmtId="0" fontId="0" fillId="0" borderId="0"/>
    <xf numFmtId="0" fontId="1" fillId="2" borderId="1" applyNumberFormat="0" applyFont="0" applyAlignment="0" applyProtection="0"/>
    <xf numFmtId="0" fontId="3" fillId="0" borderId="0"/>
    <xf numFmtId="14" fontId="3" fillId="0" borderId="0" applyProtection="0"/>
    <xf numFmtId="164" fontId="3" fillId="0" borderId="0" applyProtection="0"/>
    <xf numFmtId="0" fontId="4" fillId="0" borderId="0"/>
    <xf numFmtId="0" fontId="4" fillId="0" borderId="0"/>
    <xf numFmtId="0" fontId="5" fillId="0" borderId="6" applyNumberFormat="0" applyFill="0" applyAlignment="0" applyProtection="0"/>
    <xf numFmtId="0" fontId="6" fillId="0" borderId="7" applyNumberFormat="0" applyFill="0" applyAlignment="0" applyProtection="0"/>
    <xf numFmtId="0" fontId="7" fillId="0" borderId="8" applyNumberFormat="0" applyFill="0" applyAlignment="0" applyProtection="0"/>
    <xf numFmtId="0" fontId="7" fillId="0" borderId="0" applyNumberFormat="0" applyFill="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9" applyNumberFormat="0" applyAlignment="0" applyProtection="0"/>
    <xf numFmtId="0" fontId="12" fillId="7" borderId="10" applyNumberFormat="0" applyAlignment="0" applyProtection="0"/>
    <xf numFmtId="0" fontId="13" fillId="7" borderId="9" applyNumberFormat="0" applyAlignment="0" applyProtection="0"/>
    <xf numFmtId="0" fontId="14" fillId="0" borderId="11" applyNumberFormat="0" applyFill="0" applyAlignment="0" applyProtection="0"/>
    <xf numFmtId="0" fontId="15" fillId="8" borderId="12"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2" fillId="0" borderId="13" applyNumberFormat="0" applyFill="0" applyAlignment="0" applyProtection="0"/>
    <xf numFmtId="0" fontId="1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8" fillId="32" borderId="0" applyNumberFormat="0" applyBorder="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165" fontId="4" fillId="0" borderId="0"/>
    <xf numFmtId="0" fontId="22" fillId="0" borderId="0">
      <alignment horizontal="center"/>
    </xf>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24" fillId="0" borderId="0"/>
    <xf numFmtId="0" fontId="25" fillId="0" borderId="0" applyNumberFormat="0" applyFill="0" applyBorder="0" applyAlignment="0" applyProtection="0"/>
    <xf numFmtId="0" fontId="24" fillId="0" borderId="0"/>
    <xf numFmtId="166" fontId="4" fillId="0" borderId="18"/>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7" fillId="0" borderId="0"/>
    <xf numFmtId="165" fontId="27" fillId="0" borderId="0"/>
    <xf numFmtId="167" fontId="22" fillId="0" borderId="0" applyFont="0" applyFill="0" applyBorder="0" applyAlignment="0" applyProtection="0">
      <protection locked="0"/>
    </xf>
    <xf numFmtId="165" fontId="27" fillId="0" borderId="0">
      <alignment horizontal="right"/>
    </xf>
    <xf numFmtId="168" fontId="4" fillId="0" borderId="0"/>
    <xf numFmtId="168" fontId="4" fillId="0" borderId="0"/>
    <xf numFmtId="168" fontId="4" fillId="0" borderId="0"/>
    <xf numFmtId="169" fontId="4" fillId="0" borderId="0"/>
    <xf numFmtId="169" fontId="4" fillId="0" borderId="0"/>
    <xf numFmtId="169" fontId="4" fillId="0" borderId="0"/>
    <xf numFmtId="170" fontId="4" fillId="0" borderId="0"/>
    <xf numFmtId="170" fontId="4" fillId="0" borderId="0"/>
    <xf numFmtId="170" fontId="4" fillId="0" borderId="0"/>
    <xf numFmtId="171" fontId="4" fillId="0" borderId="0"/>
    <xf numFmtId="171" fontId="4" fillId="0" borderId="0"/>
    <xf numFmtId="171" fontId="4" fillId="0" borderId="0"/>
    <xf numFmtId="172" fontId="4" fillId="0" borderId="0"/>
    <xf numFmtId="172" fontId="4" fillId="0" borderId="0"/>
    <xf numFmtId="172" fontId="4" fillId="0" borderId="0"/>
    <xf numFmtId="173" fontId="4" fillId="0" borderId="0"/>
    <xf numFmtId="173" fontId="4" fillId="0" borderId="0"/>
    <xf numFmtId="173" fontId="4" fillId="0" borderId="0"/>
    <xf numFmtId="0" fontId="4" fillId="0" borderId="0"/>
    <xf numFmtId="0" fontId="4" fillId="0" borderId="0"/>
    <xf numFmtId="0" fontId="4" fillId="0" borderId="0"/>
    <xf numFmtId="174" fontId="28" fillId="0" borderId="0" applyFont="0" applyFill="0" applyBorder="0" applyAlignment="0" applyProtection="0"/>
    <xf numFmtId="0" fontId="4" fillId="0" borderId="0"/>
    <xf numFmtId="37" fontId="29" fillId="0" borderId="0" applyAlignment="0" applyProtection="0"/>
    <xf numFmtId="0" fontId="22" fillId="0" borderId="0" applyFont="0" applyFill="0" applyBorder="0" applyAlignment="0"/>
    <xf numFmtId="0" fontId="22" fillId="0" borderId="0" applyFont="0" applyFill="0" applyBorder="0" applyAlignment="0"/>
    <xf numFmtId="0" fontId="30" fillId="0" borderId="0"/>
    <xf numFmtId="175" fontId="31" fillId="0" borderId="0" applyFont="0" applyFill="0" applyBorder="0" applyAlignment="0" applyProtection="0"/>
    <xf numFmtId="176" fontId="4" fillId="0" borderId="0" applyFont="0" applyFill="0" applyBorder="0" applyAlignment="0" applyProtection="0"/>
    <xf numFmtId="177" fontId="4" fillId="33" borderId="0"/>
    <xf numFmtId="40" fontId="31" fillId="0" borderId="0" applyFont="0" applyFill="0" applyBorder="0" applyAlignment="0" applyProtection="0"/>
    <xf numFmtId="0" fontId="32" fillId="0" borderId="0" applyNumberFormat="0" applyFill="0" applyBorder="0" applyAlignment="0" applyProtection="0">
      <alignment vertical="top"/>
      <protection locked="0"/>
    </xf>
    <xf numFmtId="38" fontId="31" fillId="0" borderId="0" applyFont="0" applyFill="0" applyBorder="0" applyAlignment="0" applyProtection="0"/>
    <xf numFmtId="0" fontId="33" fillId="0" borderId="0"/>
    <xf numFmtId="0" fontId="34" fillId="0" borderId="0"/>
    <xf numFmtId="17" fontId="35" fillId="0" borderId="0">
      <alignment horizontal="center"/>
    </xf>
    <xf numFmtId="178" fontId="4" fillId="0" borderId="0" applyFont="0" applyFill="0" applyBorder="0" applyAlignment="0" applyProtection="0"/>
    <xf numFmtId="179" fontId="4" fillId="0" borderId="0" applyFont="0" applyFill="0" applyBorder="0" applyAlignment="0" applyProtection="0"/>
    <xf numFmtId="0" fontId="4" fillId="0" borderId="0"/>
    <xf numFmtId="0" fontId="4" fillId="0" borderId="0" applyNumberFormat="0" applyFill="0" applyBorder="0" applyAlignment="0" applyProtection="0"/>
    <xf numFmtId="0" fontId="4" fillId="0" borderId="0"/>
    <xf numFmtId="0" fontId="4" fillId="0" borderId="0" applyNumberFormat="0" applyFill="0" applyBorder="0" applyAlignment="0" applyProtection="0">
      <alignment horizontal="left" wrapText="1"/>
    </xf>
    <xf numFmtId="0" fontId="34" fillId="0" borderId="0"/>
    <xf numFmtId="0" fontId="4" fillId="0" borderId="0"/>
    <xf numFmtId="0" fontId="4" fillId="0" borderId="0"/>
    <xf numFmtId="0" fontId="4" fillId="0" borderId="0" applyNumberFormat="0" applyFill="0" applyBorder="0" applyAlignment="0" applyProtection="0"/>
    <xf numFmtId="0" fontId="4" fillId="0" borderId="0"/>
    <xf numFmtId="0" fontId="23" fillId="0" borderId="0"/>
    <xf numFmtId="0" fontId="36"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4" fillId="0" borderId="0"/>
    <xf numFmtId="0" fontId="4" fillId="0" borderId="0"/>
    <xf numFmtId="0" fontId="24" fillId="0" borderId="0"/>
    <xf numFmtId="0" fontId="34" fillId="0" borderId="0"/>
    <xf numFmtId="0" fontId="2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applyFont="0" applyFill="0" applyBorder="0" applyAlignment="0" applyProtection="0"/>
    <xf numFmtId="0" fontId="24" fillId="0" borderId="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37" fillId="0" borderId="0"/>
    <xf numFmtId="0" fontId="23" fillId="0" borderId="0"/>
    <xf numFmtId="0" fontId="23" fillId="0" borderId="0"/>
    <xf numFmtId="0" fontId="23" fillId="0" borderId="0"/>
    <xf numFmtId="0" fontId="4" fillId="0" borderId="0">
      <alignment horizontal="left" wrapText="1"/>
    </xf>
    <xf numFmtId="0" fontId="4" fillId="0" borderId="0" applyNumberFormat="0" applyFill="0" applyBorder="0" applyAlignment="0" applyProtection="0"/>
    <xf numFmtId="0" fontId="23" fillId="0" borderId="0"/>
    <xf numFmtId="0" fontId="4" fillId="0" borderId="0">
      <alignment horizontal="left" wrapText="1"/>
    </xf>
    <xf numFmtId="0" fontId="4" fillId="0" borderId="0"/>
    <xf numFmtId="0" fontId="4" fillId="0" borderId="0"/>
    <xf numFmtId="0" fontId="4" fillId="0" borderId="0"/>
    <xf numFmtId="0" fontId="4" fillId="0" borderId="0"/>
    <xf numFmtId="0" fontId="23"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23" fillId="0" borderId="0"/>
    <xf numFmtId="0" fontId="4" fillId="0" borderId="0"/>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4" fillId="0" borderId="0"/>
    <xf numFmtId="0" fontId="4" fillId="0" borderId="0"/>
    <xf numFmtId="0" fontId="4" fillId="0" borderId="0"/>
    <xf numFmtId="0" fontId="24" fillId="0" borderId="0"/>
    <xf numFmtId="0" fontId="24" fillId="0" borderId="0"/>
    <xf numFmtId="0" fontId="4" fillId="0" borderId="0"/>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7" fillId="0" borderId="0"/>
    <xf numFmtId="0" fontId="23" fillId="0" borderId="0"/>
    <xf numFmtId="0" fontId="23" fillId="0" borderId="0"/>
    <xf numFmtId="0" fontId="23" fillId="0" borderId="0"/>
    <xf numFmtId="0" fontId="4" fillId="0" borderId="0" applyNumberFormat="0" applyFill="0" applyBorder="0" applyAlignment="0" applyProtection="0"/>
    <xf numFmtId="0" fontId="37" fillId="0" borderId="0"/>
    <xf numFmtId="0" fontId="36" fillId="0" borderId="0"/>
    <xf numFmtId="0" fontId="36" fillId="0" borderId="0"/>
    <xf numFmtId="0" fontId="36" fillId="0" borderId="0"/>
    <xf numFmtId="0" fontId="37" fillId="0" borderId="0"/>
    <xf numFmtId="0" fontId="37" fillId="0" borderId="0"/>
    <xf numFmtId="0" fontId="23" fillId="0" borderId="0"/>
    <xf numFmtId="0" fontId="23" fillId="0" borderId="0"/>
    <xf numFmtId="0" fontId="23" fillId="0" borderId="0"/>
    <xf numFmtId="0" fontId="4" fillId="0" borderId="0">
      <alignment horizontal="left" wrapText="1"/>
    </xf>
    <xf numFmtId="0" fontId="4" fillId="0" borderId="0" applyFont="0" applyFill="0" applyBorder="0" applyAlignment="0" applyProtection="0"/>
    <xf numFmtId="0" fontId="23"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24" fillId="0" borderId="0"/>
    <xf numFmtId="0" fontId="23" fillId="0" borderId="0"/>
    <xf numFmtId="0" fontId="36"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4" fillId="0" borderId="0">
      <alignment horizontal="left" wrapText="1"/>
    </xf>
    <xf numFmtId="38"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4" fillId="0" borderId="0">
      <alignment horizontal="left" wrapText="1"/>
    </xf>
    <xf numFmtId="37" fontId="29" fillId="0" borderId="0" applyAlignment="0" applyProtection="0"/>
    <xf numFmtId="0" fontId="4" fillId="0" borderId="0">
      <alignment horizontal="left" wrapText="1"/>
    </xf>
    <xf numFmtId="0" fontId="4" fillId="0" borderId="0" applyFont="0" applyFill="0" applyBorder="0" applyAlignment="0" applyProtection="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Font="0" applyFill="0" applyBorder="0" applyAlignment="0" applyProtection="0"/>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38" fontId="38"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xf numFmtId="0" fontId="4" fillId="0" borderId="0"/>
    <xf numFmtId="0" fontId="4" fillId="0" borderId="0">
      <alignment horizontal="left" wrapText="1"/>
    </xf>
    <xf numFmtId="0" fontId="4" fillId="0" borderId="0"/>
    <xf numFmtId="0" fontId="4" fillId="0" borderId="0"/>
    <xf numFmtId="0" fontId="4" fillId="0" borderId="0">
      <alignment horizontal="left" wrapText="1"/>
    </xf>
    <xf numFmtId="0" fontId="4" fillId="0" borderId="0" applyNumberFormat="0" applyFill="0" applyBorder="0" applyAlignment="0" applyProtection="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applyNumberFormat="0" applyFill="0" applyBorder="0" applyAlignment="0" applyProtection="0"/>
    <xf numFmtId="0" fontId="23" fillId="0" borderId="0"/>
    <xf numFmtId="0" fontId="34" fillId="0" borderId="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0" fontId="4" fillId="0" borderId="0">
      <alignment horizontal="left" wrapText="1"/>
    </xf>
    <xf numFmtId="0" fontId="4" fillId="0" borderId="0" applyNumberFormat="0" applyFill="0" applyBorder="0" applyAlignment="0" applyProtection="0"/>
    <xf numFmtId="0" fontId="34" fillId="0" borderId="0"/>
    <xf numFmtId="0" fontId="4" fillId="0" borderId="0"/>
    <xf numFmtId="0" fontId="4" fillId="0" borderId="0"/>
    <xf numFmtId="0" fontId="4" fillId="0" borderId="0"/>
    <xf numFmtId="0" fontId="4" fillId="0" borderId="0">
      <alignment horizontal="left" wrapText="1"/>
    </xf>
    <xf numFmtId="37" fontId="29" fillId="0" borderId="0" applyAlignment="0" applyProtection="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Font="0" applyFill="0" applyBorder="0" applyAlignment="0" applyProtection="0"/>
    <xf numFmtId="0" fontId="4" fillId="0" borderId="0" applyFont="0" applyFill="0" applyBorder="0" applyAlignment="0" applyProtection="0"/>
    <xf numFmtId="0" fontId="37" fillId="0" borderId="0"/>
    <xf numFmtId="0" fontId="23" fillId="0" borderId="0"/>
    <xf numFmtId="0" fontId="23" fillId="0" borderId="0"/>
    <xf numFmtId="0" fontId="23" fillId="0" borderId="0"/>
    <xf numFmtId="0" fontId="4" fillId="0" borderId="0"/>
    <xf numFmtId="0" fontId="4" fillId="0" borderId="0"/>
    <xf numFmtId="0" fontId="4" fillId="0" borderId="0"/>
    <xf numFmtId="0" fontId="23" fillId="0" borderId="0"/>
    <xf numFmtId="37" fontId="29" fillId="0" borderId="0" applyAlignment="0" applyProtection="0"/>
    <xf numFmtId="0" fontId="4" fillId="0" borderId="0"/>
    <xf numFmtId="0" fontId="4" fillId="0" borderId="0"/>
    <xf numFmtId="37" fontId="29" fillId="0" borderId="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7" fillId="0" borderId="0"/>
    <xf numFmtId="0" fontId="23" fillId="0" borderId="0"/>
    <xf numFmtId="0" fontId="23" fillId="0" borderId="0"/>
    <xf numFmtId="0" fontId="23" fillId="0" borderId="0"/>
    <xf numFmtId="0" fontId="37" fillId="0" borderId="0"/>
    <xf numFmtId="0" fontId="23" fillId="0" borderId="0"/>
    <xf numFmtId="0" fontId="23" fillId="0" borderId="0"/>
    <xf numFmtId="0" fontId="23" fillId="0" borderId="0"/>
    <xf numFmtId="0" fontId="37" fillId="0" borderId="0"/>
    <xf numFmtId="0" fontId="23" fillId="0" borderId="0"/>
    <xf numFmtId="0" fontId="23" fillId="0" borderId="0"/>
    <xf numFmtId="0" fontId="23" fillId="0" borderId="0"/>
    <xf numFmtId="0" fontId="37" fillId="0" borderId="0"/>
    <xf numFmtId="0" fontId="23" fillId="0" borderId="0"/>
    <xf numFmtId="0" fontId="23" fillId="0" borderId="0"/>
    <xf numFmtId="0" fontId="23" fillId="0" borderId="0"/>
    <xf numFmtId="182"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0"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0"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0" fontId="4" fillId="0" borderId="0"/>
    <xf numFmtId="0" fontId="4" fillId="0" borderId="0"/>
    <xf numFmtId="0" fontId="34" fillId="0" borderId="0"/>
    <xf numFmtId="0" fontId="34" fillId="0" borderId="0"/>
    <xf numFmtId="0" fontId="3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1" fillId="0" borderId="0">
      <alignment horizontal="left" wrapText="1"/>
    </xf>
    <xf numFmtId="0" fontId="42" fillId="0" borderId="0">
      <alignment horizontal="left" wrapText="1"/>
    </xf>
    <xf numFmtId="0" fontId="42" fillId="0" borderId="0">
      <alignment horizontal="left" wrapText="1"/>
    </xf>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24" fillId="0" borderId="0"/>
    <xf numFmtId="0" fontId="24" fillId="0" borderId="0"/>
    <xf numFmtId="0" fontId="4" fillId="0" borderId="0">
      <alignment horizontal="left" wrapText="1"/>
    </xf>
    <xf numFmtId="0" fontId="4" fillId="0" borderId="0">
      <alignment horizontal="left" wrapText="1"/>
    </xf>
    <xf numFmtId="0" fontId="23" fillId="0" borderId="0"/>
    <xf numFmtId="0" fontId="36" fillId="0" borderId="0"/>
    <xf numFmtId="0" fontId="4" fillId="0" borderId="0">
      <alignment horizontal="left" wrapText="1"/>
    </xf>
    <xf numFmtId="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24" fillId="0" borderId="0"/>
    <xf numFmtId="0" fontId="24" fillId="0" borderId="0"/>
    <xf numFmtId="0" fontId="24" fillId="0" borderId="0"/>
    <xf numFmtId="0" fontId="4" fillId="0" borderId="0"/>
    <xf numFmtId="0" fontId="4" fillId="0" borderId="0">
      <alignment horizontal="left" wrapText="1"/>
    </xf>
    <xf numFmtId="0" fontId="4" fillId="0" borderId="0">
      <alignment horizontal="left" wrapText="1"/>
    </xf>
    <xf numFmtId="0" fontId="4" fillId="0" borderId="0" applyFont="0" applyFill="0" applyBorder="0" applyAlignment="0" applyProtection="0"/>
    <xf numFmtId="0" fontId="4" fillId="0" borderId="0">
      <alignment horizontal="left" wrapText="1"/>
    </xf>
    <xf numFmtId="0" fontId="4" fillId="0" borderId="0"/>
    <xf numFmtId="0" fontId="4" fillId="0" borderId="0"/>
    <xf numFmtId="0" fontId="4" fillId="0" borderId="0"/>
    <xf numFmtId="0" fontId="4" fillId="0" borderId="0" applyFont="0" applyFill="0" applyBorder="0" applyAlignment="0" applyProtection="0"/>
    <xf numFmtId="185" fontId="4" fillId="0" borderId="0" applyFont="0" applyFill="0" applyBorder="0" applyAlignment="0" applyProtection="0"/>
    <xf numFmtId="0" fontId="4" fillId="0" borderId="0"/>
    <xf numFmtId="0" fontId="4" fillId="0" borderId="0">
      <alignment horizontal="left" wrapText="1"/>
    </xf>
    <xf numFmtId="0" fontId="4" fillId="0" borderId="0"/>
    <xf numFmtId="0" fontId="43" fillId="0" borderId="0">
      <alignment vertical="center"/>
    </xf>
    <xf numFmtId="0" fontId="4" fillId="0" borderId="0"/>
    <xf numFmtId="0" fontId="4" fillId="0" borderId="0"/>
    <xf numFmtId="0" fontId="23" fillId="0" borderId="0"/>
    <xf numFmtId="0" fontId="4" fillId="0" borderId="0">
      <alignment horizontal="left" wrapText="1"/>
    </xf>
    <xf numFmtId="0" fontId="4" fillId="0" borderId="0"/>
    <xf numFmtId="0" fontId="36" fillId="0" borderId="0"/>
    <xf numFmtId="0" fontId="4" fillId="0" borderId="0"/>
    <xf numFmtId="0" fontId="23" fillId="0" borderId="0"/>
    <xf numFmtId="0" fontId="23" fillId="0" borderId="0"/>
    <xf numFmtId="0" fontId="24" fillId="0" borderId="0"/>
    <xf numFmtId="0" fontId="23" fillId="0" borderId="0"/>
    <xf numFmtId="0" fontId="4" fillId="0" borderId="0">
      <alignment horizontal="left" wrapText="1"/>
    </xf>
    <xf numFmtId="0" fontId="4" fillId="0" borderId="0"/>
    <xf numFmtId="0" fontId="4" fillId="0" borderId="0"/>
    <xf numFmtId="0" fontId="4" fillId="0" borderId="0"/>
    <xf numFmtId="0" fontId="37" fillId="0" borderId="0"/>
    <xf numFmtId="0" fontId="4" fillId="0" borderId="0">
      <alignment horizontal="left" wrapText="1"/>
    </xf>
    <xf numFmtId="0" fontId="4" fillId="0" borderId="0">
      <alignment horizontal="left" wrapText="1"/>
    </xf>
    <xf numFmtId="0" fontId="4" fillId="0" borderId="0"/>
    <xf numFmtId="0" fontId="34" fillId="0" borderId="0"/>
    <xf numFmtId="0" fontId="23"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37" fillId="0" borderId="0"/>
    <xf numFmtId="0" fontId="37" fillId="0" borderId="0"/>
    <xf numFmtId="0" fontId="37" fillId="0" borderId="0"/>
    <xf numFmtId="0" fontId="37" fillId="0" borderId="0"/>
    <xf numFmtId="0" fontId="37" fillId="0" borderId="0"/>
    <xf numFmtId="0" fontId="37" fillId="0" borderId="0"/>
    <xf numFmtId="0" fontId="4" fillId="0" borderId="0">
      <alignment horizontal="left" wrapText="1"/>
    </xf>
    <xf numFmtId="0" fontId="4" fillId="0" borderId="0">
      <alignment horizontal="left" wrapText="1"/>
    </xf>
    <xf numFmtId="38" fontId="38" fillId="0" borderId="0" applyFont="0" applyFill="0" applyBorder="0" applyAlignment="0" applyProtection="0"/>
    <xf numFmtId="38" fontId="38" fillId="0" borderId="0" applyFont="0" applyFill="0" applyBorder="0" applyAlignment="0" applyProtection="0"/>
    <xf numFmtId="0" fontId="4" fillId="0" borderId="0" applyNumberFormat="0" applyFill="0" applyBorder="0" applyAlignment="0" applyProtection="0"/>
    <xf numFmtId="0" fontId="4" fillId="0" borderId="0"/>
    <xf numFmtId="0" fontId="23" fillId="0" borderId="0"/>
    <xf numFmtId="0" fontId="34" fillId="0" borderId="0"/>
    <xf numFmtId="0" fontId="4" fillId="0" borderId="0"/>
    <xf numFmtId="0" fontId="4" fillId="0" borderId="0"/>
    <xf numFmtId="0" fontId="24" fillId="0" borderId="0"/>
    <xf numFmtId="0" fontId="24" fillId="0" borderId="0"/>
    <xf numFmtId="0" fontId="37" fillId="0" borderId="0"/>
    <xf numFmtId="0" fontId="36" fillId="0" borderId="0"/>
    <xf numFmtId="0" fontId="36" fillId="0" borderId="0"/>
    <xf numFmtId="0" fontId="36" fillId="0" borderId="0"/>
    <xf numFmtId="0" fontId="37" fillId="0" borderId="0"/>
    <xf numFmtId="0" fontId="37"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37" fillId="0" borderId="0"/>
    <xf numFmtId="0" fontId="36" fillId="0" borderId="0"/>
    <xf numFmtId="0" fontId="36" fillId="0" borderId="0"/>
    <xf numFmtId="0" fontId="36" fillId="0" borderId="0"/>
    <xf numFmtId="0" fontId="37" fillId="0" borderId="0"/>
    <xf numFmtId="0" fontId="37" fillId="0" borderId="0"/>
    <xf numFmtId="0" fontId="4" fillId="0" borderId="0"/>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 fillId="0" borderId="0"/>
    <xf numFmtId="0" fontId="4" fillId="0" borderId="0"/>
    <xf numFmtId="0" fontId="4" fillId="0" borderId="0"/>
    <xf numFmtId="0" fontId="4" fillId="0" borderId="0"/>
    <xf numFmtId="0" fontId="4" fillId="34" borderId="0"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37" fontId="29" fillId="0" borderId="0" applyAlignment="0" applyProtection="0"/>
    <xf numFmtId="0" fontId="4" fillId="0" borderId="0"/>
    <xf numFmtId="0" fontId="23" fillId="0" borderId="0"/>
    <xf numFmtId="0" fontId="4" fillId="0" borderId="0"/>
    <xf numFmtId="0" fontId="4" fillId="0" borderId="0">
      <alignment horizontal="left" wrapText="1"/>
    </xf>
    <xf numFmtId="0" fontId="23" fillId="0" borderId="0"/>
    <xf numFmtId="37" fontId="29" fillId="0" borderId="0" applyAlignment="0" applyProtection="0"/>
    <xf numFmtId="0" fontId="24" fillId="0" borderId="0"/>
    <xf numFmtId="0" fontId="24" fillId="0" borderId="0"/>
    <xf numFmtId="0" fontId="24" fillId="0" borderId="0"/>
    <xf numFmtId="0" fontId="24" fillId="0" borderId="0"/>
    <xf numFmtId="0" fontId="23" fillId="0" borderId="0"/>
    <xf numFmtId="0" fontId="36"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23" fillId="0" borderId="0"/>
    <xf numFmtId="0" fontId="23" fillId="0" borderId="0"/>
    <xf numFmtId="0" fontId="23" fillId="0" borderId="0"/>
    <xf numFmtId="0" fontId="36" fillId="0" borderId="0"/>
    <xf numFmtId="0" fontId="23" fillId="0" borderId="0"/>
    <xf numFmtId="0" fontId="23" fillId="0" borderId="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37" fontId="29" fillId="0" borderId="0" applyAlignment="0" applyProtection="0"/>
    <xf numFmtId="37" fontId="29" fillId="0" borderId="0" applyAlignment="0" applyProtection="0"/>
    <xf numFmtId="0" fontId="4" fillId="0" borderId="0"/>
    <xf numFmtId="0" fontId="4" fillId="0" borderId="0">
      <alignment horizontal="left" wrapText="1"/>
    </xf>
    <xf numFmtId="0" fontId="24" fillId="0" borderId="0"/>
    <xf numFmtId="0" fontId="4" fillId="0" borderId="0">
      <alignment horizontal="left" wrapText="1"/>
    </xf>
    <xf numFmtId="0" fontId="4" fillId="0" borderId="0"/>
    <xf numFmtId="38" fontId="3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37" fontId="29" fillId="0" borderId="0" applyAlignment="0" applyProtection="0"/>
    <xf numFmtId="37" fontId="29" fillId="0" borderId="0" applyAlignment="0" applyProtection="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alignment horizontal="left" wrapText="1"/>
    </xf>
    <xf numFmtId="0" fontId="4" fillId="0" borderId="0"/>
    <xf numFmtId="0" fontId="34" fillId="0" borderId="0"/>
    <xf numFmtId="0" fontId="4" fillId="0" borderId="0">
      <alignment horizontal="left" wrapText="1"/>
    </xf>
    <xf numFmtId="0" fontId="23" fillId="0" borderId="0"/>
    <xf numFmtId="0" fontId="4" fillId="0" borderId="0"/>
    <xf numFmtId="0" fontId="24" fillId="0" borderId="0"/>
    <xf numFmtId="0" fontId="4" fillId="0" borderId="0"/>
    <xf numFmtId="0" fontId="4" fillId="0" borderId="0"/>
    <xf numFmtId="0" fontId="45" fillId="0" borderId="0">
      <alignment vertical="top"/>
    </xf>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8" fontId="4" fillId="0" borderId="0" applyFont="0" applyFill="0" applyBorder="0" applyProtection="0">
      <alignment horizontal="right"/>
    </xf>
    <xf numFmtId="189" fontId="4" fillId="0" borderId="0" applyFont="0" applyFill="0" applyBorder="0" applyAlignment="0" applyProtection="0"/>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alignment horizontal="left" wrapText="1"/>
    </xf>
    <xf numFmtId="0" fontId="4" fillId="0" borderId="0">
      <alignment horizontal="left" wrapText="1"/>
    </xf>
    <xf numFmtId="0" fontId="4" fillId="0" borderId="0" applyFont="0" applyFill="0" applyBorder="0" applyAlignment="0" applyProtection="0"/>
    <xf numFmtId="0" fontId="4" fillId="0" borderId="0"/>
    <xf numFmtId="0" fontId="4" fillId="0" borderId="0"/>
    <xf numFmtId="0" fontId="23" fillId="0" borderId="0"/>
    <xf numFmtId="0" fontId="23" fillId="0" borderId="0"/>
    <xf numFmtId="0" fontId="23"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3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190" fontId="4" fillId="0" borderId="0" applyFont="0" applyFill="0" applyBorder="0" applyAlignment="0" applyProtection="0"/>
    <xf numFmtId="191" fontId="46" fillId="0" borderId="19" applyFont="0" applyFill="0" applyBorder="0" applyProtection="0">
      <alignment horizontal="right"/>
    </xf>
    <xf numFmtId="192"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37" fillId="0" borderId="0"/>
    <xf numFmtId="0" fontId="23" fillId="0" borderId="0"/>
    <xf numFmtId="0" fontId="23" fillId="0" borderId="0"/>
    <xf numFmtId="0" fontId="23" fillId="0" borderId="0"/>
    <xf numFmtId="0" fontId="4" fillId="0" borderId="0">
      <alignment horizontal="left" wrapText="1"/>
    </xf>
    <xf numFmtId="37" fontId="29" fillId="0" borderId="0" applyAlignment="0" applyProtection="0"/>
    <xf numFmtId="0" fontId="4" fillId="0" borderId="0">
      <alignment horizontal="left" wrapText="1"/>
    </xf>
    <xf numFmtId="0" fontId="4" fillId="0" borderId="0" applyNumberFormat="0" applyFill="0" applyBorder="0" applyAlignment="0" applyProtection="0"/>
    <xf numFmtId="0" fontId="4" fillId="0" borderId="0" applyNumberFormat="0" applyFill="0" applyBorder="0" applyAlignment="0" applyProtection="0"/>
    <xf numFmtId="37" fontId="29" fillId="0" borderId="0" applyAlignment="0" applyProtection="0"/>
    <xf numFmtId="0" fontId="4" fillId="0" borderId="0" applyFont="0" applyFill="0" applyBorder="0" applyAlignment="0" applyProtection="0"/>
    <xf numFmtId="37" fontId="29" fillId="0" borderId="0" applyAlignment="0" applyProtection="0"/>
    <xf numFmtId="0" fontId="23" fillId="0" borderId="0"/>
    <xf numFmtId="0" fontId="23"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23" fillId="0" borderId="0"/>
    <xf numFmtId="0" fontId="4" fillId="0" borderId="0"/>
    <xf numFmtId="0" fontId="4" fillId="0" borderId="0"/>
    <xf numFmtId="0" fontId="4" fillId="0" borderId="0">
      <alignment horizontal="left" wrapText="1"/>
    </xf>
    <xf numFmtId="0" fontId="39" fillId="0" borderId="0">
      <alignment vertical="center"/>
    </xf>
    <xf numFmtId="0" fontId="4" fillId="0" borderId="0">
      <alignment horizontal="left" wrapText="1"/>
    </xf>
    <xf numFmtId="0" fontId="37" fillId="0" borderId="0"/>
    <xf numFmtId="0" fontId="23" fillId="0" borderId="0"/>
    <xf numFmtId="0" fontId="23" fillId="0" borderId="0"/>
    <xf numFmtId="0" fontId="23" fillId="0" borderId="0"/>
    <xf numFmtId="0" fontId="24" fillId="0" borderId="0"/>
    <xf numFmtId="0" fontId="4" fillId="0" borderId="0">
      <alignment horizontal="left" wrapText="1"/>
    </xf>
    <xf numFmtId="0" fontId="4" fillId="0" borderId="0"/>
    <xf numFmtId="0" fontId="4" fillId="0" borderId="0"/>
    <xf numFmtId="0" fontId="4" fillId="0" borderId="0">
      <alignment horizontal="left" wrapText="1"/>
    </xf>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23" fillId="0" borderId="0"/>
    <xf numFmtId="0" fontId="4" fillId="0" borderId="0"/>
    <xf numFmtId="0" fontId="4" fillId="0" borderId="0"/>
    <xf numFmtId="0" fontId="4" fillId="0" borderId="0"/>
    <xf numFmtId="0" fontId="3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23" fillId="0" borderId="0"/>
    <xf numFmtId="0" fontId="4" fillId="0" borderId="0">
      <alignment horizontal="left" wrapText="1"/>
    </xf>
    <xf numFmtId="0" fontId="4" fillId="0" borderId="0">
      <alignment horizontal="left" wrapText="1"/>
    </xf>
    <xf numFmtId="0" fontId="3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5" fillId="0" borderId="0">
      <alignment vertical="top"/>
    </xf>
    <xf numFmtId="0" fontId="45" fillId="0" borderId="0">
      <alignment vertical="top"/>
    </xf>
    <xf numFmtId="0" fontId="45" fillId="0" borderId="0">
      <alignment vertical="top"/>
    </xf>
    <xf numFmtId="0" fontId="45" fillId="0" borderId="0">
      <alignment vertical="top"/>
    </xf>
    <xf numFmtId="0" fontId="45" fillId="0" borderId="0">
      <alignment vertical="top"/>
    </xf>
    <xf numFmtId="0" fontId="4" fillId="0" borderId="0"/>
    <xf numFmtId="0" fontId="4" fillId="0" borderId="0">
      <alignment horizontal="left" wrapText="1"/>
    </xf>
    <xf numFmtId="0" fontId="4" fillId="0" borderId="0" applyFont="0" applyFill="0" applyBorder="0" applyAlignment="0" applyProtection="0"/>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6" fillId="0" borderId="19" applyNumberFormat="0" applyFill="0" applyAlignment="0" applyProtection="0"/>
    <xf numFmtId="0" fontId="48" fillId="0" borderId="20" applyNumberFormat="0" applyFill="0" applyProtection="0">
      <alignment horizontal="center"/>
    </xf>
    <xf numFmtId="0" fontId="48" fillId="0" borderId="0" applyNumberFormat="0" applyFill="0" applyBorder="0" applyProtection="0">
      <alignment horizontal="left"/>
    </xf>
    <xf numFmtId="0" fontId="49" fillId="0" borderId="0" applyNumberFormat="0" applyFill="0" applyBorder="0" applyProtection="0">
      <alignment horizontal="centerContinuous"/>
    </xf>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193" fontId="4" fillId="0" borderId="0" applyFont="0" applyFill="0" applyBorder="0" applyAlignment="0" applyProtection="0"/>
    <xf numFmtId="194" fontId="4" fillId="0" borderId="0" applyFont="0" applyFill="0" applyBorder="0" applyAlignment="0" applyProtection="0"/>
    <xf numFmtId="195" fontId="50" fillId="0" borderId="0">
      <alignment horizontal="right" vertical="center"/>
    </xf>
    <xf numFmtId="0" fontId="22" fillId="0" borderId="0"/>
    <xf numFmtId="41" fontId="4" fillId="0" borderId="0" applyFont="0" applyFill="0" applyBorder="0" applyAlignment="0" applyProtection="0"/>
    <xf numFmtId="0" fontId="4" fillId="0" borderId="0"/>
    <xf numFmtId="0" fontId="4" fillId="0" borderId="0"/>
    <xf numFmtId="0" fontId="38" fillId="0" borderId="0"/>
    <xf numFmtId="9" fontId="4" fillId="0" borderId="0"/>
    <xf numFmtId="0" fontId="34" fillId="0" borderId="0"/>
    <xf numFmtId="0" fontId="34" fillId="0" borderId="0"/>
    <xf numFmtId="0" fontId="38" fillId="0" borderId="0"/>
    <xf numFmtId="0" fontId="38" fillId="0" borderId="0"/>
    <xf numFmtId="2" fontId="38" fillId="0" borderId="0"/>
    <xf numFmtId="10" fontId="38" fillId="0" borderId="0"/>
    <xf numFmtId="0" fontId="38" fillId="0" borderId="0"/>
    <xf numFmtId="0" fontId="38" fillId="0" borderId="0"/>
    <xf numFmtId="196" fontId="51" fillId="0" borderId="0" applyFont="0" applyFill="0" applyBorder="0" applyAlignment="0" applyProtection="0"/>
    <xf numFmtId="197" fontId="52" fillId="0" borderId="0" applyFont="0" applyBorder="0"/>
    <xf numFmtId="197" fontId="52" fillId="0" borderId="0" applyFont="0" applyBorder="0"/>
    <xf numFmtId="0"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0" fontId="52" fillId="0" borderId="0" applyFont="0" applyBorder="0"/>
    <xf numFmtId="0" fontId="52" fillId="0" borderId="0" applyFont="0" applyBorder="0"/>
    <xf numFmtId="0" fontId="52" fillId="0" borderId="0" applyFont="0" applyBorder="0"/>
    <xf numFmtId="0" fontId="53" fillId="35" borderId="0" applyNumberFormat="0" applyAlignment="0" applyProtection="0"/>
    <xf numFmtId="0" fontId="52" fillId="0" borderId="0" applyFont="0" applyBorder="0"/>
    <xf numFmtId="0" fontId="52" fillId="0" borderId="0" applyFont="0" applyBorder="0"/>
    <xf numFmtId="197" fontId="52" fillId="0" borderId="0" applyFont="0" applyBorder="0"/>
    <xf numFmtId="0" fontId="52" fillId="0" borderId="0" applyFont="0" applyBorder="0"/>
    <xf numFmtId="0" fontId="52" fillId="0" borderId="0" applyFont="0" applyBorder="0"/>
    <xf numFmtId="197"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197" fontId="52" fillId="0" borderId="0" applyFont="0" applyBorder="0"/>
    <xf numFmtId="0" fontId="52" fillId="0" borderId="0" applyFont="0" applyBorder="0"/>
    <xf numFmtId="197" fontId="52" fillId="0" borderId="0" applyFont="0" applyBorder="0"/>
    <xf numFmtId="0" fontId="52" fillId="0" borderId="0" applyFont="0" applyBorder="0"/>
    <xf numFmtId="0" fontId="52" fillId="0" borderId="0" applyFont="0" applyBorder="0"/>
    <xf numFmtId="0" fontId="52" fillId="0" borderId="0" applyFont="0" applyBorder="0"/>
    <xf numFmtId="0" fontId="4" fillId="0" borderId="0"/>
    <xf numFmtId="197" fontId="52" fillId="0" borderId="0" applyFont="0" applyBorder="0"/>
    <xf numFmtId="197"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0" fontId="52" fillId="0" borderId="0" applyFont="0" applyBorder="0"/>
    <xf numFmtId="0" fontId="52" fillId="0" borderId="0" applyFont="0" applyBorder="0"/>
    <xf numFmtId="197" fontId="52" fillId="0" borderId="0" applyFont="0" applyBorder="0"/>
    <xf numFmtId="197" fontId="52" fillId="0" borderId="0" applyFont="0" applyBorder="0"/>
    <xf numFmtId="197" fontId="52" fillId="0" borderId="0" applyFont="0" applyBorder="0"/>
    <xf numFmtId="0" fontId="52" fillId="0" borderId="0" applyFont="0" applyBorder="0"/>
    <xf numFmtId="0"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0" fontId="52" fillId="0" borderId="0" applyFont="0" applyBorder="0"/>
    <xf numFmtId="197" fontId="52" fillId="0" borderId="0" applyFont="0" applyBorder="0"/>
    <xf numFmtId="0" fontId="52" fillId="0" borderId="0" applyFont="0" applyBorder="0"/>
    <xf numFmtId="198" fontId="22" fillId="0" borderId="0" applyFont="0" applyFill="0" applyBorder="0" applyAlignment="0" applyProtection="0">
      <protection locked="0"/>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200" fontId="55" fillId="0" borderId="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4" fillId="0" borderId="0"/>
    <xf numFmtId="0" fontId="21" fillId="11" borderId="0" applyNumberFormat="0" applyBorder="0" applyAlignment="0" applyProtection="0"/>
    <xf numFmtId="0" fontId="56" fillId="37" borderId="0"/>
    <xf numFmtId="0" fontId="57" fillId="12" borderId="0" applyNumberFormat="0" applyBorder="0" applyAlignment="0" applyProtection="0"/>
    <xf numFmtId="37" fontId="58" fillId="0" borderId="0">
      <alignment horizontal="center"/>
    </xf>
    <xf numFmtId="0" fontId="4" fillId="36" borderId="2">
      <alignment horizontal="center" wrapText="1"/>
    </xf>
    <xf numFmtId="0" fontId="4" fillId="36" borderId="2">
      <alignment horizontal="center" wrapText="1"/>
    </xf>
    <xf numFmtId="0" fontId="4" fillId="36" borderId="2">
      <alignment horizontal="center" wrapText="1"/>
    </xf>
    <xf numFmtId="0" fontId="4" fillId="36" borderId="2">
      <alignment horizontal="center" wrapText="1"/>
    </xf>
    <xf numFmtId="0" fontId="4" fillId="36" borderId="2">
      <alignment horizontal="center" wrapText="1"/>
    </xf>
    <xf numFmtId="0" fontId="4" fillId="0" borderId="0" applyNumberFormat="0"/>
    <xf numFmtId="0" fontId="4" fillId="33" borderId="0"/>
    <xf numFmtId="9" fontId="38" fillId="0" borderId="0" applyFont="0" applyFill="0" applyBorder="0" applyAlignment="0" applyProtection="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0" fontId="4" fillId="0" borderId="22" applyFont="0" applyBorder="0"/>
    <xf numFmtId="41" fontId="29" fillId="0" borderId="0" applyFont="0" applyFill="0" applyBorder="0" applyAlignment="0" applyProtection="0"/>
    <xf numFmtId="201" fontId="29" fillId="0" borderId="0" applyFont="0" applyFill="0" applyBorder="0" applyAlignment="0" applyProtection="0"/>
    <xf numFmtId="43" fontId="29" fillId="0" borderId="0" applyFont="0" applyFill="0" applyBorder="0" applyAlignment="0" applyProtection="0"/>
    <xf numFmtId="42" fontId="29" fillId="0" borderId="0" applyFont="0" applyFill="0" applyBorder="0" applyAlignment="0" applyProtection="0"/>
    <xf numFmtId="202" fontId="29" fillId="0" borderId="0" applyFont="0" applyFill="0" applyBorder="0" applyAlignment="0" applyProtection="0"/>
    <xf numFmtId="44" fontId="29" fillId="0" borderId="0" applyFont="0" applyFill="0" applyBorder="0" applyAlignment="0" applyProtection="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203" fontId="61" fillId="0" borderId="0" applyFont="0" applyFill="0" applyBorder="0" applyAlignment="0" applyProtection="0"/>
    <xf numFmtId="204" fontId="42" fillId="38" borderId="23">
      <alignment horizontal="center" vertical="center"/>
    </xf>
    <xf numFmtId="204" fontId="42" fillId="38" borderId="23">
      <alignment horizontal="center" vertical="center"/>
    </xf>
    <xf numFmtId="0" fontId="62" fillId="37" borderId="0" applyNumberFormat="0" applyBorder="0" applyAlignment="0" applyProtection="0"/>
    <xf numFmtId="0" fontId="38" fillId="0" borderId="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0" applyBorder="0" applyAlignment="0"/>
    <xf numFmtId="0" fontId="63" fillId="33" borderId="18">
      <alignment horizontal="center"/>
    </xf>
    <xf numFmtId="0" fontId="64" fillId="0" borderId="0">
      <alignment horizontal="center" wrapText="1"/>
      <protection locked="0"/>
    </xf>
    <xf numFmtId="0" fontId="65" fillId="33" borderId="24" applyNumberFormat="0" applyAlignment="0" applyProtection="0"/>
    <xf numFmtId="0" fontId="65" fillId="33" borderId="24" applyNumberFormat="0" applyAlignment="0" applyProtection="0"/>
    <xf numFmtId="0" fontId="65" fillId="33" borderId="24" applyNumberFormat="0" applyAlignment="0" applyProtection="0"/>
    <xf numFmtId="37" fontId="51" fillId="0" borderId="2"/>
    <xf numFmtId="37" fontId="51" fillId="0" borderId="2"/>
    <xf numFmtId="37" fontId="51" fillId="0" borderId="2"/>
    <xf numFmtId="37" fontId="51" fillId="0" borderId="2"/>
    <xf numFmtId="0" fontId="4" fillId="0" borderId="0"/>
    <xf numFmtId="0" fontId="66" fillId="0" borderId="0"/>
    <xf numFmtId="0" fontId="51" fillId="39" borderId="0" applyNumberFormat="0" applyFont="0" applyBorder="0" applyAlignment="0" applyProtection="0"/>
    <xf numFmtId="205" fontId="31" fillId="0" borderId="2"/>
    <xf numFmtId="205" fontId="31" fillId="0" borderId="2"/>
    <xf numFmtId="205" fontId="31" fillId="0" borderId="2"/>
    <xf numFmtId="205" fontId="31" fillId="0" borderId="2"/>
    <xf numFmtId="206" fontId="64" fillId="0" borderId="0" applyFont="0" applyFill="0" applyBorder="0" applyAlignment="0" applyProtection="0"/>
    <xf numFmtId="207" fontId="4" fillId="0" borderId="0" applyFont="0" applyFill="0" applyBorder="0" applyAlignment="0" applyProtection="0"/>
    <xf numFmtId="208" fontId="4" fillId="0" borderId="0" applyFont="0" applyFill="0" applyBorder="0" applyAlignment="0" applyProtection="0"/>
    <xf numFmtId="208" fontId="4" fillId="0" borderId="0" applyFont="0" applyFill="0" applyBorder="0" applyAlignment="0" applyProtection="0"/>
    <xf numFmtId="0" fontId="67" fillId="0" borderId="25" applyFont="0" applyBorder="0" applyAlignment="0">
      <alignment vertical="center"/>
    </xf>
    <xf numFmtId="0" fontId="67" fillId="0" borderId="25" applyFont="0" applyBorder="0" applyAlignment="0">
      <alignment vertical="center"/>
    </xf>
    <xf numFmtId="3" fontId="40" fillId="0" borderId="26" applyNumberFormat="0" applyFill="0" applyBorder="0" applyAlignment="0" applyProtection="0">
      <alignment horizontal="left"/>
    </xf>
    <xf numFmtId="3" fontId="40" fillId="0" borderId="26" applyNumberFormat="0" applyFill="0" applyBorder="0" applyAlignment="0" applyProtection="0">
      <alignment horizontal="left"/>
    </xf>
    <xf numFmtId="3" fontId="40" fillId="0" borderId="26" applyNumberFormat="0" applyFill="0" applyBorder="0" applyAlignment="0" applyProtection="0">
      <alignment horizontal="left"/>
    </xf>
    <xf numFmtId="3" fontId="40" fillId="0" borderId="26" applyNumberFormat="0" applyFill="0" applyBorder="0" applyAlignment="0" applyProtection="0">
      <alignment horizontal="left"/>
    </xf>
    <xf numFmtId="3" fontId="68" fillId="0" borderId="0" applyNumberFormat="0" applyFill="0" applyBorder="0" applyAlignment="0" applyProtection="0">
      <alignment horizontal="center"/>
    </xf>
    <xf numFmtId="3" fontId="40" fillId="0" borderId="26" applyNumberFormat="0" applyFill="0" applyBorder="0" applyAlignment="0" applyProtection="0">
      <alignment horizontal="left"/>
    </xf>
    <xf numFmtId="0" fontId="4" fillId="0" borderId="27" applyNumberFormat="0">
      <alignment horizontal="center" vertical="top" wrapText="1"/>
      <protection locked="0"/>
    </xf>
    <xf numFmtId="0" fontId="4" fillId="0" borderId="27" applyNumberFormat="0">
      <alignment horizontal="center" vertical="top" wrapText="1"/>
      <protection locked="0"/>
    </xf>
    <xf numFmtId="0" fontId="4" fillId="0" borderId="27" applyNumberFormat="0">
      <alignment horizontal="center" vertical="top" wrapText="1"/>
      <protection locked="0"/>
    </xf>
    <xf numFmtId="0" fontId="69" fillId="0" borderId="0" applyNumberFormat="0" applyFill="0" applyBorder="0" applyAlignment="0" applyProtection="0"/>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0" fontId="69" fillId="0" borderId="0" applyNumberFormat="0" applyFill="0" applyBorder="0" applyAlignment="0" applyProtection="0"/>
    <xf numFmtId="0" fontId="71" fillId="0" borderId="0" applyNumberFormat="0" applyFill="0" applyBorder="0" applyAlignment="0" applyProtection="0"/>
    <xf numFmtId="209" fontId="72" fillId="0" borderId="28"/>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210" fontId="22" fillId="0" borderId="0">
      <alignment horizontal="center"/>
    </xf>
    <xf numFmtId="15" fontId="74" fillId="0" borderId="0" applyNumberFormat="0">
      <alignment horizontal="center"/>
    </xf>
    <xf numFmtId="0" fontId="75" fillId="0" borderId="29"/>
    <xf numFmtId="38" fontId="76" fillId="0" borderId="16" applyNumberFormat="0" applyFont="0" applyFill="0" applyAlignment="0" applyProtection="0">
      <alignment horizontal="right"/>
    </xf>
    <xf numFmtId="0" fontId="37" fillId="0" borderId="30"/>
    <xf numFmtId="0" fontId="37" fillId="0" borderId="30"/>
    <xf numFmtId="0" fontId="37" fillId="0" borderId="30"/>
    <xf numFmtId="0" fontId="37" fillId="0" borderId="30"/>
    <xf numFmtId="0" fontId="37" fillId="0" borderId="30"/>
    <xf numFmtId="0" fontId="37" fillId="0" borderId="30"/>
    <xf numFmtId="0" fontId="37" fillId="0" borderId="30"/>
    <xf numFmtId="0" fontId="37" fillId="0" borderId="30"/>
    <xf numFmtId="0" fontId="37" fillId="0" borderId="0"/>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0" fontId="64" fillId="0" borderId="31"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38" fontId="76" fillId="0" borderId="33" applyNumberFormat="0" applyFont="0" applyFill="0" applyAlignment="0" applyProtection="0">
      <alignment horizontal="right"/>
    </xf>
    <xf numFmtId="3" fontId="62" fillId="36" borderId="0" applyNumberFormat="0" applyBorder="0" applyAlignment="0" applyProtection="0"/>
    <xf numFmtId="0" fontId="77" fillId="0" borderId="34" applyNumberFormat="0" applyFont="0" applyFill="0" applyAlignment="0" applyProtection="0"/>
    <xf numFmtId="0" fontId="77" fillId="0" borderId="34" applyNumberFormat="0" applyFont="0" applyFill="0" applyAlignment="0" applyProtection="0"/>
    <xf numFmtId="0" fontId="77" fillId="0" borderId="34"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6" applyNumberFormat="0" applyFont="0" applyFill="0" applyAlignment="0" applyProtection="0"/>
    <xf numFmtId="0" fontId="77" fillId="0" borderId="36" applyNumberFormat="0" applyFont="0" applyFill="0" applyAlignment="0" applyProtection="0"/>
    <xf numFmtId="0" fontId="77" fillId="0" borderId="36"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9" fillId="0" borderId="37"/>
    <xf numFmtId="0" fontId="79" fillId="0" borderId="37"/>
    <xf numFmtId="0" fontId="79" fillId="0" borderId="37"/>
    <xf numFmtId="0" fontId="80" fillId="0" borderId="38" applyFill="0" applyProtection="0">
      <alignment horizontal="right"/>
    </xf>
    <xf numFmtId="0" fontId="80" fillId="0" borderId="38" applyFill="0" applyProtection="0">
      <alignment horizontal="right"/>
    </xf>
    <xf numFmtId="0" fontId="80" fillId="0" borderId="38" applyFill="0" applyProtection="0">
      <alignment horizontal="right"/>
    </xf>
    <xf numFmtId="211" fontId="81" fillId="40" borderId="0" applyFont="0" applyFill="0" applyBorder="0" applyAlignment="0" applyProtection="0"/>
    <xf numFmtId="212" fontId="4" fillId="0" borderId="0" applyFont="0" applyFill="0" applyBorder="0" applyAlignment="0" applyProtection="0"/>
    <xf numFmtId="0" fontId="82" fillId="41" borderId="0"/>
    <xf numFmtId="0" fontId="82" fillId="42" borderId="0"/>
    <xf numFmtId="0" fontId="83" fillId="0" borderId="0"/>
    <xf numFmtId="0" fontId="83" fillId="0" borderId="0"/>
    <xf numFmtId="0" fontId="83" fillId="0" borderId="0"/>
    <xf numFmtId="0" fontId="82" fillId="43" borderId="0"/>
    <xf numFmtId="41" fontId="34" fillId="0" borderId="0" applyFill="0"/>
    <xf numFmtId="213" fontId="51" fillId="0" borderId="0">
      <alignment horizontal="center"/>
    </xf>
    <xf numFmtId="0" fontId="51" fillId="0" borderId="0" applyFill="0">
      <alignment horizontal="center"/>
    </xf>
    <xf numFmtId="41" fontId="73" fillId="0" borderId="29" applyFill="0"/>
    <xf numFmtId="0" fontId="4" fillId="0" borderId="0" applyFont="0" applyAlignment="0"/>
    <xf numFmtId="0" fontId="84" fillId="0" borderId="0" applyFill="0">
      <alignment vertical="top"/>
    </xf>
    <xf numFmtId="0" fontId="85" fillId="0" borderId="0" applyFill="0">
      <alignment horizontal="left" vertical="top"/>
    </xf>
    <xf numFmtId="41" fontId="73" fillId="0" borderId="39" applyFill="0"/>
    <xf numFmtId="41" fontId="73" fillId="0" borderId="39" applyFill="0"/>
    <xf numFmtId="41" fontId="73" fillId="0" borderId="39" applyFill="0"/>
    <xf numFmtId="41" fontId="73" fillId="0" borderId="39" applyFill="0"/>
    <xf numFmtId="41" fontId="73" fillId="0" borderId="39" applyFill="0"/>
    <xf numFmtId="41" fontId="73" fillId="0" borderId="39" applyFill="0"/>
    <xf numFmtId="0" fontId="4" fillId="0" borderId="0" applyNumberFormat="0" applyFont="0" applyAlignment="0"/>
    <xf numFmtId="0" fontId="84" fillId="0" borderId="0" applyFill="0">
      <alignment wrapText="1"/>
    </xf>
    <xf numFmtId="0" fontId="85" fillId="0" borderId="0" applyFill="0">
      <alignment horizontal="left" vertical="top" wrapText="1"/>
    </xf>
    <xf numFmtId="41" fontId="73" fillId="0" borderId="0" applyFill="0"/>
    <xf numFmtId="0" fontId="86" fillId="0" borderId="0" applyNumberFormat="0" applyFont="0" applyAlignment="0">
      <alignment horizontal="center"/>
    </xf>
    <xf numFmtId="0" fontId="87" fillId="0" borderId="0" applyFill="0">
      <alignment vertical="top" wrapText="1"/>
    </xf>
    <xf numFmtId="0" fontId="88" fillId="0" borderId="0" applyFill="0">
      <alignment horizontal="left" vertical="top" wrapText="1"/>
    </xf>
    <xf numFmtId="41" fontId="34" fillId="0" borderId="0" applyFill="0"/>
    <xf numFmtId="0" fontId="86" fillId="0" borderId="0" applyNumberFormat="0" applyFont="0" applyAlignment="0">
      <alignment horizontal="center"/>
    </xf>
    <xf numFmtId="0" fontId="89" fillId="0" borderId="0" applyFill="0">
      <alignment vertical="center" wrapText="1"/>
    </xf>
    <xf numFmtId="0" fontId="90" fillId="0" borderId="0">
      <alignment horizontal="left" vertical="center" wrapText="1"/>
    </xf>
    <xf numFmtId="41" fontId="34" fillId="0" borderId="0" applyFill="0"/>
    <xf numFmtId="0" fontId="86" fillId="0" borderId="0" applyNumberFormat="0" applyFont="0" applyAlignment="0">
      <alignment horizontal="center"/>
    </xf>
    <xf numFmtId="0" fontId="91" fillId="0" borderId="0" applyFill="0">
      <alignment horizontal="center" vertical="center" wrapText="1"/>
    </xf>
    <xf numFmtId="0" fontId="4" fillId="0" borderId="0" applyFill="0">
      <alignment horizontal="center" vertical="center" wrapText="1"/>
    </xf>
    <xf numFmtId="41" fontId="92" fillId="0" borderId="0" applyFill="0"/>
    <xf numFmtId="0" fontId="86" fillId="0" borderId="0" applyNumberFormat="0" applyFont="0" applyAlignment="0">
      <alignment horizontal="center"/>
    </xf>
    <xf numFmtId="0" fontId="93" fillId="0" borderId="0" applyFill="0">
      <alignment horizontal="center" vertical="center" wrapText="1"/>
    </xf>
    <xf numFmtId="0" fontId="94" fillId="0" borderId="0" applyFill="0">
      <alignment horizontal="center" vertical="center" wrapText="1"/>
    </xf>
    <xf numFmtId="41" fontId="92" fillId="0" borderId="0" applyFill="0"/>
    <xf numFmtId="0" fontId="86" fillId="0" borderId="0" applyNumberFormat="0" applyFont="0" applyAlignment="0">
      <alignment horizontal="center"/>
    </xf>
    <xf numFmtId="0" fontId="95" fillId="0" borderId="0">
      <alignment horizontal="center" wrapText="1"/>
    </xf>
    <xf numFmtId="0" fontId="96" fillId="0" borderId="0" applyFill="0">
      <alignment horizontal="center" wrapText="1"/>
    </xf>
    <xf numFmtId="214" fontId="51" fillId="44" borderId="18"/>
    <xf numFmtId="195" fontId="22" fillId="0" borderId="0" applyFill="0" applyBorder="0" applyAlignment="0"/>
    <xf numFmtId="209" fontId="66" fillId="0" borderId="0" applyFill="0" applyBorder="0" applyAlignment="0"/>
    <xf numFmtId="215" fontId="66" fillId="0" borderId="0" applyFill="0" applyBorder="0" applyAlignment="0"/>
    <xf numFmtId="216" fontId="4" fillId="0" borderId="0" applyFill="0" applyBorder="0" applyAlignment="0"/>
    <xf numFmtId="217" fontId="38" fillId="0" borderId="0" applyFill="0" applyBorder="0" applyAlignment="0"/>
    <xf numFmtId="42" fontId="38" fillId="0" borderId="0" applyFill="0" applyBorder="0" applyAlignment="0"/>
    <xf numFmtId="218" fontId="4" fillId="0" borderId="0" applyFill="0" applyBorder="0" applyAlignment="0"/>
    <xf numFmtId="209" fontId="66" fillId="0" borderId="0" applyFill="0" applyBorder="0" applyAlignment="0"/>
    <xf numFmtId="37" fontId="4" fillId="45" borderId="2" applyFill="0" applyBorder="0"/>
    <xf numFmtId="37" fontId="4" fillId="45" borderId="2" applyFill="0" applyBorder="0"/>
    <xf numFmtId="37" fontId="4" fillId="45" borderId="2" applyFill="0" applyBorder="0"/>
    <xf numFmtId="37" fontId="4" fillId="45" borderId="2" applyFill="0" applyBorder="0"/>
    <xf numFmtId="37" fontId="4" fillId="45" borderId="2" applyFill="0" applyBorder="0"/>
    <xf numFmtId="181" fontId="4" fillId="0" borderId="0" applyFill="0" applyBorder="0"/>
    <xf numFmtId="39" fontId="4" fillId="0" borderId="0" applyFill="0" applyBorder="0"/>
    <xf numFmtId="219" fontId="4" fillId="0" borderId="0" applyFill="0" applyBorder="0"/>
    <xf numFmtId="220" fontId="4" fillId="0" borderId="0" applyFill="0" applyBorder="0"/>
    <xf numFmtId="221" fontId="4" fillId="0" borderId="0" applyFill="0" applyBorder="0"/>
    <xf numFmtId="222" fontId="4" fillId="0" borderId="0" applyFill="0" applyBorder="0"/>
    <xf numFmtId="223" fontId="4" fillId="0" borderId="0" applyFill="0" applyBorder="0"/>
    <xf numFmtId="224" fontId="4" fillId="0" borderId="0" applyFill="0" applyBorder="0"/>
    <xf numFmtId="202" fontId="4" fillId="0" borderId="18" applyFill="0" applyBorder="0"/>
    <xf numFmtId="9" fontId="4" fillId="0" borderId="0" applyFill="0" applyBorder="0"/>
    <xf numFmtId="173" fontId="4" fillId="0" borderId="0" applyFill="0" applyBorder="0"/>
    <xf numFmtId="10" fontId="4" fillId="0" borderId="0" applyFill="0" applyBorder="0"/>
    <xf numFmtId="3" fontId="97" fillId="0" borderId="0" applyNumberFormat="0" applyFill="0" applyBorder="0" applyAlignment="0" applyProtection="0"/>
    <xf numFmtId="206" fontId="98" fillId="0" borderId="0" applyFont="0" applyFill="0" applyBorder="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22" fillId="0" borderId="0" applyNumberFormat="0" applyProtection="0"/>
    <xf numFmtId="0" fontId="22" fillId="0" borderId="0" applyNumberFormat="0" applyProtection="0"/>
    <xf numFmtId="49" fontId="4" fillId="0" borderId="0">
      <alignment horizontal="left"/>
      <protection locked="0"/>
    </xf>
    <xf numFmtId="49" fontId="4" fillId="0" borderId="0">
      <alignment horizontal="left"/>
      <protection locked="0"/>
    </xf>
    <xf numFmtId="49" fontId="4" fillId="0" borderId="0">
      <alignment horizontal="left"/>
      <protection locked="0"/>
    </xf>
    <xf numFmtId="0" fontId="4" fillId="0" borderId="0" applyNumberFormat="0" applyFont="0" applyFill="0" applyBorder="0">
      <alignment horizontal="center"/>
    </xf>
    <xf numFmtId="39" fontId="4" fillId="0" borderId="0" applyFill="0" applyBorder="0">
      <alignment horizontal="center"/>
    </xf>
    <xf numFmtId="0" fontId="42" fillId="0" borderId="0" applyFill="0" applyBorder="0" applyProtection="0">
      <alignment horizontal="center"/>
      <protection locked="0"/>
    </xf>
    <xf numFmtId="0" fontId="51" fillId="0" borderId="0" applyFont="0" applyFill="0" applyBorder="0" applyAlignment="0" applyProtection="0"/>
    <xf numFmtId="0" fontId="51" fillId="0" borderId="0" applyFont="0" applyFill="0" applyBorder="0" applyAlignment="0" applyProtection="0"/>
    <xf numFmtId="8" fontId="4" fillId="0" borderId="40" applyFont="0" applyFill="0" applyBorder="0" applyProtection="0">
      <alignment horizontal="right"/>
    </xf>
    <xf numFmtId="225" fontId="99" fillId="0" borderId="0"/>
    <xf numFmtId="1" fontId="100" fillId="0" borderId="0"/>
    <xf numFmtId="0" fontId="4" fillId="0" borderId="0"/>
    <xf numFmtId="0" fontId="4" fillId="0" borderId="0"/>
    <xf numFmtId="0" fontId="4" fillId="0" borderId="0"/>
    <xf numFmtId="0" fontId="4" fillId="0" borderId="2" applyNumberFormat="0">
      <alignment horizontal="center"/>
      <protection locked="0"/>
    </xf>
    <xf numFmtId="0" fontId="4" fillId="0" borderId="2" applyNumberFormat="0">
      <alignment horizontal="center"/>
      <protection locked="0"/>
    </xf>
    <xf numFmtId="0" fontId="4" fillId="0" borderId="2" applyNumberFormat="0">
      <alignment horizontal="center"/>
      <protection locked="0"/>
    </xf>
    <xf numFmtId="0" fontId="4" fillId="0" borderId="2" applyNumberFormat="0">
      <alignment horizontal="center"/>
      <protection locked="0"/>
    </xf>
    <xf numFmtId="0" fontId="4" fillId="0" borderId="2" applyNumberFormat="0">
      <alignment horizontal="center"/>
      <protection locked="0"/>
    </xf>
    <xf numFmtId="0" fontId="101" fillId="0" borderId="0"/>
    <xf numFmtId="0" fontId="51" fillId="0" borderId="0" applyNumberFormat="0" applyFill="0" applyBorder="0" applyAlignment="0" applyProtection="0"/>
    <xf numFmtId="0" fontId="102"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226" fontId="103" fillId="0" borderId="0" applyFont="0" applyFill="0" applyBorder="0" applyAlignment="0" applyProtection="0">
      <alignment horizontal="left" vertical="center"/>
    </xf>
    <xf numFmtId="0" fontId="62" fillId="47" borderId="41" applyFont="0" applyFill="0" applyBorder="0"/>
    <xf numFmtId="0" fontId="51" fillId="0" borderId="15"/>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49" fontId="4" fillId="0" borderId="2" applyFont="0">
      <alignment horizontal="center" wrapText="1"/>
    </xf>
    <xf numFmtId="49" fontId="4" fillId="0" borderId="2" applyFont="0">
      <alignment horizontal="center" wrapText="1"/>
    </xf>
    <xf numFmtId="49" fontId="4" fillId="0" borderId="2" applyFont="0">
      <alignment horizontal="center" wrapText="1"/>
    </xf>
    <xf numFmtId="49" fontId="4" fillId="0" borderId="2" applyFont="0">
      <alignment horizontal="center" wrapText="1"/>
    </xf>
    <xf numFmtId="49" fontId="4" fillId="0" borderId="2" applyFont="0">
      <alignment horizontal="center" wrapText="1"/>
    </xf>
    <xf numFmtId="38" fontId="105" fillId="0" borderId="0" applyNumberFormat="0" applyFill="0" applyBorder="0" applyAlignment="0" applyProtection="0">
      <protection locked="0"/>
    </xf>
    <xf numFmtId="38" fontId="106" fillId="0" borderId="0" applyNumberFormat="0" applyFill="0" applyBorder="0" applyAlignment="0" applyProtection="0">
      <protection locked="0"/>
    </xf>
    <xf numFmtId="0" fontId="51" fillId="0" borderId="0" applyNumberFormat="0" applyFill="0" applyBorder="0" applyProtection="0">
      <alignment horizontal="center" wrapText="1"/>
    </xf>
    <xf numFmtId="0" fontId="38" fillId="0" borderId="0">
      <alignment horizontal="center" wrapText="1"/>
      <protection hidden="1"/>
    </xf>
    <xf numFmtId="38" fontId="107" fillId="0" borderId="0" applyNumberFormat="0" applyFill="0" applyBorder="0" applyAlignment="0" applyProtection="0">
      <protection locked="0"/>
    </xf>
    <xf numFmtId="4" fontId="62" fillId="48" borderId="41" applyNumberFormat="0" applyProtection="0">
      <alignment horizontal="right" wrapText="1"/>
    </xf>
    <xf numFmtId="227" fontId="108" fillId="0" borderId="0">
      <alignment horizontal="right"/>
    </xf>
    <xf numFmtId="228" fontId="4" fillId="0" borderId="0">
      <alignment horizontal="right"/>
    </xf>
    <xf numFmtId="228" fontId="4" fillId="0" borderId="0">
      <alignment horizontal="right"/>
    </xf>
    <xf numFmtId="38" fontId="38" fillId="0" borderId="0" applyFont="0" applyFill="0" applyBorder="0" applyAlignment="0" applyProtection="0"/>
    <xf numFmtId="229" fontId="109" fillId="0" borderId="0"/>
    <xf numFmtId="229" fontId="109" fillId="0" borderId="0"/>
    <xf numFmtId="229" fontId="109" fillId="0" borderId="0"/>
    <xf numFmtId="229" fontId="109" fillId="0" borderId="0"/>
    <xf numFmtId="229" fontId="109" fillId="0" borderId="0"/>
    <xf numFmtId="229" fontId="109" fillId="0" borderId="0"/>
    <xf numFmtId="229" fontId="109" fillId="0" borderId="0"/>
    <xf numFmtId="229" fontId="109" fillId="0" borderId="0"/>
    <xf numFmtId="206" fontId="22" fillId="0" borderId="0" applyFont="0" applyFill="0" applyBorder="0" applyAlignment="0" applyProtection="0">
      <protection locked="0"/>
    </xf>
    <xf numFmtId="40" fontId="22" fillId="0" borderId="0" applyFont="0" applyFill="0" applyBorder="0" applyAlignment="0" applyProtection="0">
      <protection locked="0"/>
    </xf>
    <xf numFmtId="230" fontId="31" fillId="0" borderId="0" applyFont="0" applyFill="0" applyBorder="0" applyProtection="0"/>
    <xf numFmtId="231" fontId="31" fillId="0" borderId="0" applyFont="0" applyFill="0" applyBorder="0" applyProtection="0"/>
    <xf numFmtId="41" fontId="4" fillId="0" borderId="0" applyFont="0" applyFill="0" applyBorder="0" applyAlignment="0" applyProtection="0"/>
    <xf numFmtId="42" fontId="38" fillId="0" borderId="0" applyFont="0" applyFill="0" applyBorder="0" applyAlignment="0" applyProtection="0"/>
    <xf numFmtId="0" fontId="110" fillId="0" borderId="0" applyFont="0" applyFill="0" applyBorder="0" applyAlignment="0" applyProtection="0">
      <alignment horizontal="right"/>
    </xf>
    <xf numFmtId="39" fontId="110" fillId="0" borderId="0" applyFont="0" applyFill="0" applyBorder="0" applyAlignment="0" applyProtection="0">
      <alignment horizontal="right"/>
    </xf>
    <xf numFmtId="232" fontId="4" fillId="0" borderId="0" applyFont="0" applyFill="0" applyBorder="0" applyAlignment="0" applyProtection="0">
      <alignment horizontal="right"/>
    </xf>
    <xf numFmtId="233" fontId="22" fillId="0" borderId="0" applyFont="0" applyFill="0" applyBorder="0" applyAlignment="0" applyProtection="0"/>
    <xf numFmtId="234" fontId="111" fillId="0" borderId="0" applyFont="0" applyFill="0" applyBorder="0" applyAlignment="0" applyProtection="0"/>
    <xf numFmtId="235" fontId="111" fillId="0" borderId="0" applyFont="0" applyFill="0" applyBorder="0" applyAlignment="0" applyProtection="0"/>
    <xf numFmtId="236" fontId="42" fillId="0" borderId="0" applyFont="0" applyFill="0" applyBorder="0" applyAlignment="0" applyProtection="0">
      <protection locked="0"/>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4"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34"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4"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4" fillId="0" borderId="0" applyFont="0" applyFill="0" applyBorder="0" applyAlignment="0" applyProtection="0"/>
    <xf numFmtId="40" fontId="4" fillId="0" borderId="0" applyFont="0" applyFill="0" applyBorder="0" applyProtection="0">
      <alignment horizontal="right"/>
    </xf>
    <xf numFmtId="37" fontId="115" fillId="0" borderId="0" applyFont="0" applyFill="0" applyBorder="0" applyAlignment="0" applyProtection="0"/>
    <xf numFmtId="0" fontId="4" fillId="0" borderId="0" applyFont="0" applyFill="0" applyBorder="0" applyAlignment="0" applyProtection="0"/>
    <xf numFmtId="237" fontId="22" fillId="0" borderId="0"/>
    <xf numFmtId="238" fontId="4" fillId="0" borderId="0" applyFont="0" applyFill="0" applyBorder="0" applyAlignment="0" applyProtection="0"/>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0" fontId="4" fillId="0" borderId="0">
      <protection locked="0"/>
    </xf>
    <xf numFmtId="0" fontId="116" fillId="0" borderId="0"/>
    <xf numFmtId="0" fontId="37" fillId="0" borderId="0"/>
    <xf numFmtId="209" fontId="37" fillId="0" borderId="0"/>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3" fontId="117" fillId="0" borderId="0" applyFont="0" applyFill="0" applyBorder="0" applyAlignment="0" applyProtection="0"/>
    <xf numFmtId="240" fontId="4" fillId="0" borderId="0" applyFont="0" applyFill="0" applyBorder="0" applyAlignment="0" applyProtection="0">
      <alignment horizontal="left"/>
    </xf>
    <xf numFmtId="0" fontId="116" fillId="0" borderId="0"/>
    <xf numFmtId="0" fontId="37" fillId="0" borderId="0"/>
    <xf numFmtId="0" fontId="37" fillId="0" borderId="0"/>
    <xf numFmtId="240" fontId="4" fillId="0" borderId="0" applyFont="0" applyFill="0" applyBorder="0" applyAlignment="0" applyProtection="0">
      <alignment horizontal="left"/>
    </xf>
    <xf numFmtId="240" fontId="4" fillId="0" borderId="0" applyFont="0" applyFill="0" applyBorder="0" applyAlignment="0" applyProtection="0">
      <alignment horizontal="left"/>
    </xf>
    <xf numFmtId="240" fontId="4" fillId="0" borderId="0" applyFont="0" applyFill="0" applyBorder="0">
      <alignment horizontal="right"/>
      <protection locked="0"/>
    </xf>
    <xf numFmtId="240" fontId="4" fillId="0" borderId="0" applyFont="0" applyFill="0" applyBorder="0">
      <alignment horizontal="right"/>
      <protection locked="0"/>
    </xf>
    <xf numFmtId="240" fontId="4" fillId="0" borderId="0" applyFont="0" applyFill="0" applyBorder="0">
      <alignment horizontal="right"/>
      <protection locked="0"/>
    </xf>
    <xf numFmtId="240" fontId="4" fillId="0" borderId="0" applyFont="0" applyFill="0" applyBorder="0" applyAlignment="0">
      <alignment horizontal="left"/>
    </xf>
    <xf numFmtId="241" fontId="4" fillId="0" borderId="0" applyFont="0" applyFill="0" applyBorder="0" applyAlignment="0" applyProtection="0">
      <alignment horizontal="left"/>
    </xf>
    <xf numFmtId="242" fontId="4" fillId="0" borderId="0" applyFont="0" applyFill="0" applyBorder="0" applyAlignment="0" applyProtection="0">
      <alignment horizontal="left"/>
    </xf>
    <xf numFmtId="242" fontId="4" fillId="0" borderId="0" applyFont="0" applyFill="0" applyBorder="0" applyAlignment="0" applyProtection="0">
      <alignment horizontal="left"/>
    </xf>
    <xf numFmtId="243" fontId="4" fillId="0" borderId="0">
      <alignment horizontal="right"/>
    </xf>
    <xf numFmtId="244" fontId="4" fillId="0" borderId="0">
      <alignment horizontal="right"/>
    </xf>
    <xf numFmtId="0" fontId="118" fillId="0" borderId="15" applyBorder="0" applyProtection="0"/>
    <xf numFmtId="0" fontId="119" fillId="49" borderId="0">
      <alignment horizontal="center" vertical="center" wrapText="1"/>
    </xf>
    <xf numFmtId="0" fontId="120" fillId="0" borderId="0" applyFill="0" applyBorder="0" applyAlignment="0" applyProtection="0">
      <protection locked="0"/>
    </xf>
    <xf numFmtId="0" fontId="119" fillId="49" borderId="0">
      <alignment horizontal="center" vertical="center" wrapText="1"/>
    </xf>
    <xf numFmtId="209" fontId="121" fillId="0" borderId="0" applyFill="0" applyBorder="0">
      <alignment horizontal="left"/>
    </xf>
    <xf numFmtId="10" fontId="4" fillId="0" borderId="0"/>
    <xf numFmtId="0" fontId="122" fillId="0" borderId="0" applyNumberFormat="0" applyAlignment="0">
      <alignment horizontal="left"/>
    </xf>
    <xf numFmtId="0" fontId="39" fillId="0" borderId="0" applyNumberFormat="0" applyAlignment="0"/>
    <xf numFmtId="0" fontId="123" fillId="0" borderId="2" applyNumberFormat="0" applyFill="0" applyBorder="0" applyAlignment="0" applyProtection="0"/>
    <xf numFmtId="0" fontId="123" fillId="0" borderId="2" applyNumberFormat="0" applyFill="0" applyBorder="0" applyAlignment="0" applyProtection="0"/>
    <xf numFmtId="0" fontId="123" fillId="0" borderId="2" applyNumberFormat="0" applyFill="0" applyBorder="0" applyAlignment="0" applyProtection="0"/>
    <xf numFmtId="0" fontId="123" fillId="0" borderId="2" applyNumberFormat="0" applyFill="0" applyBorder="0" applyAlignment="0" applyProtection="0"/>
    <xf numFmtId="0" fontId="123" fillId="0" borderId="2" applyNumberFormat="0" applyFill="0" applyBorder="0" applyAlignment="0" applyProtection="0"/>
    <xf numFmtId="0" fontId="124" fillId="47" borderId="43" applyNumberFormat="0" applyFill="0" applyBorder="0" applyAlignment="0" applyProtection="0">
      <alignment horizontal="center" textRotation="255"/>
    </xf>
    <xf numFmtId="245" fontId="4" fillId="0" borderId="0" applyFill="0" applyBorder="0">
      <alignment horizontal="right"/>
      <protection locked="0"/>
    </xf>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209" fontId="126" fillId="0" borderId="0"/>
    <xf numFmtId="209" fontId="126" fillId="0" borderId="0"/>
    <xf numFmtId="246" fontId="51" fillId="0" borderId="44" applyFont="0" applyFill="0" applyBorder="0" applyAlignment="0" applyProtection="0"/>
    <xf numFmtId="6" fontId="22" fillId="0" borderId="0" applyFont="0" applyFill="0" applyBorder="0" applyAlignment="0" applyProtection="0">
      <protection locked="0"/>
    </xf>
    <xf numFmtId="8" fontId="22" fillId="0" borderId="0" applyFont="0" applyFill="0" applyBorder="0" applyAlignment="0" applyProtection="0">
      <protection locked="0"/>
    </xf>
    <xf numFmtId="247" fontId="31" fillId="0" borderId="0" applyFont="0" applyFill="0" applyBorder="0" applyProtection="0"/>
    <xf numFmtId="248" fontId="31" fillId="0" borderId="0" applyFont="0" applyFill="0" applyBorder="0" applyProtection="0"/>
    <xf numFmtId="6" fontId="51" fillId="0" borderId="0">
      <alignment horizontal="center"/>
    </xf>
    <xf numFmtId="209" fontId="66" fillId="0" borderId="0" applyFont="0" applyFill="0" applyBorder="0" applyAlignment="0" applyProtection="0"/>
    <xf numFmtId="0" fontId="127" fillId="0" borderId="0" applyFont="0" applyFill="0" applyBorder="0" applyAlignment="0" applyProtection="0"/>
    <xf numFmtId="8" fontId="128" fillId="0" borderId="45">
      <protection locked="0"/>
    </xf>
    <xf numFmtId="8" fontId="128" fillId="0" borderId="45">
      <protection locked="0"/>
    </xf>
    <xf numFmtId="8" fontId="128" fillId="0" borderId="45">
      <protection locked="0"/>
    </xf>
    <xf numFmtId="249" fontId="4" fillId="0" borderId="0" applyFont="0" applyFill="0" applyBorder="0" applyAlignment="0" applyProtection="0">
      <alignment horizontal="right"/>
    </xf>
    <xf numFmtId="250" fontId="111" fillId="0" borderId="0" applyFont="0" applyFill="0" applyBorder="0" applyAlignment="0" applyProtection="0"/>
    <xf numFmtId="251" fontId="111" fillId="0" borderId="0" applyFont="0" applyFill="0" applyBorder="0" applyAlignment="0" applyProtection="0"/>
    <xf numFmtId="252" fontId="111" fillId="0" borderId="0" applyFont="0" applyFill="0" applyBorder="0" applyAlignment="0" applyProtection="0"/>
    <xf numFmtId="253" fontId="42" fillId="0" borderId="0" applyFont="0" applyFill="0" applyBorder="0" applyAlignment="0" applyProtection="0">
      <protection locked="0"/>
    </xf>
    <xf numFmtId="44" fontId="4" fillId="0" borderId="0" applyFont="0" applyFill="0" applyBorder="0" applyAlignment="0" applyProtection="0"/>
    <xf numFmtId="44" fontId="1" fillId="0" borderId="0" applyFont="0" applyFill="0" applyBorder="0" applyAlignment="0" applyProtection="0"/>
    <xf numFmtId="44" fontId="113" fillId="0" borderId="0" applyFont="0" applyFill="0" applyBorder="0" applyAlignment="0" applyProtection="0"/>
    <xf numFmtId="44" fontId="114" fillId="0" borderId="0" applyFont="0" applyFill="0" applyBorder="0" applyAlignment="0" applyProtection="0"/>
    <xf numFmtId="44" fontId="1" fillId="0" borderId="0" applyFont="0" applyFill="0" applyBorder="0" applyAlignment="0" applyProtection="0"/>
    <xf numFmtId="246" fontId="51" fillId="0" borderId="44"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113" fillId="0" borderId="0" applyFont="0" applyFill="0" applyBorder="0" applyAlignment="0" applyProtection="0"/>
    <xf numFmtId="44" fontId="4" fillId="0" borderId="0" applyFont="0" applyFill="0" applyBorder="0" applyAlignment="0" applyProtection="0"/>
    <xf numFmtId="44" fontId="113" fillId="0" borderId="0" applyFont="0" applyFill="0" applyBorder="0" applyAlignment="0" applyProtection="0"/>
    <xf numFmtId="44" fontId="113" fillId="0" borderId="0" applyFont="0" applyFill="0" applyBorder="0" applyAlignment="0" applyProtection="0"/>
    <xf numFmtId="44" fontId="113" fillId="0" borderId="0" applyFont="0" applyFill="0" applyBorder="0" applyAlignment="0" applyProtection="0"/>
    <xf numFmtId="44" fontId="113" fillId="0" borderId="0" applyFont="0" applyFill="0" applyBorder="0" applyAlignment="0" applyProtection="0"/>
    <xf numFmtId="44" fontId="113"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113"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8" fontId="38" fillId="37" borderId="0" applyFont="0" applyFill="0" applyBorder="0" applyAlignment="0" applyProtection="0"/>
    <xf numFmtId="8" fontId="38" fillId="37" borderId="0" applyFont="0" applyFill="0" applyBorder="0" applyAlignment="0" applyProtection="0"/>
    <xf numFmtId="254" fontId="129" fillId="0" borderId="0" applyFont="0" applyFill="0" applyBorder="0" applyAlignment="0" applyProtection="0"/>
    <xf numFmtId="255" fontId="4" fillId="0" borderId="0" applyFont="0" applyFill="0" applyBorder="0" applyAlignment="0" applyProtection="0"/>
    <xf numFmtId="0" fontId="51" fillId="0" borderId="44" applyFont="0" applyFill="0" applyBorder="0" applyAlignment="0" applyProtection="0"/>
    <xf numFmtId="0" fontId="4" fillId="0" borderId="0">
      <protection locked="0"/>
    </xf>
    <xf numFmtId="256" fontId="4" fillId="0" borderId="0" applyFont="0" applyFill="0" applyBorder="0" applyAlignment="0" applyProtection="0">
      <alignment horizontal="left"/>
    </xf>
    <xf numFmtId="202" fontId="4" fillId="0" borderId="0" applyFont="0" applyFill="0" applyBorder="0" applyAlignment="0" applyProtection="0">
      <alignment horizontal="left"/>
    </xf>
    <xf numFmtId="202" fontId="4" fillId="0" borderId="0" applyFont="0" applyFill="0" applyBorder="0" applyAlignment="0" applyProtection="0">
      <alignment horizontal="left"/>
    </xf>
    <xf numFmtId="257" fontId="112" fillId="0" borderId="0" applyFill="0" applyBorder="0" applyProtection="0">
      <alignment vertical="center"/>
    </xf>
    <xf numFmtId="258" fontId="4" fillId="0" borderId="0" applyFill="0" applyBorder="0">
      <alignment horizontal="right"/>
    </xf>
    <xf numFmtId="195" fontId="4" fillId="37" borderId="0"/>
    <xf numFmtId="0" fontId="130" fillId="0" borderId="0" applyNumberFormat="0" applyFill="0" applyBorder="0" applyAlignment="0" applyProtection="0">
      <alignment horizontal="left"/>
    </xf>
    <xf numFmtId="0" fontId="131" fillId="0" borderId="0" applyNumberFormat="0" applyFill="0" applyBorder="0" applyAlignment="0" applyProtection="0">
      <alignment horizontal="left"/>
    </xf>
    <xf numFmtId="0" fontId="130" fillId="0" borderId="0" applyNumberFormat="0" applyFill="0" applyBorder="0" applyAlignment="0" applyProtection="0">
      <alignment horizontal="left"/>
    </xf>
    <xf numFmtId="0" fontId="132" fillId="0" borderId="0" applyNumberFormat="0" applyFill="0" applyBorder="0" applyAlignment="0" applyProtection="0">
      <alignment horizontal="right"/>
    </xf>
    <xf numFmtId="44" fontId="4" fillId="0" borderId="0" applyFont="0" applyFill="0" applyBorder="0" applyAlignment="0" applyProtection="0"/>
    <xf numFmtId="259" fontId="4" fillId="0" borderId="0" applyFont="0" applyFill="0" applyBorder="0" applyAlignment="0" applyProtection="0"/>
    <xf numFmtId="260" fontId="4" fillId="0" borderId="0" applyFont="0" applyFill="0" applyBorder="0" applyAlignment="0" applyProtection="0"/>
    <xf numFmtId="261" fontId="4" fillId="0" borderId="0" applyFont="0" applyFill="0" applyBorder="0" applyAlignment="0" applyProtection="0"/>
    <xf numFmtId="262" fontId="4" fillId="0" borderId="0" applyNumberFormat="0">
      <alignment horizontal="right"/>
    </xf>
    <xf numFmtId="237" fontId="4" fillId="0" borderId="2"/>
    <xf numFmtId="237" fontId="4" fillId="0" borderId="2"/>
    <xf numFmtId="237" fontId="4" fillId="0" borderId="2"/>
    <xf numFmtId="237" fontId="4" fillId="0" borderId="2"/>
    <xf numFmtId="237" fontId="4" fillId="0" borderId="2"/>
    <xf numFmtId="263" fontId="4" fillId="0" borderId="2">
      <alignment horizontal="left"/>
    </xf>
    <xf numFmtId="263" fontId="4" fillId="0" borderId="2">
      <alignment horizontal="left"/>
    </xf>
    <xf numFmtId="263" fontId="4" fillId="0" borderId="2">
      <alignment horizontal="left"/>
    </xf>
    <xf numFmtId="263" fontId="4" fillId="0" borderId="2">
      <alignment horizontal="left"/>
    </xf>
    <xf numFmtId="263" fontId="4" fillId="0" borderId="2">
      <alignment horizontal="left"/>
    </xf>
    <xf numFmtId="264" fontId="4" fillId="0" borderId="0" applyFont="0" applyFill="0" applyBorder="0" applyAlignment="0" applyProtection="0"/>
    <xf numFmtId="264" fontId="4" fillId="0" borderId="0" applyFont="0" applyFill="0" applyBorder="0" applyAlignment="0" applyProtection="0"/>
    <xf numFmtId="264" fontId="4" fillId="0" borderId="0" applyFont="0" applyFill="0" applyBorder="0" applyAlignment="0" applyProtection="0"/>
    <xf numFmtId="0" fontId="4" fillId="0" borderId="0">
      <protection locked="0"/>
    </xf>
    <xf numFmtId="0" fontId="37" fillId="0" borderId="0"/>
    <xf numFmtId="15" fontId="62" fillId="0" borderId="0" applyFill="0" applyBorder="0" applyAlignment="0"/>
    <xf numFmtId="265" fontId="62" fillId="33" borderId="0"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06" fontId="51" fillId="33" borderId="0" applyFont="0" applyFill="0" applyBorder="0" applyAlignment="0" applyProtection="0"/>
    <xf numFmtId="17" fontId="62" fillId="0" borderId="0" applyFill="0" applyBorder="0">
      <alignment horizontal="right"/>
    </xf>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8" fontId="51" fillId="0" borderId="0"/>
    <xf numFmtId="15" fontId="4" fillId="0" borderId="0"/>
    <xf numFmtId="15" fontId="4" fillId="0" borderId="0"/>
    <xf numFmtId="15" fontId="4" fillId="0" borderId="0"/>
    <xf numFmtId="15" fontId="4" fillId="0" borderId="0"/>
    <xf numFmtId="15" fontId="4" fillId="0" borderId="0"/>
    <xf numFmtId="15" fontId="4" fillId="0" borderId="0"/>
    <xf numFmtId="15" fontId="4" fillId="0" borderId="0"/>
    <xf numFmtId="15" fontId="4" fillId="0" borderId="0"/>
    <xf numFmtId="15" fontId="4" fillId="0" borderId="0"/>
    <xf numFmtId="269" fontId="4" fillId="0" borderId="0" applyFont="0" applyFill="0" applyBorder="0" applyAlignment="0" applyProtection="0"/>
    <xf numFmtId="14" fontId="51" fillId="0" borderId="0" applyFont="0" applyFill="0" applyBorder="0" applyAlignment="0" applyProtection="0"/>
    <xf numFmtId="14" fontId="45" fillId="0" borderId="0" applyFill="0" applyBorder="0" applyAlignment="0"/>
    <xf numFmtId="14" fontId="63" fillId="0" borderId="0" applyFont="0" applyFill="0" applyBorder="0" applyAlignment="0"/>
    <xf numFmtId="14" fontId="4" fillId="0" borderId="0" applyFill="0" applyBorder="0">
      <alignment horizontal="center"/>
    </xf>
    <xf numFmtId="266" fontId="62" fillId="0" borderId="0" applyFill="0" applyBorder="0">
      <alignment horizontal="right"/>
    </xf>
    <xf numFmtId="270" fontId="4" fillId="0" borderId="0" applyFont="0" applyFill="0" applyBorder="0" applyAlignment="0" applyProtection="0"/>
    <xf numFmtId="17" fontId="134" fillId="33" borderId="0">
      <alignment horizontal="center"/>
      <protection locked="0"/>
    </xf>
    <xf numFmtId="271" fontId="64" fillId="0" borderId="0" applyFont="0" applyFill="0" applyBorder="0" applyAlignment="0" applyProtection="0">
      <alignment horizontal="center" vertical="center"/>
    </xf>
    <xf numFmtId="271" fontId="64" fillId="0" borderId="0" applyFont="0" applyFill="0" applyBorder="0" applyAlignment="0" applyProtection="0">
      <alignment horizontal="center" vertical="center"/>
    </xf>
    <xf numFmtId="14" fontId="98" fillId="0" borderId="0" applyFont="0" applyFill="0" applyBorder="0" applyAlignment="0" applyProtection="0">
      <alignment horizontal="center"/>
    </xf>
    <xf numFmtId="272" fontId="98" fillId="0" borderId="0" applyFont="0" applyFill="0" applyBorder="0" applyAlignment="0" applyProtection="0">
      <alignment horizontal="center"/>
    </xf>
    <xf numFmtId="0" fontId="79" fillId="0" borderId="46"/>
    <xf numFmtId="1" fontId="42" fillId="48" borderId="2">
      <alignment horizontal="center" wrapText="1"/>
    </xf>
    <xf numFmtId="1" fontId="42" fillId="48" borderId="2">
      <alignment horizontal="center" wrapText="1"/>
    </xf>
    <xf numFmtId="1" fontId="42" fillId="48" borderId="2">
      <alignment horizontal="center" wrapText="1"/>
    </xf>
    <xf numFmtId="1" fontId="42" fillId="48" borderId="2">
      <alignment horizontal="center" wrapText="1"/>
    </xf>
    <xf numFmtId="1" fontId="42" fillId="48" borderId="2">
      <alignment horizontal="center" wrapText="1"/>
    </xf>
    <xf numFmtId="39" fontId="4" fillId="36" borderId="2" applyNumberFormat="0">
      <alignment horizontal="center"/>
    </xf>
    <xf numFmtId="39" fontId="4" fillId="36" borderId="2" applyNumberFormat="0">
      <alignment horizontal="center"/>
    </xf>
    <xf numFmtId="39" fontId="4" fillId="36" borderId="2" applyNumberFormat="0">
      <alignment horizontal="center"/>
    </xf>
    <xf numFmtId="39" fontId="4" fillId="36" borderId="2" applyNumberFormat="0">
      <alignment horizontal="center"/>
    </xf>
    <xf numFmtId="39" fontId="4" fillId="36" borderId="2" applyNumberFormat="0">
      <alignment horizontal="center"/>
    </xf>
    <xf numFmtId="0" fontId="4" fillId="0" borderId="0"/>
    <xf numFmtId="273" fontId="99" fillId="0" borderId="0"/>
    <xf numFmtId="0" fontId="38" fillId="50" borderId="0"/>
    <xf numFmtId="0" fontId="135" fillId="37" borderId="0" applyNumberFormat="0" applyBorder="0" applyAlignment="0" applyProtection="0"/>
    <xf numFmtId="38" fontId="38" fillId="0" borderId="47">
      <alignment vertical="center"/>
    </xf>
    <xf numFmtId="274" fontId="4" fillId="0" borderId="0" applyFont="0" applyFill="0" applyBorder="0" applyAlignment="0" applyProtection="0"/>
    <xf numFmtId="275" fontId="4" fillId="0" borderId="0" applyFont="0" applyFill="0" applyBorder="0" applyAlignment="0" applyProtection="0"/>
    <xf numFmtId="1" fontId="68" fillId="0" borderId="48" applyNumberFormat="0">
      <alignment horizontal="center"/>
    </xf>
    <xf numFmtId="276" fontId="70" fillId="0" borderId="48">
      <alignment horizontal="center"/>
    </xf>
    <xf numFmtId="0" fontId="136" fillId="0" borderId="0">
      <protection locked="0"/>
    </xf>
    <xf numFmtId="0" fontId="137" fillId="0" borderId="0">
      <alignment horizontal="left" indent="1"/>
    </xf>
    <xf numFmtId="277" fontId="4" fillId="0" borderId="0"/>
    <xf numFmtId="278" fontId="4" fillId="0" borderId="0"/>
    <xf numFmtId="279" fontId="4" fillId="0" borderId="0"/>
    <xf numFmtId="279" fontId="138" fillId="51" borderId="0"/>
    <xf numFmtId="280" fontId="77" fillId="0" borderId="0" applyFont="0" applyFill="0" applyBorder="0" applyProtection="0"/>
    <xf numFmtId="281" fontId="77" fillId="0" borderId="0" applyFont="0" applyFill="0" applyBorder="0" applyProtection="0"/>
    <xf numFmtId="282" fontId="77" fillId="0" borderId="0" applyFont="0" applyFill="0" applyBorder="0" applyProtection="0"/>
    <xf numFmtId="277" fontId="4" fillId="0" borderId="0"/>
    <xf numFmtId="0" fontId="4" fillId="0" borderId="0" applyFill="0" applyBorder="0" applyProtection="0">
      <alignment horizontal="right"/>
    </xf>
    <xf numFmtId="0" fontId="4" fillId="0" borderId="0" applyFill="0" applyBorder="0" applyProtection="0">
      <alignment horizontal="right"/>
    </xf>
    <xf numFmtId="0" fontId="4" fillId="0" borderId="0" applyFill="0" applyBorder="0" applyProtection="0">
      <alignment horizontal="right"/>
    </xf>
    <xf numFmtId="0" fontId="71" fillId="0" borderId="0" applyFont="0" applyFill="0" applyBorder="0" applyAlignment="0" applyProtection="0"/>
    <xf numFmtId="6" fontId="64" fillId="0" borderId="0" applyFont="0" applyFill="0" applyBorder="0" applyAlignment="0" applyProtection="0"/>
    <xf numFmtId="195" fontId="4" fillId="0" borderId="49" applyNumberFormat="0" applyFont="0" applyFill="0" applyAlignment="0" applyProtection="0"/>
    <xf numFmtId="0" fontId="79" fillId="0" borderId="46"/>
    <xf numFmtId="283" fontId="139" fillId="0" borderId="39" applyNumberFormat="0" applyBorder="0"/>
    <xf numFmtId="283" fontId="139" fillId="0" borderId="39" applyNumberFormat="0" applyBorder="0"/>
    <xf numFmtId="283" fontId="139" fillId="0" borderId="39" applyNumberFormat="0" applyBorder="0"/>
    <xf numFmtId="283" fontId="139" fillId="0" borderId="39" applyNumberFormat="0" applyBorder="0"/>
    <xf numFmtId="283" fontId="139" fillId="0" borderId="39" applyNumberFormat="0" applyBorder="0"/>
    <xf numFmtId="283" fontId="139" fillId="0" borderId="39" applyNumberFormat="0" applyBorder="0"/>
    <xf numFmtId="284" fontId="51" fillId="40" borderId="0" applyNumberFormat="0" applyBorder="0" applyAlignment="0" applyProtection="0">
      <alignment horizontal="right"/>
    </xf>
    <xf numFmtId="215" fontId="4" fillId="37" borderId="2">
      <alignment horizontal="center"/>
    </xf>
    <xf numFmtId="215" fontId="4" fillId="37" borderId="2">
      <alignment horizontal="center"/>
    </xf>
    <xf numFmtId="215" fontId="4" fillId="37" borderId="2">
      <alignment horizontal="center"/>
    </xf>
    <xf numFmtId="215" fontId="4" fillId="37" borderId="2">
      <alignment horizontal="center"/>
    </xf>
    <xf numFmtId="215" fontId="4" fillId="37" borderId="2">
      <alignment horizontal="center"/>
    </xf>
    <xf numFmtId="0" fontId="140" fillId="52" borderId="2">
      <protection locked="0"/>
    </xf>
    <xf numFmtId="0" fontId="140" fillId="52" borderId="2">
      <protection locked="0"/>
    </xf>
    <xf numFmtId="0" fontId="140" fillId="52" borderId="2">
      <protection locked="0"/>
    </xf>
    <xf numFmtId="0" fontId="140" fillId="52" borderId="2">
      <protection locked="0"/>
    </xf>
    <xf numFmtId="0" fontId="140" fillId="52" borderId="2">
      <protection locked="0"/>
    </xf>
    <xf numFmtId="285" fontId="141" fillId="0" borderId="50">
      <protection locked="0"/>
    </xf>
    <xf numFmtId="0" fontId="4" fillId="0" borderId="0" applyFont="0" applyBorder="0">
      <alignment horizontal="left" vertical="center" indent="1"/>
    </xf>
    <xf numFmtId="0" fontId="142" fillId="0" borderId="0">
      <protection locked="0"/>
    </xf>
    <xf numFmtId="0" fontId="142" fillId="0" borderId="0">
      <protection locked="0"/>
    </xf>
    <xf numFmtId="42" fontId="38" fillId="0" borderId="0" applyFill="0" applyBorder="0" applyAlignment="0"/>
    <xf numFmtId="209" fontId="66" fillId="0" borderId="0" applyFill="0" applyBorder="0" applyAlignment="0"/>
    <xf numFmtId="42" fontId="38" fillId="0" borderId="0" applyFill="0" applyBorder="0" applyAlignment="0"/>
    <xf numFmtId="218" fontId="4" fillId="0" borderId="0" applyFill="0" applyBorder="0" applyAlignment="0"/>
    <xf numFmtId="209" fontId="66" fillId="0" borderId="0" applyFill="0" applyBorder="0" applyAlignment="0"/>
    <xf numFmtId="0" fontId="143" fillId="0" borderId="0" applyNumberFormat="0" applyAlignment="0">
      <alignment horizontal="left"/>
    </xf>
    <xf numFmtId="17" fontId="144" fillId="53" borderId="0">
      <alignment horizontal="left"/>
    </xf>
    <xf numFmtId="0" fontId="4" fillId="54" borderId="0" applyNumberFormat="0" applyBorder="0" applyAlignment="0" applyProtection="0"/>
    <xf numFmtId="0" fontId="145" fillId="55" borderId="0" applyNumberFormat="0" applyBorder="0" applyAlignment="0">
      <protection locked="0"/>
    </xf>
    <xf numFmtId="0" fontId="146" fillId="54" borderId="0" applyNumberFormat="0" applyBorder="0" applyAlignment="0">
      <protection locked="0"/>
    </xf>
    <xf numFmtId="0" fontId="147" fillId="0" borderId="0" applyNumberFormat="0" applyFill="0" applyBorder="0" applyAlignment="0" applyProtection="0"/>
    <xf numFmtId="0" fontId="147" fillId="54" borderId="0" applyNumberFormat="0" applyBorder="0" applyAlignment="0"/>
    <xf numFmtId="0" fontId="75" fillId="0" borderId="29"/>
    <xf numFmtId="0" fontId="52" fillId="54" borderId="0" applyNumberFormat="0" applyBorder="0" applyAlignment="0">
      <protection locked="0"/>
    </xf>
    <xf numFmtId="0" fontId="140" fillId="40" borderId="2">
      <protection hidden="1"/>
    </xf>
    <xf numFmtId="0" fontId="140" fillId="40" borderId="2">
      <protection hidden="1"/>
    </xf>
    <xf numFmtId="0" fontId="140" fillId="40" borderId="2">
      <protection hidden="1"/>
    </xf>
    <xf numFmtId="0" fontId="140" fillId="40" borderId="2">
      <protection hidden="1"/>
    </xf>
    <xf numFmtId="0" fontId="140" fillId="40" borderId="2">
      <protection hidden="1"/>
    </xf>
    <xf numFmtId="286" fontId="148" fillId="56" borderId="2" applyNumberFormat="0" applyFont="0" applyBorder="0" applyAlignment="0" applyProtection="0">
      <alignment horizontal="center" vertical="center"/>
    </xf>
    <xf numFmtId="286" fontId="148" fillId="56" borderId="2" applyNumberFormat="0" applyFont="0" applyBorder="0" applyAlignment="0" applyProtection="0">
      <alignment horizontal="center" vertical="center"/>
    </xf>
    <xf numFmtId="286" fontId="148" fillId="56" borderId="2" applyNumberFormat="0" applyFont="0" applyBorder="0" applyAlignment="0" applyProtection="0">
      <alignment horizontal="center" vertical="center"/>
    </xf>
    <xf numFmtId="286" fontId="148" fillId="56" borderId="2" applyNumberFormat="0" applyFont="0" applyBorder="0" applyAlignment="0" applyProtection="0">
      <alignment horizontal="center" vertical="center"/>
    </xf>
    <xf numFmtId="286" fontId="148" fillId="56" borderId="2" applyNumberFormat="0" applyFont="0" applyBorder="0" applyAlignment="0" applyProtection="0">
      <alignment horizontal="center" vertical="center"/>
    </xf>
    <xf numFmtId="0" fontId="4" fillId="0" borderId="0" applyFont="0" applyFill="0" applyBorder="0" applyAlignment="0" applyProtection="0"/>
    <xf numFmtId="287" fontId="4" fillId="0" borderId="0" applyFont="0" applyFill="0" applyBorder="0" applyAlignment="0" applyProtection="0"/>
    <xf numFmtId="287" fontId="4" fillId="0" borderId="0" applyFont="0" applyFill="0" applyBorder="0" applyAlignment="0" applyProtection="0"/>
    <xf numFmtId="288" fontId="4" fillId="0" borderId="0"/>
    <xf numFmtId="288" fontId="138" fillId="51" borderId="0"/>
    <xf numFmtId="215" fontId="4" fillId="0" borderId="0" applyFont="0" applyFill="0" applyBorder="0" applyAlignment="0" applyProtection="0"/>
    <xf numFmtId="0" fontId="149" fillId="57" borderId="0" applyNumberFormat="0" applyBorder="0" applyAlignment="0" applyProtection="0">
      <alignment horizontal="center" vertical="center"/>
    </xf>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289" fontId="77" fillId="0" borderId="0" applyFont="0" applyFill="0" applyBorder="0" applyProtection="0"/>
    <xf numFmtId="290" fontId="77" fillId="0" borderId="0" applyFont="0" applyFill="0" applyBorder="0" applyProtection="0"/>
    <xf numFmtId="291" fontId="77" fillId="0" borderId="0" applyFont="0" applyFill="0" applyBorder="0" applyProtection="0"/>
    <xf numFmtId="0" fontId="136" fillId="0" borderId="0">
      <protection locked="0"/>
    </xf>
    <xf numFmtId="0" fontId="136" fillId="0" borderId="0">
      <protection locked="0"/>
    </xf>
    <xf numFmtId="0" fontId="150" fillId="0" borderId="0" applyBorder="0">
      <alignment horizontal="right"/>
    </xf>
    <xf numFmtId="0" fontId="22" fillId="0" borderId="0"/>
    <xf numFmtId="292" fontId="4" fillId="0" borderId="0"/>
    <xf numFmtId="292" fontId="4" fillId="0" borderId="0"/>
    <xf numFmtId="0" fontId="4" fillId="0" borderId="0">
      <protection locked="0"/>
    </xf>
    <xf numFmtId="245" fontId="4" fillId="0" borderId="0"/>
    <xf numFmtId="293" fontId="4" fillId="33" borderId="0" applyFont="0" applyFill="0" applyBorder="0" applyAlignment="0"/>
    <xf numFmtId="2" fontId="99" fillId="0" borderId="0"/>
    <xf numFmtId="206" fontId="37" fillId="0" borderId="0">
      <alignment horizontal="right"/>
    </xf>
    <xf numFmtId="0" fontId="37" fillId="0" borderId="0"/>
    <xf numFmtId="0" fontId="151" fillId="0" borderId="0" applyNumberFormat="0" applyFill="0" applyBorder="0" applyAlignment="0" applyProtection="0">
      <alignment vertical="top"/>
      <protection locked="0"/>
    </xf>
    <xf numFmtId="0" fontId="4" fillId="0" borderId="0" applyFill="0" applyBorder="0" applyProtection="0">
      <alignment horizontal="left"/>
    </xf>
    <xf numFmtId="0" fontId="152" fillId="0" borderId="0" applyNumberFormat="0" applyFill="0" applyBorder="0" applyAlignment="0" applyProtection="0"/>
    <xf numFmtId="0" fontId="153" fillId="0" borderId="0"/>
    <xf numFmtId="0" fontId="154" fillId="58" borderId="51" applyNumberFormat="0" applyAlignment="0">
      <protection locked="0"/>
    </xf>
    <xf numFmtId="0" fontId="154" fillId="58" borderId="51" applyNumberFormat="0" applyAlignment="0">
      <protection locked="0"/>
    </xf>
    <xf numFmtId="0" fontId="37" fillId="59" borderId="0"/>
    <xf numFmtId="294" fontId="4" fillId="0" borderId="0" applyFont="0" applyFill="0" applyBorder="0" applyAlignment="0" applyProtection="0"/>
    <xf numFmtId="294" fontId="4" fillId="0" borderId="0" applyFont="0" applyFill="0" applyBorder="0" applyAlignment="0" applyProtection="0"/>
    <xf numFmtId="294" fontId="4" fillId="0" borderId="0" applyFont="0" applyFill="0" applyBorder="0" applyAlignment="0" applyProtection="0"/>
    <xf numFmtId="0" fontId="37" fillId="0" borderId="0" applyFont="0" applyFill="0" applyBorder="0" applyAlignment="0" applyProtection="0"/>
    <xf numFmtId="37" fontId="4" fillId="0" borderId="0" applyFill="0" applyBorder="0">
      <alignment horizontal="right"/>
    </xf>
    <xf numFmtId="37" fontId="4" fillId="0" borderId="0" applyFill="0" applyBorder="0">
      <alignment horizontal="center"/>
    </xf>
    <xf numFmtId="37" fontId="4" fillId="0" borderId="0" applyFill="0" applyBorder="0">
      <alignment horizontal="right"/>
    </xf>
    <xf numFmtId="39" fontId="4" fillId="0" borderId="0" applyFill="0" applyBorder="0">
      <alignment horizontal="right"/>
    </xf>
    <xf numFmtId="219" fontId="4" fillId="0" borderId="0" applyFill="0" applyBorder="0">
      <alignment horizontal="right"/>
    </xf>
    <xf numFmtId="0" fontId="64" fillId="0" borderId="0" applyFont="0" applyFill="0" applyBorder="0" applyAlignment="0" applyProtection="0">
      <alignment horizontal="center" vertical="center"/>
    </xf>
    <xf numFmtId="0" fontId="64" fillId="0" borderId="0" applyFont="0" applyFill="0" applyBorder="0" applyAlignment="0" applyProtection="0">
      <alignment horizontal="center" vertical="center"/>
    </xf>
    <xf numFmtId="0" fontId="40" fillId="0" borderId="0" applyNumberFormat="0" applyAlignment="0" applyProtection="0">
      <alignment horizontal="center"/>
      <protection locked="0"/>
    </xf>
    <xf numFmtId="0" fontId="40" fillId="0" borderId="0" applyNumberFormat="0" applyAlignment="0" applyProtection="0">
      <alignment horizontal="center"/>
      <protection locked="0"/>
    </xf>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3" fontId="155" fillId="0" borderId="5" applyNumberFormat="0" applyFill="0" applyBorder="0" applyAlignment="0" applyProtection="0"/>
    <xf numFmtId="3" fontId="155" fillId="0" borderId="5" applyNumberFormat="0" applyFill="0" applyBorder="0" applyAlignment="0" applyProtection="0"/>
    <xf numFmtId="3" fontId="155" fillId="0" borderId="5" applyNumberFormat="0" applyFill="0" applyBorder="0" applyAlignment="0" applyProtection="0"/>
    <xf numFmtId="0" fontId="156" fillId="0" borderId="0" applyNumberFormat="0" applyFill="0" applyBorder="0" applyAlignment="0" applyProtection="0"/>
    <xf numFmtId="38" fontId="51" fillId="36" borderId="0" applyNumberFormat="0" applyBorder="0" applyAlignment="0" applyProtection="0"/>
    <xf numFmtId="1" fontId="157" fillId="36" borderId="0">
      <alignment horizontal="center"/>
      <protection locked="0" hidden="1"/>
    </xf>
    <xf numFmtId="295" fontId="4" fillId="36" borderId="2" applyNumberFormat="0">
      <alignment horizontal="center"/>
    </xf>
    <xf numFmtId="295" fontId="4" fillId="36" borderId="2" applyNumberFormat="0">
      <alignment horizontal="center"/>
    </xf>
    <xf numFmtId="295" fontId="4" fillId="36" borderId="2" applyNumberFormat="0">
      <alignment horizontal="center"/>
    </xf>
    <xf numFmtId="295" fontId="4" fillId="36" borderId="2" applyNumberFormat="0">
      <alignment horizontal="center"/>
    </xf>
    <xf numFmtId="295" fontId="4" fillId="36" borderId="2" applyNumberFormat="0">
      <alignment horizontal="center"/>
    </xf>
    <xf numFmtId="0" fontId="42" fillId="0" borderId="52">
      <alignment horizontal="center"/>
    </xf>
    <xf numFmtId="296" fontId="158" fillId="0" borderId="0" applyFill="0" applyBorder="0" applyAlignment="0" applyProtection="0"/>
    <xf numFmtId="181" fontId="65" fillId="33" borderId="2" applyFill="0" applyBorder="0" applyAlignment="0" applyProtection="0"/>
    <xf numFmtId="181" fontId="65" fillId="33" borderId="2" applyFill="0" applyBorder="0" applyAlignment="0" applyProtection="0"/>
    <xf numFmtId="181" fontId="65" fillId="33" borderId="2" applyFill="0" applyBorder="0" applyAlignment="0" applyProtection="0"/>
    <xf numFmtId="181" fontId="65" fillId="33" borderId="2" applyFill="0" applyBorder="0" applyAlignment="0" applyProtection="0"/>
    <xf numFmtId="181" fontId="65" fillId="33" borderId="2" applyFill="0" applyBorder="0" applyAlignment="0" applyProtection="0"/>
    <xf numFmtId="297" fontId="4" fillId="0" borderId="0" applyFont="0" applyFill="0" applyBorder="0" applyAlignment="0" applyProtection="0">
      <alignment horizontal="right"/>
    </xf>
    <xf numFmtId="38" fontId="159" fillId="0" borderId="0" applyNumberFormat="0" applyFill="0" applyBorder="0" applyAlignment="0" applyProtection="0"/>
    <xf numFmtId="0" fontId="82" fillId="60" borderId="0"/>
    <xf numFmtId="0" fontId="160" fillId="38" borderId="0">
      <alignment horizontal="left"/>
    </xf>
    <xf numFmtId="0" fontId="161" fillId="0" borderId="0" applyNumberFormat="0" applyFill="0" applyBorder="0" applyAlignment="0" applyProtection="0"/>
    <xf numFmtId="0" fontId="88" fillId="0" borderId="53" applyNumberFormat="0" applyAlignment="0" applyProtection="0">
      <alignment horizontal="left" vertical="center"/>
    </xf>
    <xf numFmtId="0" fontId="88" fillId="0" borderId="5">
      <alignment horizontal="left" vertical="center"/>
    </xf>
    <xf numFmtId="0" fontId="88" fillId="0" borderId="5">
      <alignment horizontal="left" vertical="center"/>
    </xf>
    <xf numFmtId="0" fontId="88" fillId="0" borderId="5">
      <alignment horizontal="left" vertical="center"/>
    </xf>
    <xf numFmtId="0" fontId="162" fillId="0" borderId="0">
      <alignment horizontal="center"/>
    </xf>
    <xf numFmtId="0" fontId="42" fillId="0" borderId="0">
      <alignment horizontal="right" wrapText="1"/>
    </xf>
    <xf numFmtId="0" fontId="42" fillId="0" borderId="0"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37" fillId="0" borderId="0">
      <protection locked="0"/>
    </xf>
    <xf numFmtId="0" fontId="37" fillId="0" borderId="0">
      <protection locked="0"/>
    </xf>
    <xf numFmtId="49" fontId="42" fillId="0" borderId="0" applyFill="0" applyBorder="0"/>
    <xf numFmtId="240" fontId="4" fillId="0" borderId="54" applyFill="0" applyBorder="0"/>
    <xf numFmtId="240" fontId="4" fillId="0" borderId="54" applyFill="0" applyBorder="0"/>
    <xf numFmtId="240" fontId="4" fillId="0" borderId="54" applyFill="0" applyBorder="0"/>
    <xf numFmtId="240" fontId="4" fillId="0" borderId="54" applyFill="0" applyBorder="0"/>
    <xf numFmtId="240" fontId="4" fillId="0" borderId="54" applyFill="0" applyBorder="0"/>
    <xf numFmtId="240" fontId="4" fillId="0" borderId="54" applyFill="0" applyBorder="0"/>
    <xf numFmtId="17" fontId="4" fillId="0" borderId="0" applyFill="0" applyBorder="0">
      <alignment horizontal="center"/>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163" fillId="0" borderId="31">
      <alignment horizontal="center"/>
    </xf>
    <xf numFmtId="0" fontId="163" fillId="0" borderId="0">
      <alignment horizontal="center"/>
    </xf>
    <xf numFmtId="0" fontId="164" fillId="38" borderId="0" applyNumberFormat="0" applyFont="0" applyFill="0" applyBorder="0" applyAlignment="0">
      <alignment horizontal="centerContinuous"/>
    </xf>
    <xf numFmtId="0" fontId="165" fillId="62" borderId="0" applyNumberFormat="0" applyFont="0" applyBorder="0" applyAlignment="0" applyProtection="0"/>
    <xf numFmtId="0" fontId="145" fillId="0" borderId="55" applyNumberFormat="0" applyFill="0" applyAlignment="0" applyProtection="0"/>
    <xf numFmtId="37" fontId="166" fillId="0" borderId="0" applyNumberFormat="0" applyBorder="0">
      <alignment horizontal="center"/>
    </xf>
    <xf numFmtId="37" fontId="42" fillId="0" borderId="0"/>
    <xf numFmtId="0" fontId="167" fillId="0" borderId="0" applyNumberFormat="0" applyFill="0" applyBorder="0" applyAlignment="0" applyProtection="0">
      <alignment vertical="top"/>
      <protection locked="0"/>
    </xf>
    <xf numFmtId="298" fontId="168" fillId="0" borderId="0" applyNumberFormat="0" applyFill="0" applyBorder="0" applyAlignment="0" applyProtection="0"/>
    <xf numFmtId="206" fontId="64" fillId="0" borderId="0" applyFont="0" applyFill="0" applyBorder="0" applyAlignment="0" applyProtection="0"/>
    <xf numFmtId="207" fontId="4" fillId="0" borderId="0" applyFont="0" applyFill="0" applyBorder="0" applyAlignment="0" applyProtection="0"/>
    <xf numFmtId="208" fontId="4" fillId="0" borderId="0" applyFont="0" applyFill="0" applyBorder="0" applyAlignment="0" applyProtection="0"/>
    <xf numFmtId="208" fontId="4" fillId="0" borderId="0" applyFont="0" applyFill="0" applyBorder="0" applyAlignment="0" applyProtection="0"/>
    <xf numFmtId="37" fontId="145" fillId="0" borderId="0" applyFill="0" applyBorder="0">
      <protection locked="0"/>
    </xf>
    <xf numFmtId="181" fontId="145" fillId="0" borderId="0" applyFill="0" applyBorder="0">
      <protection locked="0"/>
    </xf>
    <xf numFmtId="39" fontId="145" fillId="0" borderId="0" applyFill="0" applyBorder="0">
      <protection locked="0"/>
    </xf>
    <xf numFmtId="219" fontId="145" fillId="0" borderId="0" applyFill="0" applyBorder="0">
      <protection locked="0"/>
    </xf>
    <xf numFmtId="220" fontId="145" fillId="0" borderId="0" applyFill="0" applyBorder="0">
      <protection locked="0"/>
    </xf>
    <xf numFmtId="221" fontId="145" fillId="0" borderId="0" applyFill="0" applyBorder="0">
      <protection locked="0"/>
    </xf>
    <xf numFmtId="222" fontId="4" fillId="0" borderId="0" applyFill="0" applyBorder="0">
      <protection locked="0"/>
    </xf>
    <xf numFmtId="223" fontId="4" fillId="0" borderId="0" applyFill="0" applyBorder="0">
      <protection locked="0"/>
    </xf>
    <xf numFmtId="224" fontId="4" fillId="0" borderId="0" applyFill="0" applyBorder="0">
      <protection locked="0"/>
    </xf>
    <xf numFmtId="202" fontId="4" fillId="0" borderId="0" applyFill="0" applyBorder="0">
      <protection locked="0"/>
    </xf>
    <xf numFmtId="242" fontId="4" fillId="0" borderId="0" applyFill="0" applyBorder="0">
      <protection locked="0"/>
    </xf>
    <xf numFmtId="9" fontId="145" fillId="0" borderId="0" applyFill="0" applyBorder="0">
      <protection locked="0"/>
    </xf>
    <xf numFmtId="173" fontId="145" fillId="0" borderId="0" applyFill="0" applyBorder="0">
      <protection locked="0"/>
    </xf>
    <xf numFmtId="10" fontId="145" fillId="0" borderId="0" applyFill="0" applyBorder="0">
      <protection locked="0"/>
    </xf>
    <xf numFmtId="49" fontId="145" fillId="0" borderId="39" applyFill="0" applyBorder="0">
      <protection locked="0"/>
    </xf>
    <xf numFmtId="49" fontId="145" fillId="0" borderId="39" applyFill="0" applyBorder="0">
      <protection locked="0"/>
    </xf>
    <xf numFmtId="49" fontId="145" fillId="0" borderId="39" applyFill="0" applyBorder="0">
      <protection locked="0"/>
    </xf>
    <xf numFmtId="49" fontId="145" fillId="0" borderId="39" applyFill="0" applyBorder="0">
      <protection locked="0"/>
    </xf>
    <xf numFmtId="49" fontId="145" fillId="0" borderId="39" applyFill="0" applyBorder="0">
      <protection locked="0"/>
    </xf>
    <xf numFmtId="49" fontId="145" fillId="0" borderId="39" applyFill="0" applyBorder="0">
      <protection locked="0"/>
    </xf>
    <xf numFmtId="10" fontId="51" fillId="33" borderId="2" applyNumberFormat="0" applyBorder="0" applyAlignment="0" applyProtection="0"/>
    <xf numFmtId="10" fontId="51" fillId="33" borderId="2" applyNumberFormat="0" applyBorder="0" applyAlignment="0" applyProtection="0"/>
    <xf numFmtId="10" fontId="51" fillId="33" borderId="2" applyNumberFormat="0" applyBorder="0" applyAlignment="0" applyProtection="0"/>
    <xf numFmtId="10" fontId="51" fillId="33" borderId="2" applyNumberFormat="0" applyBorder="0" applyAlignment="0" applyProtection="0"/>
    <xf numFmtId="10" fontId="51" fillId="33" borderId="2" applyNumberFormat="0" applyBorder="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181" fontId="59" fillId="60" borderId="0"/>
    <xf numFmtId="0" fontId="169" fillId="63" borderId="0">
      <alignment horizontal="right"/>
    </xf>
    <xf numFmtId="8" fontId="51" fillId="33" borderId="0" applyFont="0" applyBorder="0" applyAlignment="0" applyProtection="0">
      <protection locked="0"/>
    </xf>
    <xf numFmtId="14" fontId="170" fillId="0" borderId="0"/>
    <xf numFmtId="279" fontId="138" fillId="51" borderId="0"/>
    <xf numFmtId="293" fontId="51" fillId="33" borderId="0" applyFont="0" applyBorder="0" applyAlignment="0">
      <protection locked="0"/>
    </xf>
    <xf numFmtId="0" fontId="170" fillId="0" borderId="0"/>
    <xf numFmtId="37" fontId="29" fillId="33" borderId="0"/>
    <xf numFmtId="37" fontId="36" fillId="33" borderId="0" applyFont="0" applyProtection="0"/>
    <xf numFmtId="37" fontId="29" fillId="33" borderId="0"/>
    <xf numFmtId="212" fontId="170" fillId="0" borderId="0">
      <alignment horizontal="right"/>
    </xf>
    <xf numFmtId="0" fontId="29" fillId="33" borderId="0"/>
    <xf numFmtId="10" fontId="51" fillId="33" borderId="0">
      <protection locked="0"/>
    </xf>
    <xf numFmtId="212" fontId="170" fillId="0" borderId="0">
      <alignment horizontal="right"/>
    </xf>
    <xf numFmtId="206" fontId="171" fillId="33" borderId="0" applyNumberFormat="0" applyBorder="0" applyAlignment="0">
      <protection locked="0"/>
    </xf>
    <xf numFmtId="0" fontId="4" fillId="0" borderId="0" applyNumberFormat="0" applyFill="0" applyBorder="0" applyAlignment="0">
      <protection locked="0"/>
    </xf>
    <xf numFmtId="0" fontId="4" fillId="0" borderId="2" applyNumberFormat="0">
      <alignment horizontal="left" wrapText="1"/>
      <protection locked="0"/>
    </xf>
    <xf numFmtId="0" fontId="4" fillId="0" borderId="2" applyNumberFormat="0">
      <alignment horizontal="left" wrapText="1"/>
      <protection locked="0"/>
    </xf>
    <xf numFmtId="0" fontId="4" fillId="0" borderId="2" applyNumberFormat="0">
      <alignment horizontal="left" wrapText="1"/>
      <protection locked="0"/>
    </xf>
    <xf numFmtId="0" fontId="4" fillId="0" borderId="2" applyNumberFormat="0">
      <alignment horizontal="left" wrapText="1"/>
      <protection locked="0"/>
    </xf>
    <xf numFmtId="0" fontId="4" fillId="0" borderId="2" applyNumberFormat="0">
      <alignment horizontal="left" wrapText="1"/>
      <protection locked="0"/>
    </xf>
    <xf numFmtId="299" fontId="172" fillId="0" borderId="0" applyFill="0" applyBorder="0" applyProtection="0">
      <alignment vertical="center"/>
    </xf>
    <xf numFmtId="257" fontId="172" fillId="0" borderId="0" applyFill="0" applyBorder="0" applyProtection="0">
      <alignment vertical="center"/>
    </xf>
    <xf numFmtId="300" fontId="172" fillId="0" borderId="0" applyFill="0" applyBorder="0" applyProtection="0">
      <alignment vertical="center"/>
    </xf>
    <xf numFmtId="301" fontId="172" fillId="0" borderId="0" applyFill="0" applyBorder="0" applyProtection="0">
      <alignment vertical="center"/>
    </xf>
    <xf numFmtId="302" fontId="4" fillId="0" borderId="0"/>
    <xf numFmtId="39" fontId="51" fillId="37" borderId="0"/>
    <xf numFmtId="38" fontId="173" fillId="0" borderId="0" applyNumberFormat="0" applyBorder="0" applyProtection="0">
      <alignment horizontal="left"/>
    </xf>
    <xf numFmtId="303" fontId="51" fillId="0" borderId="0" applyFill="0" applyBorder="0">
      <alignment horizontal="right"/>
      <protection locked="0"/>
    </xf>
    <xf numFmtId="0" fontId="25" fillId="42" borderId="30">
      <alignment horizontal="left" vertical="center" wrapText="1"/>
    </xf>
    <xf numFmtId="0" fontId="25" fillId="42" borderId="30">
      <alignment horizontal="left" vertical="center" wrapText="1"/>
    </xf>
    <xf numFmtId="0" fontId="25" fillId="42" borderId="30">
      <alignment horizontal="left" vertical="center" wrapText="1"/>
    </xf>
    <xf numFmtId="260" fontId="4" fillId="0" borderId="0" applyNumberFormat="0" applyFill="0" applyBorder="0" applyAlignment="0" applyProtection="0"/>
    <xf numFmtId="0" fontId="63" fillId="0" borderId="0" applyNumberFormat="0" applyFont="0" applyFill="0" applyBorder="0" applyAlignment="0" applyProtection="0"/>
    <xf numFmtId="0" fontId="4" fillId="33" borderId="2" applyNumberFormat="0" applyProtection="0">
      <alignment vertical="center" wrapText="1"/>
    </xf>
    <xf numFmtId="0" fontId="4" fillId="33" borderId="2" applyNumberFormat="0" applyProtection="0">
      <alignment vertical="center" wrapText="1"/>
    </xf>
    <xf numFmtId="0" fontId="4" fillId="33" borderId="2" applyNumberFormat="0" applyProtection="0">
      <alignment vertical="center" wrapText="1"/>
    </xf>
    <xf numFmtId="0" fontId="4" fillId="33" borderId="2" applyNumberFormat="0" applyProtection="0">
      <alignment vertical="center" wrapText="1"/>
    </xf>
    <xf numFmtId="0" fontId="4" fillId="33" borderId="2" applyNumberFormat="0" applyProtection="0">
      <alignment vertical="center" wrapText="1"/>
    </xf>
    <xf numFmtId="0" fontId="150" fillId="0" borderId="5">
      <alignment horizontal="right"/>
    </xf>
    <xf numFmtId="0" fontId="150" fillId="0" borderId="5">
      <alignment horizontal="right"/>
    </xf>
    <xf numFmtId="0" fontId="150" fillId="0" borderId="5">
      <alignment horizontal="right"/>
    </xf>
    <xf numFmtId="2" fontId="31" fillId="37" borderId="0"/>
    <xf numFmtId="0" fontId="4" fillId="0" borderId="0" applyNumberFormat="0" applyFont="0" applyFill="0" applyBorder="0">
      <alignment horizontal="left"/>
    </xf>
    <xf numFmtId="0" fontId="174" fillId="0" borderId="0" applyNumberFormat="0" applyFill="0" applyBorder="0" applyAlignment="0" applyProtection="0">
      <alignment vertical="top"/>
      <protection locked="0"/>
    </xf>
    <xf numFmtId="0" fontId="175" fillId="0" borderId="0" applyNumberFormat="0" applyFill="0" applyBorder="0" applyAlignment="0" applyProtection="0">
      <alignment vertical="top"/>
      <protection locked="0"/>
    </xf>
    <xf numFmtId="0" fontId="4" fillId="48" borderId="56" applyNumberFormat="0" applyFont="0" applyBorder="0" applyAlignment="0">
      <alignment horizontal="center" vertical="top"/>
    </xf>
    <xf numFmtId="0" fontId="176" fillId="0" borderId="0"/>
    <xf numFmtId="0" fontId="177" fillId="0" borderId="0">
      <alignment horizontal="left" vertical="center" indent="1"/>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0">
      <alignment horizontal="right"/>
    </xf>
    <xf numFmtId="210" fontId="22" fillId="0" borderId="0">
      <alignment horizontal="left"/>
    </xf>
    <xf numFmtId="0" fontId="51" fillId="36" borderId="0"/>
    <xf numFmtId="42" fontId="38" fillId="0" borderId="0" applyFill="0" applyBorder="0" applyAlignment="0"/>
    <xf numFmtId="209" fontId="66" fillId="0" borderId="0" applyFill="0" applyBorder="0" applyAlignment="0"/>
    <xf numFmtId="42" fontId="38" fillId="0" borderId="0" applyFill="0" applyBorder="0" applyAlignment="0"/>
    <xf numFmtId="218" fontId="4" fillId="0" borderId="0" applyFill="0" applyBorder="0" applyAlignment="0"/>
    <xf numFmtId="209" fontId="66" fillId="0" borderId="0" applyFill="0" applyBorder="0" applyAlignment="0"/>
    <xf numFmtId="181" fontId="178" fillId="41" borderId="0"/>
    <xf numFmtId="38" fontId="179" fillId="0" borderId="0" applyNumberFormat="0" applyFill="0" applyBorder="0" applyAlignment="0" applyProtection="0"/>
    <xf numFmtId="3" fontId="180" fillId="0" borderId="0" applyFill="0" applyBorder="0" applyAlignment="0" applyProtection="0"/>
    <xf numFmtId="9" fontId="62" fillId="36" borderId="0" applyNumberFormat="0" applyFont="0" applyBorder="0" applyAlignment="0">
      <protection locked="0"/>
    </xf>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0" fontId="148" fillId="0" borderId="0"/>
    <xf numFmtId="0" fontId="181" fillId="0" borderId="0"/>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296" fontId="182" fillId="0" borderId="0" applyFill="0" applyBorder="0" applyAlignment="0" applyProtection="0"/>
    <xf numFmtId="37" fontId="150" fillId="0" borderId="0" applyBorder="0">
      <alignment horizontal="right"/>
    </xf>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38" fontId="38" fillId="0" borderId="0" applyFont="0" applyFill="0" applyBorder="0" applyAlignment="0" applyProtection="0"/>
    <xf numFmtId="40" fontId="38" fillId="0" borderId="0" applyFont="0" applyFill="0" applyBorder="0" applyAlignment="0" applyProtection="0"/>
    <xf numFmtId="305" fontId="4" fillId="0" borderId="0" applyFont="0" applyFill="0" applyBorder="0" applyAlignment="0" applyProtection="0"/>
    <xf numFmtId="306" fontId="4" fillId="0" borderId="0" applyFont="0" applyFill="0" applyBorder="0" applyAlignment="0" applyProtection="0"/>
    <xf numFmtId="307" fontId="4" fillId="0" borderId="0" applyFont="0" applyFill="0" applyBorder="0" applyAlignment="0" applyProtection="0"/>
    <xf numFmtId="308" fontId="4" fillId="0" borderId="0" applyFont="0" applyFill="0" applyBorder="0" applyAlignment="0" applyProtection="0"/>
    <xf numFmtId="309" fontId="183" fillId="0" borderId="0" applyFont="0" applyFill="0" applyBorder="0"/>
    <xf numFmtId="310" fontId="4" fillId="0" borderId="0" applyFont="0" applyFill="0" applyBorder="0"/>
    <xf numFmtId="310" fontId="4" fillId="0" borderId="0" applyFont="0" applyFill="0" applyBorder="0"/>
    <xf numFmtId="311" fontId="4" fillId="0" borderId="0"/>
    <xf numFmtId="310" fontId="4" fillId="0" borderId="0" applyFont="0" applyFill="0" applyBorder="0"/>
    <xf numFmtId="312" fontId="4" fillId="0" borderId="0" applyFont="0" applyFill="0" applyBorder="0" applyAlignment="0" applyProtection="0"/>
    <xf numFmtId="313" fontId="4" fillId="0" borderId="0" applyFont="0" applyFill="0" applyBorder="0" applyAlignment="0" applyProtection="0"/>
    <xf numFmtId="314" fontId="4" fillId="0" borderId="0" applyFont="0" applyFill="0" applyBorder="0" applyAlignment="0" applyProtection="0"/>
    <xf numFmtId="308" fontId="4" fillId="0" borderId="0" applyFont="0" applyFill="0" applyBorder="0" applyAlignment="0" applyProtection="0"/>
    <xf numFmtId="0" fontId="136" fillId="0" borderId="0">
      <protection locked="0"/>
    </xf>
    <xf numFmtId="315" fontId="66" fillId="0" borderId="0" applyFont="0" applyFill="0" applyBorder="0" applyAlignment="0" applyProtection="0">
      <alignment horizontal="left" vertical="center"/>
    </xf>
    <xf numFmtId="237" fontId="4" fillId="0" borderId="0" applyFont="0" applyFill="0" applyBorder="0" applyAlignment="0" applyProtection="0"/>
    <xf numFmtId="316" fontId="51" fillId="0" borderId="0" applyFont="0" applyFill="0" applyBorder="0" applyAlignment="0" applyProtection="0"/>
    <xf numFmtId="0" fontId="71" fillId="0" borderId="0" applyFont="0" applyFill="0" applyBorder="0" applyAlignment="0" applyProtection="0"/>
    <xf numFmtId="0" fontId="7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7" fontId="77" fillId="0" borderId="0" applyFont="0" applyFill="0" applyBorder="0" applyProtection="0"/>
    <xf numFmtId="318" fontId="77" fillId="0" borderId="0" applyFont="0" applyFill="0" applyBorder="0" applyProtection="0"/>
    <xf numFmtId="209" fontId="4" fillId="0" borderId="0" applyFont="0" applyFill="0" applyBorder="0" applyAlignment="0" applyProtection="0"/>
    <xf numFmtId="300" fontId="112" fillId="0" borderId="0" applyFill="0" applyBorder="0" applyProtection="0">
      <alignment vertical="center"/>
    </xf>
    <xf numFmtId="213" fontId="4" fillId="0" borderId="57">
      <alignment horizontal="right"/>
    </xf>
    <xf numFmtId="319" fontId="51" fillId="36" borderId="0" applyFont="0" applyBorder="0" applyAlignment="0" applyProtection="0">
      <alignment horizontal="right"/>
      <protection hidden="1"/>
    </xf>
    <xf numFmtId="0" fontId="184" fillId="0" borderId="0"/>
    <xf numFmtId="0" fontId="10" fillId="5" borderId="0" applyNumberFormat="0" applyBorder="0" applyAlignment="0" applyProtection="0"/>
    <xf numFmtId="0" fontId="22" fillId="0" borderId="0"/>
    <xf numFmtId="0" fontId="185" fillId="0" borderId="58" applyNumberFormat="0" applyAlignment="0"/>
    <xf numFmtId="15" fontId="4" fillId="64" borderId="18" applyNumberFormat="0" applyBorder="0" applyAlignment="0">
      <alignment horizontal="center"/>
    </xf>
    <xf numFmtId="37" fontId="186" fillId="0" borderId="0"/>
    <xf numFmtId="0" fontId="4" fillId="0" borderId="59">
      <alignment horizontal="center"/>
    </xf>
    <xf numFmtId="0" fontId="4" fillId="36" borderId="2" applyNumberFormat="0" applyAlignment="0"/>
    <xf numFmtId="0" fontId="4" fillId="36" borderId="2" applyNumberFormat="0" applyAlignment="0"/>
    <xf numFmtId="0" fontId="4" fillId="36" borderId="2" applyNumberFormat="0" applyAlignment="0"/>
    <xf numFmtId="0" fontId="4" fillId="36" borderId="2" applyNumberFormat="0" applyAlignment="0"/>
    <xf numFmtId="0" fontId="4" fillId="36" borderId="2" applyNumberFormat="0" applyAlignment="0"/>
    <xf numFmtId="320" fontId="77" fillId="0" borderId="0" applyFont="0" applyFill="0" applyBorder="0" applyProtection="0"/>
    <xf numFmtId="321" fontId="77" fillId="0" borderId="0" applyFont="0" applyFill="0" applyBorder="0" applyProtection="0"/>
    <xf numFmtId="322" fontId="77" fillId="0" borderId="0" applyFont="0" applyFill="0" applyBorder="0" applyProtection="0"/>
    <xf numFmtId="323" fontId="77" fillId="0" borderId="0" applyFont="0" applyFill="0" applyBorder="0" applyProtection="0"/>
    <xf numFmtId="324" fontId="77" fillId="0" borderId="0" applyFont="0" applyFill="0" applyBorder="0" applyProtection="0"/>
    <xf numFmtId="0" fontId="22" fillId="0" borderId="0"/>
    <xf numFmtId="325" fontId="51" fillId="0" borderId="0" applyFont="0" applyFill="0" applyBorder="0" applyAlignment="0" applyProtection="0">
      <alignment horizontal="right"/>
    </xf>
    <xf numFmtId="326" fontId="22" fillId="0" borderId="0"/>
    <xf numFmtId="0" fontId="4"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38" fontId="29" fillId="0" borderId="0" applyFont="0" applyFill="0" applyBorder="0" applyAlignment="0" applyProtection="0"/>
    <xf numFmtId="0" fontId="22" fillId="0" borderId="0" applyFont="0" applyFill="0" applyBorder="0" applyAlignment="0" applyProtection="0"/>
    <xf numFmtId="40" fontId="51" fillId="0" borderId="0" applyFont="0" applyFill="0" applyBorder="0" applyAlignment="0"/>
    <xf numFmtId="194" fontId="51" fillId="0" borderId="0" applyFont="0" applyFill="0" applyBorder="0" applyAlignment="0"/>
    <xf numFmtId="0" fontId="4" fillId="0" borderId="0"/>
    <xf numFmtId="0" fontId="1" fillId="0" borderId="0"/>
    <xf numFmtId="0" fontId="113" fillId="0" borderId="0"/>
    <xf numFmtId="0" fontId="1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4" fillId="0" borderId="0">
      <alignment wrapText="1"/>
    </xf>
    <xf numFmtId="0" fontId="4" fillId="0" borderId="0">
      <alignment wrapText="1"/>
    </xf>
    <xf numFmtId="0" fontId="1" fillId="0" borderId="0"/>
    <xf numFmtId="0" fontId="4" fillId="0" borderId="0" applyNumberFormat="0" applyFill="0" applyBorder="0" applyAlignment="0" applyProtection="0"/>
    <xf numFmtId="0" fontId="4" fillId="0" borderId="0"/>
    <xf numFmtId="0" fontId="4" fillId="0" borderId="0">
      <alignment vertical="center"/>
    </xf>
    <xf numFmtId="0" fontId="4" fillId="0" borderId="0">
      <alignment vertical="center"/>
    </xf>
    <xf numFmtId="0" fontId="38"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3" fillId="0" borderId="0"/>
    <xf numFmtId="0" fontId="1" fillId="0" borderId="0"/>
    <xf numFmtId="0" fontId="1" fillId="0" borderId="0"/>
    <xf numFmtId="0" fontId="113" fillId="0" borderId="0"/>
    <xf numFmtId="0" fontId="1" fillId="0" borderId="0"/>
    <xf numFmtId="0" fontId="1" fillId="0" borderId="0"/>
    <xf numFmtId="0" fontId="113" fillId="0" borderId="0"/>
    <xf numFmtId="0" fontId="4" fillId="0" borderId="0">
      <alignment vertical="center"/>
    </xf>
    <xf numFmtId="0" fontId="4" fillId="0" borderId="0">
      <alignment vertical="center"/>
    </xf>
    <xf numFmtId="0" fontId="38" fillId="0" borderId="0"/>
    <xf numFmtId="0" fontId="4" fillId="0" borderId="0"/>
    <xf numFmtId="0" fontId="1" fillId="0" borderId="0"/>
    <xf numFmtId="0" fontId="187" fillId="0" borderId="0"/>
    <xf numFmtId="0" fontId="113" fillId="0" borderId="0"/>
    <xf numFmtId="0" fontId="113" fillId="0" borderId="0"/>
    <xf numFmtId="0" fontId="113" fillId="0" borderId="0"/>
    <xf numFmtId="0" fontId="113" fillId="0" borderId="0"/>
    <xf numFmtId="0" fontId="1" fillId="0" borderId="0"/>
    <xf numFmtId="0" fontId="113" fillId="0" borderId="0"/>
    <xf numFmtId="0" fontId="1" fillId="0" borderId="0"/>
    <xf numFmtId="0" fontId="1" fillId="0" borderId="0"/>
    <xf numFmtId="0" fontId="187" fillId="0" borderId="0"/>
    <xf numFmtId="0" fontId="1" fillId="0" borderId="0"/>
    <xf numFmtId="0" fontId="1" fillId="0" borderId="0"/>
    <xf numFmtId="0" fontId="113" fillId="0" borderId="0"/>
    <xf numFmtId="0" fontId="1" fillId="0" borderId="0"/>
    <xf numFmtId="0" fontId="1" fillId="0" borderId="0"/>
    <xf numFmtId="0" fontId="113" fillId="0" borderId="0"/>
    <xf numFmtId="0" fontId="1" fillId="0" borderId="0"/>
    <xf numFmtId="0" fontId="1" fillId="0" borderId="0"/>
    <xf numFmtId="0" fontId="113" fillId="0" borderId="0"/>
    <xf numFmtId="0" fontId="1" fillId="0" borderId="0"/>
    <xf numFmtId="0" fontId="1" fillId="0" borderId="0"/>
    <xf numFmtId="0" fontId="113"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34" fillId="0" borderId="0"/>
    <xf numFmtId="0" fontId="1" fillId="0" borderId="0"/>
    <xf numFmtId="0" fontId="77" fillId="0" borderId="0"/>
    <xf numFmtId="0" fontId="113" fillId="0" borderId="0"/>
    <xf numFmtId="0" fontId="113" fillId="0" borderId="0"/>
    <xf numFmtId="0" fontId="113" fillId="0" borderId="0"/>
    <xf numFmtId="0" fontId="34" fillId="0" borderId="0"/>
    <xf numFmtId="0" fontId="4" fillId="0" borderId="0">
      <alignment vertical="center"/>
    </xf>
    <xf numFmtId="0" fontId="4"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8" fillId="0" borderId="0"/>
    <xf numFmtId="0" fontId="1" fillId="0" borderId="0"/>
    <xf numFmtId="0" fontId="1" fillId="0" borderId="0"/>
    <xf numFmtId="0" fontId="1" fillId="0" borderId="0"/>
    <xf numFmtId="0" fontId="1" fillId="0" borderId="0"/>
    <xf numFmtId="0" fontId="1" fillId="0" borderId="0"/>
    <xf numFmtId="0" fontId="77" fillId="0" borderId="0"/>
    <xf numFmtId="0" fontId="113" fillId="0" borderId="0"/>
    <xf numFmtId="0" fontId="188" fillId="0" borderId="0"/>
    <xf numFmtId="0" fontId="2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3"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3" fillId="0" borderId="0"/>
    <xf numFmtId="0" fontId="113" fillId="0" borderId="0"/>
    <xf numFmtId="0" fontId="77" fillId="0" borderId="0"/>
    <xf numFmtId="0" fontId="113" fillId="0" borderId="0"/>
    <xf numFmtId="0" fontId="113" fillId="0" borderId="0"/>
    <xf numFmtId="0" fontId="113" fillId="0" borderId="0"/>
    <xf numFmtId="0" fontId="113" fillId="0" borderId="0"/>
    <xf numFmtId="0" fontId="113" fillId="0" borderId="0"/>
    <xf numFmtId="0" fontId="4" fillId="0" borderId="0"/>
    <xf numFmtId="0" fontId="4" fillId="0" borderId="0"/>
    <xf numFmtId="0" fontId="1" fillId="0" borderId="0"/>
    <xf numFmtId="0" fontId="113" fillId="0" borderId="0"/>
    <xf numFmtId="0" fontId="45" fillId="0" borderId="0">
      <alignment vertical="top"/>
    </xf>
    <xf numFmtId="0" fontId="114"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 fillId="0" borderId="0"/>
    <xf numFmtId="0" fontId="1" fillId="0" borderId="0"/>
    <xf numFmtId="0" fontId="38" fillId="0" borderId="0"/>
    <xf numFmtId="206" fontId="62" fillId="0" borderId="0" applyNumberFormat="0" applyFill="0" applyBorder="0" applyAlignment="0" applyProtection="0"/>
    <xf numFmtId="38" fontId="189" fillId="0" borderId="0" applyFill="0" applyBorder="0" applyProtection="0"/>
    <xf numFmtId="206" fontId="62" fillId="0" borderId="0" applyNumberFormat="0" applyFill="0" applyBorder="0" applyAlignment="0" applyProtection="0"/>
    <xf numFmtId="327" fontId="51" fillId="0" borderId="0" applyFont="0" applyFill="0" applyBorder="0" applyAlignment="0" applyProtection="0"/>
    <xf numFmtId="328" fontId="4" fillId="52" borderId="5">
      <alignment horizontal="center"/>
    </xf>
    <xf numFmtId="328" fontId="4" fillId="52" borderId="5">
      <alignment horizontal="center"/>
    </xf>
    <xf numFmtId="328" fontId="4" fillId="52" borderId="5">
      <alignment horizontal="center"/>
    </xf>
    <xf numFmtId="328" fontId="4" fillId="0" borderId="0">
      <alignment horizontal="center"/>
    </xf>
    <xf numFmtId="329" fontId="4" fillId="0" borderId="0">
      <alignment horizontal="center"/>
    </xf>
    <xf numFmtId="330" fontId="51" fillId="0" borderId="0"/>
    <xf numFmtId="0" fontId="4" fillId="0" borderId="0" applyFont="0" applyAlignment="0">
      <alignment horizontal="center"/>
    </xf>
    <xf numFmtId="0" fontId="4" fillId="0" borderId="0" applyFont="0" applyAlignment="0">
      <alignment horizontal="center"/>
    </xf>
    <xf numFmtId="0" fontId="4" fillId="0" borderId="0" applyFont="0" applyAlignment="0">
      <alignment horizontal="center"/>
    </xf>
    <xf numFmtId="331" fontId="4" fillId="0" borderId="0"/>
    <xf numFmtId="6" fontId="190" fillId="0" borderId="0">
      <alignment horizontal="center"/>
    </xf>
    <xf numFmtId="0" fontId="38" fillId="0" borderId="0"/>
    <xf numFmtId="0" fontId="51" fillId="33" borderId="2">
      <alignment horizontal="center"/>
      <protection locked="0"/>
    </xf>
    <xf numFmtId="0" fontId="51" fillId="33" borderId="2">
      <alignment horizontal="center"/>
      <protection locked="0"/>
    </xf>
    <xf numFmtId="0" fontId="51" fillId="33" borderId="2">
      <alignment horizontal="center"/>
      <protection locked="0"/>
    </xf>
    <xf numFmtId="0" fontId="51" fillId="33" borderId="2">
      <alignment horizontal="center"/>
      <protection locked="0"/>
    </xf>
    <xf numFmtId="0" fontId="51" fillId="33" borderId="2">
      <alignment horizontal="center"/>
      <protection locked="0"/>
    </xf>
    <xf numFmtId="206" fontId="51" fillId="33" borderId="0">
      <protection locked="0"/>
    </xf>
    <xf numFmtId="0" fontId="51" fillId="33" borderId="0">
      <protection locked="0"/>
    </xf>
    <xf numFmtId="332" fontId="4" fillId="0" borderId="0">
      <alignment horizontal="center" vertical="center"/>
    </xf>
    <xf numFmtId="206" fontId="51" fillId="0" borderId="0"/>
    <xf numFmtId="333" fontId="4" fillId="0" borderId="0"/>
    <xf numFmtId="334" fontId="4" fillId="0" borderId="0">
      <protection locked="0"/>
    </xf>
    <xf numFmtId="335" fontId="51" fillId="0" borderId="0" applyFont="0" applyFill="0" applyBorder="0" applyAlignment="0" applyProtection="0"/>
    <xf numFmtId="336" fontId="51" fillId="0" borderId="0" applyFont="0" applyFill="0" applyBorder="0" applyAlignment="0" applyProtection="0"/>
    <xf numFmtId="0" fontId="4" fillId="65" borderId="2" applyNumberFormat="0" applyFont="0" applyBorder="0" applyAlignment="0" applyProtection="0"/>
    <xf numFmtId="0" fontId="4" fillId="65" borderId="2" applyNumberFormat="0" applyFont="0" applyBorder="0" applyAlignment="0" applyProtection="0"/>
    <xf numFmtId="0" fontId="4" fillId="65" borderId="2" applyNumberFormat="0" applyFont="0" applyBorder="0" applyAlignment="0" applyProtection="0"/>
    <xf numFmtId="0" fontId="4" fillId="65" borderId="2" applyNumberFormat="0" applyFont="0" applyBorder="0" applyAlignment="0" applyProtection="0"/>
    <xf numFmtId="0" fontId="4" fillId="65" borderId="2" applyNumberFormat="0" applyFont="0" applyBorder="0" applyAlignment="0" applyProtection="0"/>
    <xf numFmtId="238" fontId="191" fillId="0" borderId="60" applyNumberFormat="0" applyBorder="0" applyAlignment="0" applyProtection="0">
      <alignment horizontal="center" vertical="center"/>
    </xf>
    <xf numFmtId="0" fontId="4" fillId="66" borderId="61" applyNumberFormat="0" applyFont="0" applyAlignment="0" applyProtection="0"/>
    <xf numFmtId="0" fontId="4" fillId="66" borderId="61" applyNumberFormat="0" applyFont="0" applyAlignment="0" applyProtection="0"/>
    <xf numFmtId="0" fontId="4" fillId="66" borderId="61" applyNumberFormat="0" applyFont="0" applyAlignment="0" applyProtection="0"/>
    <xf numFmtId="0" fontId="4" fillId="66" borderId="61" applyNumberFormat="0" applyFont="0" applyAlignment="0" applyProtection="0"/>
    <xf numFmtId="0" fontId="4" fillId="66" borderId="61" applyNumberFormat="0" applyFont="0" applyAlignment="0" applyProtection="0"/>
    <xf numFmtId="0" fontId="4" fillId="66" borderId="61" applyNumberFormat="0" applyFont="0" applyAlignment="0" applyProtection="0"/>
    <xf numFmtId="337" fontId="192" fillId="0" borderId="0"/>
    <xf numFmtId="40" fontId="193" fillId="0" borderId="0" applyFill="0" applyBorder="0" applyProtection="0"/>
    <xf numFmtId="338" fontId="51" fillId="0" borderId="0" applyFont="0" applyFill="0" applyBorder="0" applyAlignment="0" applyProtection="0"/>
    <xf numFmtId="38" fontId="194" fillId="0" borderId="0"/>
    <xf numFmtId="37" fontId="22" fillId="0" borderId="0"/>
    <xf numFmtId="0" fontId="4" fillId="0" borderId="0"/>
    <xf numFmtId="0" fontId="4" fillId="0" borderId="0"/>
    <xf numFmtId="339" fontId="77" fillId="0" borderId="0" applyFont="0" applyFill="0" applyBorder="0" applyProtection="0"/>
    <xf numFmtId="340" fontId="77" fillId="0" borderId="0" applyFont="0" applyFill="0" applyBorder="0" applyProtection="0"/>
    <xf numFmtId="341" fontId="77" fillId="0" borderId="0" applyFont="0" applyFill="0" applyBorder="0" applyProtection="0"/>
    <xf numFmtId="0" fontId="4" fillId="0" borderId="0"/>
    <xf numFmtId="342" fontId="4" fillId="0" borderId="0"/>
    <xf numFmtId="342" fontId="4" fillId="0" borderId="0"/>
    <xf numFmtId="342" fontId="4" fillId="0" borderId="0"/>
    <xf numFmtId="37" fontId="4" fillId="0" borderId="0"/>
    <xf numFmtId="343" fontId="4" fillId="0" borderId="0" applyNumberFormat="0" applyFill="0" applyBorder="0" applyAlignment="0" applyProtection="0"/>
    <xf numFmtId="0" fontId="62"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95"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234" fontId="4" fillId="0" borderId="0" applyNumberFormat="0" applyFill="0" applyBorder="0" applyAlignment="0" applyProtection="0"/>
    <xf numFmtId="4" fontId="4" fillId="0" borderId="0"/>
    <xf numFmtId="344" fontId="51" fillId="0" borderId="0" applyFont="0" applyFill="0" applyBorder="0" applyAlignment="0" applyProtection="0"/>
    <xf numFmtId="218" fontId="4" fillId="0" borderId="0" applyFont="0" applyFill="0" applyBorder="0" applyAlignment="0" applyProtection="0"/>
    <xf numFmtId="285" fontId="4" fillId="0" borderId="0" applyFont="0" applyFill="0" applyBorder="0" applyAlignment="0" applyProtection="0"/>
    <xf numFmtId="40" fontId="196" fillId="0" borderId="0" applyFont="0" applyFill="0" applyBorder="0" applyAlignment="0" applyProtection="0"/>
    <xf numFmtId="38" fontId="196" fillId="0" borderId="0" applyFont="0" applyFill="0" applyBorder="0" applyAlignment="0" applyProtection="0"/>
    <xf numFmtId="0" fontId="4" fillId="0" borderId="0">
      <alignment horizontal="left" vertical="top"/>
      <protection locked="0"/>
    </xf>
    <xf numFmtId="0" fontId="197" fillId="0" borderId="0">
      <alignment horizontal="left"/>
    </xf>
    <xf numFmtId="345" fontId="4" fillId="0" borderId="0"/>
    <xf numFmtId="345" fontId="4" fillId="0" borderId="0"/>
    <xf numFmtId="40" fontId="45" fillId="55" borderId="0">
      <alignment horizontal="right"/>
    </xf>
    <xf numFmtId="0" fontId="198" fillId="42" borderId="0">
      <alignment horizontal="center"/>
    </xf>
    <xf numFmtId="0" fontId="199" fillId="67" borderId="0"/>
    <xf numFmtId="0" fontId="200" fillId="0" borderId="0"/>
    <xf numFmtId="9" fontId="201" fillId="0" borderId="0" applyBorder="0">
      <alignment horizontal="right"/>
    </xf>
    <xf numFmtId="0" fontId="200" fillId="0" borderId="0"/>
    <xf numFmtId="0" fontId="202" fillId="55" borderId="0" applyBorder="0">
      <alignment horizontal="centerContinuous"/>
    </xf>
    <xf numFmtId="0" fontId="203" fillId="67" borderId="0" applyBorder="0">
      <alignment horizontal="centerContinuous"/>
    </xf>
    <xf numFmtId="216" fontId="4" fillId="0" borderId="0" applyFont="0" applyFill="0" applyBorder="0" applyAlignment="0" applyProtection="0"/>
    <xf numFmtId="346" fontId="4" fillId="0" borderId="0" applyFont="0" applyFill="0" applyBorder="0" applyAlignment="0" applyProtection="0"/>
    <xf numFmtId="0" fontId="37" fillId="68" borderId="0" applyNumberFormat="0" applyFont="0" applyBorder="0" applyAlignment="0" applyProtection="0"/>
    <xf numFmtId="0" fontId="37" fillId="69" borderId="0" applyNumberFormat="0" applyFont="0" applyBorder="0" applyAlignment="0" applyProtection="0"/>
    <xf numFmtId="0" fontId="37" fillId="70" borderId="0" applyNumberFormat="0" applyFont="0" applyBorder="0" applyAlignment="0" applyProtection="0">
      <alignment horizontal="center"/>
    </xf>
    <xf numFmtId="0" fontId="37" fillId="71" borderId="62" applyNumberFormat="0" applyFont="0" applyBorder="0" applyAlignment="0" applyProtection="0"/>
    <xf numFmtId="0" fontId="37" fillId="72" borderId="62" applyNumberFormat="0" applyFont="0" applyBorder="0" applyAlignment="0"/>
    <xf numFmtId="0" fontId="37" fillId="73" borderId="62" applyNumberFormat="0" applyFont="0" applyBorder="0" applyAlignment="0"/>
    <xf numFmtId="0" fontId="51" fillId="74" borderId="0" applyNumberFormat="0" applyFont="0" applyBorder="0" applyAlignment="0" applyProtection="0">
      <alignment horizontal="center"/>
      <protection hidden="1"/>
    </xf>
    <xf numFmtId="0" fontId="204" fillId="0" borderId="0" applyFill="0" applyBorder="0" applyProtection="0">
      <alignment horizontal="left"/>
    </xf>
    <xf numFmtId="0" fontId="205" fillId="0" borderId="0" applyFill="0" applyBorder="0" applyProtection="0">
      <alignment horizontal="left"/>
    </xf>
    <xf numFmtId="0" fontId="4" fillId="0" borderId="0"/>
    <xf numFmtId="0" fontId="206" fillId="0" borderId="0"/>
    <xf numFmtId="0" fontId="4" fillId="39" borderId="0" applyNumberFormat="0" applyFont="0" applyBorder="0" applyAlignment="0" applyProtection="0">
      <protection hidden="1"/>
    </xf>
    <xf numFmtId="0" fontId="4" fillId="75" borderId="0" applyNumberFormat="0" applyFont="0" applyBorder="0" applyAlignment="0" applyProtection="0">
      <protection hidden="1"/>
    </xf>
    <xf numFmtId="0" fontId="4" fillId="76" borderId="0" applyNumberFormat="0" applyFont="0" applyBorder="0" applyAlignment="0" applyProtection="0">
      <protection hidden="1"/>
    </xf>
    <xf numFmtId="0" fontId="4" fillId="77" borderId="0" applyNumberFormat="0" applyFont="0" applyBorder="0" applyAlignment="0" applyProtection="0">
      <protection hidden="1"/>
    </xf>
    <xf numFmtId="0" fontId="4" fillId="78" borderId="0" applyNumberFormat="0" applyFont="0" applyBorder="0" applyAlignment="0" applyProtection="0">
      <protection hidden="1"/>
    </xf>
    <xf numFmtId="0" fontId="4" fillId="79" borderId="0" applyNumberFormat="0" applyFont="0" applyBorder="0" applyAlignment="0" applyProtection="0">
      <protection hidden="1"/>
    </xf>
    <xf numFmtId="347" fontId="51" fillId="0" borderId="0"/>
    <xf numFmtId="10" fontId="194" fillId="0" borderId="0"/>
    <xf numFmtId="14" fontId="64" fillId="0" borderId="0">
      <alignment horizontal="center" wrapText="1"/>
      <protection locked="0"/>
    </xf>
    <xf numFmtId="10" fontId="37" fillId="0" borderId="0"/>
    <xf numFmtId="348" fontId="111" fillId="0" borderId="0" applyFont="0" applyFill="0" applyBorder="0" applyAlignment="0" applyProtection="0"/>
    <xf numFmtId="349" fontId="22" fillId="0" borderId="0" applyFont="0" applyFill="0" applyBorder="0" applyAlignment="0" applyProtection="0"/>
    <xf numFmtId="350" fontId="4" fillId="0" borderId="0" applyFont="0" applyFill="0" applyBorder="0" applyAlignment="0" applyProtection="0"/>
    <xf numFmtId="351" fontId="4" fillId="0" borderId="0" applyFont="0" applyFill="0" applyBorder="0" applyAlignment="0" applyProtection="0"/>
    <xf numFmtId="0" fontId="51" fillId="0" borderId="0"/>
    <xf numFmtId="352" fontId="4" fillId="0" borderId="0" applyFont="0"/>
    <xf numFmtId="10" fontId="22" fillId="0" borderId="0" applyFont="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259" fontId="38" fillId="0" borderId="0" applyFont="0" applyFill="0" applyBorder="0" applyAlignment="0" applyProtection="0"/>
    <xf numFmtId="173" fontId="34" fillId="0" borderId="0" applyFont="0" applyFill="0" applyBorder="0" applyAlignment="0" applyProtection="0"/>
    <xf numFmtId="303" fontId="135" fillId="0" borderId="0" applyFill="0" applyBorder="0" applyAlignment="0" applyProtection="0"/>
    <xf numFmtId="173" fontId="34" fillId="0" borderId="0" applyFont="0" applyFill="0" applyBorder="0" applyAlignment="0" applyProtection="0"/>
    <xf numFmtId="353" fontId="135" fillId="33" borderId="2" applyFill="0" applyBorder="0" applyAlignment="0" applyProtection="0">
      <alignment horizontal="right"/>
      <protection locked="0"/>
    </xf>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0" fontId="22" fillId="33" borderId="0" applyFont="0" applyFill="0" applyBorder="0" applyAlignment="0" applyProtection="0"/>
    <xf numFmtId="0" fontId="22" fillId="33"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77"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3" fillId="0" borderId="0" applyFont="0" applyFill="0" applyBorder="0" applyAlignment="0" applyProtection="0"/>
    <xf numFmtId="9" fontId="1" fillId="0" borderId="0" applyFont="0" applyFill="0" applyBorder="0" applyAlignment="0" applyProtection="0"/>
    <xf numFmtId="9" fontId="1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354" fontId="64" fillId="0" borderId="0" applyFont="0" applyFill="0" applyBorder="0" applyProtection="0">
      <alignment horizontal="right"/>
    </xf>
    <xf numFmtId="355" fontId="4" fillId="0" borderId="0" applyFont="0" applyFill="0" applyBorder="0" applyAlignment="0" applyProtection="0"/>
    <xf numFmtId="355" fontId="4" fillId="0" borderId="0" applyFont="0" applyFill="0" applyBorder="0" applyAlignment="0" applyProtection="0"/>
    <xf numFmtId="355" fontId="4" fillId="0" borderId="0" applyFont="0" applyFill="0" applyBorder="0" applyAlignment="0" applyProtection="0"/>
    <xf numFmtId="173" fontId="4" fillId="0" borderId="0" applyFill="0" applyBorder="0"/>
    <xf numFmtId="356" fontId="4" fillId="0" borderId="0" applyFont="0" applyFill="0" applyBorder="0" applyAlignment="0" applyProtection="0">
      <alignment horizontal="left"/>
    </xf>
    <xf numFmtId="356" fontId="4" fillId="0" borderId="0" applyFont="0" applyFill="0" applyBorder="0" applyAlignment="0" applyProtection="0">
      <alignment horizontal="left"/>
    </xf>
    <xf numFmtId="356" fontId="4" fillId="0" borderId="0" applyFont="0" applyFill="0" applyBorder="0" applyAlignment="0" applyProtection="0">
      <alignment horizontal="left"/>
    </xf>
    <xf numFmtId="10" fontId="79" fillId="37" borderId="0"/>
    <xf numFmtId="0" fontId="71" fillId="0" borderId="0"/>
    <xf numFmtId="0" fontId="207" fillId="0" borderId="0" applyNumberFormat="0"/>
    <xf numFmtId="357" fontId="103" fillId="0" borderId="0" applyFont="0" applyFill="0" applyBorder="0" applyAlignment="0" applyProtection="0">
      <alignment horizontal="left" vertical="center"/>
    </xf>
    <xf numFmtId="37" fontId="208" fillId="0" borderId="0"/>
    <xf numFmtId="0" fontId="38" fillId="0" borderId="0" applyNumberFormat="0" applyFont="0" applyFill="0" applyBorder="0" applyAlignment="0" applyProtection="0">
      <alignment horizontal="left"/>
    </xf>
    <xf numFmtId="15" fontId="38" fillId="0" borderId="0" applyFont="0" applyFill="0" applyBorder="0" applyAlignment="0" applyProtection="0"/>
    <xf numFmtId="4" fontId="38" fillId="0" borderId="0" applyFont="0" applyFill="0" applyBorder="0" applyAlignment="0" applyProtection="0"/>
    <xf numFmtId="0" fontId="25" fillId="0" borderId="31">
      <alignment horizontal="center"/>
    </xf>
    <xf numFmtId="3" fontId="38" fillId="0" borderId="0" applyFont="0" applyFill="0" applyBorder="0" applyAlignment="0" applyProtection="0"/>
    <xf numFmtId="0" fontId="38" fillId="47" borderId="0" applyNumberFormat="0" applyFont="0" applyBorder="0" applyAlignment="0" applyProtection="0"/>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37" fontId="51" fillId="48" borderId="0"/>
    <xf numFmtId="206" fontId="209" fillId="0" borderId="0" applyNumberFormat="0" applyFill="0" applyBorder="0" applyAlignment="0" applyProtection="0"/>
    <xf numFmtId="0" fontId="210" fillId="80" borderId="0" applyNumberFormat="0" applyFont="0" applyBorder="0" applyAlignment="0">
      <alignment horizontal="center"/>
    </xf>
    <xf numFmtId="0" fontId="208" fillId="0" borderId="0" applyNumberFormat="0" applyProtection="0">
      <alignment horizontal="center" wrapText="1"/>
    </xf>
    <xf numFmtId="0" fontId="208" fillId="0" borderId="0" applyNumberFormat="0" applyProtection="0">
      <alignment horizontal="center" wrapText="1"/>
    </xf>
    <xf numFmtId="263" fontId="153" fillId="0" borderId="0" applyNumberFormat="0" applyFill="0" applyBorder="0" applyAlignment="0" applyProtection="0">
      <alignment horizontal="left"/>
    </xf>
    <xf numFmtId="0" fontId="4" fillId="0" borderId="0" applyNumberFormat="0" applyFont="0" applyFill="0" applyBorder="0">
      <alignment horizontal="right"/>
    </xf>
    <xf numFmtId="49" fontId="42" fillId="52" borderId="5" applyNumberFormat="0">
      <alignment vertical="center"/>
    </xf>
    <xf numFmtId="49" fontId="42" fillId="52" borderId="5" applyNumberFormat="0">
      <alignment vertical="center"/>
    </xf>
    <xf numFmtId="49" fontId="42" fillId="52" borderId="5" applyNumberFormat="0">
      <alignment vertical="center"/>
    </xf>
    <xf numFmtId="210" fontId="22" fillId="0" borderId="0">
      <alignment horizontal="center"/>
    </xf>
    <xf numFmtId="0" fontId="187" fillId="0" borderId="0">
      <alignment wrapText="1"/>
    </xf>
    <xf numFmtId="0" fontId="187" fillId="0" borderId="0">
      <alignment wrapText="1"/>
    </xf>
    <xf numFmtId="0" fontId="22" fillId="0" borderId="2"/>
    <xf numFmtId="0" fontId="22" fillId="0" borderId="2"/>
    <xf numFmtId="0" fontId="22" fillId="0" borderId="2"/>
    <xf numFmtId="0" fontId="22" fillId="0" borderId="2"/>
    <xf numFmtId="0" fontId="22" fillId="0" borderId="2"/>
    <xf numFmtId="0" fontId="22" fillId="0" borderId="2"/>
    <xf numFmtId="0" fontId="22" fillId="0" borderId="2"/>
    <xf numFmtId="0" fontId="22" fillId="0" borderId="2"/>
    <xf numFmtId="0" fontId="22" fillId="0" borderId="2"/>
    <xf numFmtId="0" fontId="22" fillId="0" borderId="2"/>
    <xf numFmtId="0" fontId="208" fillId="37" borderId="0">
      <alignment horizontal="center" wrapText="1"/>
    </xf>
    <xf numFmtId="0" fontId="208" fillId="37" borderId="0">
      <alignment horizontal="center" wrapText="1"/>
    </xf>
    <xf numFmtId="0" fontId="4" fillId="33" borderId="63"/>
    <xf numFmtId="0" fontId="4" fillId="33" borderId="63"/>
    <xf numFmtId="0" fontId="4" fillId="33" borderId="63"/>
    <xf numFmtId="0" fontId="4" fillId="33" borderId="63"/>
    <xf numFmtId="0" fontId="4" fillId="33" borderId="63"/>
    <xf numFmtId="0" fontId="4" fillId="33" borderId="63"/>
    <xf numFmtId="0" fontId="4" fillId="33" borderId="63"/>
    <xf numFmtId="0" fontId="4" fillId="33" borderId="63"/>
    <xf numFmtId="0" fontId="4" fillId="33" borderId="63"/>
    <xf numFmtId="0" fontId="22" fillId="81" borderId="0" applyNumberFormat="0" applyFont="0" applyBorder="0" applyAlignment="0" applyProtection="0"/>
    <xf numFmtId="0" fontId="210" fillId="1" borderId="5" applyNumberFormat="0" applyFont="0" applyAlignment="0">
      <alignment horizontal="center"/>
    </xf>
    <xf numFmtId="0" fontId="210" fillId="1" borderId="5" applyNumberFormat="0" applyFont="0" applyAlignment="0">
      <alignment horizontal="center"/>
    </xf>
    <xf numFmtId="0" fontId="210" fillId="1" borderId="5" applyNumberFormat="0" applyFont="0" applyAlignment="0">
      <alignment horizontal="center"/>
    </xf>
    <xf numFmtId="0" fontId="63" fillId="0" borderId="0"/>
    <xf numFmtId="0" fontId="4" fillId="0" borderId="0"/>
    <xf numFmtId="0" fontId="4" fillId="0" borderId="0"/>
    <xf numFmtId="0" fontId="4" fillId="0" borderId="0"/>
    <xf numFmtId="0" fontId="153" fillId="0" borderId="64"/>
    <xf numFmtId="0" fontId="211" fillId="0" borderId="0" applyNumberFormat="0" applyFill="0" applyBorder="0" applyAlignment="0">
      <alignment horizontal="center"/>
    </xf>
    <xf numFmtId="0" fontId="4" fillId="0" borderId="0" applyNumberFormat="0" applyFont="0" applyFill="0" applyBorder="0" applyAlignment="0" applyProtection="0"/>
    <xf numFmtId="270" fontId="4" fillId="0" borderId="0">
      <alignment horizontal="left"/>
    </xf>
    <xf numFmtId="0" fontId="39" fillId="0" borderId="0">
      <alignment vertical="center"/>
    </xf>
    <xf numFmtId="0" fontId="39" fillId="0" borderId="0">
      <alignment vertical="center"/>
    </xf>
    <xf numFmtId="0" fontId="34" fillId="0" borderId="0"/>
    <xf numFmtId="0" fontId="34" fillId="0" borderId="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2" fillId="0" borderId="0" applyNumberFormat="0" applyFill="0" applyBorder="0" applyProtection="0">
      <alignment horizontal="left"/>
    </xf>
    <xf numFmtId="0" fontId="4" fillId="0" borderId="0" applyNumberFormat="0" applyFill="0" applyBorder="0" applyAlignment="0" applyProtection="0"/>
    <xf numFmtId="0" fontId="42" fillId="0" borderId="0" applyNumberFormat="0" applyFill="0" applyBorder="0" applyProtection="0">
      <alignment horizontal="center" wrapText="1"/>
    </xf>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4" fillId="0" borderId="0" applyNumberFormat="0" applyFill="0" applyBorder="0" applyAlignment="0" applyProtection="0"/>
    <xf numFmtId="0" fontId="34" fillId="0" borderId="0"/>
    <xf numFmtId="0" fontId="34" fillId="0" borderId="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34" fillId="0" borderId="0"/>
    <xf numFmtId="0" fontId="34" fillId="0" borderId="0"/>
    <xf numFmtId="0" fontId="4" fillId="0" borderId="0"/>
    <xf numFmtId="0" fontId="4" fillId="0" borderId="0" applyNumberFormat="0" applyFill="0" applyBorder="0" applyAlignment="0" applyProtection="0"/>
    <xf numFmtId="0" fontId="34" fillId="0" borderId="0"/>
    <xf numFmtId="1" fontId="4" fillId="0" borderId="0" applyFill="0" applyBorder="0">
      <alignment horizontal="center"/>
    </xf>
    <xf numFmtId="0" fontId="45" fillId="0" borderId="0" applyNumberFormat="0" applyBorder="0" applyAlignment="0"/>
    <xf numFmtId="0" fontId="208" fillId="0" borderId="0">
      <alignment horizontal="left"/>
    </xf>
    <xf numFmtId="0" fontId="208" fillId="0" borderId="0">
      <alignment horizontal="left"/>
    </xf>
    <xf numFmtId="0" fontId="212" fillId="0" borderId="0"/>
    <xf numFmtId="241" fontId="42" fillId="0" borderId="5"/>
    <xf numFmtId="242" fontId="4" fillId="0" borderId="5"/>
    <xf numFmtId="242" fontId="4" fillId="0" borderId="5"/>
    <xf numFmtId="242" fontId="4" fillId="0" borderId="5"/>
    <xf numFmtId="242" fontId="4" fillId="0" borderId="5"/>
    <xf numFmtId="242" fontId="4" fillId="0" borderId="5"/>
    <xf numFmtId="242" fontId="4" fillId="0" borderId="5"/>
    <xf numFmtId="241" fontId="42" fillId="0" borderId="5"/>
    <xf numFmtId="241" fontId="42" fillId="0" borderId="5"/>
    <xf numFmtId="240" fontId="42" fillId="0" borderId="5" applyFill="0" applyAlignment="0" applyProtection="0">
      <alignment horizontal="left"/>
    </xf>
    <xf numFmtId="240" fontId="42" fillId="0" borderId="5" applyFill="0" applyAlignment="0" applyProtection="0">
      <alignment horizontal="left"/>
    </xf>
    <xf numFmtId="240" fontId="42" fillId="0" borderId="5" applyFill="0" applyAlignment="0" applyProtection="0">
      <alignment horizontal="left"/>
    </xf>
    <xf numFmtId="358" fontId="208"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358" fontId="208" fillId="33" borderId="2"/>
    <xf numFmtId="358" fontId="208" fillId="33" borderId="2"/>
    <xf numFmtId="358" fontId="208" fillId="33" borderId="2"/>
    <xf numFmtId="358" fontId="208" fillId="33" borderId="2"/>
    <xf numFmtId="0" fontId="213" fillId="0" borderId="65" applyNumberFormat="0" applyAlignment="0" applyProtection="0"/>
    <xf numFmtId="0" fontId="214" fillId="0" borderId="65" applyNumberFormat="0" applyAlignment="0" applyProtection="0">
      <alignment horizontal="left" vertical="top"/>
    </xf>
    <xf numFmtId="0" fontId="215" fillId="0" borderId="0" applyNumberFormat="0" applyProtection="0">
      <alignment horizontal="left" vertical="top"/>
    </xf>
    <xf numFmtId="0" fontId="4" fillId="0" borderId="0" applyNumberFormat="0" applyFont="0" applyAlignment="0" applyProtection="0"/>
    <xf numFmtId="0" fontId="215" fillId="0" borderId="0" applyNumberFormat="0" applyFill="0" applyBorder="0" applyProtection="0"/>
    <xf numFmtId="0" fontId="216" fillId="0" borderId="0" applyNumberFormat="0" applyFill="0" applyBorder="0" applyProtection="0">
      <alignment vertical="top"/>
    </xf>
    <xf numFmtId="0" fontId="217" fillId="0" borderId="5" applyNumberFormat="0" applyProtection="0">
      <alignment horizontal="left" vertical="top"/>
    </xf>
    <xf numFmtId="0" fontId="217" fillId="0" borderId="5" applyNumberFormat="0" applyProtection="0">
      <alignment horizontal="left" vertical="top"/>
    </xf>
    <xf numFmtId="0" fontId="217" fillId="0" borderId="5" applyNumberFormat="0" applyProtection="0">
      <alignment horizontal="left" vertical="top"/>
    </xf>
    <xf numFmtId="0" fontId="217" fillId="0" borderId="5" applyNumberFormat="0" applyProtection="0">
      <alignment horizontal="right" vertical="top"/>
    </xf>
    <xf numFmtId="0" fontId="217" fillId="0" borderId="5" applyNumberFormat="0" applyProtection="0">
      <alignment horizontal="right" vertical="top"/>
    </xf>
    <xf numFmtId="0" fontId="217" fillId="0" borderId="5" applyNumberFormat="0" applyProtection="0">
      <alignment horizontal="right" vertical="top"/>
    </xf>
    <xf numFmtId="0" fontId="214" fillId="0" borderId="0" applyNumberFormat="0" applyProtection="0">
      <alignment horizontal="left" vertical="top"/>
    </xf>
    <xf numFmtId="0" fontId="214" fillId="0" borderId="0" applyNumberFormat="0" applyProtection="0">
      <alignment horizontal="right" vertical="top"/>
    </xf>
    <xf numFmtId="0" fontId="213" fillId="0" borderId="0" applyNumberFormat="0" applyProtection="0">
      <alignment horizontal="left" vertical="top"/>
    </xf>
    <xf numFmtId="0" fontId="213" fillId="0" borderId="0" applyNumberFormat="0" applyProtection="0">
      <alignment horizontal="right" vertical="top"/>
    </xf>
    <xf numFmtId="0" fontId="4" fillId="0" borderId="66" applyNumberFormat="0" applyFont="0" applyAlignment="0" applyProtection="0"/>
    <xf numFmtId="0" fontId="4" fillId="0" borderId="57" applyNumberFormat="0" applyFont="0" applyAlignment="0" applyProtection="0"/>
    <xf numFmtId="0" fontId="4" fillId="0" borderId="67" applyNumberFormat="0" applyFont="0" applyAlignment="0" applyProtection="0"/>
    <xf numFmtId="10" fontId="218" fillId="0" borderId="0" applyNumberFormat="0" applyFill="0" applyBorder="0" applyProtection="0">
      <alignment horizontal="right" vertical="top"/>
    </xf>
    <xf numFmtId="0" fontId="214" fillId="0" borderId="5" applyNumberFormat="0" applyFill="0" applyAlignment="0" applyProtection="0"/>
    <xf numFmtId="0" fontId="214" fillId="0" borderId="5" applyNumberFormat="0" applyFill="0" applyAlignment="0" applyProtection="0"/>
    <xf numFmtId="0" fontId="214" fillId="0" borderId="5" applyNumberFormat="0" applyFill="0" applyAlignment="0" applyProtection="0"/>
    <xf numFmtId="0" fontId="213" fillId="0" borderId="39" applyNumberFormat="0" applyFont="0" applyFill="0" applyAlignment="0" applyProtection="0">
      <alignment horizontal="left" vertical="top"/>
    </xf>
    <xf numFmtId="0" fontId="213" fillId="0" borderId="39" applyNumberFormat="0" applyFont="0" applyFill="0" applyAlignment="0" applyProtection="0">
      <alignment horizontal="left" vertical="top"/>
    </xf>
    <xf numFmtId="0" fontId="213" fillId="0" borderId="39" applyNumberFormat="0" applyFont="0" applyFill="0" applyAlignment="0" applyProtection="0">
      <alignment horizontal="lef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9" fillId="0" borderId="0" applyFill="0" applyBorder="0" applyProtection="0">
      <alignment horizontal="center" vertical="center"/>
    </xf>
    <xf numFmtId="0" fontId="219" fillId="0" borderId="0" applyFill="0" applyBorder="0" applyProtection="0"/>
    <xf numFmtId="0" fontId="42" fillId="0" borderId="0" applyFill="0" applyBorder="0" applyProtection="0">
      <alignment horizontal="left"/>
    </xf>
    <xf numFmtId="0" fontId="220" fillId="0" borderId="0" applyFill="0" applyBorder="0" applyProtection="0">
      <alignment horizontal="left" vertical="top"/>
    </xf>
    <xf numFmtId="0" fontId="4" fillId="40" borderId="0" applyNumberFormat="0" applyBorder="0" applyProtection="0">
      <alignment vertical="top" wrapText="1"/>
    </xf>
    <xf numFmtId="0" fontId="4" fillId="40" borderId="0" applyNumberFormat="0" applyBorder="0" applyProtection="0">
      <alignment vertical="top" wrapText="1"/>
    </xf>
    <xf numFmtId="0" fontId="4" fillId="40" borderId="0" applyNumberFormat="0" applyBorder="0" applyProtection="0">
      <alignment vertical="top" wrapText="1"/>
    </xf>
    <xf numFmtId="49" fontId="4" fillId="82" borderId="0" applyFont="0" applyBorder="0" applyAlignment="0" applyProtection="0"/>
    <xf numFmtId="49" fontId="4" fillId="82" borderId="0" applyFont="0" applyBorder="0" applyAlignment="0" applyProtection="0"/>
    <xf numFmtId="49" fontId="4" fillId="82" borderId="0" applyFont="0" applyBorder="0" applyAlignment="0" applyProtection="0"/>
    <xf numFmtId="49" fontId="4" fillId="0" borderId="0"/>
    <xf numFmtId="49" fontId="4" fillId="0" borderId="0"/>
    <xf numFmtId="49" fontId="4" fillId="0" borderId="0"/>
    <xf numFmtId="0" fontId="4" fillId="0" borderId="0"/>
    <xf numFmtId="14" fontId="4" fillId="0" borderId="0"/>
    <xf numFmtId="168" fontId="4" fillId="0" borderId="0"/>
    <xf numFmtId="168" fontId="4" fillId="0" borderId="0"/>
    <xf numFmtId="38" fontId="221" fillId="0" borderId="0" applyNumberFormat="0" applyFill="0" applyBorder="0" applyProtection="0">
      <alignment horizontal="center"/>
    </xf>
    <xf numFmtId="0" fontId="88" fillId="0" borderId="0" applyNumberFormat="0" applyFill="0" applyBorder="0" applyAlignment="0" applyProtection="0"/>
    <xf numFmtId="0" fontId="88" fillId="0" borderId="0" applyNumberFormat="0" applyFill="0" applyBorder="0" applyAlignment="0" applyProtection="0"/>
    <xf numFmtId="0" fontId="222" fillId="0" borderId="0" applyNumberFormat="0" applyFill="0" applyBorder="0" applyAlignment="0" applyProtection="0"/>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37" fontId="223" fillId="0" borderId="0" applyNumberFormat="0">
      <alignment horizontal="center"/>
    </xf>
    <xf numFmtId="0" fontId="224" fillId="0" borderId="0" applyNumberFormat="0" applyFill="0" applyBorder="0" applyAlignment="0" applyProtection="0"/>
    <xf numFmtId="0" fontId="219" fillId="0" borderId="0" applyNumberFormat="0" applyFill="0" applyBorder="0" applyAlignment="0" applyProtection="0"/>
    <xf numFmtId="0" fontId="219" fillId="0" borderId="0" applyNumberFormat="0" applyFill="0" applyBorder="0" applyAlignment="0" applyProtection="0"/>
    <xf numFmtId="0" fontId="22" fillId="37" borderId="0"/>
    <xf numFmtId="337" fontId="77" fillId="0" borderId="39" applyNumberFormat="0" applyFont="0" applyFill="0" applyAlignment="0" applyProtection="0">
      <alignment horizontal="right" vertical="center"/>
    </xf>
    <xf numFmtId="337" fontId="77" fillId="0" borderId="39" applyNumberFormat="0" applyFont="0" applyFill="0" applyAlignment="0" applyProtection="0">
      <alignment horizontal="right" vertical="center"/>
    </xf>
    <xf numFmtId="337" fontId="77" fillId="0" borderId="39" applyNumberFormat="0" applyFont="0" applyFill="0" applyAlignment="0" applyProtection="0">
      <alignment horizontal="right" vertical="center"/>
    </xf>
    <xf numFmtId="0" fontId="22" fillId="0" borderId="68">
      <alignment horizontal="right"/>
    </xf>
    <xf numFmtId="292" fontId="4" fillId="0" borderId="68">
      <alignment horizontal="right"/>
    </xf>
    <xf numFmtId="292" fontId="4" fillId="0" borderId="68">
      <alignment horizontal="right"/>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51" fillId="40" borderId="0" applyNumberFormat="0" applyBorder="0" applyAlignment="0" applyProtection="0"/>
    <xf numFmtId="37" fontId="51" fillId="0" borderId="0"/>
    <xf numFmtId="37" fontId="51" fillId="0" borderId="0"/>
    <xf numFmtId="3" fontId="133" fillId="0" borderId="55" applyProtection="0"/>
    <xf numFmtId="0" fontId="22" fillId="55" borderId="0" applyNumberFormat="0" applyFont="0" applyAlignment="0">
      <alignment horizontal="right"/>
    </xf>
    <xf numFmtId="224" fontId="183" fillId="0" borderId="0" applyFont="0" applyFill="0" applyBorder="0" applyAlignment="0" applyProtection="0"/>
    <xf numFmtId="359" fontId="4" fillId="0" borderId="0" applyFont="0" applyFill="0" applyBorder="0" applyAlignment="0" applyProtection="0"/>
    <xf numFmtId="359" fontId="4" fillId="0" borderId="0" applyFont="0" applyFill="0" applyBorder="0" applyAlignment="0" applyProtection="0"/>
    <xf numFmtId="0" fontId="38" fillId="83" borderId="0" applyNumberFormat="0" applyFont="0" applyBorder="0" applyAlignment="0" applyProtection="0">
      <protection locked="0"/>
    </xf>
    <xf numFmtId="0" fontId="38" fillId="83" borderId="0" applyNumberFormat="0" applyFont="0" applyBorder="0" applyAlignment="0" applyProtection="0">
      <protection locked="0"/>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226" fillId="33" borderId="14" applyNumberFormat="0" applyFill="0" applyBorder="0">
      <alignment horizontal="center"/>
    </xf>
    <xf numFmtId="0" fontId="226" fillId="33" borderId="14" applyNumberFormat="0" applyFill="0" applyBorder="0">
      <alignment horizontal="center"/>
    </xf>
    <xf numFmtId="0" fontId="226" fillId="33" borderId="14" applyNumberFormat="0" applyFill="0" applyBorder="0">
      <alignment horizontal="center"/>
    </xf>
    <xf numFmtId="209" fontId="64" fillId="0" borderId="0" applyFont="0" applyFill="0" applyBorder="0" applyProtection="0">
      <alignment horizontal="right"/>
    </xf>
    <xf numFmtId="0" fontId="24" fillId="0" borderId="0"/>
    <xf numFmtId="43" fontId="66" fillId="0" borderId="0" applyFont="0" applyFill="0" applyBorder="0" applyAlignment="0" applyProtection="0"/>
    <xf numFmtId="41" fontId="66" fillId="0" borderId="0" applyFont="0" applyFill="0" applyBorder="0" applyAlignment="0" applyProtection="0"/>
    <xf numFmtId="0" fontId="195" fillId="0" borderId="0"/>
    <xf numFmtId="44" fontId="66" fillId="0" borderId="0" applyFont="0" applyFill="0" applyBorder="0" applyAlignment="0" applyProtection="0"/>
    <xf numFmtId="42" fontId="66" fillId="0" borderId="0" applyFont="0" applyFill="0" applyBorder="0" applyAlignment="0" applyProtection="0"/>
    <xf numFmtId="0" fontId="227" fillId="0" borderId="0"/>
    <xf numFmtId="0" fontId="235" fillId="0" borderId="0" applyNumberFormat="0" applyFill="0" applyBorder="0" applyAlignment="0" applyProtection="0"/>
    <xf numFmtId="0" fontId="10" fillId="5"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cellStyleXfs>
  <cellXfs count="151">
    <xf numFmtId="0" fontId="0" fillId="0" borderId="0" xfId="0"/>
    <xf numFmtId="0" fontId="0" fillId="0" borderId="0" xfId="0" applyAlignment="1">
      <alignment vertical="top"/>
    </xf>
    <xf numFmtId="0" fontId="0" fillId="0" borderId="0" xfId="0" applyAlignment="1">
      <alignment wrapText="1"/>
    </xf>
    <xf numFmtId="0" fontId="2" fillId="0" borderId="0" xfId="0" applyFont="1"/>
    <xf numFmtId="0" fontId="228" fillId="84" borderId="26" xfId="0" applyFont="1" applyFill="1" applyBorder="1" applyAlignment="1">
      <alignment vertical="top"/>
    </xf>
    <xf numFmtId="0" fontId="228" fillId="89" borderId="54" xfId="0" applyFont="1" applyFill="1" applyBorder="1" applyAlignment="1">
      <alignment vertical="top"/>
    </xf>
    <xf numFmtId="0" fontId="2" fillId="0" borderId="0" xfId="0" applyFont="1" applyAlignment="1">
      <alignment wrapText="1"/>
    </xf>
    <xf numFmtId="0" fontId="228" fillId="86" borderId="5" xfId="0" applyFont="1" applyFill="1" applyBorder="1" applyAlignment="1">
      <alignment horizontal="center" vertical="center" wrapText="1"/>
    </xf>
    <xf numFmtId="0" fontId="232" fillId="0" borderId="0" xfId="0" applyFont="1"/>
    <xf numFmtId="0" fontId="230" fillId="0" borderId="0" xfId="0" applyFont="1"/>
    <xf numFmtId="0" fontId="231" fillId="0" borderId="0" xfId="0" applyFont="1"/>
    <xf numFmtId="0" fontId="232" fillId="0" borderId="0" xfId="0" applyFont="1" applyAlignment="1">
      <alignment wrapText="1"/>
    </xf>
    <xf numFmtId="0" fontId="0" fillId="0" borderId="0" xfId="0" applyAlignment="1">
      <alignment vertical="top" wrapText="1"/>
    </xf>
    <xf numFmtId="0" fontId="236" fillId="0" borderId="0" xfId="0" applyFont="1" applyAlignment="1">
      <alignment wrapText="1"/>
    </xf>
    <xf numFmtId="0" fontId="0" fillId="0" borderId="2" xfId="0" applyBorder="1" applyAlignment="1">
      <alignment horizontal="left" vertical="top" wrapText="1"/>
    </xf>
    <xf numFmtId="0" fontId="232" fillId="0" borderId="2" xfId="0" applyFont="1" applyBorder="1" applyAlignment="1">
      <alignment horizontal="left" vertical="top" wrapText="1"/>
    </xf>
    <xf numFmtId="0" fontId="0" fillId="90" borderId="0" xfId="0" applyFill="1"/>
    <xf numFmtId="0" fontId="0" fillId="91" borderId="0" xfId="0" applyFill="1"/>
    <xf numFmtId="0" fontId="0" fillId="0" borderId="2" xfId="0" applyBorder="1" applyAlignment="1">
      <alignment vertical="top"/>
    </xf>
    <xf numFmtId="0" fontId="231" fillId="92" borderId="0" xfId="0" applyFont="1" applyFill="1"/>
    <xf numFmtId="0" fontId="0" fillId="92" borderId="0" xfId="0" applyFill="1"/>
    <xf numFmtId="0" fontId="231" fillId="93" borderId="0" xfId="0" applyFont="1" applyFill="1"/>
    <xf numFmtId="0" fontId="0" fillId="93" borderId="0" xfId="0" applyFill="1"/>
    <xf numFmtId="0" fontId="231" fillId="94" borderId="0" xfId="0" applyFont="1" applyFill="1"/>
    <xf numFmtId="0" fontId="231" fillId="93" borderId="0" xfId="0" applyFont="1" applyFill="1" applyAlignment="1">
      <alignment wrapText="1"/>
    </xf>
    <xf numFmtId="0" fontId="231" fillId="94" borderId="0" xfId="0" applyFont="1" applyFill="1" applyAlignment="1">
      <alignment wrapText="1"/>
    </xf>
    <xf numFmtId="0" fontId="0" fillId="94" borderId="0" xfId="0" applyFill="1"/>
    <xf numFmtId="0" fontId="230" fillId="84" borderId="0" xfId="0" applyFont="1" applyFill="1"/>
    <xf numFmtId="0" fontId="231" fillId="0" borderId="0" xfId="0" applyFont="1" applyAlignment="1">
      <alignment wrapText="1"/>
    </xf>
    <xf numFmtId="0" fontId="0" fillId="0" borderId="0" xfId="0" applyAlignment="1">
      <alignment horizontal="left" vertical="top"/>
    </xf>
    <xf numFmtId="0" fontId="230" fillId="0" borderId="0" xfId="0" applyFont="1" applyAlignment="1">
      <alignment horizontal="left"/>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wrapText="1"/>
    </xf>
    <xf numFmtId="0" fontId="232" fillId="0" borderId="0" xfId="0" applyFont="1" applyAlignment="1">
      <alignment horizontal="left"/>
    </xf>
    <xf numFmtId="0" fontId="228" fillId="87" borderId="3" xfId="0" applyFont="1" applyFill="1" applyBorder="1" applyAlignment="1">
      <alignment horizontal="center" vertical="top" wrapText="1"/>
    </xf>
    <xf numFmtId="0" fontId="228" fillId="87" borderId="3" xfId="0" applyFont="1" applyFill="1" applyBorder="1" applyAlignment="1">
      <alignment horizontal="center" vertical="top"/>
    </xf>
    <xf numFmtId="0" fontId="228" fillId="88" borderId="3" xfId="0" applyFont="1" applyFill="1" applyBorder="1" applyAlignment="1">
      <alignment horizontal="center" vertical="top" wrapText="1"/>
    </xf>
    <xf numFmtId="0" fontId="228" fillId="88" borderId="3" xfId="0" applyFont="1" applyFill="1" applyBorder="1" applyAlignment="1">
      <alignment horizontal="center" vertical="top"/>
    </xf>
    <xf numFmtId="49" fontId="228" fillId="88" borderId="3" xfId="0" applyNumberFormat="1" applyFont="1" applyFill="1" applyBorder="1" applyAlignment="1">
      <alignment horizontal="center" vertical="top"/>
    </xf>
    <xf numFmtId="49" fontId="228" fillId="88" borderId="3" xfId="0" applyNumberFormat="1" applyFont="1" applyFill="1" applyBorder="1" applyAlignment="1">
      <alignment horizontal="center" vertical="top" wrapText="1"/>
    </xf>
    <xf numFmtId="0" fontId="228" fillId="84" borderId="3" xfId="0" applyFont="1" applyFill="1" applyBorder="1" applyAlignment="1">
      <alignment horizontal="center" vertical="top" wrapText="1"/>
    </xf>
    <xf numFmtId="0" fontId="228" fillId="96" borderId="3" xfId="0" applyFont="1" applyFill="1" applyBorder="1" applyAlignment="1">
      <alignment horizontal="center" vertical="top" wrapText="1"/>
    </xf>
    <xf numFmtId="0" fontId="16" fillId="0" borderId="0" xfId="0" applyFont="1" applyAlignment="1">
      <alignment wrapText="1"/>
    </xf>
    <xf numFmtId="0" fontId="232" fillId="90" borderId="2" xfId="0" applyFont="1" applyFill="1" applyBorder="1" applyAlignment="1">
      <alignment vertical="top"/>
    </xf>
    <xf numFmtId="0" fontId="0" fillId="0" borderId="2" xfId="0" applyBorder="1" applyAlignment="1">
      <alignment horizontal="center" vertical="top"/>
    </xf>
    <xf numFmtId="0" fontId="0" fillId="0" borderId="2" xfId="0" applyBorder="1" applyAlignment="1">
      <alignment vertical="top" wrapText="1"/>
    </xf>
    <xf numFmtId="0" fontId="229" fillId="0" borderId="2" xfId="0" applyFont="1" applyBorder="1" applyAlignment="1">
      <alignment vertical="top"/>
    </xf>
    <xf numFmtId="0" fontId="0" fillId="0" borderId="4" xfId="0" applyBorder="1" applyAlignment="1">
      <alignment vertical="top" wrapText="1"/>
    </xf>
    <xf numFmtId="0" fontId="0" fillId="0" borderId="5" xfId="0" applyBorder="1" applyAlignment="1">
      <alignment vertical="top"/>
    </xf>
    <xf numFmtId="0" fontId="16" fillId="90" borderId="2" xfId="0" applyFont="1" applyFill="1" applyBorder="1" applyAlignment="1">
      <alignment vertical="top"/>
    </xf>
    <xf numFmtId="0" fontId="232" fillId="0" borderId="2" xfId="0" applyFont="1" applyBorder="1" applyAlignment="1">
      <alignment vertical="top"/>
    </xf>
    <xf numFmtId="0" fontId="232" fillId="0" borderId="2" xfId="0" applyFont="1" applyBorder="1" applyAlignment="1">
      <alignment vertical="top" wrapText="1"/>
    </xf>
    <xf numFmtId="0" fontId="16" fillId="90" borderId="2" xfId="0" applyFont="1" applyFill="1" applyBorder="1" applyAlignment="1">
      <alignment vertical="top" wrapText="1"/>
    </xf>
    <xf numFmtId="0" fontId="0" fillId="95" borderId="2" xfId="0" applyFill="1" applyBorder="1" applyAlignment="1">
      <alignment vertical="top"/>
    </xf>
    <xf numFmtId="0" fontId="0" fillId="90" borderId="2" xfId="0" applyFill="1" applyBorder="1" applyAlignment="1">
      <alignment vertical="top"/>
    </xf>
    <xf numFmtId="0" fontId="0" fillId="85" borderId="2" xfId="0" applyFill="1" applyBorder="1" applyAlignment="1">
      <alignment vertical="top"/>
    </xf>
    <xf numFmtId="0" fontId="0" fillId="90" borderId="2" xfId="0" applyFill="1" applyBorder="1" applyAlignment="1">
      <alignment vertical="top" wrapText="1"/>
    </xf>
    <xf numFmtId="0" fontId="238" fillId="0" borderId="2" xfId="0" applyFont="1" applyBorder="1" applyAlignment="1">
      <alignment vertical="top"/>
    </xf>
    <xf numFmtId="0" fontId="238" fillId="0" borderId="2" xfId="0" applyFont="1" applyBorder="1" applyAlignment="1">
      <alignment vertical="top" wrapText="1"/>
    </xf>
    <xf numFmtId="0" fontId="231" fillId="0" borderId="0" xfId="0" applyFont="1" applyAlignment="1">
      <alignment vertical="top"/>
    </xf>
    <xf numFmtId="0" fontId="232" fillId="85" borderId="2" xfId="0" applyFont="1" applyFill="1" applyBorder="1" applyAlignment="1">
      <alignment vertical="top"/>
    </xf>
    <xf numFmtId="0" fontId="235" fillId="0" borderId="2" xfId="3954" applyFill="1" applyBorder="1" applyAlignment="1">
      <alignment vertical="top" wrapText="1"/>
    </xf>
    <xf numFmtId="0" fontId="0" fillId="85" borderId="2" xfId="0" applyFill="1" applyBorder="1" applyAlignment="1">
      <alignment vertical="top" wrapText="1"/>
    </xf>
    <xf numFmtId="0" fontId="231" fillId="91" borderId="0" xfId="0" applyFont="1" applyFill="1" applyAlignment="1">
      <alignment vertical="top"/>
    </xf>
    <xf numFmtId="0" fontId="0" fillId="91" borderId="15" xfId="0" applyFill="1" applyBorder="1" applyAlignment="1">
      <alignment vertical="top"/>
    </xf>
    <xf numFmtId="0" fontId="0" fillId="91" borderId="0" xfId="0" applyFill="1" applyAlignment="1">
      <alignment vertical="top"/>
    </xf>
    <xf numFmtId="0" fontId="228" fillId="84" borderId="26" xfId="0" applyFont="1" applyFill="1" applyBorder="1" applyAlignment="1">
      <alignment vertical="top" wrapText="1"/>
    </xf>
    <xf numFmtId="0" fontId="0" fillId="87" borderId="0" xfId="0" applyFill="1"/>
    <xf numFmtId="0" fontId="238" fillId="90" borderId="2" xfId="0" applyFont="1" applyFill="1" applyBorder="1" applyAlignment="1">
      <alignment vertical="top"/>
    </xf>
    <xf numFmtId="0" fontId="238" fillId="0" borderId="2" xfId="0" applyFont="1" applyBorder="1" applyAlignment="1">
      <alignment horizontal="center" vertical="top"/>
    </xf>
    <xf numFmtId="0" fontId="241" fillId="0" borderId="2" xfId="0" applyFont="1" applyBorder="1" applyAlignment="1">
      <alignment vertical="top"/>
    </xf>
    <xf numFmtId="0" fontId="228" fillId="97" borderId="3" xfId="0" applyFont="1" applyFill="1" applyBorder="1" applyAlignment="1">
      <alignment horizontal="center" vertical="top" wrapText="1"/>
    </xf>
    <xf numFmtId="0" fontId="0" fillId="90" borderId="0" xfId="0" applyFill="1" applyAlignment="1">
      <alignment vertical="top"/>
    </xf>
    <xf numFmtId="0" fontId="237" fillId="90" borderId="2" xfId="0" applyFont="1" applyFill="1" applyBorder="1" applyAlignment="1">
      <alignment vertical="top"/>
    </xf>
    <xf numFmtId="0" fontId="231" fillId="91" borderId="2" xfId="0" applyFont="1" applyFill="1" applyBorder="1" applyAlignment="1">
      <alignment vertical="top"/>
    </xf>
    <xf numFmtId="0" fontId="231" fillId="0" borderId="2" xfId="0" applyFont="1" applyBorder="1" applyAlignment="1">
      <alignment vertical="top"/>
    </xf>
    <xf numFmtId="0" fontId="238" fillId="0" borderId="0" xfId="0" applyFont="1" applyAlignment="1">
      <alignment vertical="top"/>
    </xf>
    <xf numFmtId="0" fontId="0" fillId="91" borderId="2" xfId="0" applyFill="1" applyBorder="1" applyAlignment="1">
      <alignment vertical="top"/>
    </xf>
    <xf numFmtId="0" fontId="0" fillId="0" borderId="15" xfId="0" applyBorder="1" applyAlignment="1">
      <alignment vertical="top"/>
    </xf>
    <xf numFmtId="0" fontId="0" fillId="0" borderId="0" xfId="0" applyAlignment="1">
      <alignment horizontal="center" vertical="top"/>
    </xf>
    <xf numFmtId="0" fontId="238" fillId="0" borderId="0" xfId="0" applyFont="1" applyAlignment="1">
      <alignment vertical="top" wrapText="1"/>
    </xf>
    <xf numFmtId="0" fontId="0" fillId="0" borderId="3" xfId="0" applyBorder="1" applyAlignment="1">
      <alignment vertical="top" wrapText="1"/>
    </xf>
    <xf numFmtId="0" fontId="0" fillId="0" borderId="14" xfId="0" applyBorder="1" applyAlignment="1">
      <alignment vertical="top" wrapText="1"/>
    </xf>
    <xf numFmtId="0" fontId="228" fillId="96" borderId="0" xfId="0" applyFont="1" applyFill="1" applyAlignment="1">
      <alignment horizontal="center" vertical="top" wrapText="1"/>
    </xf>
    <xf numFmtId="0" fontId="0" fillId="98" borderId="0" xfId="0" applyFill="1" applyAlignment="1">
      <alignment vertical="top"/>
    </xf>
    <xf numFmtId="0" fontId="232" fillId="0" borderId="0" xfId="0" applyFont="1" applyAlignment="1">
      <alignment vertical="top"/>
    </xf>
    <xf numFmtId="0" fontId="0" fillId="0" borderId="14" xfId="0" applyBorder="1" applyAlignment="1">
      <alignment vertical="top"/>
    </xf>
    <xf numFmtId="0" fontId="238" fillId="0" borderId="14" xfId="0" applyFont="1" applyBorder="1" applyAlignment="1">
      <alignment vertical="top"/>
    </xf>
    <xf numFmtId="0" fontId="0" fillId="0" borderId="14" xfId="0" applyBorder="1" applyAlignment="1">
      <alignment horizontal="center" vertical="top"/>
    </xf>
    <xf numFmtId="0" fontId="243" fillId="0" borderId="2" xfId="0" applyFont="1" applyBorder="1"/>
    <xf numFmtId="0" fontId="232" fillId="0" borderId="2" xfId="0" applyFont="1" applyBorder="1" applyAlignment="1">
      <alignment horizontal="left" wrapText="1"/>
    </xf>
    <xf numFmtId="0" fontId="244" fillId="0" borderId="0" xfId="0" applyFont="1" applyAlignment="1">
      <alignment vertical="top"/>
    </xf>
    <xf numFmtId="0" fontId="245" fillId="0" borderId="2" xfId="0" applyFont="1" applyBorder="1" applyAlignment="1">
      <alignment vertical="top"/>
    </xf>
    <xf numFmtId="0" fontId="232" fillId="0" borderId="14" xfId="0" applyFont="1" applyBorder="1" applyAlignment="1">
      <alignment vertical="top"/>
    </xf>
    <xf numFmtId="0" fontId="229" fillId="0" borderId="0" xfId="0" applyFont="1" applyAlignment="1">
      <alignment vertical="top"/>
    </xf>
    <xf numFmtId="0" fontId="228" fillId="87" borderId="2" xfId="0" applyFont="1" applyFill="1" applyBorder="1" applyAlignment="1">
      <alignment horizontal="center" vertical="top" wrapText="1"/>
    </xf>
    <xf numFmtId="0" fontId="2" fillId="89" borderId="0" xfId="0" applyFont="1" applyFill="1"/>
    <xf numFmtId="0" fontId="241" fillId="0" borderId="0" xfId="0" applyFont="1" applyAlignment="1">
      <alignment vertical="top"/>
    </xf>
    <xf numFmtId="0" fontId="0" fillId="0" borderId="69" xfId="0" applyBorder="1" applyAlignment="1">
      <alignment vertical="top"/>
    </xf>
    <xf numFmtId="0" fontId="0" fillId="0" borderId="2" xfId="0" applyBorder="1" applyAlignment="1">
      <alignment horizontal="left" vertical="top"/>
    </xf>
    <xf numFmtId="0" fontId="0" fillId="0" borderId="14" xfId="0" applyBorder="1" applyAlignment="1">
      <alignment horizontal="left" vertical="top"/>
    </xf>
    <xf numFmtId="0" fontId="232" fillId="0" borderId="14" xfId="0" applyFont="1" applyBorder="1" applyAlignment="1">
      <alignment vertical="top" wrapText="1"/>
    </xf>
    <xf numFmtId="0" fontId="246" fillId="0" borderId="0" xfId="0" applyFont="1"/>
    <xf numFmtId="0" fontId="246" fillId="0" borderId="2" xfId="0" applyFont="1" applyBorder="1"/>
    <xf numFmtId="0" fontId="232" fillId="0" borderId="2" xfId="0" applyFont="1" applyBorder="1" applyAlignment="1">
      <alignment horizontal="left" vertical="top"/>
    </xf>
    <xf numFmtId="0" fontId="16" fillId="0" borderId="2" xfId="0" applyFont="1" applyBorder="1" applyAlignment="1">
      <alignment vertical="top"/>
    </xf>
    <xf numFmtId="0" fontId="232" fillId="0" borderId="14" xfId="0" applyFont="1" applyBorder="1" applyAlignment="1">
      <alignment horizontal="left" vertical="top"/>
    </xf>
    <xf numFmtId="0" fontId="232" fillId="0" borderId="2" xfId="0" applyFont="1" applyBorder="1" applyAlignment="1">
      <alignment horizontal="center" vertical="top"/>
    </xf>
    <xf numFmtId="0" fontId="247" fillId="0" borderId="14" xfId="0" applyFont="1" applyBorder="1" applyAlignment="1">
      <alignment vertical="top"/>
    </xf>
    <xf numFmtId="0" fontId="247" fillId="0" borderId="15" xfId="0" applyFont="1" applyBorder="1" applyAlignment="1">
      <alignment vertical="top"/>
    </xf>
    <xf numFmtId="0" fontId="232" fillId="0" borderId="14" xfId="0" applyFont="1" applyBorder="1" applyAlignment="1">
      <alignment horizontal="center" vertical="top"/>
    </xf>
    <xf numFmtId="0" fontId="0" fillId="0" borderId="3" xfId="0" applyBorder="1" applyAlignment="1">
      <alignment vertical="top"/>
    </xf>
    <xf numFmtId="0" fontId="0" fillId="0" borderId="33" xfId="0" applyBorder="1" applyAlignment="1">
      <alignment vertical="top"/>
    </xf>
    <xf numFmtId="0" fontId="228" fillId="90" borderId="17" xfId="0" applyFont="1" applyFill="1" applyBorder="1" applyAlignment="1">
      <alignment horizontal="center" vertical="top" wrapText="1"/>
    </xf>
    <xf numFmtId="0" fontId="232" fillId="0" borderId="2" xfId="0" applyFont="1" applyBorder="1"/>
    <xf numFmtId="0" fontId="232" fillId="0" borderId="2" xfId="0" applyFont="1" applyBorder="1" applyAlignment="1">
      <alignment horizontal="left"/>
    </xf>
    <xf numFmtId="0" fontId="239" fillId="0" borderId="2" xfId="0" applyFont="1" applyBorder="1" applyAlignment="1">
      <alignment vertical="top"/>
    </xf>
    <xf numFmtId="0" fontId="239" fillId="0" borderId="2" xfId="0" applyFont="1" applyBorder="1" applyAlignment="1">
      <alignment horizontal="left" vertical="top"/>
    </xf>
    <xf numFmtId="0" fontId="239" fillId="0" borderId="2" xfId="0" applyFont="1" applyBorder="1" applyAlignment="1">
      <alignment horizontal="center" vertical="top"/>
    </xf>
    <xf numFmtId="0" fontId="239" fillId="0" borderId="2" xfId="0" applyFont="1" applyBorder="1" applyAlignment="1">
      <alignment vertical="top" wrapText="1"/>
    </xf>
    <xf numFmtId="0" fontId="248" fillId="0" borderId="15" xfId="0" applyFont="1" applyBorder="1" applyAlignment="1">
      <alignment vertical="top"/>
    </xf>
    <xf numFmtId="0" fontId="228" fillId="84" borderId="2" xfId="0" applyFont="1" applyFill="1" applyBorder="1" applyAlignment="1">
      <alignment horizontal="left" vertical="top" wrapText="1"/>
    </xf>
    <xf numFmtId="0" fontId="228" fillId="84" borderId="2" xfId="0" applyFont="1" applyFill="1" applyBorder="1" applyAlignment="1">
      <alignment horizontal="left" vertical="top"/>
    </xf>
    <xf numFmtId="0" fontId="228" fillId="84" borderId="4" xfId="0" applyFont="1" applyFill="1" applyBorder="1" applyAlignment="1">
      <alignment horizontal="left" vertical="top" wrapText="1"/>
    </xf>
    <xf numFmtId="0" fontId="228" fillId="84" borderId="5" xfId="0" applyFont="1" applyFill="1" applyBorder="1" applyAlignment="1">
      <alignment horizontal="left" vertical="top" wrapText="1"/>
    </xf>
    <xf numFmtId="0" fontId="231" fillId="0" borderId="14" xfId="0" applyFont="1" applyBorder="1" applyAlignment="1">
      <alignment vertical="top"/>
    </xf>
    <xf numFmtId="0" fontId="228" fillId="84" borderId="4" xfId="0" applyFont="1" applyFill="1" applyBorder="1" applyAlignment="1">
      <alignment horizontal="left" wrapText="1"/>
    </xf>
    <xf numFmtId="0" fontId="228" fillId="84" borderId="4" xfId="0" applyFont="1" applyFill="1" applyBorder="1" applyAlignment="1">
      <alignment horizontal="left"/>
    </xf>
    <xf numFmtId="0" fontId="228" fillId="84" borderId="2" xfId="0" applyFont="1" applyFill="1" applyBorder="1" applyAlignment="1">
      <alignment horizontal="center" vertical="top" wrapText="1"/>
    </xf>
    <xf numFmtId="0" fontId="228" fillId="87" borderId="2" xfId="0" applyFont="1" applyFill="1" applyBorder="1" applyAlignment="1">
      <alignment horizontal="center" vertical="top"/>
    </xf>
    <xf numFmtId="0" fontId="228" fillId="88" borderId="2" xfId="0" applyFont="1" applyFill="1" applyBorder="1" applyAlignment="1">
      <alignment horizontal="center" vertical="top" wrapText="1"/>
    </xf>
    <xf numFmtId="0" fontId="234" fillId="97" borderId="2" xfId="0" applyFont="1" applyFill="1" applyBorder="1" applyAlignment="1">
      <alignment horizontal="center" vertical="top" wrapText="1"/>
    </xf>
    <xf numFmtId="0" fontId="228" fillId="84" borderId="3" xfId="0" applyFont="1" applyFill="1" applyBorder="1" applyAlignment="1">
      <alignment horizontal="center" vertical="top"/>
    </xf>
    <xf numFmtId="0" fontId="0" fillId="0" borderId="3" xfId="0" applyBorder="1" applyAlignment="1">
      <alignment horizontal="left" vertical="top"/>
    </xf>
    <xf numFmtId="0" fontId="231" fillId="0" borderId="0" xfId="0" applyFont="1" applyAlignment="1">
      <alignment horizontal="left" vertical="top"/>
    </xf>
    <xf numFmtId="0" fontId="231" fillId="0" borderId="0" xfId="0" applyFont="1" applyAlignment="1">
      <alignment horizontal="left" vertical="top" wrapText="1"/>
    </xf>
    <xf numFmtId="0" fontId="249" fillId="0" borderId="70" xfId="0" applyFont="1" applyBorder="1" applyAlignment="1">
      <alignment vertical="center" wrapText="1"/>
    </xf>
    <xf numFmtId="0" fontId="233" fillId="0" borderId="0" xfId="0" applyFont="1" applyAlignment="1">
      <alignment horizontal="left" vertical="top" wrapText="1"/>
    </xf>
    <xf numFmtId="0" fontId="228" fillId="86" borderId="4" xfId="0" applyFont="1" applyFill="1" applyBorder="1" applyAlignment="1">
      <alignment horizontal="center" vertical="center" wrapText="1"/>
    </xf>
    <xf numFmtId="0" fontId="228" fillId="86" borderId="5" xfId="0" applyFont="1" applyFill="1" applyBorder="1" applyAlignment="1">
      <alignment horizontal="center" vertical="center" wrapText="1"/>
    </xf>
    <xf numFmtId="0" fontId="228" fillId="86" borderId="69" xfId="0" applyFont="1" applyFill="1" applyBorder="1" applyAlignment="1">
      <alignment horizontal="center" vertical="center" wrapText="1"/>
    </xf>
    <xf numFmtId="0" fontId="228" fillId="85" borderId="4" xfId="0" applyFont="1" applyFill="1" applyBorder="1" applyAlignment="1">
      <alignment horizontal="center" vertical="center" wrapText="1"/>
    </xf>
    <xf numFmtId="0" fontId="228" fillId="85" borderId="5" xfId="0" applyFont="1" applyFill="1" applyBorder="1" applyAlignment="1">
      <alignment horizontal="center" vertical="center" wrapText="1"/>
    </xf>
    <xf numFmtId="0" fontId="228" fillId="85" borderId="69" xfId="0" applyFont="1" applyFill="1" applyBorder="1" applyAlignment="1">
      <alignment horizontal="center" vertical="center" wrapText="1"/>
    </xf>
    <xf numFmtId="0" fontId="228" fillId="84" borderId="4" xfId="0" applyFont="1" applyFill="1" applyBorder="1" applyAlignment="1">
      <alignment horizontal="center" vertical="center" wrapText="1"/>
    </xf>
    <xf numFmtId="0" fontId="228" fillId="84" borderId="69" xfId="0" applyFont="1" applyFill="1" applyBorder="1" applyAlignment="1">
      <alignment horizontal="center" vertical="center" wrapText="1"/>
    </xf>
    <xf numFmtId="0" fontId="228" fillId="84" borderId="54" xfId="0" applyFont="1" applyFill="1" applyBorder="1" applyAlignment="1">
      <alignment horizontal="left" vertical="top"/>
    </xf>
    <xf numFmtId="0" fontId="228" fillId="84" borderId="0" xfId="0" applyFont="1" applyFill="1" applyAlignment="1">
      <alignment horizontal="left" vertical="top"/>
    </xf>
    <xf numFmtId="0" fontId="228" fillId="84" borderId="54" xfId="0" applyFont="1" applyFill="1" applyBorder="1" applyAlignment="1">
      <alignment horizontal="left" vertical="top" wrapText="1"/>
    </xf>
    <xf numFmtId="0" fontId="228" fillId="84" borderId="0" xfId="0" applyFont="1" applyFill="1" applyAlignment="1">
      <alignment horizontal="left" vertical="top" wrapText="1"/>
    </xf>
  </cellXfs>
  <cellStyles count="4548">
    <cellStyle name="_x0010_" xfId="48" xr:uid="{00000000-0005-0000-0000-000000000000}"/>
    <cellStyle name="-" xfId="49" xr:uid="{00000000-0005-0000-0000-000001000000}"/>
    <cellStyle name=" &amp;A_x0002_" xfId="50" xr:uid="{00000000-0005-0000-0000-000002000000}"/>
    <cellStyle name=" &amp;A_x0002_ 2" xfId="51" xr:uid="{00000000-0005-0000-0000-000003000000}"/>
    <cellStyle name=" &amp;A_x0002_ 3" xfId="52" xr:uid="{00000000-0005-0000-0000-000004000000}"/>
    <cellStyle name=" &amp;A_x0002_?^Ú_x0006_?_x0006_?cent??_x0005_?_x0004_?_x0006_?¥" xfId="53" xr:uid="{00000000-0005-0000-0000-000005000000}"/>
    <cellStyle name=" &amp;A_x0002__CIT 2008 v10 10-15-07" xfId="54" xr:uid="{00000000-0005-0000-0000-000006000000}"/>
    <cellStyle name=" 1" xfId="55" xr:uid="{00000000-0005-0000-0000-000007000000}"/>
    <cellStyle name=" 2" xfId="56" xr:uid="{00000000-0005-0000-0000-000008000000}"/>
    <cellStyle name=" 3" xfId="57" xr:uid="{00000000-0005-0000-0000-000009000000}"/>
    <cellStyle name=" 4" xfId="58" xr:uid="{00000000-0005-0000-0000-00000A000000}"/>
    <cellStyle name="_x000a__x000a_JournalTemplate=C:\COMFO\CTALK\JOURSTD.TPL_x000a__x000a_LbStateAddress=3 3 0 251 1 89 2 311_x000a__x000a_LbStateJou" xfId="59" xr:uid="{00000000-0005-0000-0000-00000B000000}"/>
    <cellStyle name="_x000a_386grabber=M" xfId="60" xr:uid="{00000000-0005-0000-0000-00000C000000}"/>
    <cellStyle name="_x000d__x000a_JournalTemplate=C:\COMFO\CTALK\JOURSTD.TPL_x000d__x000a_LbStateAddress=3 3 0 251 1 89 2 311_x000d__x000a_LbStateJou" xfId="61" xr:uid="{00000000-0005-0000-0000-00000D000000}"/>
    <cellStyle name="#??/32" xfId="62" xr:uid="{00000000-0005-0000-0000-00000E000000}"/>
    <cellStyle name="#_품셈 " xfId="63" xr:uid="{00000000-0005-0000-0000-00000F000000}"/>
    <cellStyle name="#_품셈  2" xfId="64" xr:uid="{00000000-0005-0000-0000-000010000000}"/>
    <cellStyle name="#_품셈  2 2" xfId="65" xr:uid="{00000000-0005-0000-0000-000011000000}"/>
    <cellStyle name="#_품셈  2 2 2" xfId="66" xr:uid="{00000000-0005-0000-0000-000012000000}"/>
    <cellStyle name="#_품셈  2 3" xfId="67" xr:uid="{00000000-0005-0000-0000-000013000000}"/>
    <cellStyle name="#_품셈  3" xfId="68" xr:uid="{00000000-0005-0000-0000-000014000000}"/>
    <cellStyle name="#_품셈  3 2" xfId="69" xr:uid="{00000000-0005-0000-0000-000015000000}"/>
    <cellStyle name="#_품셈  3 2 2" xfId="70" xr:uid="{00000000-0005-0000-0000-000016000000}"/>
    <cellStyle name="#_품셈  3 3" xfId="71" xr:uid="{00000000-0005-0000-0000-000017000000}"/>
    <cellStyle name="#_품셈  4" xfId="72" xr:uid="{00000000-0005-0000-0000-000018000000}"/>
    <cellStyle name="#_품셈  4 2" xfId="73" xr:uid="{00000000-0005-0000-0000-000019000000}"/>
    <cellStyle name="#_품셈  5" xfId="74" xr:uid="{00000000-0005-0000-0000-00001A000000}"/>
    <cellStyle name="#_품셈  6" xfId="75" xr:uid="{00000000-0005-0000-0000-00001B000000}"/>
    <cellStyle name="#_품셈  7" xfId="76" xr:uid="{00000000-0005-0000-0000-00001C000000}"/>
    <cellStyle name="$" xfId="77" xr:uid="{00000000-0005-0000-0000-00001D000000}"/>
    <cellStyle name="$_Balance Sheet, 2010.06.10 - from Mitesh vs.2" xfId="78" xr:uid="{00000000-0005-0000-0000-00001E000000}"/>
    <cellStyle name="$1000s (0)" xfId="79" xr:uid="{00000000-0005-0000-0000-00001F000000}"/>
    <cellStyle name="$m" xfId="80" xr:uid="{00000000-0005-0000-0000-000020000000}"/>
    <cellStyle name="$M[0]" xfId="81" xr:uid="{00000000-0005-0000-0000-000021000000}"/>
    <cellStyle name="$M[0] 2" xfId="82" xr:uid="{00000000-0005-0000-0000-000022000000}"/>
    <cellStyle name="$M[0] 3" xfId="83" xr:uid="{00000000-0005-0000-0000-000023000000}"/>
    <cellStyle name="$M[1]" xfId="84" xr:uid="{00000000-0005-0000-0000-000024000000}"/>
    <cellStyle name="$M[1] 2" xfId="85" xr:uid="{00000000-0005-0000-0000-000025000000}"/>
    <cellStyle name="$M[1] 3" xfId="86" xr:uid="{00000000-0005-0000-0000-000026000000}"/>
    <cellStyle name="$Millions" xfId="87" xr:uid="{00000000-0005-0000-0000-000027000000}"/>
    <cellStyle name="$Millions 2" xfId="88" xr:uid="{00000000-0005-0000-0000-000028000000}"/>
    <cellStyle name="$Millions 3" xfId="89" xr:uid="{00000000-0005-0000-0000-000029000000}"/>
    <cellStyle name="$MM[0]" xfId="90" xr:uid="{00000000-0005-0000-0000-00002A000000}"/>
    <cellStyle name="$MM[0] 2" xfId="91" xr:uid="{00000000-0005-0000-0000-00002B000000}"/>
    <cellStyle name="$MM[0] 3" xfId="92" xr:uid="{00000000-0005-0000-0000-00002C000000}"/>
    <cellStyle name="$MM[1]" xfId="93" xr:uid="{00000000-0005-0000-0000-00002D000000}"/>
    <cellStyle name="$MM[1] 2" xfId="94" xr:uid="{00000000-0005-0000-0000-00002E000000}"/>
    <cellStyle name="$MM[1] 3" xfId="95" xr:uid="{00000000-0005-0000-0000-00002F000000}"/>
    <cellStyle name="$Thousands" xfId="96" xr:uid="{00000000-0005-0000-0000-000030000000}"/>
    <cellStyle name="$Thousands 2" xfId="97" xr:uid="{00000000-0005-0000-0000-000031000000}"/>
    <cellStyle name="$Thousands 3" xfId="98" xr:uid="{00000000-0005-0000-0000-000032000000}"/>
    <cellStyle name="%" xfId="99" xr:uid="{00000000-0005-0000-0000-000033000000}"/>
    <cellStyle name="%_Sheet1" xfId="100" xr:uid="{00000000-0005-0000-0000-000034000000}"/>
    <cellStyle name="%_Stress" xfId="101" xr:uid="{00000000-0005-0000-0000-000035000000}"/>
    <cellStyle name="%_Summary" xfId="102" xr:uid="{00000000-0005-0000-0000-000036000000}"/>
    <cellStyle name="&amp;A_x0002_" xfId="103" xr:uid="{00000000-0005-0000-0000-000037000000}"/>
    <cellStyle name="******************************************" xfId="104" xr:uid="{00000000-0005-0000-0000-000038000000}"/>
    <cellStyle name=";;;" xfId="105" xr:uid="{00000000-0005-0000-0000-000039000000}"/>
    <cellStyle name=";;; 2" xfId="106" xr:uid="{00000000-0005-0000-0000-00003A000000}"/>
    <cellStyle name="??" xfId="107" xr:uid="{00000000-0005-0000-0000-00003B000000}"/>
    <cellStyle name="?? [0.00]_Book3" xfId="108" xr:uid="{00000000-0005-0000-0000-00003C000000}"/>
    <cellStyle name="?? [0]_VERA" xfId="109" xr:uid="{00000000-0005-0000-0000-00003D000000}"/>
    <cellStyle name="??/64" xfId="110" xr:uid="{00000000-0005-0000-0000-00003E000000}"/>
    <cellStyle name="???? [0.00]_Book3" xfId="111" xr:uid="{00000000-0005-0000-0000-00003F000000}"/>
    <cellStyle name="?????_VERA" xfId="112" xr:uid="{00000000-0005-0000-0000-000040000000}"/>
    <cellStyle name="????_Book3" xfId="113" xr:uid="{00000000-0005-0000-0000-000041000000}"/>
    <cellStyle name="??_?????" xfId="114" xr:uid="{00000000-0005-0000-0000-000042000000}"/>
    <cellStyle name="?_x0001__x0017_?°_x0001_ÿÿÿ?ÿÿÿ??" xfId="115" xr:uid="{00000000-0005-0000-0000-000043000000}"/>
    <cellStyle name="^February 1992" xfId="116" xr:uid="{00000000-0005-0000-0000-000044000000}"/>
    <cellStyle name="_%(SignOnly)" xfId="117" xr:uid="{00000000-0005-0000-0000-000045000000}"/>
    <cellStyle name="_%(SignSpaceOnly)" xfId="118" xr:uid="{00000000-0005-0000-0000-000046000000}"/>
    <cellStyle name="_~1048087" xfId="119" xr:uid="{00000000-0005-0000-0000-000047000000}"/>
    <cellStyle name="_~1134290" xfId="120" xr:uid="{00000000-0005-0000-0000-000048000000}"/>
    <cellStyle name="_~1210562" xfId="121" xr:uid="{00000000-0005-0000-0000-000049000000}"/>
    <cellStyle name="_~1636193" xfId="122" xr:uid="{00000000-0005-0000-0000-00004A000000}"/>
    <cellStyle name="_~1698327" xfId="123" xr:uid="{00000000-0005-0000-0000-00004B000000}"/>
    <cellStyle name="_~1923525" xfId="124" xr:uid="{00000000-0005-0000-0000-00004C000000}"/>
    <cellStyle name="_~2857490" xfId="125" xr:uid="{00000000-0005-0000-0000-00004D000000}"/>
    <cellStyle name="_~3036172" xfId="126" xr:uid="{00000000-0005-0000-0000-00004E000000}"/>
    <cellStyle name="_~3285060" xfId="127" xr:uid="{00000000-0005-0000-0000-00004F000000}"/>
    <cellStyle name="_~3330290" xfId="128" xr:uid="{00000000-0005-0000-0000-000050000000}"/>
    <cellStyle name="_~3330290_A" xfId="129" xr:uid="{00000000-0005-0000-0000-000051000000}"/>
    <cellStyle name="_~3330290_FY Forecast Tracker 9.25.08 v3" xfId="130" xr:uid="{00000000-0005-0000-0000-000052000000}"/>
    <cellStyle name="_~3330290_IB Fcst Variance 1-23-09" xfId="131" xr:uid="{00000000-0005-0000-0000-000053000000}"/>
    <cellStyle name="_~3330290_IB Mgmt Fcst 1-23-09" xfId="132" xr:uid="{00000000-0005-0000-0000-000054000000}"/>
    <cellStyle name="_~3330290_NI Schedule 10.24.08 v2" xfId="133" xr:uid="{00000000-0005-0000-0000-000055000000}"/>
    <cellStyle name="_~3330290_NI Schedule 11.26.08 (MGMT) v3" xfId="134" xr:uid="{00000000-0005-0000-0000-000056000000}"/>
    <cellStyle name="_~3330290_One time Itemsv3" xfId="135" xr:uid="{00000000-0005-0000-0000-000057000000}"/>
    <cellStyle name="_~3330290_Supplemental Sheets 5.20.09" xfId="136" xr:uid="{00000000-0005-0000-0000-000058000000}"/>
    <cellStyle name="_~4122341" xfId="137" xr:uid="{00000000-0005-0000-0000-000059000000}"/>
    <cellStyle name="_~4387628" xfId="138" xr:uid="{00000000-0005-0000-0000-00005A000000}"/>
    <cellStyle name="_~4433192" xfId="139" xr:uid="{00000000-0005-0000-0000-00005B000000}"/>
    <cellStyle name="_~4465316" xfId="140" xr:uid="{00000000-0005-0000-0000-00005C000000}"/>
    <cellStyle name="_~4480260" xfId="141" xr:uid="{00000000-0005-0000-0000-00005D000000}"/>
    <cellStyle name="_~5041630" xfId="142" xr:uid="{00000000-0005-0000-0000-00005E000000}"/>
    <cellStyle name="_~5254638" xfId="143" xr:uid="{00000000-0005-0000-0000-00005F000000}"/>
    <cellStyle name="_~5413264" xfId="144" xr:uid="{00000000-0005-0000-0000-000060000000}"/>
    <cellStyle name="_~5696802" xfId="145" xr:uid="{00000000-0005-0000-0000-000061000000}"/>
    <cellStyle name="_~7246660" xfId="146" xr:uid="{00000000-0005-0000-0000-000062000000}"/>
    <cellStyle name="_~7307348" xfId="147" xr:uid="{00000000-0005-0000-0000-000063000000}"/>
    <cellStyle name="_~7516164" xfId="148" xr:uid="{00000000-0005-0000-0000-000064000000}"/>
    <cellStyle name="_~7627628" xfId="149" xr:uid="{00000000-0005-0000-0000-000065000000}"/>
    <cellStyle name="_~8595353" xfId="150" xr:uid="{00000000-0005-0000-0000-000066000000}"/>
    <cellStyle name="_~9267078" xfId="151" xr:uid="{00000000-0005-0000-0000-000067000000}"/>
    <cellStyle name="_~9342525" xfId="152" xr:uid="{00000000-0005-0000-0000-000068000000}"/>
    <cellStyle name="_~9444089" xfId="153" xr:uid="{00000000-0005-0000-0000-000069000000}"/>
    <cellStyle name="_03 06 SP GLRS scorecard" xfId="154" xr:uid="{00000000-0005-0000-0000-00006A000000}"/>
    <cellStyle name="_'07 Plan Pages for Frank B Review v_4" xfId="155" xr:uid="{00000000-0005-0000-0000-00006B000000}"/>
    <cellStyle name="_'07 Plan Pages for Frank B Review v_4_Book1" xfId="156" xr:uid="{00000000-0005-0000-0000-00006C000000}"/>
    <cellStyle name="_'07 Plan Pages for Frank B Review v_4_File 1 - 2008 &amp; 2009 MYF - Board Pre-read View 7.24.08" xfId="157" xr:uid="{00000000-0005-0000-0000-00006D000000}"/>
    <cellStyle name="_'07 Plan Pages for Frank B Review v_4_Supplemental Sheets 5.20.09" xfId="158" xr:uid="{00000000-0005-0000-0000-00006E000000}"/>
    <cellStyle name="_09 NPL Walkforward" xfId="159" xr:uid="{00000000-0005-0000-0000-00006F000000}"/>
    <cellStyle name="_1 - Pizzi spread rec schedule" xfId="160" xr:uid="{00000000-0005-0000-0000-000070000000}"/>
    <cellStyle name="_1.  Revenue" xfId="161" xr:uid="{00000000-0005-0000-0000-000071000000}"/>
    <cellStyle name="_1. Follow-Ups" xfId="162" xr:uid="{00000000-0005-0000-0000-000072000000}"/>
    <cellStyle name="_1.31 Loans and Off Balance Sheet Summary" xfId="163" xr:uid="{00000000-0005-0000-0000-000073000000}"/>
    <cellStyle name="_1_New Plan Presentation Pack_IB_BS_Cap_05F(Oct10)" xfId="164" xr:uid="{00000000-0005-0000-0000-000074000000}"/>
    <cellStyle name="_11.30 Loans and Off Balance Sheet Summary (post DAC)" xfId="165" xr:uid="{00000000-0005-0000-0000-000075000000}"/>
    <cellStyle name="_18. Error Report" xfId="166" xr:uid="{00000000-0005-0000-0000-000076000000}"/>
    <cellStyle name="_1Q06 Financial update v6a" xfId="167" xr:uid="{00000000-0005-0000-0000-000077000000}"/>
    <cellStyle name="_1Q06 Financial update v6a_FY Forecast Tracker 9.25.08 v3" xfId="168" xr:uid="{00000000-0005-0000-0000-000078000000}"/>
    <cellStyle name="_1Q06 Financial update v6a_IB Fcst Variance 1-23-09" xfId="169" xr:uid="{00000000-0005-0000-0000-000079000000}"/>
    <cellStyle name="_1Q06 Financial update v6a_IB Mgmt Fcst 1-23-09" xfId="170" xr:uid="{00000000-0005-0000-0000-00007A000000}"/>
    <cellStyle name="_1Q06 Financial update v6a_NI Schedule 10.24.08 v2" xfId="171" xr:uid="{00000000-0005-0000-0000-00007B000000}"/>
    <cellStyle name="_1Q06 Financial update v6a_NI Schedule 11.26.08 (MGMT) v3" xfId="172" xr:uid="{00000000-0005-0000-0000-00007C000000}"/>
    <cellStyle name="_1Q06 Financial update v6a_One time Itemsv3" xfId="173" xr:uid="{00000000-0005-0000-0000-00007D000000}"/>
    <cellStyle name="_1Q06 Financial update v6a_Supplemental Sheets 5.20.09" xfId="174" xr:uid="{00000000-0005-0000-0000-00007E000000}"/>
    <cellStyle name="_1Q10 ERF Supplement 3-15-10 Check" xfId="175" xr:uid="{00000000-0005-0000-0000-00007F000000}"/>
    <cellStyle name="_2004 Strategic Planning &amp; Budgeting - Korea" xfId="176" xr:uid="{00000000-0005-0000-0000-000080000000}"/>
    <cellStyle name="_2005 DRAFT Initiatives" xfId="177" xr:uid="{00000000-0005-0000-0000-000081000000}"/>
    <cellStyle name="_2005 gti myf templates - complete set" xfId="178" xr:uid="{00000000-0005-0000-0000-000082000000}"/>
    <cellStyle name="_2005 gti myf templates - complete set_FY Forecast Tracker 9.25.08 v3" xfId="179" xr:uid="{00000000-0005-0000-0000-000083000000}"/>
    <cellStyle name="_2005 gti myf templates - complete set_IB Fcst Variance 1-23-09" xfId="180" xr:uid="{00000000-0005-0000-0000-000084000000}"/>
    <cellStyle name="_2005 gti myf templates - complete set_IB Mgmt Fcst 1-23-09" xfId="181" xr:uid="{00000000-0005-0000-0000-000085000000}"/>
    <cellStyle name="_2005 gti myf templates - complete set_NI Schedule 10.24.08 v2" xfId="182" xr:uid="{00000000-0005-0000-0000-000086000000}"/>
    <cellStyle name="_2005 gti myf templates - complete set_NI Schedule 11.26.08 (MGMT) v3" xfId="183" xr:uid="{00000000-0005-0000-0000-000087000000}"/>
    <cellStyle name="_2005 gti myf templates - complete set_One time Itemsv3" xfId="184" xr:uid="{00000000-0005-0000-0000-000088000000}"/>
    <cellStyle name="_2005 gti myf templates - complete set_Supplemental Sheets 5.20.09" xfId="185" xr:uid="{00000000-0005-0000-0000-000089000000}"/>
    <cellStyle name="_2005 gti myf templates - complete set_Tracker 2Q  5.12.08" xfId="186" xr:uid="{00000000-0005-0000-0000-00008A000000}"/>
    <cellStyle name="_2005 gti myf templates - complete set_Tracker 2Q  5.15.08" xfId="187" xr:uid="{00000000-0005-0000-0000-00008B000000}"/>
    <cellStyle name="_2005_PRF breakdown_Asia Credit Market" xfId="188" xr:uid="{00000000-0005-0000-0000-00008C000000}"/>
    <cellStyle name="_2005_PRF breakdown_Asia Credit Market_2005_PRF breakdown_Asia Credit Market" xfId="189" xr:uid="{00000000-0005-0000-0000-00008D000000}"/>
    <cellStyle name="_2005_PRF breakdown_Asia Credit Market_2005_PRF breakdown_Asia Credit Market_2005_PRF breakdown_Asia Credit Market" xfId="190" xr:uid="{00000000-0005-0000-0000-00008E000000}"/>
    <cellStyle name="_2005-Trend-FYF-(S588889)" xfId="191" xr:uid="{00000000-0005-0000-0000-00008F000000}"/>
    <cellStyle name="_2005-Trend-FYF-(S588889)_A" xfId="192" xr:uid="{00000000-0005-0000-0000-000090000000}"/>
    <cellStyle name="_2006 Budget - HK" xfId="193" xr:uid="{00000000-0005-0000-0000-000091000000}"/>
    <cellStyle name="_2006AsiaCapital_Analysis" xfId="194" xr:uid="{00000000-0005-0000-0000-000092000000}"/>
    <cellStyle name="_2006Pass1Package_Details" xfId="195" xr:uid="{00000000-0005-0000-0000-000093000000}"/>
    <cellStyle name="_2006Pass1Package_Details_FY Forecast Tracker 9.25.08 v3" xfId="196" xr:uid="{00000000-0005-0000-0000-000094000000}"/>
    <cellStyle name="_2006Pass1Package_Details_IB Fcst Variance 1-23-09" xfId="197" xr:uid="{00000000-0005-0000-0000-000095000000}"/>
    <cellStyle name="_2006Pass1Package_Details_IB Mgmt Fcst 1-23-09" xfId="198" xr:uid="{00000000-0005-0000-0000-000096000000}"/>
    <cellStyle name="_2006Pass1Package_Details_NI Schedule 10.24.08 v2" xfId="199" xr:uid="{00000000-0005-0000-0000-000097000000}"/>
    <cellStyle name="_2006Pass1Package_Details_NI Schedule 11.26.08 (MGMT) v3" xfId="200" xr:uid="{00000000-0005-0000-0000-000098000000}"/>
    <cellStyle name="_2006Pass1Package_Details_One time Itemsv3" xfId="201" xr:uid="{00000000-0005-0000-0000-000099000000}"/>
    <cellStyle name="_2006Pass1Package_Details_Supplemental Sheets 5.20.09" xfId="202" xr:uid="{00000000-0005-0000-0000-00009A000000}"/>
    <cellStyle name="_2006Pass1Package_Details_Tracker 2Q  5.12.08" xfId="203" xr:uid="{00000000-0005-0000-0000-00009B000000}"/>
    <cellStyle name="_2006Pass1Package_Details_Tracker 2Q  5.15.08" xfId="204" xr:uid="{00000000-0005-0000-0000-00009C000000}"/>
    <cellStyle name="_2007 Budget Scenarios v2" xfId="205" xr:uid="{00000000-0005-0000-0000-00009D000000}"/>
    <cellStyle name="_2007 Commodities PassII v10 112106" xfId="206" xr:uid="{00000000-0005-0000-0000-00009E000000}"/>
    <cellStyle name="_2007 Commodities PassII v8 112006 S&amp;G Inv" xfId="207" xr:uid="{00000000-0005-0000-0000-00009F000000}"/>
    <cellStyle name="_2007 Commodities Revised v3" xfId="208" xr:uid="{00000000-0005-0000-0000-0000A0000000}"/>
    <cellStyle name="_2007 Currency PassII V10 112006" xfId="209" xr:uid="{00000000-0005-0000-0000-0000A1000000}"/>
    <cellStyle name="_2007 Currency PassII V11 112006 S&amp;G Inv" xfId="210" xr:uid="{00000000-0005-0000-0000-0000A2000000}"/>
    <cellStyle name="_2007 Currency PassII V12 112106" xfId="211" xr:uid="{00000000-0005-0000-0000-0000A3000000}"/>
    <cellStyle name="_2007 Currency Revised v3" xfId="212" xr:uid="{00000000-0005-0000-0000-0000A4000000}"/>
    <cellStyle name="_2007 Occup Plan - 8-16-06 (SD)" xfId="213" xr:uid="{00000000-0005-0000-0000-0000A5000000}"/>
    <cellStyle name="_2007 Occup Plan - 8-16-06 (SD)_Book1" xfId="214" xr:uid="{00000000-0005-0000-0000-0000A6000000}"/>
    <cellStyle name="_2007 Occup Plan - 8-16-06 (SD)_File 1 - 2008 &amp; 2009 MYF - Board Pre-read View 7.24.08" xfId="215" xr:uid="{00000000-0005-0000-0000-0000A7000000}"/>
    <cellStyle name="_2007 Occup Plan - 8-16-06 (SD)_Supplemental Sheets 5.20.09" xfId="216" xr:uid="{00000000-0005-0000-0000-0000A8000000}"/>
    <cellStyle name="_2007 Occupancy Plan 9-20-06" xfId="217" xr:uid="{00000000-0005-0000-0000-0000A9000000}"/>
    <cellStyle name="_2007_Plan" xfId="218" xr:uid="{00000000-0005-0000-0000-0000AA000000}"/>
    <cellStyle name="_2007_Plan_Book1" xfId="219" xr:uid="{00000000-0005-0000-0000-0000AB000000}"/>
    <cellStyle name="_2007_Plan_File 1 - 2008 &amp; 2009 MYF - Board Pre-read View 7.24.08" xfId="220" xr:uid="{00000000-0005-0000-0000-0000AC000000}"/>
    <cellStyle name="_2007_Plan_Supplemental Sheets 5.20.09" xfId="221" xr:uid="{00000000-0005-0000-0000-0000AD000000}"/>
    <cellStyle name="_2007_Plan_Tracker 2Q  5.12.08" xfId="222" xr:uid="{00000000-0005-0000-0000-0000AE000000}"/>
    <cellStyle name="_2007_Plan_Tracker 2Q  5.15.08" xfId="223" xr:uid="{00000000-0005-0000-0000-0000AF000000}"/>
    <cellStyle name="_2008 Budget Templates - 8-28-07" xfId="224" xr:uid="{00000000-0005-0000-0000-0000B0000000}"/>
    <cellStyle name="_2008 Budget Templates 8-30-07" xfId="225" xr:uid="{00000000-0005-0000-0000-0000B1000000}"/>
    <cellStyle name="_2008 Budget Templates 8-30-07 Asia EM" xfId="226" xr:uid="{00000000-0005-0000-0000-0000B2000000}"/>
    <cellStyle name="_2008 HC Baseline - Energy" xfId="227" xr:uid="{00000000-0005-0000-0000-0000B3000000}"/>
    <cellStyle name="_2008 Headcount Plan" xfId="228" xr:uid="{00000000-0005-0000-0000-0000B4000000}"/>
    <cellStyle name="_2009 budget balance sheet &amp; capital v3" xfId="229" xr:uid="{00000000-0005-0000-0000-0000B5000000}"/>
    <cellStyle name="_21 Dec CM Daily" xfId="230" xr:uid="{00000000-0005-0000-0000-0000B6000000}"/>
    <cellStyle name="_21. Interentity Pop Breaks" xfId="231" xr:uid="{00000000-0005-0000-0000-0000B7000000}"/>
    <cellStyle name="_21b. Interentity RMI Supplement" xfId="232" xr:uid="{00000000-0005-0000-0000-0000B8000000}"/>
    <cellStyle name="_3. GLRS QA" xfId="233" xr:uid="{00000000-0005-0000-0000-0000B9000000}"/>
    <cellStyle name="_8.GLRS QA Securitized Products Augy05" xfId="234" xr:uid="{00000000-0005-0000-0000-0000BA000000}"/>
    <cellStyle name="_9-5Master Aug-LW-Benefit Rates Master-Revised 0825 without rejected cc" xfId="235" xr:uid="{00000000-0005-0000-0000-0000BB000000}"/>
    <cellStyle name="_Accounting and Control Template" xfId="236" xr:uid="{00000000-0005-0000-0000-0000BC000000}"/>
    <cellStyle name="_ACM S&amp;T DCM" xfId="237" xr:uid="{00000000-0005-0000-0000-0000BD000000}"/>
    <cellStyle name="_action items" xfId="238" xr:uid="{00000000-0005-0000-0000-0000BE000000}"/>
    <cellStyle name="_Adjustments" xfId="239" xr:uid="{00000000-0005-0000-0000-0000BF000000}"/>
    <cellStyle name="_Aged accounts in GLRS - Ballas and Roselli" xfId="240" xr:uid="{00000000-0005-0000-0000-0000C0000000}"/>
    <cellStyle name="_AGG1772" xfId="241" xr:uid="{00000000-0005-0000-0000-0000C1000000}"/>
    <cellStyle name="_ALL EMR MAR06 GTI Summary" xfId="242" xr:uid="{00000000-0005-0000-0000-0000C2000000}"/>
    <cellStyle name="_allocs templates - spinner samples" xfId="243" xr:uid="{00000000-0005-0000-0000-0000C3000000}"/>
    <cellStyle name="_allocs templates - spinner samples_A" xfId="244" xr:uid="{00000000-0005-0000-0000-0000C4000000}"/>
    <cellStyle name="_allocs templates - spinner samples_FY Forecast Tracker 9.25.08 v3" xfId="245" xr:uid="{00000000-0005-0000-0000-0000C5000000}"/>
    <cellStyle name="_allocs templates - spinner samples_IB Fcst Variance 1-23-09" xfId="246" xr:uid="{00000000-0005-0000-0000-0000C6000000}"/>
    <cellStyle name="_allocs templates - spinner samples_IB Mgmt Fcst 1-23-09" xfId="247" xr:uid="{00000000-0005-0000-0000-0000C7000000}"/>
    <cellStyle name="_allocs templates - spinner samples_NI Schedule 10.24.08 v2" xfId="248" xr:uid="{00000000-0005-0000-0000-0000C8000000}"/>
    <cellStyle name="_allocs templates - spinner samples_NI Schedule 11.26.08 (MGMT) v3" xfId="249" xr:uid="{00000000-0005-0000-0000-0000C9000000}"/>
    <cellStyle name="_allocs templates - spinner samples_One time Itemsv3" xfId="250" xr:uid="{00000000-0005-0000-0000-0000CA000000}"/>
    <cellStyle name="_allocs templates - spinner samples_Supplemental Sheets 5.20.09" xfId="251" xr:uid="{00000000-0005-0000-0000-0000CB000000}"/>
    <cellStyle name="_AM IC Report 20080612" xfId="252" xr:uid="{00000000-0005-0000-0000-0000CC000000}"/>
    <cellStyle name="_America Capital Structure v.11. values" xfId="253" xr:uid="{00000000-0005-0000-0000-0000CD000000}"/>
    <cellStyle name="_America Debt Schedule v 21" xfId="254" xr:uid="{00000000-0005-0000-0000-0000CE000000}"/>
    <cellStyle name="_America Debt Schedule v 21_Sheet1" xfId="255" xr:uid="{00000000-0005-0000-0000-0000CF000000}"/>
    <cellStyle name="_America Debt Schedule v 21_Stress" xfId="256" xr:uid="{00000000-0005-0000-0000-0000D0000000}"/>
    <cellStyle name="_America Market update 10.6.2008 v.2" xfId="257" xr:uid="{00000000-0005-0000-0000-0000D1000000}"/>
    <cellStyle name="_America Maturity" xfId="258" xr:uid="{00000000-0005-0000-0000-0000D2000000}"/>
    <cellStyle name="_Americas Emerging Markets Plan 08 Template v1.17" xfId="259" xr:uid="{00000000-0005-0000-0000-0000D3000000}"/>
    <cellStyle name="_Appendix B" xfId="260" xr:uid="{00000000-0005-0000-0000-0000D4000000}"/>
    <cellStyle name="_Apr08 -  HFS &amp; FV Loan Data Request" xfId="261" xr:uid="{00000000-0005-0000-0000-0000D5000000}"/>
    <cellStyle name="_Arnold 2006 Plan" xfId="262" xr:uid="{00000000-0005-0000-0000-0000D6000000}"/>
    <cellStyle name="_As of 29Jul05" xfId="263" xr:uid="{00000000-0005-0000-0000-0000D7000000}"/>
    <cellStyle name="_ASIA CMB" xfId="264" xr:uid="{00000000-0005-0000-0000-0000D8000000}"/>
    <cellStyle name="_Asia Credit Hybrids" xfId="265" xr:uid="{00000000-0005-0000-0000-0000D9000000}"/>
    <cellStyle name="_Asia Credit Hybrids V2 SR Template march 2007_revised" xfId="266" xr:uid="{00000000-0005-0000-0000-0000DA000000}"/>
    <cellStyle name="_ASIA CRedit Markets V 2" xfId="267" xr:uid="{00000000-0005-0000-0000-0000DB000000}"/>
    <cellStyle name="_ASIA Emerging Market Plan 08 Templatev1.1" xfId="268" xr:uid="{00000000-0005-0000-0000-0000DC000000}"/>
    <cellStyle name="_Asia Forecast Summary_9Dec" xfId="269" xr:uid="{00000000-0005-0000-0000-0000DD000000}"/>
    <cellStyle name="_Asia Forecast Summary_Nov18" xfId="270" xr:uid="{00000000-0005-0000-0000-0000DE000000}"/>
    <cellStyle name="_Asia FX" xfId="271" xr:uid="{00000000-0005-0000-0000-0000DF000000}"/>
    <cellStyle name="_Asia IB Mgmt Review_Feb 2006" xfId="272" xr:uid="{00000000-0005-0000-0000-0000E0000000}"/>
    <cellStyle name="_Asia Jun Data" xfId="273" xr:uid="{00000000-0005-0000-0000-0000E1000000}"/>
    <cellStyle name="_Asia Jun Data_2009 budget balance sheet &amp; capital v3" xfId="274" xr:uid="{00000000-0005-0000-0000-0000E2000000}"/>
    <cellStyle name="_Asia Jun Data_Americas Emerging Markets Plan 08 Template v1.17" xfId="275" xr:uid="{00000000-0005-0000-0000-0000E3000000}"/>
    <cellStyle name="_Asia Jun Data_Asia Credit Hybrids" xfId="276" xr:uid="{00000000-0005-0000-0000-0000E4000000}"/>
    <cellStyle name="_Asia Jun Data_Asia Credit Hybrids V2 SR Template march 2007_revised" xfId="277" xr:uid="{00000000-0005-0000-0000-0000E5000000}"/>
    <cellStyle name="_Asia Jun Data_ASIA CRedit Markets V 2" xfId="278" xr:uid="{00000000-0005-0000-0000-0000E6000000}"/>
    <cellStyle name="_Asia Jun Data_ASIAPnLRisk_05_0831" xfId="279" xr:uid="{00000000-0005-0000-0000-0000E7000000}"/>
    <cellStyle name="_Asia Jun Data_Asis credit Markets SR Template march 2007_ACM" xfId="280" xr:uid="{00000000-0005-0000-0000-0000E8000000}"/>
    <cellStyle name="_Asia Jun Data_BS" xfId="281" xr:uid="{00000000-0005-0000-0000-0000E9000000}"/>
    <cellStyle name="_Asia Jun Data_BS compliance" xfId="282" xr:uid="{00000000-0005-0000-0000-0000EA000000}"/>
    <cellStyle name="_Asia Jun Data_Credit Sales" xfId="283" xr:uid="{00000000-0005-0000-0000-0000EB000000}"/>
    <cellStyle name="_Asia Jun Data_Credit Sales_2005_PRF breakdown_Asia Credit Market" xfId="284" xr:uid="{00000000-0005-0000-0000-0000EC000000}"/>
    <cellStyle name="_Asia Jun Data_Credit Sales_21 Dec CM Daily" xfId="285" xr:uid="{00000000-0005-0000-0000-0000ED000000}"/>
    <cellStyle name="_Asia Jun Data_Credit Sales_ASIA SUMMARY-CONSOL2" xfId="286" xr:uid="{00000000-0005-0000-0000-0000EE000000}"/>
    <cellStyle name="_Asia Jun Data_Credit Sales_ASIAPnLRisk" xfId="287" xr:uid="{00000000-0005-0000-0000-0000EF000000}"/>
    <cellStyle name="_Asia Jun Data_Credit Sales_ASIAPnLRisk_06_0131B" xfId="288" xr:uid="{00000000-0005-0000-0000-0000F0000000}"/>
    <cellStyle name="_Asia Jun Data_Credit Sales_ASIAPnLRisk_NEW VERSION_PPL" xfId="289" xr:uid="{00000000-0005-0000-0000-0000F1000000}"/>
    <cellStyle name="_Asia Jun Data_Credit Sales_SUMMARY" xfId="290" xr:uid="{00000000-0005-0000-0000-0000F2000000}"/>
    <cellStyle name="_Asia Jun Data_Don-Marie 9-26-07 v6(CM)" xfId="291" xr:uid="{00000000-0005-0000-0000-0000F3000000}"/>
    <cellStyle name="_Asia Jun Data_EMEA EM BD2 Forecast V2" xfId="292" xr:uid="{00000000-0005-0000-0000-0000F4000000}"/>
    <cellStyle name="_Asia Jun Data_EMEA EM BD2 Forecast V3" xfId="293" xr:uid="{00000000-0005-0000-0000-0000F5000000}"/>
    <cellStyle name="_Asia Jun Data_ENTRY SHEET" xfId="294" xr:uid="{00000000-0005-0000-0000-0000F6000000}"/>
    <cellStyle name="_Asia Jun Data_Final Revenues Sep" xfId="295" xr:uid="{00000000-0005-0000-0000-0000F7000000}"/>
    <cellStyle name="_Asia Jun Data_GEM P&amp;L ACTUAL COB 31 August 07" xfId="296" xr:uid="{00000000-0005-0000-0000-0000F8000000}"/>
    <cellStyle name="_Asia Jun Data_HC Tracking Feb 07BIUSHI-elee" xfId="297" xr:uid="{00000000-0005-0000-0000-0000F9000000}"/>
    <cellStyle name="_Asia Jun Data_LEOU Map Jun" xfId="298" xr:uid="{00000000-0005-0000-0000-0000FA000000}"/>
    <cellStyle name="_Asia Jun Data_LEOU Map Jun_2005_PRF breakdown_Asia Credit Market" xfId="299" xr:uid="{00000000-0005-0000-0000-0000FB000000}"/>
    <cellStyle name="_Asia Jun Data_LEOU Map Jun_21 Dec CM Daily" xfId="300" xr:uid="{00000000-0005-0000-0000-0000FC000000}"/>
    <cellStyle name="_Asia Jun Data_LEOU Map Jun_ASIA SUMMARY-CONSOL2" xfId="301" xr:uid="{00000000-0005-0000-0000-0000FD000000}"/>
    <cellStyle name="_Asia Jun Data_LEOU Map Jun_ASIAPnLRisk" xfId="302" xr:uid="{00000000-0005-0000-0000-0000FE000000}"/>
    <cellStyle name="_Asia Jun Data_LEOU Map Jun_ASIAPnLRisk_06_0131B" xfId="303" xr:uid="{00000000-0005-0000-0000-0000FF000000}"/>
    <cellStyle name="_Asia Jun Data_LEOU Map Jun_ASIAPnLRisk_NEW VERSION_PPL" xfId="304" xr:uid="{00000000-0005-0000-0000-000000010000}"/>
    <cellStyle name="_Asia Jun Data_LEOU Map Jun_Credit Sales" xfId="305" xr:uid="{00000000-0005-0000-0000-000001010000}"/>
    <cellStyle name="_Asia Jun Data_LEOU Map Jun_SUMMARY" xfId="306" xr:uid="{00000000-0005-0000-0000-000002010000}"/>
    <cellStyle name="_Asia Jun Data_Summary " xfId="307" xr:uid="{00000000-0005-0000-0000-000003010000}"/>
    <cellStyle name="_Asia Jun Data_TOK Credit Hybrids SR Template June 2007_Final" xfId="308" xr:uid="{00000000-0005-0000-0000-000004010000}"/>
    <cellStyle name="_Asia Mar Data" xfId="309" xr:uid="{00000000-0005-0000-0000-000005010000}"/>
    <cellStyle name="_Asia Mar Data_2005_PRF breakdown_Asia Credit Market" xfId="310" xr:uid="{00000000-0005-0000-0000-000006010000}"/>
    <cellStyle name="_Asia Mar Data_21 Dec CM Daily" xfId="311" xr:uid="{00000000-0005-0000-0000-000007010000}"/>
    <cellStyle name="_Asia Mar Data_ASIA SUMMARY-CONSOL2" xfId="312" xr:uid="{00000000-0005-0000-0000-000008010000}"/>
    <cellStyle name="_Asia Mar Data_ASIAPnLRisk" xfId="313" xr:uid="{00000000-0005-0000-0000-000009010000}"/>
    <cellStyle name="_Asia Mar Data_ASIAPnLRisk_06_0131B" xfId="314" xr:uid="{00000000-0005-0000-0000-00000A010000}"/>
    <cellStyle name="_Asia Mar Data_ASIAPnLRisk_NEW VERSION_PPL" xfId="315" xr:uid="{00000000-0005-0000-0000-00000B010000}"/>
    <cellStyle name="_Asia Mar Data_AXJ_May05 as of BD3" xfId="316" xr:uid="{00000000-0005-0000-0000-00000C010000}"/>
    <cellStyle name="_Asia Mar Data_AXJ_May05 as of BD3_2005_PRF breakdown_Asia Credit Market" xfId="317" xr:uid="{00000000-0005-0000-0000-00000D010000}"/>
    <cellStyle name="_Asia Mar Data_AXJ_May05 as of BD3_21 Dec CM Daily" xfId="318" xr:uid="{00000000-0005-0000-0000-00000E010000}"/>
    <cellStyle name="_Asia Mar Data_AXJ_May05 as of BD3_ASIA SUMMARY-CONSOL2" xfId="319" xr:uid="{00000000-0005-0000-0000-00000F010000}"/>
    <cellStyle name="_Asia Mar Data_AXJ_May05 as of BD3_ASIAPnLRisk" xfId="320" xr:uid="{00000000-0005-0000-0000-000010010000}"/>
    <cellStyle name="_Asia Mar Data_AXJ_May05 as of BD3_ASIAPnLRisk_06_0131B" xfId="321" xr:uid="{00000000-0005-0000-0000-000011010000}"/>
    <cellStyle name="_Asia Mar Data_AXJ_May05 as of BD3_ASIAPnLRisk_NEW VERSION_PPL" xfId="322" xr:uid="{00000000-0005-0000-0000-000012010000}"/>
    <cellStyle name="_Asia Mar Data_AXJ_May05 as of BD3_Credit Sales" xfId="323" xr:uid="{00000000-0005-0000-0000-000013010000}"/>
    <cellStyle name="_Asia Mar Data_AXJ_May05 as of BD3_SUMMARY" xfId="324" xr:uid="{00000000-0005-0000-0000-000014010000}"/>
    <cellStyle name="_Asia Mar Data_Credit Sales" xfId="325" xr:uid="{00000000-0005-0000-0000-000015010000}"/>
    <cellStyle name="_Asia Mar Data_SUMMARY" xfId="326" xr:uid="{00000000-0005-0000-0000-000016010000}"/>
    <cellStyle name="_Asia Markets Flash Feb'05" xfId="327" xr:uid="{00000000-0005-0000-0000-000017010000}"/>
    <cellStyle name="_Asia May Data" xfId="328" xr:uid="{00000000-0005-0000-0000-000018010000}"/>
    <cellStyle name="_Asia May Data_2009 budget balance sheet &amp; capital v3" xfId="329" xr:uid="{00000000-0005-0000-0000-000019010000}"/>
    <cellStyle name="_Asia May Data_Americas Emerging Markets Plan 08 Template v1.17" xfId="330" xr:uid="{00000000-0005-0000-0000-00001A010000}"/>
    <cellStyle name="_Asia May Data_Asia Credit Hybrids" xfId="331" xr:uid="{00000000-0005-0000-0000-00001B010000}"/>
    <cellStyle name="_Asia May Data_Asia Credit Hybrids V2 SR Template march 2007_revised" xfId="332" xr:uid="{00000000-0005-0000-0000-00001C010000}"/>
    <cellStyle name="_Asia May Data_ASIA CRedit Markets V 2" xfId="333" xr:uid="{00000000-0005-0000-0000-00001D010000}"/>
    <cellStyle name="_Asia May Data_ASIAPnLRisk_05_0831" xfId="334" xr:uid="{00000000-0005-0000-0000-00001E010000}"/>
    <cellStyle name="_Asia May Data_Asis credit Markets SR Template march 2007_ACM" xfId="335" xr:uid="{00000000-0005-0000-0000-00001F010000}"/>
    <cellStyle name="_Asia May Data_BS" xfId="336" xr:uid="{00000000-0005-0000-0000-000020010000}"/>
    <cellStyle name="_Asia May Data_BS compliance" xfId="337" xr:uid="{00000000-0005-0000-0000-000021010000}"/>
    <cellStyle name="_Asia May Data_Credit Sales" xfId="338" xr:uid="{00000000-0005-0000-0000-000022010000}"/>
    <cellStyle name="_Asia May Data_Credit Sales_2005_PRF breakdown_Asia Credit Market" xfId="339" xr:uid="{00000000-0005-0000-0000-000023010000}"/>
    <cellStyle name="_Asia May Data_Credit Sales_21 Dec CM Daily" xfId="340" xr:uid="{00000000-0005-0000-0000-000024010000}"/>
    <cellStyle name="_Asia May Data_Credit Sales_ASIA SUMMARY-CONSOL2" xfId="341" xr:uid="{00000000-0005-0000-0000-000025010000}"/>
    <cellStyle name="_Asia May Data_Credit Sales_ASIAPnLRisk" xfId="342" xr:uid="{00000000-0005-0000-0000-000026010000}"/>
    <cellStyle name="_Asia May Data_Credit Sales_ASIAPnLRisk_06_0131B" xfId="343" xr:uid="{00000000-0005-0000-0000-000027010000}"/>
    <cellStyle name="_Asia May Data_Credit Sales_ASIAPnLRisk_NEW VERSION_PPL" xfId="344" xr:uid="{00000000-0005-0000-0000-000028010000}"/>
    <cellStyle name="_Asia May Data_Credit Sales_SUMMARY" xfId="345" xr:uid="{00000000-0005-0000-0000-000029010000}"/>
    <cellStyle name="_Asia May Data_Don-Marie 9-26-07 v6(CM)" xfId="346" xr:uid="{00000000-0005-0000-0000-00002A010000}"/>
    <cellStyle name="_Asia May Data_EMEA EM BD2 Forecast V2" xfId="347" xr:uid="{00000000-0005-0000-0000-00002B010000}"/>
    <cellStyle name="_Asia May Data_EMEA EM BD2 Forecast V3" xfId="348" xr:uid="{00000000-0005-0000-0000-00002C010000}"/>
    <cellStyle name="_Asia May Data_ENTRY SHEET" xfId="349" xr:uid="{00000000-0005-0000-0000-00002D010000}"/>
    <cellStyle name="_Asia May Data_Final Revenues Sep" xfId="350" xr:uid="{00000000-0005-0000-0000-00002E010000}"/>
    <cellStyle name="_Asia May Data_GEM P&amp;L ACTUAL COB 31 August 07" xfId="351" xr:uid="{00000000-0005-0000-0000-00002F010000}"/>
    <cellStyle name="_Asia May Data_HC Tracking Feb 07BIUSHI-elee" xfId="352" xr:uid="{00000000-0005-0000-0000-000030010000}"/>
    <cellStyle name="_Asia May Data_LEOU Map Jun" xfId="353" xr:uid="{00000000-0005-0000-0000-000031010000}"/>
    <cellStyle name="_Asia May Data_LEOU Map Jun_2005_PRF breakdown_Asia Credit Market" xfId="354" xr:uid="{00000000-0005-0000-0000-000032010000}"/>
    <cellStyle name="_Asia May Data_LEOU Map Jun_21 Dec CM Daily" xfId="355" xr:uid="{00000000-0005-0000-0000-000033010000}"/>
    <cellStyle name="_Asia May Data_LEOU Map Jun_ASIA SUMMARY-CONSOL2" xfId="356" xr:uid="{00000000-0005-0000-0000-000034010000}"/>
    <cellStyle name="_Asia May Data_LEOU Map Jun_ASIAPnLRisk" xfId="357" xr:uid="{00000000-0005-0000-0000-000035010000}"/>
    <cellStyle name="_Asia May Data_LEOU Map Jun_ASIAPnLRisk_06_0131B" xfId="358" xr:uid="{00000000-0005-0000-0000-000036010000}"/>
    <cellStyle name="_Asia May Data_LEOU Map Jun_ASIAPnLRisk_NEW VERSION_PPL" xfId="359" xr:uid="{00000000-0005-0000-0000-000037010000}"/>
    <cellStyle name="_Asia May Data_LEOU Map Jun_Credit Sales" xfId="360" xr:uid="{00000000-0005-0000-0000-000038010000}"/>
    <cellStyle name="_Asia May Data_LEOU Map Jun_SUMMARY" xfId="361" xr:uid="{00000000-0005-0000-0000-000039010000}"/>
    <cellStyle name="_Asia May Data_Summary " xfId="362" xr:uid="{00000000-0005-0000-0000-00003A010000}"/>
    <cellStyle name="_Asia May Data_TOK Credit Hybrids SR Template June 2007_Final" xfId="363" xr:uid="{00000000-0005-0000-0000-00003B010000}"/>
    <cellStyle name="_Asia Oct Data" xfId="364" xr:uid="{00000000-0005-0000-0000-00003C010000}"/>
    <cellStyle name="_Asia Oct Data_Asia Credit Hybrids" xfId="365" xr:uid="{00000000-0005-0000-0000-00003D010000}"/>
    <cellStyle name="_Asia Oct Data_Asia Credit Hybrids V2 SR Template march 2007_revised" xfId="366" xr:uid="{00000000-0005-0000-0000-00003E010000}"/>
    <cellStyle name="_Asia Oct Data_ASIA CRedit Markets V 2" xfId="367" xr:uid="{00000000-0005-0000-0000-00003F010000}"/>
    <cellStyle name="_Asia Oct Data_Asis credit Markets SR Template march 2007_ACM" xfId="368" xr:uid="{00000000-0005-0000-0000-000040010000}"/>
    <cellStyle name="_Asia Oct Data_Credit Sales" xfId="369" xr:uid="{00000000-0005-0000-0000-000041010000}"/>
    <cellStyle name="_Asia Oct Data_Restricted_PPL_28Jun" xfId="370" xr:uid="{00000000-0005-0000-0000-000042010000}"/>
    <cellStyle name="_Asia Oct Data_Restricted_PrdRpt_12 Jun" xfId="371" xr:uid="{00000000-0005-0000-0000-000043010000}"/>
    <cellStyle name="_Asia Oct Data_Sheet1" xfId="372" xr:uid="{00000000-0005-0000-0000-000044010000}"/>
    <cellStyle name="_Asia Oct Data_TOK Credit Hybrids SR Template June 2007_Final" xfId="373" xr:uid="{00000000-0005-0000-0000-000045010000}"/>
    <cellStyle name="_Asia Rates" xfId="374" xr:uid="{00000000-0005-0000-0000-000046010000}"/>
    <cellStyle name="_ASIA SUMMARY-CONSOL2" xfId="375" xr:uid="{00000000-0005-0000-0000-000047010000}"/>
    <cellStyle name="_ASIA-Equities Shares to NY" xfId="376" xr:uid="{00000000-0005-0000-0000-000048010000}"/>
    <cellStyle name="_AsiaIB_CLIENT_Jul_05" xfId="377" xr:uid="{00000000-0005-0000-0000-000049010000}"/>
    <cellStyle name="_ASIAPnLRisk" xfId="378" xr:uid="{00000000-0005-0000-0000-00004A010000}"/>
    <cellStyle name="_ASIAPnLRisk_05_0228C" xfId="379" xr:uid="{00000000-0005-0000-0000-00004B010000}"/>
    <cellStyle name="_ASIAPnLRisk_05_0829" xfId="380" xr:uid="{00000000-0005-0000-0000-00004C010000}"/>
    <cellStyle name="_ASIAPnLRisk_05_0831" xfId="381" xr:uid="{00000000-0005-0000-0000-00004D010000}"/>
    <cellStyle name="_ASIAPnLRisk_05_1230F" xfId="382" xr:uid="{00000000-0005-0000-0000-00004E010000}"/>
    <cellStyle name="_ASIAPnLRisk_06_0131B" xfId="383" xr:uid="{00000000-0005-0000-0000-00004F010000}"/>
    <cellStyle name="_ASIAPnLRisk_06_0405" xfId="384" xr:uid="{00000000-0005-0000-0000-000050010000}"/>
    <cellStyle name="_ASIAPnLRisk_NEW VERSION_PPL" xfId="385" xr:uid="{00000000-0005-0000-0000-000051010000}"/>
    <cellStyle name="_AsiaQ1Review-Dimon 503_Formatted" xfId="386" xr:uid="{00000000-0005-0000-0000-000052010000}"/>
    <cellStyle name="_Asis credit Markets SR Template march 2007_ACM" xfId="387" xr:uid="{00000000-0005-0000-0000-000053010000}"/>
    <cellStyle name="_Aspen Financial Update 3-8-07" xfId="388" xr:uid="{00000000-0005-0000-0000-000054010000}"/>
    <cellStyle name="_Average IB Loans - 2007 thru Nov 30" xfId="389" xr:uid="{00000000-0005-0000-0000-000055010000}"/>
    <cellStyle name="_AWM - DN" xfId="390" xr:uid="{00000000-0005-0000-0000-000056010000}"/>
    <cellStyle name="_AXJ IBC M&amp;A" xfId="391" xr:uid="{00000000-0005-0000-0000-000057010000}"/>
    <cellStyle name="_AXJ_May05 as of BD3" xfId="392" xr:uid="{00000000-0005-0000-0000-000058010000}"/>
    <cellStyle name="_AXJ_May05 as of BD3_2005_PRF breakdown_Asia Credit Market" xfId="393" xr:uid="{00000000-0005-0000-0000-000059010000}"/>
    <cellStyle name="_AXJ_May05 as of BD3_21 Dec CM Daily" xfId="394" xr:uid="{00000000-0005-0000-0000-00005A010000}"/>
    <cellStyle name="_AXJ_May05 as of BD3_ASIA SUMMARY-CONSOL2" xfId="395" xr:uid="{00000000-0005-0000-0000-00005B010000}"/>
    <cellStyle name="_AXJ_May05 as of BD3_ASIAPnLRisk" xfId="396" xr:uid="{00000000-0005-0000-0000-00005C010000}"/>
    <cellStyle name="_AXJ_May05 as of BD3_ASIAPnLRisk_06_0131B" xfId="397" xr:uid="{00000000-0005-0000-0000-00005D010000}"/>
    <cellStyle name="_AXJ_May05 as of BD3_ASIAPnLRisk_NEW VERSION_PPL" xfId="398" xr:uid="{00000000-0005-0000-0000-00005E010000}"/>
    <cellStyle name="_AXJ_May05 as of BD3_Credit Sales" xfId="399" xr:uid="{00000000-0005-0000-0000-00005F010000}"/>
    <cellStyle name="_AXJ_May05 as of BD3_SUMMARY" xfId="400" xr:uid="{00000000-0005-0000-0000-000060010000}"/>
    <cellStyle name="_Balance Sheet and RWA" xfId="401" xr:uid="{00000000-0005-0000-0000-000061010000}"/>
    <cellStyle name="_Basel I &amp; II RWA Forecast - 02-12 v1" xfId="402" xr:uid="{00000000-0005-0000-0000-000062010000}"/>
    <cellStyle name="_BD1" xfId="403" xr:uid="{00000000-0005-0000-0000-000063010000}"/>
    <cellStyle name="_BD9_O&amp;R_Template_Submissions" xfId="404" xr:uid="{00000000-0005-0000-0000-000064010000}"/>
    <cellStyle name="_BD9_O&amp;R_Template_Submissions_FY Forecast Tracker 9.25.08 v3" xfId="405" xr:uid="{00000000-0005-0000-0000-000065010000}"/>
    <cellStyle name="_BD9_O&amp;R_Template_Submissions_IB Fcst Variance 1-23-09" xfId="406" xr:uid="{00000000-0005-0000-0000-000066010000}"/>
    <cellStyle name="_BD9_O&amp;R_Template_Submissions_IB Mgmt Fcst 1-23-09" xfId="407" xr:uid="{00000000-0005-0000-0000-000067010000}"/>
    <cellStyle name="_BD9_O&amp;R_Template_Submissions_NI Schedule 10.24.08 v2" xfId="408" xr:uid="{00000000-0005-0000-0000-000068010000}"/>
    <cellStyle name="_BD9_O&amp;R_Template_Submissions_NI Schedule 11.26.08 (MGMT) v3" xfId="409" xr:uid="{00000000-0005-0000-0000-000069010000}"/>
    <cellStyle name="_BD9_O&amp;R_Template_Submissions_One time Itemsv3" xfId="410" xr:uid="{00000000-0005-0000-0000-00006A010000}"/>
    <cellStyle name="_BD9_O&amp;R_Template_Submissions_Supplemental Sheets 5.20.09" xfId="411" xr:uid="{00000000-0005-0000-0000-00006B010000}"/>
    <cellStyle name="_BD9_O&amp;R_Template_Submissions_Tracker 2Q  5.12.08" xfId="412" xr:uid="{00000000-0005-0000-0000-00006C010000}"/>
    <cellStyle name="_BD9_O&amp;R_Template_Submissions_Tracker 2Q  5.15.08" xfId="413" xr:uid="{00000000-0005-0000-0000-00006D010000}"/>
    <cellStyle name="_Bond Book - 9.30.2008" xfId="414" xr:uid="{00000000-0005-0000-0000-00006E010000}"/>
    <cellStyle name="_Book1" xfId="415" xr:uid="{00000000-0005-0000-0000-00006F010000}"/>
    <cellStyle name="_Book4" xfId="416" xr:uid="{00000000-0005-0000-0000-000070010000}"/>
    <cellStyle name="_Breakdown SAA" xfId="417" xr:uid="{00000000-0005-0000-0000-000071010000}"/>
    <cellStyle name="_Breakdown SAA_A" xfId="418" xr:uid="{00000000-0005-0000-0000-000072010000}"/>
    <cellStyle name="_BS" xfId="419" xr:uid="{00000000-0005-0000-0000-000073010000}"/>
    <cellStyle name="_BS 2" xfId="420" xr:uid="{00000000-0005-0000-0000-000074010000}"/>
    <cellStyle name="_BS 2_A" xfId="421" xr:uid="{00000000-0005-0000-0000-000075010000}"/>
    <cellStyle name="_BS compliance" xfId="422" xr:uid="{00000000-0005-0000-0000-000076010000}"/>
    <cellStyle name="_Cancun Budget Presentation PPT Excel Sheets" xfId="423" xr:uid="{00000000-0005-0000-0000-000077010000}"/>
    <cellStyle name="_Capital NII &amp; Brok" xfId="424" xr:uid="{00000000-0005-0000-0000-000078010000}"/>
    <cellStyle name="_Capital Ratio Detail page" xfId="425" xr:uid="{00000000-0005-0000-0000-000079010000}"/>
    <cellStyle name="_Cash CDO &amp; AI" xfId="426" xr:uid="{00000000-0005-0000-0000-00007A010000}"/>
    <cellStyle name="_Cash CDO &amp; AI_2005_PRF breakdown_Asia Credit Market" xfId="427" xr:uid="{00000000-0005-0000-0000-00007B010000}"/>
    <cellStyle name="_Cash CDO &amp; AI_21 Dec CM Daily" xfId="428" xr:uid="{00000000-0005-0000-0000-00007C010000}"/>
    <cellStyle name="_Cash CDO &amp; AI_ASIA SUMMARY-CONSOL2" xfId="429" xr:uid="{00000000-0005-0000-0000-00007D010000}"/>
    <cellStyle name="_Cash CDO &amp; AI_ASIAPnLRisk" xfId="430" xr:uid="{00000000-0005-0000-0000-00007E010000}"/>
    <cellStyle name="_Cash CDO &amp; AI_ASIAPnLRisk_06_0131B" xfId="431" xr:uid="{00000000-0005-0000-0000-00007F010000}"/>
    <cellStyle name="_Cash CDO &amp; AI_ASIAPnLRisk_NEW VERSION_PPL" xfId="432" xr:uid="{00000000-0005-0000-0000-000080010000}"/>
    <cellStyle name="_Cash CDO &amp; AI_Credit Sales" xfId="433" xr:uid="{00000000-0005-0000-0000-000081010000}"/>
    <cellStyle name="_Cash CDO &amp; AI_Data" xfId="434" xr:uid="{00000000-0005-0000-0000-000082010000}"/>
    <cellStyle name="_Cash CDO &amp; AI_SUMMARY" xfId="435" xr:uid="{00000000-0005-0000-0000-000083010000}"/>
    <cellStyle name="_Cashflow Projection for Ares ELIS_Request to JPMorgan Chase 2004-0802" xfId="436" xr:uid="{00000000-0005-0000-0000-000084010000}"/>
    <cellStyle name="_Cashflows" xfId="437" xr:uid="{00000000-0005-0000-0000-000085010000}"/>
    <cellStyle name="_Cashflows_A" xfId="438" xr:uid="{00000000-0005-0000-0000-000086010000}"/>
    <cellStyle name="_China" xfId="439" xr:uid="{00000000-0005-0000-0000-000087010000}"/>
    <cellStyle name="_Chrysler v.2" xfId="440" xr:uid="{00000000-0005-0000-0000-000088010000}"/>
    <cellStyle name="_CIO Entry" xfId="441" xr:uid="{00000000-0005-0000-0000-000089010000}"/>
    <cellStyle name="_CIO Mgmt" xfId="442" xr:uid="{00000000-0005-0000-0000-00008A010000}"/>
    <cellStyle name="_Comma" xfId="443" xr:uid="{00000000-0005-0000-0000-00008B010000}"/>
    <cellStyle name="_Comma_~1134290" xfId="444" xr:uid="{00000000-0005-0000-0000-00008C010000}"/>
    <cellStyle name="_Comma_~3036172" xfId="445" xr:uid="{00000000-0005-0000-0000-00008D010000}"/>
    <cellStyle name="_Comma_~7516164" xfId="446" xr:uid="{00000000-0005-0000-0000-00008E010000}"/>
    <cellStyle name="_Comma_~9342525" xfId="447" xr:uid="{00000000-0005-0000-0000-00008F010000}"/>
    <cellStyle name="_Comma_1 - Pizzi spread rec schedule" xfId="448" xr:uid="{00000000-0005-0000-0000-000090010000}"/>
    <cellStyle name="_Comma_2007 Budget Scenarios v2" xfId="449" xr:uid="{00000000-0005-0000-0000-000091010000}"/>
    <cellStyle name="_Comma_2008 Headcount Plan" xfId="450" xr:uid="{00000000-0005-0000-0000-000092010000}"/>
    <cellStyle name="_Comma_Appendix B" xfId="451" xr:uid="{00000000-0005-0000-0000-000093010000}"/>
    <cellStyle name="_Comma_Aspen Financial Update 3-8-07" xfId="452" xr:uid="{00000000-0005-0000-0000-000094010000}"/>
    <cellStyle name="_Comma_AutoPrice2000" xfId="453" xr:uid="{00000000-0005-0000-0000-000095010000}"/>
    <cellStyle name="_Comma_Book1" xfId="454" xr:uid="{00000000-0005-0000-0000-000096010000}"/>
    <cellStyle name="_Comma_Book4" xfId="455" xr:uid="{00000000-0005-0000-0000-000097010000}"/>
    <cellStyle name="_Comma_Cancun Budget Presentation PPT Excel Sheets" xfId="456" xr:uid="{00000000-0005-0000-0000-000098010000}"/>
    <cellStyle name="_Comma_Company Operating Model v24" xfId="457" xr:uid="{00000000-0005-0000-0000-000099010000}"/>
    <cellStyle name="_Comma_Covenant compliance 11-18-07 v3" xfId="458" xr:uid="{00000000-0005-0000-0000-00009A010000}"/>
    <cellStyle name="_Comma_Covenant compliance 11-19-07 v2" xfId="459" xr:uid="{00000000-0005-0000-0000-00009B010000}"/>
    <cellStyle name="_Comma_Earth holco capital structure" xfId="460" xr:uid="{00000000-0005-0000-0000-00009C010000}"/>
    <cellStyle name="_Comma_Enterprise V10.1 budget input" xfId="461" xr:uid="{00000000-0005-0000-0000-00009D010000}"/>
    <cellStyle name="_Comma_Latest Exposure Data" xfId="462" xr:uid="{00000000-0005-0000-0000-00009E010000}"/>
    <cellStyle name="_Comma_Natural Account vs AMTD v2" xfId="463" xr:uid="{00000000-0005-0000-0000-00009F010000}"/>
    <cellStyle name="_Comma_Q107 Company Estimate 3-29-07" xfId="464" xr:uid="{00000000-0005-0000-0000-0000A0010000}"/>
    <cellStyle name="_Comma_Q107 Company Estimate 3-8-07" xfId="465" xr:uid="{00000000-0005-0000-0000-0000A1010000}"/>
    <cellStyle name="_Comma_Q207 Forecast" xfId="466" xr:uid="{00000000-0005-0000-0000-0000A2010000}"/>
    <cellStyle name="_Comma_Q407 Consolidating Estimate" xfId="467" xr:uid="{00000000-0005-0000-0000-0000A3010000}"/>
    <cellStyle name="_Comma_Segment" xfId="468" xr:uid="{00000000-0005-0000-0000-0000A4010000}"/>
    <cellStyle name="_Comma_Spread Walk NEW_Budget ENT" xfId="469" xr:uid="{00000000-0005-0000-0000-0000A5010000}"/>
    <cellStyle name="_Comma_Valuation Materials_v6" xfId="470" xr:uid="{00000000-0005-0000-0000-0000A6010000}"/>
    <cellStyle name="_Commentary" xfId="471" xr:uid="{00000000-0005-0000-0000-0000A7010000}"/>
    <cellStyle name="_Company Operating Model v24" xfId="472" xr:uid="{00000000-0005-0000-0000-0000A8010000}"/>
    <cellStyle name="_comparison Apr 07" xfId="473" xr:uid="{00000000-0005-0000-0000-0000A9010000}"/>
    <cellStyle name="_Consol PL Summary" xfId="474" xr:uid="{00000000-0005-0000-0000-0000AA010000}"/>
    <cellStyle name="_Consol PL Summary 26 May" xfId="475" xr:uid="{00000000-0005-0000-0000-0000AB010000}"/>
    <cellStyle name="_Consol PL Summary-Dec(Jan10)" xfId="476" xr:uid="{00000000-0005-0000-0000-0000AC010000}"/>
    <cellStyle name="_Consol prod and clients" xfId="477" xr:uid="{00000000-0005-0000-0000-0000AD010000}"/>
    <cellStyle name="_Copy of Project America Cash flows v59 xls SLF v 8 (2)" xfId="478" xr:uid="{00000000-0005-0000-0000-0000AE010000}"/>
    <cellStyle name="_Corp IC Page for Q1 Outlook v2" xfId="479" xr:uid="{00000000-0005-0000-0000-0000AF010000}"/>
    <cellStyle name="_Corp List - Oct 04" xfId="480" xr:uid="{00000000-0005-0000-0000-0000B0010000}"/>
    <cellStyle name="_Corp List - Oct 04_2009 budget balance sheet &amp; capital v3" xfId="481" xr:uid="{00000000-0005-0000-0000-0000B1010000}"/>
    <cellStyle name="_Corp List - Oct 04_Americas Emerging Markets Plan 08 Template v1.17" xfId="482" xr:uid="{00000000-0005-0000-0000-0000B2010000}"/>
    <cellStyle name="_Corp List - Oct 04_ASIAPnLRisk_05_0831" xfId="483" xr:uid="{00000000-0005-0000-0000-0000B3010000}"/>
    <cellStyle name="_Corp List - Oct 04_ASIAPnLRisk_05_1230F" xfId="484" xr:uid="{00000000-0005-0000-0000-0000B4010000}"/>
    <cellStyle name="_Corp List - Oct 04_ASIAPnLRisk_06_0405" xfId="485" xr:uid="{00000000-0005-0000-0000-0000B5010000}"/>
    <cellStyle name="_Corp List - Oct 04_BS" xfId="486" xr:uid="{00000000-0005-0000-0000-0000B6010000}"/>
    <cellStyle name="_Corp List - Oct 04_BS compliance" xfId="487" xr:uid="{00000000-0005-0000-0000-0000B7010000}"/>
    <cellStyle name="_Corp List - Oct 04_Credit Sales" xfId="488" xr:uid="{00000000-0005-0000-0000-0000B8010000}"/>
    <cellStyle name="_Corp List - Oct 04_Don-Marie 9-26-07 v6(CM)" xfId="489" xr:uid="{00000000-0005-0000-0000-0000B9010000}"/>
    <cellStyle name="_Corp List - Oct 04_Edsparr's historical" xfId="490" xr:uid="{00000000-0005-0000-0000-0000BA010000}"/>
    <cellStyle name="_Corp List - Oct 04_EMEA EM BD2 Forecast V2" xfId="491" xr:uid="{00000000-0005-0000-0000-0000BB010000}"/>
    <cellStyle name="_Corp List - Oct 04_EMEA EM BD2 Forecast V3" xfId="492" xr:uid="{00000000-0005-0000-0000-0000BC010000}"/>
    <cellStyle name="_Corp List - Oct 04_ENTRY SHEET" xfId="493" xr:uid="{00000000-0005-0000-0000-0000BD010000}"/>
    <cellStyle name="_Corp List - Oct 04_GEM P&amp;L ACTUAL COB 31 August 07" xfId="494" xr:uid="{00000000-0005-0000-0000-0000BE010000}"/>
    <cellStyle name="_Corp List - Oct 04_HC Tracking Feb 07BIUSHI-elee" xfId="495" xr:uid="{00000000-0005-0000-0000-0000BF010000}"/>
    <cellStyle name="_Corp List - Oct 04_MTM Figures" xfId="496" xr:uid="{00000000-0005-0000-0000-0000C0010000}"/>
    <cellStyle name="_Corp List - Oct 04_PnL_Split_Apr06" xfId="497" xr:uid="{00000000-0005-0000-0000-0000C1010000}"/>
    <cellStyle name="_Corp List - Oct 04_PnL_Split_Jan19" xfId="498" xr:uid="{00000000-0005-0000-0000-0000C2010000}"/>
    <cellStyle name="_Corp List - Oct 04_PnL_Split_Jun 02" xfId="499" xr:uid="{00000000-0005-0000-0000-0000C3010000}"/>
    <cellStyle name="_Corp List - Oct 04_PnL_Split_Jun 30_Final" xfId="500" xr:uid="{00000000-0005-0000-0000-0000C4010000}"/>
    <cellStyle name="_Corp List - Oct 04_PnL_Split_Mar06 - v2" xfId="501" xr:uid="{00000000-0005-0000-0000-0000C5010000}"/>
    <cellStyle name="_Corp List - Oct 04_PnL_Split_Mar15 - v2" xfId="502" xr:uid="{00000000-0005-0000-0000-0000C6010000}"/>
    <cellStyle name="_Corp List - Oct 04_PnL_Split_Mar16 - v2" xfId="503" xr:uid="{00000000-0005-0000-0000-0000C7010000}"/>
    <cellStyle name="_Corp List - Oct 04_PnL_Split_May16" xfId="504" xr:uid="{00000000-0005-0000-0000-0000C8010000}"/>
    <cellStyle name="_Corp List - Oct 04_PnL_Split_May24" xfId="505" xr:uid="{00000000-0005-0000-0000-0000C9010000}"/>
    <cellStyle name="_Corp List - Oct 04_PnL_Split_May26" xfId="506" xr:uid="{00000000-0005-0000-0000-0000CA010000}"/>
    <cellStyle name="_Corp List - Oct 04_PnL_Split_May30" xfId="507" xr:uid="{00000000-0005-0000-0000-0000CB010000}"/>
    <cellStyle name="_Corp List - Oct 04_Restricted_PPL_28Jun" xfId="508" xr:uid="{00000000-0005-0000-0000-0000CC010000}"/>
    <cellStyle name="_Corp List - Oct 04_Sheet1" xfId="509" xr:uid="{00000000-0005-0000-0000-0000CD010000}"/>
    <cellStyle name="_Corp List - Oct 04_Summary " xfId="510" xr:uid="{00000000-0005-0000-0000-0000CE010000}"/>
    <cellStyle name="_Corp List - Sep 04" xfId="511" xr:uid="{00000000-0005-0000-0000-0000CF010000}"/>
    <cellStyle name="_Corp List - Sep 04_2009 budget balance sheet &amp; capital v3" xfId="512" xr:uid="{00000000-0005-0000-0000-0000D0010000}"/>
    <cellStyle name="_Corp List - Sep 04_Americas Emerging Markets Plan 08 Template v1.17" xfId="513" xr:uid="{00000000-0005-0000-0000-0000D1010000}"/>
    <cellStyle name="_Corp List - Sep 04_ASIAPnLRisk_05_0831" xfId="514" xr:uid="{00000000-0005-0000-0000-0000D2010000}"/>
    <cellStyle name="_Corp List - Sep 04_ASIAPnLRisk_05_1230F" xfId="515" xr:uid="{00000000-0005-0000-0000-0000D3010000}"/>
    <cellStyle name="_Corp List - Sep 04_ASIAPnLRisk_06_0405" xfId="516" xr:uid="{00000000-0005-0000-0000-0000D4010000}"/>
    <cellStyle name="_Corp List - Sep 04_BS" xfId="517" xr:uid="{00000000-0005-0000-0000-0000D5010000}"/>
    <cellStyle name="_Corp List - Sep 04_BS compliance" xfId="518" xr:uid="{00000000-0005-0000-0000-0000D6010000}"/>
    <cellStyle name="_Corp List - Sep 04_Cash CDO &amp; AI" xfId="519" xr:uid="{00000000-0005-0000-0000-0000D7010000}"/>
    <cellStyle name="_Corp List - Sep 04_Cash CDO &amp; AI_2005_PRF breakdown_Asia Credit Market" xfId="520" xr:uid="{00000000-0005-0000-0000-0000D8010000}"/>
    <cellStyle name="_Corp List - Sep 04_Cash CDO &amp; AI_21 Dec CM Daily" xfId="521" xr:uid="{00000000-0005-0000-0000-0000D9010000}"/>
    <cellStyle name="_Corp List - Sep 04_Cash CDO &amp; AI_ASIA SUMMARY-CONSOL2" xfId="522" xr:uid="{00000000-0005-0000-0000-0000DA010000}"/>
    <cellStyle name="_Corp List - Sep 04_Cash CDO &amp; AI_ASIAPnLRisk" xfId="523" xr:uid="{00000000-0005-0000-0000-0000DB010000}"/>
    <cellStyle name="_Corp List - Sep 04_Cash CDO &amp; AI_ASIAPnLRisk_06_0131B" xfId="524" xr:uid="{00000000-0005-0000-0000-0000DC010000}"/>
    <cellStyle name="_Corp List - Sep 04_Cash CDO &amp; AI_ASIAPnLRisk_NEW VERSION_PPL" xfId="525" xr:uid="{00000000-0005-0000-0000-0000DD010000}"/>
    <cellStyle name="_Corp List - Sep 04_Cash CDO &amp; AI_Credit Sales" xfId="526" xr:uid="{00000000-0005-0000-0000-0000DE010000}"/>
    <cellStyle name="_Corp List - Sep 04_Cash CDO &amp; AI_Data" xfId="527" xr:uid="{00000000-0005-0000-0000-0000DF010000}"/>
    <cellStyle name="_Corp List - Sep 04_Cash CDO &amp; AI_SUMMARY" xfId="528" xr:uid="{00000000-0005-0000-0000-0000E0010000}"/>
    <cellStyle name="_Corp List - Sep 04_Credit Sales" xfId="529" xr:uid="{00000000-0005-0000-0000-0000E1010000}"/>
    <cellStyle name="_Corp List - Sep 04_Don-Marie 9-26-07 v6(CM)" xfId="530" xr:uid="{00000000-0005-0000-0000-0000E2010000}"/>
    <cellStyle name="_Corp List - Sep 04_Edsparr's historical" xfId="531" xr:uid="{00000000-0005-0000-0000-0000E3010000}"/>
    <cellStyle name="_Corp List - Sep 04_EMEA EM BD2 Forecast V2" xfId="532" xr:uid="{00000000-0005-0000-0000-0000E4010000}"/>
    <cellStyle name="_Corp List - Sep 04_EMEA EM BD2 Forecast V3" xfId="533" xr:uid="{00000000-0005-0000-0000-0000E5010000}"/>
    <cellStyle name="_Corp List - Sep 04_ENTRY SHEET" xfId="534" xr:uid="{00000000-0005-0000-0000-0000E6010000}"/>
    <cellStyle name="_Corp List - Sep 04_GEM P&amp;L ACTUAL COB 31 August 07" xfId="535" xr:uid="{00000000-0005-0000-0000-0000E7010000}"/>
    <cellStyle name="_Corp List - Sep 04_HC Tracking Feb 07BIUSHI-elee" xfId="536" xr:uid="{00000000-0005-0000-0000-0000E8010000}"/>
    <cellStyle name="_Corp List - Sep 04_MTM Figures" xfId="537" xr:uid="{00000000-0005-0000-0000-0000E9010000}"/>
    <cellStyle name="_Corp List - Sep 04_PnL_Split_Apr06" xfId="538" xr:uid="{00000000-0005-0000-0000-0000EA010000}"/>
    <cellStyle name="_Corp List - Sep 04_PnL_Split_Jan19" xfId="539" xr:uid="{00000000-0005-0000-0000-0000EB010000}"/>
    <cellStyle name="_Corp List - Sep 04_PnL_Split_Jun 02" xfId="540" xr:uid="{00000000-0005-0000-0000-0000EC010000}"/>
    <cellStyle name="_Corp List - Sep 04_PnL_Split_Jun 30_Final" xfId="541" xr:uid="{00000000-0005-0000-0000-0000ED010000}"/>
    <cellStyle name="_Corp List - Sep 04_PnL_Split_Mar06 - v2" xfId="542" xr:uid="{00000000-0005-0000-0000-0000EE010000}"/>
    <cellStyle name="_Corp List - Sep 04_PnL_Split_Mar15 - v2" xfId="543" xr:uid="{00000000-0005-0000-0000-0000EF010000}"/>
    <cellStyle name="_Corp List - Sep 04_PnL_Split_Mar16 - v2" xfId="544" xr:uid="{00000000-0005-0000-0000-0000F0010000}"/>
    <cellStyle name="_Corp List - Sep 04_PnL_Split_May16" xfId="545" xr:uid="{00000000-0005-0000-0000-0000F1010000}"/>
    <cellStyle name="_Corp List - Sep 04_PnL_Split_May24" xfId="546" xr:uid="{00000000-0005-0000-0000-0000F2010000}"/>
    <cellStyle name="_Corp List - Sep 04_PnL_Split_May26" xfId="547" xr:uid="{00000000-0005-0000-0000-0000F3010000}"/>
    <cellStyle name="_Corp List - Sep 04_PnL_Split_May30" xfId="548" xr:uid="{00000000-0005-0000-0000-0000F4010000}"/>
    <cellStyle name="_Corp List - Sep 04_Restricted_PPL_28Jun" xfId="549" xr:uid="{00000000-0005-0000-0000-0000F5010000}"/>
    <cellStyle name="_Corp List - Sep 04_Sheet1" xfId="550" xr:uid="{00000000-0005-0000-0000-0000F6010000}"/>
    <cellStyle name="_Corp List - Sep 04_SSG" xfId="551" xr:uid="{00000000-0005-0000-0000-0000F7010000}"/>
    <cellStyle name="_Corp List - Sep 04_SSG_2005_PRF breakdown_Asia Credit Market" xfId="552" xr:uid="{00000000-0005-0000-0000-0000F8010000}"/>
    <cellStyle name="_Corp List - Sep 04_SSG_21 Dec CM Daily" xfId="553" xr:uid="{00000000-0005-0000-0000-0000F9010000}"/>
    <cellStyle name="_Corp List - Sep 04_SSG_ASIA SUMMARY-CONSOL2" xfId="554" xr:uid="{00000000-0005-0000-0000-0000FA010000}"/>
    <cellStyle name="_Corp List - Sep 04_SSG_ASIAPnLRisk" xfId="555" xr:uid="{00000000-0005-0000-0000-0000FB010000}"/>
    <cellStyle name="_Corp List - Sep 04_SSG_ASIAPnLRisk_06_0131B" xfId="556" xr:uid="{00000000-0005-0000-0000-0000FC010000}"/>
    <cellStyle name="_Corp List - Sep 04_SSG_ASIAPnLRisk_NEW VERSION_PPL" xfId="557" xr:uid="{00000000-0005-0000-0000-0000FD010000}"/>
    <cellStyle name="_Corp List - Sep 04_SSG_Credit Sales" xfId="558" xr:uid="{00000000-0005-0000-0000-0000FE010000}"/>
    <cellStyle name="_Corp List - Sep 04_SSG_Data" xfId="559" xr:uid="{00000000-0005-0000-0000-0000FF010000}"/>
    <cellStyle name="_Corp List - Sep 04_SSG_SUMMARY" xfId="560" xr:uid="{00000000-0005-0000-0000-000000020000}"/>
    <cellStyle name="_Corp List - Sep 04_Summary " xfId="561" xr:uid="{00000000-0005-0000-0000-000001020000}"/>
    <cellStyle name="_CORPORATE" xfId="562" xr:uid="{00000000-0005-0000-0000-000002020000}"/>
    <cellStyle name="_Covenant compliance 11-18-07 v3" xfId="563" xr:uid="{00000000-0005-0000-0000-000003020000}"/>
    <cellStyle name="_Covenant compliance 11-19-07 v2" xfId="564" xr:uid="{00000000-0005-0000-0000-000004020000}"/>
    <cellStyle name="_cover page" xfId="565" xr:uid="{00000000-0005-0000-0000-000005020000}"/>
    <cellStyle name="_cover page_Book1" xfId="566" xr:uid="{00000000-0005-0000-0000-000006020000}"/>
    <cellStyle name="_cover page_File 1 - 2008 &amp; 2009 MYF - Board Pre-read View 7.24.08" xfId="567" xr:uid="{00000000-0005-0000-0000-000007020000}"/>
    <cellStyle name="_cover page_Supplemental Sheets 5.20.09" xfId="568" xr:uid="{00000000-0005-0000-0000-000008020000}"/>
    <cellStyle name="_Cr Exotics" xfId="569" xr:uid="{00000000-0005-0000-0000-000009020000}"/>
    <cellStyle name="_Cr Exotics_Data" xfId="570" xr:uid="{00000000-0005-0000-0000-00000A020000}"/>
    <cellStyle name="_Cr Exotics_Summary" xfId="571" xr:uid="{00000000-0005-0000-0000-00000B020000}"/>
    <cellStyle name="_Credit Costs 5.12.08tracker" xfId="572" xr:uid="{00000000-0005-0000-0000-00000C020000}"/>
    <cellStyle name="_Credit Costs Slides - April EMR" xfId="573" xr:uid="{00000000-0005-0000-0000-00000D020000}"/>
    <cellStyle name="_Credit Markets February Control Meeting" xfId="574" xr:uid="{00000000-0005-0000-0000-00000E020000}"/>
    <cellStyle name="_Credit Markets October Control meeting" xfId="575" xr:uid="{00000000-0005-0000-0000-00000F020000}"/>
    <cellStyle name="_Credit Metrics Slide - April" xfId="576" xr:uid="{00000000-0005-0000-0000-000010020000}"/>
    <cellStyle name="_Credit Sales" xfId="577" xr:uid="{00000000-0005-0000-0000-000011020000}"/>
    <cellStyle name="_CREDIT SUMM" xfId="578" xr:uid="{00000000-0005-0000-0000-000012020000}"/>
    <cellStyle name="_CREDIT SUMM_2005_PRF breakdown_Asia Credit Market" xfId="579" xr:uid="{00000000-0005-0000-0000-000013020000}"/>
    <cellStyle name="_CREDIT SUMM_21 Dec CM Daily" xfId="580" xr:uid="{00000000-0005-0000-0000-000014020000}"/>
    <cellStyle name="_CREDIT SUMM_ASIA SUMMARY-CONSOL2" xfId="581" xr:uid="{00000000-0005-0000-0000-000015020000}"/>
    <cellStyle name="_CREDIT SUMM_ASIAPnLRisk" xfId="582" xr:uid="{00000000-0005-0000-0000-000016020000}"/>
    <cellStyle name="_CREDIT SUMM_ASIAPnLRisk_06_0131B" xfId="583" xr:uid="{00000000-0005-0000-0000-000017020000}"/>
    <cellStyle name="_CREDIT SUMM_ASIAPnLRisk_NEW VERSION_PPL" xfId="584" xr:uid="{00000000-0005-0000-0000-000018020000}"/>
    <cellStyle name="_CREDIT SUMM_Credit Sales" xfId="585" xr:uid="{00000000-0005-0000-0000-000019020000}"/>
    <cellStyle name="_CREDIT SUMM_Data" xfId="586" xr:uid="{00000000-0005-0000-0000-00001A020000}"/>
    <cellStyle name="_CREDIT SUMM_SUMMARY" xfId="587" xr:uid="{00000000-0005-0000-0000-00001B020000}"/>
    <cellStyle name="_CREGS 2006 Budget Review 11.28.05" xfId="588" xr:uid="{00000000-0005-0000-0000-00001C020000}"/>
    <cellStyle name="_CT&amp;O Deck for Jamie Review  20 Nov FINAL v2" xfId="589" xr:uid="{00000000-0005-0000-0000-00001D020000}"/>
    <cellStyle name="_CT&amp;O Deck for Jamie Review  20 Nov FINAL v2_Book1" xfId="590" xr:uid="{00000000-0005-0000-0000-00001E020000}"/>
    <cellStyle name="_CT&amp;O Deck for Jamie Review  20 Nov FINAL v2_File 1 - 2008 &amp; 2009 MYF - Board Pre-read View 7.24.08" xfId="591" xr:uid="{00000000-0005-0000-0000-00001F020000}"/>
    <cellStyle name="_CT&amp;O Deck for Jamie Review  20 Nov FINAL v2_Supplemental Sheets 5.20.09" xfId="592" xr:uid="{00000000-0005-0000-0000-000020020000}"/>
    <cellStyle name="_CT&amp;o Deck for Jamie Review ~ 20 Nov FINAL" xfId="593" xr:uid="{00000000-0005-0000-0000-000021020000}"/>
    <cellStyle name="_CT&amp;o Deck for Jamie Review ~ 20 Nov FINAL_Book1" xfId="594" xr:uid="{00000000-0005-0000-0000-000022020000}"/>
    <cellStyle name="_CT&amp;o Deck for Jamie Review ~ 20 Nov FINAL_File 1 - 2008 &amp; 2009 MYF - Board Pre-read View 7.24.08" xfId="595" xr:uid="{00000000-0005-0000-0000-000023020000}"/>
    <cellStyle name="_CT&amp;o Deck for Jamie Review ~ 20 Nov FINAL_Supplemental Sheets 5.20.09" xfId="596" xr:uid="{00000000-0005-0000-0000-000024020000}"/>
    <cellStyle name="_CT&amp;O Oct BD2_ExecSummary v2 (with aspirational added)" xfId="597" xr:uid="{00000000-0005-0000-0000-000025020000}"/>
    <cellStyle name="_CT&amp;O Oct BD2_ExecSummary v2 (with aspirational added)_Book1" xfId="598" xr:uid="{00000000-0005-0000-0000-000026020000}"/>
    <cellStyle name="_CT&amp;O Oct BD2_ExecSummary v2 (with aspirational added)_File 1 - 2008 &amp; 2009 MYF - Board Pre-read View 7.24.08" xfId="599" xr:uid="{00000000-0005-0000-0000-000027020000}"/>
    <cellStyle name="_CT&amp;O Oct BD2_ExecSummary v2 (with aspirational added)_Supplemental Sheets 5.20.09" xfId="600" xr:uid="{00000000-0005-0000-0000-000028020000}"/>
    <cellStyle name="_CT&amp;O Oct BD8_ExecSummary (with aspirational added)_V3" xfId="601" xr:uid="{00000000-0005-0000-0000-000029020000}"/>
    <cellStyle name="_CT&amp;O Oct BD8_ExecSummary (with aspirational added)_V3_Book1" xfId="602" xr:uid="{00000000-0005-0000-0000-00002A020000}"/>
    <cellStyle name="_CT&amp;O Oct BD8_ExecSummary (with aspirational added)_V3_File 1 - 2008 &amp; 2009 MYF - Board Pre-read View 7.24.08" xfId="603" xr:uid="{00000000-0005-0000-0000-00002B020000}"/>
    <cellStyle name="_CT&amp;O Oct BD8_ExecSummary (with aspirational added)_V3_Supplemental Sheets 5.20.09" xfId="604" xr:uid="{00000000-0005-0000-0000-00002C020000}"/>
    <cellStyle name="_Currency" xfId="605" xr:uid="{00000000-0005-0000-0000-00002D020000}"/>
    <cellStyle name="_Currency_~1134290" xfId="606" xr:uid="{00000000-0005-0000-0000-00002E020000}"/>
    <cellStyle name="_Currency_~3036172" xfId="607" xr:uid="{00000000-0005-0000-0000-00002F020000}"/>
    <cellStyle name="_Currency_~7516164" xfId="608" xr:uid="{00000000-0005-0000-0000-000030020000}"/>
    <cellStyle name="_Currency_~9342525" xfId="609" xr:uid="{00000000-0005-0000-0000-000031020000}"/>
    <cellStyle name="_Currency_1 - Pizzi spread rec schedule" xfId="610" xr:uid="{00000000-0005-0000-0000-000032020000}"/>
    <cellStyle name="_Currency_2007 Budget Scenarios v2" xfId="611" xr:uid="{00000000-0005-0000-0000-000033020000}"/>
    <cellStyle name="_Currency_2008 Headcount Plan" xfId="612" xr:uid="{00000000-0005-0000-0000-000034020000}"/>
    <cellStyle name="_Currency_Appendix B" xfId="613" xr:uid="{00000000-0005-0000-0000-000035020000}"/>
    <cellStyle name="_Currency_Aspen Financial Update 3-8-07" xfId="614" xr:uid="{00000000-0005-0000-0000-000036020000}"/>
    <cellStyle name="_Currency_AutoPrice2000" xfId="615" xr:uid="{00000000-0005-0000-0000-000037020000}"/>
    <cellStyle name="_Currency_Book1" xfId="616" xr:uid="{00000000-0005-0000-0000-000038020000}"/>
    <cellStyle name="_Currency_Book4" xfId="617" xr:uid="{00000000-0005-0000-0000-000039020000}"/>
    <cellStyle name="_Currency_Cancun Budget Presentation PPT Excel Sheets" xfId="618" xr:uid="{00000000-0005-0000-0000-00003A020000}"/>
    <cellStyle name="_Currency_Company Operating Model v24" xfId="619" xr:uid="{00000000-0005-0000-0000-00003B020000}"/>
    <cellStyle name="_Currency_Covenant compliance 11-18-07 v3" xfId="620" xr:uid="{00000000-0005-0000-0000-00003C020000}"/>
    <cellStyle name="_Currency_Covenant compliance 11-19-07 v2" xfId="621" xr:uid="{00000000-0005-0000-0000-00003D020000}"/>
    <cellStyle name="_Currency_Earth holco capital structure" xfId="622" xr:uid="{00000000-0005-0000-0000-00003E020000}"/>
    <cellStyle name="_Currency_Enterprise V10.1 budget input" xfId="623" xr:uid="{00000000-0005-0000-0000-00003F020000}"/>
    <cellStyle name="_Currency_Latest Exposure Data" xfId="624" xr:uid="{00000000-0005-0000-0000-000040020000}"/>
    <cellStyle name="_Currency_Natural Account vs AMTD v2" xfId="625" xr:uid="{00000000-0005-0000-0000-000041020000}"/>
    <cellStyle name="_Currency_Q107 Company Estimate 3-29-07" xfId="626" xr:uid="{00000000-0005-0000-0000-000042020000}"/>
    <cellStyle name="_Currency_Q107 Company Estimate 3-8-07" xfId="627" xr:uid="{00000000-0005-0000-0000-000043020000}"/>
    <cellStyle name="_Currency_Q207 Forecast" xfId="628" xr:uid="{00000000-0005-0000-0000-000044020000}"/>
    <cellStyle name="_Currency_Q407 Consolidating Estimate" xfId="629" xr:uid="{00000000-0005-0000-0000-000045020000}"/>
    <cellStyle name="_Currency_Segment" xfId="630" xr:uid="{00000000-0005-0000-0000-000046020000}"/>
    <cellStyle name="_Currency_Spread Walk NEW_Budget ENT" xfId="631" xr:uid="{00000000-0005-0000-0000-000047020000}"/>
    <cellStyle name="_Currency_Valuation Materials_v2" xfId="632" xr:uid="{00000000-0005-0000-0000-000048020000}"/>
    <cellStyle name="_Currency_Valuation Materials_v6" xfId="633" xr:uid="{00000000-0005-0000-0000-000049020000}"/>
    <cellStyle name="_CurrencySpace" xfId="634" xr:uid="{00000000-0005-0000-0000-00004A020000}"/>
    <cellStyle name="_CurrencySpace_~1134290" xfId="635" xr:uid="{00000000-0005-0000-0000-00004B020000}"/>
    <cellStyle name="_CurrencySpace_~3036172" xfId="636" xr:uid="{00000000-0005-0000-0000-00004C020000}"/>
    <cellStyle name="_CurrencySpace_~7516164" xfId="637" xr:uid="{00000000-0005-0000-0000-00004D020000}"/>
    <cellStyle name="_CurrencySpace_~9342525" xfId="638" xr:uid="{00000000-0005-0000-0000-00004E020000}"/>
    <cellStyle name="_CurrencySpace_1 - Pizzi spread rec schedule" xfId="639" xr:uid="{00000000-0005-0000-0000-00004F020000}"/>
    <cellStyle name="_CurrencySpace_2007 Budget Scenarios v2" xfId="640" xr:uid="{00000000-0005-0000-0000-000050020000}"/>
    <cellStyle name="_CurrencySpace_2008 Headcount Plan" xfId="641" xr:uid="{00000000-0005-0000-0000-000051020000}"/>
    <cellStyle name="_CurrencySpace_Appendix B" xfId="642" xr:uid="{00000000-0005-0000-0000-000052020000}"/>
    <cellStyle name="_CurrencySpace_Aspen Financial Update 3-8-07" xfId="643" xr:uid="{00000000-0005-0000-0000-000053020000}"/>
    <cellStyle name="_CurrencySpace_AutoPrice2000" xfId="644" xr:uid="{00000000-0005-0000-0000-000054020000}"/>
    <cellStyle name="_CurrencySpace_Book1" xfId="645" xr:uid="{00000000-0005-0000-0000-000055020000}"/>
    <cellStyle name="_CurrencySpace_Book4" xfId="646" xr:uid="{00000000-0005-0000-0000-000056020000}"/>
    <cellStyle name="_CurrencySpace_Cancun Budget Presentation PPT Excel Sheets" xfId="647" xr:uid="{00000000-0005-0000-0000-000057020000}"/>
    <cellStyle name="_CurrencySpace_Company Operating Model v24" xfId="648" xr:uid="{00000000-0005-0000-0000-000058020000}"/>
    <cellStyle name="_CurrencySpace_Covenant compliance 11-18-07 v3" xfId="649" xr:uid="{00000000-0005-0000-0000-000059020000}"/>
    <cellStyle name="_CurrencySpace_Covenant compliance 11-19-07 v2" xfId="650" xr:uid="{00000000-0005-0000-0000-00005A020000}"/>
    <cellStyle name="_CurrencySpace_Earth holco capital structure" xfId="651" xr:uid="{00000000-0005-0000-0000-00005B020000}"/>
    <cellStyle name="_CurrencySpace_Enterprise V10.1 budget input" xfId="652" xr:uid="{00000000-0005-0000-0000-00005C020000}"/>
    <cellStyle name="_CurrencySpace_Latest Exposure Data" xfId="653" xr:uid="{00000000-0005-0000-0000-00005D020000}"/>
    <cellStyle name="_CurrencySpace_Natural Account vs AMTD v2" xfId="654" xr:uid="{00000000-0005-0000-0000-00005E020000}"/>
    <cellStyle name="_CurrencySpace_Q107 Company Estimate 3-29-07" xfId="655" xr:uid="{00000000-0005-0000-0000-00005F020000}"/>
    <cellStyle name="_CurrencySpace_Q107 Company Estimate 3-8-07" xfId="656" xr:uid="{00000000-0005-0000-0000-000060020000}"/>
    <cellStyle name="_CurrencySpace_Q207 Forecast" xfId="657" xr:uid="{00000000-0005-0000-0000-000061020000}"/>
    <cellStyle name="_CurrencySpace_Q407 Consolidating Estimate" xfId="658" xr:uid="{00000000-0005-0000-0000-000062020000}"/>
    <cellStyle name="_CurrencySpace_Segment" xfId="659" xr:uid="{00000000-0005-0000-0000-000063020000}"/>
    <cellStyle name="_CurrencySpace_Spread Walk NEW_Budget ENT" xfId="660" xr:uid="{00000000-0005-0000-0000-000064020000}"/>
    <cellStyle name="_CurrencySpace_Valuation Materials_v2" xfId="661" xr:uid="{00000000-0005-0000-0000-000065020000}"/>
    <cellStyle name="_CurrencySpace_Valuation Materials_v6" xfId="662" xr:uid="{00000000-0005-0000-0000-000066020000}"/>
    <cellStyle name="_cut2" xfId="663" xr:uid="{00000000-0005-0000-0000-000067020000}"/>
    <cellStyle name="_cut2_A" xfId="664" xr:uid="{00000000-0005-0000-0000-000068020000}"/>
    <cellStyle name="_CVA DVA Explain_Apr 09_0511" xfId="665" xr:uid="{00000000-0005-0000-0000-000069020000}"/>
    <cellStyle name="_CVA DVA Explain_May 09_2" xfId="666" xr:uid="{00000000-0005-0000-0000-00006A020000}"/>
    <cellStyle name="_CVA_DVA Explain_2" xfId="667" xr:uid="{00000000-0005-0000-0000-00006B020000}"/>
    <cellStyle name="_Daily" xfId="668" xr:uid="{00000000-0005-0000-0000-00006C020000}"/>
    <cellStyle name="_Daily PL" xfId="669" xr:uid="{00000000-0005-0000-0000-00006D020000}"/>
    <cellStyle name="_Data" xfId="670" xr:uid="{00000000-0005-0000-0000-00006E020000}"/>
    <cellStyle name="_DataMTD" xfId="671" xr:uid="{00000000-0005-0000-0000-00006F020000}"/>
    <cellStyle name="_DataYTD" xfId="672" xr:uid="{00000000-0005-0000-0000-000070020000}"/>
    <cellStyle name="_Defaulted Derivs (EMR) - 0210" xfId="673" xr:uid="{00000000-0005-0000-0000-000071020000}"/>
    <cellStyle name="_Defaulted Derivs Rec - 013110 (Cristal P&amp;L drops)" xfId="674" xr:uid="{00000000-0005-0000-0000-000072020000}"/>
    <cellStyle name="_Defaulted Derivs Rec - 013110 (Cristal P&amp;L drops)_Defaulted Derivs Rec - 022810 (Cristal vs GL PnL rec) BD3" xfId="675" xr:uid="{00000000-0005-0000-0000-000073020000}"/>
    <cellStyle name="_Defaulted Derivs Rec - 022810 (Cristal vs GL PnL rec) BD3" xfId="676" xr:uid="{00000000-0005-0000-0000-000074020000}"/>
    <cellStyle name="_Details from CMR Final - Sep 06" xfId="677" xr:uid="{00000000-0005-0000-0000-000075020000}"/>
    <cellStyle name="_Disc Agency ARMs" xfId="678" xr:uid="{00000000-0005-0000-0000-000076020000}"/>
    <cellStyle name="_Disc Agency ARMs_A" xfId="679" xr:uid="{00000000-0005-0000-0000-000077020000}"/>
    <cellStyle name="_DM Scorecard Metrics February 06 - 0331" xfId="680" xr:uid="{00000000-0005-0000-0000-000078020000}"/>
    <cellStyle name="_DM Weekly Scorecard Metrics -041406 v3" xfId="681" xr:uid="{00000000-0005-0000-0000-000079020000}"/>
    <cellStyle name="_Don-Marie 9-26-07 v6(CM)" xfId="682" xr:uid="{00000000-0005-0000-0000-00007A020000}"/>
    <cellStyle name="_DPS" xfId="683" xr:uid="{00000000-0005-0000-0000-00007B020000}"/>
    <cellStyle name="_DRAFT_AWM_IM_March_TECH_EMR" xfId="684" xr:uid="{00000000-0005-0000-0000-00007C020000}"/>
    <cellStyle name="_DRAFT_AWM_IM_March_TECH_EMR_A" xfId="685" xr:uid="{00000000-0005-0000-0000-00007D020000}"/>
    <cellStyle name="_Earnings Slide - LLA v1 to be updated for 3Q forecast" xfId="686" xr:uid="{00000000-0005-0000-0000-00007E020000}"/>
    <cellStyle name="_Earth holco capital structure" xfId="687" xr:uid="{00000000-0005-0000-0000-00007F020000}"/>
    <cellStyle name="_EdFin Est Balance Sheet TEMPLATE 08&amp;09 rev0605" xfId="688" xr:uid="{00000000-0005-0000-0000-000080020000}"/>
    <cellStyle name="_Edsparr - June 07_Flash" xfId="689" xr:uid="{00000000-0005-0000-0000-000081020000}"/>
    <cellStyle name="_Edsparr's historical" xfId="690" xr:uid="{00000000-0005-0000-0000-000082020000}"/>
    <cellStyle name="_EMEA EM BD2 Forecast V2" xfId="691" xr:uid="{00000000-0005-0000-0000-000083020000}"/>
    <cellStyle name="_EMEA EM BD2 Forecast V3" xfId="692" xr:uid="{00000000-0005-0000-0000-000084020000}"/>
    <cellStyle name="_EMEA Emerging Market Plan 08 Templatev1.17" xfId="693" xr:uid="{00000000-0005-0000-0000-000085020000}"/>
    <cellStyle name="_EMR - Monthly Estimation IMP Grid August 06 YTD" xfId="694" xr:uid="{00000000-0005-0000-0000-000086020000}"/>
    <cellStyle name="_EMR MAR06 CTO Summary" xfId="695" xr:uid="{00000000-0005-0000-0000-000087020000}"/>
    <cellStyle name="_EMR MAR06 CTO Summary v2" xfId="696" xr:uid="{00000000-0005-0000-0000-000088020000}"/>
    <cellStyle name="_EMR MAR06 ST&amp;O Summary" xfId="697" xr:uid="{00000000-0005-0000-0000-000089020000}"/>
    <cellStyle name="_EMR-Mar Investment Productivity" xfId="698" xr:uid="{00000000-0005-0000-0000-00008A020000}"/>
    <cellStyle name="_Energy~Softs" xfId="699" xr:uid="{00000000-0005-0000-0000-00008B020000}"/>
    <cellStyle name="_Energy-Softs and Index" xfId="700" xr:uid="{00000000-0005-0000-0000-00008C020000}"/>
    <cellStyle name="_Enterprise V10.1 budget input" xfId="701" xr:uid="{00000000-0005-0000-0000-00008D020000}"/>
    <cellStyle name="_Equities Cash" xfId="702" xr:uid="{00000000-0005-0000-0000-00008E020000}"/>
    <cellStyle name="_Equities_S&amp;G and Investments_RevAssumptionR2" xfId="703" xr:uid="{00000000-0005-0000-0000-00008F020000}"/>
    <cellStyle name="_EqutiesInfoSheet_11.03.05" xfId="704" xr:uid="{00000000-0005-0000-0000-000090020000}"/>
    <cellStyle name="_EqutiesInfoSheet_11.03.05_HC Tracking Feb 07BIUSHI-elee" xfId="705" xr:uid="{00000000-0005-0000-0000-000091020000}"/>
    <cellStyle name="_ETrade Model (Updated February 12, 2008) v.4" xfId="706" xr:uid="{00000000-0005-0000-0000-000092020000}"/>
    <cellStyle name="_Euro" xfId="707" xr:uid="{00000000-0005-0000-0000-000093020000}"/>
    <cellStyle name="_Ex-Japan Rates HC_April'07" xfId="708" xr:uid="{00000000-0005-0000-0000-000094020000}"/>
    <cellStyle name="_Exotics" xfId="709" xr:uid="{00000000-0005-0000-0000-000095020000}"/>
    <cellStyle name="_Exotics Pyramid" xfId="710" xr:uid="{00000000-0005-0000-0000-000096020000}"/>
    <cellStyle name="_FCASTAUM (Revenue Forecast)" xfId="711" xr:uid="{00000000-0005-0000-0000-000097020000}"/>
    <cellStyle name="_Feb Month Investment Productivity" xfId="712" xr:uid="{00000000-0005-0000-0000-000098020000}"/>
    <cellStyle name="_FEGL&amp;PSGL_Jul05" xfId="713" xr:uid="{00000000-0005-0000-0000-000099020000}"/>
    <cellStyle name="_Final" xfId="714" xr:uid="{00000000-0005-0000-0000-00009A020000}"/>
    <cellStyle name="_Final '07 Bottoms Up" xfId="715" xr:uid="{00000000-0005-0000-0000-00009B020000}"/>
    <cellStyle name="_Final Revenues Sep" xfId="716" xr:uid="{00000000-0005-0000-0000-00009C020000}"/>
    <cellStyle name="_Final_A" xfId="717" xr:uid="{00000000-0005-0000-0000-00009D020000}"/>
    <cellStyle name="_For FO" xfId="718" xr:uid="{00000000-0005-0000-0000-00009E020000}"/>
    <cellStyle name="_Forecast 3Q_8_05_08" xfId="719" xr:uid="{00000000-0005-0000-0000-00009F020000}"/>
    <cellStyle name="_Format Example" xfId="720" xr:uid="{00000000-0005-0000-0000-0000A0020000}"/>
    <cellStyle name="_Frank B 11-7-06 Draft (pages from 10-23 allocs roundtable)" xfId="721" xr:uid="{00000000-0005-0000-0000-0000A1020000}"/>
    <cellStyle name="_FSA OCt 06.final" xfId="722" xr:uid="{00000000-0005-0000-0000-0000A2020000}"/>
    <cellStyle name="_Functional model Danny V4" xfId="723" xr:uid="{00000000-0005-0000-0000-0000A3020000}"/>
    <cellStyle name="_Functional PnL 06 Budget Summary LS v7 (Proposed new L2)" xfId="724" xr:uid="{00000000-0005-0000-0000-0000A4020000}"/>
    <cellStyle name="_FunctionalpnlSlides_Michelle(old)" xfId="725" xr:uid="{00000000-0005-0000-0000-0000A5020000}"/>
    <cellStyle name="_FX- FXO Aug Flash pending numbers v0.02" xfId="726" xr:uid="{00000000-0005-0000-0000-0000A6020000}"/>
    <cellStyle name="_FY Forecast Tracker 9.25.08 v3" xfId="727" xr:uid="{00000000-0005-0000-0000-0000A7020000}"/>
    <cellStyle name="_GCCG EMR control pages - Apr 07" xfId="728" xr:uid="{00000000-0005-0000-0000-0000A8020000}"/>
    <cellStyle name="_GCCG templates" xfId="729" xr:uid="{00000000-0005-0000-0000-0000A9020000}"/>
    <cellStyle name="_GEM P&amp;L ACTUAL COB 31 August 07" xfId="730" xr:uid="{00000000-0005-0000-0000-0000AA020000}"/>
    <cellStyle name="_GEM Plan 08- Investment - Productivityv 0.08" xfId="731" xr:uid="{00000000-0005-0000-0000-0000AB020000}"/>
    <cellStyle name="_General Services - BD9 Files_JAN_2006" xfId="732" xr:uid="{00000000-0005-0000-0000-0000AC020000}"/>
    <cellStyle name="_General Services - BD9 Files_JAN_2006_FY Forecast Tracker 9.25.08 v3" xfId="733" xr:uid="{00000000-0005-0000-0000-0000AD020000}"/>
    <cellStyle name="_General Services - BD9 Files_JAN_2006_IB Fcst Variance 1-23-09" xfId="734" xr:uid="{00000000-0005-0000-0000-0000AE020000}"/>
    <cellStyle name="_General Services - BD9 Files_JAN_2006_IB Mgmt Fcst 1-23-09" xfId="735" xr:uid="{00000000-0005-0000-0000-0000AF020000}"/>
    <cellStyle name="_General Services - BD9 Files_JAN_2006_NI Schedule 10.24.08 v2" xfId="736" xr:uid="{00000000-0005-0000-0000-0000B0020000}"/>
    <cellStyle name="_General Services - BD9 Files_JAN_2006_NI Schedule 11.26.08 (MGMT) v3" xfId="737" xr:uid="{00000000-0005-0000-0000-0000B1020000}"/>
    <cellStyle name="_General Services - BD9 Files_JAN_2006_One time Itemsv3" xfId="738" xr:uid="{00000000-0005-0000-0000-0000B2020000}"/>
    <cellStyle name="_General Services - BD9 Files_JAN_2006_Supplemental Sheets 5.20.09" xfId="739" xr:uid="{00000000-0005-0000-0000-0000B3020000}"/>
    <cellStyle name="_General Services BD2 Estimate-Feb 2006" xfId="740" xr:uid="{00000000-0005-0000-0000-0000B4020000}"/>
    <cellStyle name="_General Services BD2 Estimate-Feb 2006_Tracker 2Q  5.12.08" xfId="741" xr:uid="{00000000-0005-0000-0000-0000B5020000}"/>
    <cellStyle name="_General Services BD2 Estimate-Feb 2006_Tracker 2Q  5.15.08" xfId="742" xr:uid="{00000000-0005-0000-0000-0000B6020000}"/>
    <cellStyle name="_General Servvices - 1Q 2006 Financial Update" xfId="743" xr:uid="{00000000-0005-0000-0000-0000B7020000}"/>
    <cellStyle name="_General Servvices - 1Q 2006 Financial Update_Tracker 2Q  5.12.08" xfId="744" xr:uid="{00000000-0005-0000-0000-0000B8020000}"/>
    <cellStyle name="_General Servvices - 1Q 2006 Financial Update_Tracker 2Q  5.15.08" xfId="745" xr:uid="{00000000-0005-0000-0000-0000B9020000}"/>
    <cellStyle name="_Global Eq First Round Investments 9 21 07" xfId="746" xr:uid="{00000000-0005-0000-0000-0000BA020000}"/>
    <cellStyle name="_Global Exotics" xfId="747" xr:uid="{00000000-0005-0000-0000-0000BB020000}"/>
    <cellStyle name="_GM Capital Structure" xfId="748" xr:uid="{00000000-0005-0000-0000-0000BC020000}"/>
    <cellStyle name="_GM Capital Structure v 2" xfId="749" xr:uid="{00000000-0005-0000-0000-0000BD020000}"/>
    <cellStyle name="_GMAC_Chrysler Tracker v.27" xfId="750" xr:uid="{00000000-0005-0000-0000-0000BE020000}"/>
    <cellStyle name="_GPG PL" xfId="751" xr:uid="{00000000-0005-0000-0000-0000BF020000}"/>
    <cellStyle name="_Graphs F3 and Round 1A 2007 IMI.1" xfId="752" xr:uid="{00000000-0005-0000-0000-0000C0020000}"/>
    <cellStyle name="_Gross Loan" xfId="753" xr:uid="{00000000-0005-0000-0000-0000C1020000}"/>
    <cellStyle name="_GROSSPL" xfId="754" xr:uid="{00000000-0005-0000-0000-0000C2020000}"/>
    <cellStyle name="_GTD" xfId="755" xr:uid="{00000000-0005-0000-0000-0000C3020000}"/>
    <cellStyle name="_GTI 2006 Plan_ Supporting Document Waterfalls" xfId="756" xr:uid="{00000000-0005-0000-0000-0000C4020000}"/>
    <cellStyle name="_gti depr_amort 121305" xfId="757" xr:uid="{00000000-0005-0000-0000-0000C5020000}"/>
    <cellStyle name="_GTI HC FY Forecast Temp" xfId="758" xr:uid="{00000000-0005-0000-0000-0000C6020000}"/>
    <cellStyle name="_GTI HC FY Forecast Temp_Book1" xfId="759" xr:uid="{00000000-0005-0000-0000-0000C7020000}"/>
    <cellStyle name="_GTI HC FY Forecast Temp_File 1 - 2008 &amp; 2009 MYF - Board Pre-read View 7.24.08" xfId="760" xr:uid="{00000000-0005-0000-0000-0000C8020000}"/>
    <cellStyle name="_GTI HC FY Forecast Temp_Supplemental Sheets 5.20.09" xfId="761" xr:uid="{00000000-0005-0000-0000-0000C9020000}"/>
    <cellStyle name="_GTI HC FY Forecast Temp_Tracker 2Q  5.12.08" xfId="762" xr:uid="{00000000-0005-0000-0000-0000CA020000}"/>
    <cellStyle name="_GTI HC FY Forecast Temp_Tracker 2Q  5.15.08" xfId="763" xr:uid="{00000000-0005-0000-0000-0000CB020000}"/>
    <cellStyle name="_GTI tower BD9_Exp_Template2_Submissions" xfId="764" xr:uid="{00000000-0005-0000-0000-0000CC020000}"/>
    <cellStyle name="_GTI tower BD9_Exp_Template2_Submissions_FY Forecast Tracker 9.25.08 v3" xfId="765" xr:uid="{00000000-0005-0000-0000-0000CD020000}"/>
    <cellStyle name="_GTI tower BD9_Exp_Template2_Submissions_IB Fcst Variance 1-23-09" xfId="766" xr:uid="{00000000-0005-0000-0000-0000CE020000}"/>
    <cellStyle name="_GTI tower BD9_Exp_Template2_Submissions_IB Mgmt Fcst 1-23-09" xfId="767" xr:uid="{00000000-0005-0000-0000-0000CF020000}"/>
    <cellStyle name="_GTI tower BD9_Exp_Template2_Submissions_NI Schedule 10.24.08 v2" xfId="768" xr:uid="{00000000-0005-0000-0000-0000D0020000}"/>
    <cellStyle name="_GTI tower BD9_Exp_Template2_Submissions_NI Schedule 11.26.08 (MGMT) v3" xfId="769" xr:uid="{00000000-0005-0000-0000-0000D1020000}"/>
    <cellStyle name="_GTI tower BD9_Exp_Template2_Submissions_One time Itemsv3" xfId="770" xr:uid="{00000000-0005-0000-0000-0000D2020000}"/>
    <cellStyle name="_GTI tower BD9_Exp_Template2_Submissions_Supplemental Sheets 5.20.09" xfId="771" xr:uid="{00000000-0005-0000-0000-0000D3020000}"/>
    <cellStyle name="_GTI tower BD9_Exp_Template2_Submissions_Tracker 2Q  5.12.08" xfId="772" xr:uid="{00000000-0005-0000-0000-0000D4020000}"/>
    <cellStyle name="_GTI tower BD9_Exp_Template2_Submissions_Tracker 2Q  5.15.08" xfId="773" xr:uid="{00000000-0005-0000-0000-0000D5020000}"/>
    <cellStyle name="_HC Numbers (2006 Plan) Templates 15 &amp; 16 - 09-15-2005" xfId="774" xr:uid="{00000000-0005-0000-0000-0000D6020000}"/>
    <cellStyle name="_HC Numbers (2006 Plan) Templates 15 &amp; 16 - 09-15-2005_Book1" xfId="775" xr:uid="{00000000-0005-0000-0000-0000D7020000}"/>
    <cellStyle name="_HC Numbers (2006 Plan) Templates 15 &amp; 16 - 09-15-2005_File 1 - 2008 &amp; 2009 MYF - Board Pre-read View 7.24.08" xfId="776" xr:uid="{00000000-0005-0000-0000-0000D8020000}"/>
    <cellStyle name="_HC Numbers (2006 Plan) Templates 15 &amp; 16 - 09-15-2005_Supplemental Sheets 5.20.09" xfId="777" xr:uid="{00000000-0005-0000-0000-0000D9020000}"/>
    <cellStyle name="_HC Numbers (2006 Plan) Templates 15 &amp; 16 - 09-15-2005_Tracker 2Q  5.12.08" xfId="778" xr:uid="{00000000-0005-0000-0000-0000DA020000}"/>
    <cellStyle name="_HC Numbers (2006 Plan) Templates 15 &amp; 16 - 09-15-2005_Tracker 2Q  5.15.08" xfId="779" xr:uid="{00000000-0005-0000-0000-0000DB020000}"/>
    <cellStyle name="_HC Tracking Feb 07BIUSHI-elee" xfId="780" xr:uid="{00000000-0005-0000-0000-0000DC020000}"/>
    <cellStyle name="_HC Tracking July 07" xfId="781" xr:uid="{00000000-0005-0000-0000-0000DD020000}"/>
    <cellStyle name="_Headcount Buildup Zoran" xfId="782" xr:uid="{00000000-0005-0000-0000-0000DE020000}"/>
    <cellStyle name="_Headcount Buildup Zoran_FY Forecast Tracker 9.25.08 v3" xfId="783" xr:uid="{00000000-0005-0000-0000-0000DF020000}"/>
    <cellStyle name="_Headcount Buildup Zoran_IB Fcst Variance 1-23-09" xfId="784" xr:uid="{00000000-0005-0000-0000-0000E0020000}"/>
    <cellStyle name="_Headcount Buildup Zoran_IB Mgmt Fcst 1-23-09" xfId="785" xr:uid="{00000000-0005-0000-0000-0000E1020000}"/>
    <cellStyle name="_Headcount Buildup Zoran_NI Schedule 10.24.08 v2" xfId="786" xr:uid="{00000000-0005-0000-0000-0000E2020000}"/>
    <cellStyle name="_Headcount Buildup Zoran_NI Schedule 11.26.08 (MGMT) v3" xfId="787" xr:uid="{00000000-0005-0000-0000-0000E3020000}"/>
    <cellStyle name="_Headcount Buildup Zoran_One time Itemsv3" xfId="788" xr:uid="{00000000-0005-0000-0000-0000E4020000}"/>
    <cellStyle name="_Headcount Buildup Zoran_Supplemental Sheets 5.20.09" xfId="789" xr:uid="{00000000-0005-0000-0000-0000E5020000}"/>
    <cellStyle name="_Headcount Buildup Zoran_Tracker 2Q  5.12.08" xfId="790" xr:uid="{00000000-0005-0000-0000-0000E6020000}"/>
    <cellStyle name="_Headcount Buildup Zoran_Tracker 2Q  5.15.08" xfId="791" xr:uid="{00000000-0005-0000-0000-0000E7020000}"/>
    <cellStyle name="_Heading" xfId="792" xr:uid="{00000000-0005-0000-0000-0000E8020000}"/>
    <cellStyle name="_Heading_2009 budget balance sheet &amp; capital v3" xfId="793" xr:uid="{00000000-0005-0000-0000-0000E9020000}"/>
    <cellStyle name="_Heading_2009 budget by quarter 3-03-09 1200hrs" xfId="794" xr:uid="{00000000-0005-0000-0000-0000EA020000}"/>
    <cellStyle name="_Heading_BS" xfId="795" xr:uid="{00000000-0005-0000-0000-0000EB020000}"/>
    <cellStyle name="_Heading_BS compliance" xfId="796" xr:uid="{00000000-0005-0000-0000-0000EC020000}"/>
    <cellStyle name="_Heading_Don-Marie 9-26-07 v6(CM)" xfId="797" xr:uid="{00000000-0005-0000-0000-0000ED020000}"/>
    <cellStyle name="_Heading_Final Budget Book 3-6" xfId="798" xr:uid="{00000000-0005-0000-0000-0000EE020000}"/>
    <cellStyle name="_Heading_IB Headcount Summary" xfId="799" xr:uid="{00000000-0005-0000-0000-0000EF020000}"/>
    <cellStyle name="_Heading_IB Headcount Summary 2" xfId="800" xr:uid="{00000000-0005-0000-0000-0000F0020000}"/>
    <cellStyle name="_Heading_IB Investments and Productivity" xfId="801" xr:uid="{00000000-0005-0000-0000-0000F1020000}"/>
    <cellStyle name="_Heading_management fee calc.071604" xfId="802" xr:uid="{00000000-0005-0000-0000-0000F2020000}"/>
    <cellStyle name="_Heading_management fee calc.071604_2007 Headcount" xfId="803" xr:uid="{00000000-0005-0000-0000-0000F3020000}"/>
    <cellStyle name="_Heading_management fee calc.071604_Sheet1" xfId="804" xr:uid="{00000000-0005-0000-0000-0000F4020000}"/>
    <cellStyle name="_Heading_management fee calc.071604_Stress" xfId="805" xr:uid="{00000000-0005-0000-0000-0000F5020000}"/>
    <cellStyle name="_Heading_management fee calc.071604_Summary" xfId="806" xr:uid="{00000000-0005-0000-0000-0000F6020000}"/>
    <cellStyle name="_Heading_Nov28pf" xfId="807" xr:uid="{00000000-0005-0000-0000-0000F7020000}"/>
    <cellStyle name="_Heading_prestemp" xfId="808" xr:uid="{00000000-0005-0000-0000-0000F8020000}"/>
    <cellStyle name="_Heading_prestemp_2007 Headcount" xfId="809" xr:uid="{00000000-0005-0000-0000-0000F9020000}"/>
    <cellStyle name="_Heading_prestemp_Sheet1" xfId="810" xr:uid="{00000000-0005-0000-0000-0000FA020000}"/>
    <cellStyle name="_Heading_prestemp_Stress" xfId="811" xr:uid="{00000000-0005-0000-0000-0000FB020000}"/>
    <cellStyle name="_Heading_prestemp_Summary" xfId="812" xr:uid="{00000000-0005-0000-0000-0000FC020000}"/>
    <cellStyle name="_Heading_Round 1 Summary FINAL 28 Sep" xfId="813" xr:uid="{00000000-0005-0000-0000-0000FD020000}"/>
    <cellStyle name="_Heading_Round 2 Adj Budget Book v2" xfId="814" xr:uid="{00000000-0005-0000-0000-0000FE020000}"/>
    <cellStyle name="_Heading_Sheet1" xfId="815" xr:uid="{00000000-0005-0000-0000-0000FF020000}"/>
    <cellStyle name="_Heading_Valuation Materials_v6" xfId="816" xr:uid="{00000000-0005-0000-0000-000000030000}"/>
    <cellStyle name="_HG DCM Financials" xfId="817" xr:uid="{00000000-0005-0000-0000-000001030000}"/>
    <cellStyle name="_Hierarchy" xfId="818" xr:uid="{00000000-0005-0000-0000-000002030000}"/>
    <cellStyle name="_Hierarchy Map" xfId="819" xr:uid="{00000000-0005-0000-0000-000003030000}"/>
    <cellStyle name="_Hierarchy Map_HC Tracking Feb 07BIUSHI-elee" xfId="820" xr:uid="{00000000-0005-0000-0000-000004030000}"/>
    <cellStyle name="_Highlight" xfId="821" xr:uid="{00000000-0005-0000-0000-000005030000}"/>
    <cellStyle name="_historical" xfId="822" xr:uid="{00000000-0005-0000-0000-000006030000}"/>
    <cellStyle name="_historical_2005_PRF breakdown_Asia Credit Market" xfId="823" xr:uid="{00000000-0005-0000-0000-000007030000}"/>
    <cellStyle name="_historical_21 Dec CM Daily" xfId="824" xr:uid="{00000000-0005-0000-0000-000008030000}"/>
    <cellStyle name="_historical_ASIA SUMMARY-CONSOL2" xfId="825" xr:uid="{00000000-0005-0000-0000-000009030000}"/>
    <cellStyle name="_historical_ASIAPnLRisk" xfId="826" xr:uid="{00000000-0005-0000-0000-00000A030000}"/>
    <cellStyle name="_historical_ASIAPnLRisk_06_0131B" xfId="827" xr:uid="{00000000-0005-0000-0000-00000B030000}"/>
    <cellStyle name="_historical_ASIAPnLRisk_NEW VERSION_PPL" xfId="828" xr:uid="{00000000-0005-0000-0000-00000C030000}"/>
    <cellStyle name="_historical_Credit Sales" xfId="829" xr:uid="{00000000-0005-0000-0000-00000D030000}"/>
    <cellStyle name="_historical_Data" xfId="830" xr:uid="{00000000-0005-0000-0000-00000E030000}"/>
    <cellStyle name="_historical_SUMMARY" xfId="831" xr:uid="{00000000-0005-0000-0000-00000F030000}"/>
    <cellStyle name="_HJK_KOR_Plan 2006_2" xfId="832" xr:uid="{00000000-0005-0000-0000-000010030000}"/>
    <cellStyle name="_HK - FX Budget" xfId="833" xr:uid="{00000000-0005-0000-0000-000011030000}"/>
    <cellStyle name="_HK-PRC" xfId="834" xr:uid="{00000000-0005-0000-0000-000012030000}"/>
    <cellStyle name="_HK-PRC_2005_PRF breakdown_Asia Credit Market" xfId="835" xr:uid="{00000000-0005-0000-0000-000013030000}"/>
    <cellStyle name="_HK-PRC_21 Dec CM Daily" xfId="836" xr:uid="{00000000-0005-0000-0000-000014030000}"/>
    <cellStyle name="_HK-PRC_ASIA SUMMARY-CONSOL2" xfId="837" xr:uid="{00000000-0005-0000-0000-000015030000}"/>
    <cellStyle name="_HK-PRC_ASIAPnLRisk" xfId="838" xr:uid="{00000000-0005-0000-0000-000016030000}"/>
    <cellStyle name="_HK-PRC_ASIAPnLRisk_06_0131B" xfId="839" xr:uid="{00000000-0005-0000-0000-000017030000}"/>
    <cellStyle name="_HK-PRC_ASIAPnLRisk_NEW VERSION_PPL" xfId="840" xr:uid="{00000000-0005-0000-0000-000018030000}"/>
    <cellStyle name="_HK-PRC_Credit Sales" xfId="841" xr:uid="{00000000-0005-0000-0000-000019030000}"/>
    <cellStyle name="_HK-PRC_Data" xfId="842" xr:uid="{00000000-0005-0000-0000-00001A030000}"/>
    <cellStyle name="_HK-PRC_SUMMARY" xfId="843" xr:uid="{00000000-0005-0000-0000-00001B030000}"/>
    <cellStyle name="_HPP Check Round 2" xfId="844" xr:uid="{00000000-0005-0000-0000-00001C030000}"/>
    <cellStyle name="_HTM JPMC Leverage Lending and Allowance coverage Mar EMR (Pre - July 07 breakout) v1" xfId="845" xr:uid="{00000000-0005-0000-0000-00001D030000}"/>
    <cellStyle name="_hybrids cv plan" xfId="846" xr:uid="{00000000-0005-0000-0000-00001E030000}"/>
    <cellStyle name="_IB Fcst Variance 1-23-09" xfId="847" xr:uid="{00000000-0005-0000-0000-00001F030000}"/>
    <cellStyle name="_IB Investment Schedule-Pass 0 - 012006 (version 1)" xfId="848" xr:uid="{00000000-0005-0000-0000-000020030000}"/>
    <cellStyle name="_IB LBO-related ALRC - Feb data 100% Agency 73 mult 14.5 leq" xfId="849" xr:uid="{00000000-0005-0000-0000-000021030000}"/>
    <cellStyle name="_IB Mgmt Fcst 1-23-09" xfId="850" xr:uid="{00000000-0005-0000-0000-000022030000}"/>
    <cellStyle name="_IB NPA  03 31 2009 as of 4-8-09 (AB Backup)" xfId="851" xr:uid="{00000000-0005-0000-0000-000023030000}"/>
    <cellStyle name="_IB Operations Invoices_Oct06" xfId="852" xr:uid="{00000000-0005-0000-0000-000024030000}"/>
    <cellStyle name="_IB Operations Invoices_Sep 06" xfId="853" xr:uid="{00000000-0005-0000-0000-000025030000}"/>
    <cellStyle name="_IB Ops Invoices_July 2006 FINAL MIS" xfId="854" xr:uid="{00000000-0005-0000-0000-000026030000}"/>
    <cellStyle name="_IB Ops June Invoices FINAL unlinked" xfId="855" xr:uid="{00000000-0005-0000-0000-000027030000}"/>
    <cellStyle name="_iCTO metrics" xfId="856" xr:uid="{00000000-0005-0000-0000-000028030000}"/>
    <cellStyle name="_iCTO metrics_A" xfId="857" xr:uid="{00000000-0005-0000-0000-000029030000}"/>
    <cellStyle name="_iCTO metrics_FY Forecast Tracker 9.25.08 v3" xfId="858" xr:uid="{00000000-0005-0000-0000-00002A030000}"/>
    <cellStyle name="_iCTO metrics_IB Fcst Variance 1-23-09" xfId="859" xr:uid="{00000000-0005-0000-0000-00002B030000}"/>
    <cellStyle name="_iCTO metrics_IB Mgmt Fcst 1-23-09" xfId="860" xr:uid="{00000000-0005-0000-0000-00002C030000}"/>
    <cellStyle name="_iCTO metrics_NI Schedule 10.24.08 v2" xfId="861" xr:uid="{00000000-0005-0000-0000-00002D030000}"/>
    <cellStyle name="_iCTO metrics_NI Schedule 11.26.08 (MGMT) v3" xfId="862" xr:uid="{00000000-0005-0000-0000-00002E030000}"/>
    <cellStyle name="_iCTO metrics_One time Itemsv3" xfId="863" xr:uid="{00000000-0005-0000-0000-00002F030000}"/>
    <cellStyle name="_iCTO metrics_Supplemental Sheets 5.20.09" xfId="864" xr:uid="{00000000-0005-0000-0000-000030030000}"/>
    <cellStyle name="_iCTO_Metrics_WIP" xfId="865" xr:uid="{00000000-0005-0000-0000-000031030000}"/>
    <cellStyle name="_iCTO_Metrics_WIP_FY Forecast Tracker 9.25.08 v3" xfId="866" xr:uid="{00000000-0005-0000-0000-000032030000}"/>
    <cellStyle name="_iCTO_Metrics_WIP_IB Fcst Variance 1-23-09" xfId="867" xr:uid="{00000000-0005-0000-0000-000033030000}"/>
    <cellStyle name="_iCTO_Metrics_WIP_IB Mgmt Fcst 1-23-09" xfId="868" xr:uid="{00000000-0005-0000-0000-000034030000}"/>
    <cellStyle name="_iCTO_Metrics_WIP_NI Schedule 10.24.08 v2" xfId="869" xr:uid="{00000000-0005-0000-0000-000035030000}"/>
    <cellStyle name="_iCTO_Metrics_WIP_NI Schedule 11.26.08 (MGMT) v3" xfId="870" xr:uid="{00000000-0005-0000-0000-000036030000}"/>
    <cellStyle name="_iCTO_Metrics_WIP_One time Itemsv3" xfId="871" xr:uid="{00000000-0005-0000-0000-000037030000}"/>
    <cellStyle name="_iCTO_Metrics_WIP_Supplemental Sheets 5.20.09" xfId="872" xr:uid="{00000000-0005-0000-0000-000038030000}"/>
    <cellStyle name="_iCTO_Metrics_WIP_Tracker 2Q  5.12.08" xfId="873" xr:uid="{00000000-0005-0000-0000-000039030000}"/>
    <cellStyle name="_iCTO_Metrics_WIP_Tracker 2Q  5.15.08" xfId="874" xr:uid="{00000000-0005-0000-0000-00003A030000}"/>
    <cellStyle name="_IMI 2006 Budget Deck.FINAL" xfId="875" xr:uid="{00000000-0005-0000-0000-00003B030000}"/>
    <cellStyle name="_IMI EMR Report. March 2007" xfId="876" xr:uid="{00000000-0005-0000-0000-00003C030000}"/>
    <cellStyle name="_IMI F1 Review Flows Pages Apr07" xfId="877" xr:uid="{00000000-0005-0000-0000-00003D030000}"/>
    <cellStyle name="_IMI F1.  Excel backing files.final.with additional F1 adj center topsides" xfId="878" xr:uid="{00000000-0005-0000-0000-00003E030000}"/>
    <cellStyle name="_IMI MYF Headcounts" xfId="879" xr:uid="{00000000-0005-0000-0000-00003F030000}"/>
    <cellStyle name="_IMI Round 1A and F3 Presentation.5" xfId="880" xr:uid="{00000000-0005-0000-0000-000040030000}"/>
    <cellStyle name="_Index Hedge GL Split" xfId="881" xr:uid="{00000000-0005-0000-0000-000041030000}"/>
    <cellStyle name="_Input" xfId="882" xr:uid="{00000000-0005-0000-0000-000042030000}"/>
    <cellStyle name="_Input_A" xfId="883" xr:uid="{00000000-0005-0000-0000-000043030000}"/>
    <cellStyle name="_INT DEALLIST" xfId="884" xr:uid="{00000000-0005-0000-0000-000044030000}"/>
    <cellStyle name="_International Summary Report.October 2006" xfId="885" xr:uid="{00000000-0005-0000-0000-000045030000}"/>
    <cellStyle name="_INVESTORS " xfId="886" xr:uid="{00000000-0005-0000-0000-000046030000}"/>
    <cellStyle name="_INVESTORS _1" xfId="887" xr:uid="{00000000-0005-0000-0000-000047030000}"/>
    <cellStyle name="_INVESTORS _2005_PRF breakdown_Asia Credit Market" xfId="888" xr:uid="{00000000-0005-0000-0000-000048030000}"/>
    <cellStyle name="_INVESTORS _21 Dec CM Daily" xfId="889" xr:uid="{00000000-0005-0000-0000-000049030000}"/>
    <cellStyle name="_INVESTORS _ASIA SUMMARY-CONSOL2" xfId="890" xr:uid="{00000000-0005-0000-0000-00004A030000}"/>
    <cellStyle name="_INVESTORS _ASIAPnLRisk" xfId="891" xr:uid="{00000000-0005-0000-0000-00004B030000}"/>
    <cellStyle name="_INVESTORS _ASIAPnLRisk_06_0131B" xfId="892" xr:uid="{00000000-0005-0000-0000-00004C030000}"/>
    <cellStyle name="_INVESTORS _ASIAPnLRisk_NEW VERSION_PPL" xfId="893" xr:uid="{00000000-0005-0000-0000-00004D030000}"/>
    <cellStyle name="_INVESTORS _Cash CDO &amp; AI" xfId="894" xr:uid="{00000000-0005-0000-0000-00004E030000}"/>
    <cellStyle name="_INVESTORS _Cash CDO &amp; AI_2005_PRF breakdown_Asia Credit Market" xfId="895" xr:uid="{00000000-0005-0000-0000-00004F030000}"/>
    <cellStyle name="_INVESTORS _Cash CDO &amp; AI_21 Dec CM Daily" xfId="896" xr:uid="{00000000-0005-0000-0000-000050030000}"/>
    <cellStyle name="_INVESTORS _Cash CDO &amp; AI_ASIA SUMMARY-CONSOL2" xfId="897" xr:uid="{00000000-0005-0000-0000-000051030000}"/>
    <cellStyle name="_INVESTORS _Cash CDO &amp; AI_ASIAPnLRisk" xfId="898" xr:uid="{00000000-0005-0000-0000-000052030000}"/>
    <cellStyle name="_INVESTORS _Cash CDO &amp; AI_ASIAPnLRisk_06_0131B" xfId="899" xr:uid="{00000000-0005-0000-0000-000053030000}"/>
    <cellStyle name="_INVESTORS _Cash CDO &amp; AI_ASIAPnLRisk_NEW VERSION_PPL" xfId="900" xr:uid="{00000000-0005-0000-0000-000054030000}"/>
    <cellStyle name="_INVESTORS _Cash CDO &amp; AI_Credit Sales" xfId="901" xr:uid="{00000000-0005-0000-0000-000055030000}"/>
    <cellStyle name="_INVESTORS _Cash CDO &amp; AI_Data" xfId="902" xr:uid="{00000000-0005-0000-0000-000056030000}"/>
    <cellStyle name="_INVESTORS _Cash CDO &amp; AI_SUMMARY" xfId="903" xr:uid="{00000000-0005-0000-0000-000057030000}"/>
    <cellStyle name="_INVESTORS _CORPORATE" xfId="904" xr:uid="{00000000-0005-0000-0000-000058030000}"/>
    <cellStyle name="_INVESTORS _Credit Sales" xfId="905" xr:uid="{00000000-0005-0000-0000-000059030000}"/>
    <cellStyle name="_INVESTORS _CREDIT SUMM" xfId="906" xr:uid="{00000000-0005-0000-0000-00005A030000}"/>
    <cellStyle name="_INVESTORS _CREDIT SUMM_2005_PRF breakdown_Asia Credit Market" xfId="907" xr:uid="{00000000-0005-0000-0000-00005B030000}"/>
    <cellStyle name="_INVESTORS _CREDIT SUMM_21 Dec CM Daily" xfId="908" xr:uid="{00000000-0005-0000-0000-00005C030000}"/>
    <cellStyle name="_INVESTORS _CREDIT SUMM_ASIA SUMMARY-CONSOL2" xfId="909" xr:uid="{00000000-0005-0000-0000-00005D030000}"/>
    <cellStyle name="_INVESTORS _CREDIT SUMM_ASIAPnLRisk" xfId="910" xr:uid="{00000000-0005-0000-0000-00005E030000}"/>
    <cellStyle name="_INVESTORS _CREDIT SUMM_ASIAPnLRisk_06_0131B" xfId="911" xr:uid="{00000000-0005-0000-0000-00005F030000}"/>
    <cellStyle name="_INVESTORS _CREDIT SUMM_ASIAPnLRisk_NEW VERSION_PPL" xfId="912" xr:uid="{00000000-0005-0000-0000-000060030000}"/>
    <cellStyle name="_INVESTORS _CREDIT SUMM_Credit Sales" xfId="913" xr:uid="{00000000-0005-0000-0000-000061030000}"/>
    <cellStyle name="_INVESTORS _CREDIT SUMM_Data" xfId="914" xr:uid="{00000000-0005-0000-0000-000062030000}"/>
    <cellStyle name="_INVESTORS _CREDIT SUMM_SUMMARY" xfId="915" xr:uid="{00000000-0005-0000-0000-000063030000}"/>
    <cellStyle name="_INVESTORS _Data" xfId="916" xr:uid="{00000000-0005-0000-0000-000064030000}"/>
    <cellStyle name="_INVESTORS _HK-PRC" xfId="917" xr:uid="{00000000-0005-0000-0000-000065030000}"/>
    <cellStyle name="_INVESTORS _HK-PRC_2005_PRF breakdown_Asia Credit Market" xfId="918" xr:uid="{00000000-0005-0000-0000-000066030000}"/>
    <cellStyle name="_INVESTORS _HK-PRC_21 Dec CM Daily" xfId="919" xr:uid="{00000000-0005-0000-0000-000067030000}"/>
    <cellStyle name="_INVESTORS _HK-PRC_ASIA SUMMARY-CONSOL2" xfId="920" xr:uid="{00000000-0005-0000-0000-000068030000}"/>
    <cellStyle name="_INVESTORS _HK-PRC_ASIAPnLRisk" xfId="921" xr:uid="{00000000-0005-0000-0000-000069030000}"/>
    <cellStyle name="_INVESTORS _HK-PRC_ASIAPnLRisk_06_0131B" xfId="922" xr:uid="{00000000-0005-0000-0000-00006A030000}"/>
    <cellStyle name="_INVESTORS _HK-PRC_ASIAPnLRisk_NEW VERSION_PPL" xfId="923" xr:uid="{00000000-0005-0000-0000-00006B030000}"/>
    <cellStyle name="_INVESTORS _HK-PRC_Credit Sales" xfId="924" xr:uid="{00000000-0005-0000-0000-00006C030000}"/>
    <cellStyle name="_INVESTORS _HK-PRC_Data" xfId="925" xr:uid="{00000000-0005-0000-0000-00006D030000}"/>
    <cellStyle name="_INVESTORS _HK-PRC_SUMMARY" xfId="926" xr:uid="{00000000-0005-0000-0000-00006E030000}"/>
    <cellStyle name="_INVESTORS _INT DEALLIST" xfId="927" xr:uid="{00000000-0005-0000-0000-00006F030000}"/>
    <cellStyle name="_INVESTORS _INVESTORS " xfId="928" xr:uid="{00000000-0005-0000-0000-000070030000}"/>
    <cellStyle name="_INVESTORS _Recon tracking" xfId="929" xr:uid="{00000000-0005-0000-0000-000071030000}"/>
    <cellStyle name="_INVESTORS _SGP" xfId="930" xr:uid="{00000000-0005-0000-0000-000072030000}"/>
    <cellStyle name="_INVESTORS _SGP_2005_PRF breakdown_Asia Credit Market" xfId="931" xr:uid="{00000000-0005-0000-0000-000073030000}"/>
    <cellStyle name="_INVESTORS _SGP_21 Dec CM Daily" xfId="932" xr:uid="{00000000-0005-0000-0000-000074030000}"/>
    <cellStyle name="_INVESTORS _SGP_ASIA SUMMARY-CONSOL2" xfId="933" xr:uid="{00000000-0005-0000-0000-000075030000}"/>
    <cellStyle name="_INVESTORS _SGP_ASIAPnLRisk" xfId="934" xr:uid="{00000000-0005-0000-0000-000076030000}"/>
    <cellStyle name="_INVESTORS _SGP_ASIAPnLRisk_06_0131B" xfId="935" xr:uid="{00000000-0005-0000-0000-000077030000}"/>
    <cellStyle name="_INVESTORS _SGP_ASIAPnLRisk_NEW VERSION_PPL" xfId="936" xr:uid="{00000000-0005-0000-0000-000078030000}"/>
    <cellStyle name="_INVESTORS _SGP_Credit Sales" xfId="937" xr:uid="{00000000-0005-0000-0000-000079030000}"/>
    <cellStyle name="_INVESTORS _SGP_Data" xfId="938" xr:uid="{00000000-0005-0000-0000-00007A030000}"/>
    <cellStyle name="_INVESTORS _SGP_SUMMARY" xfId="939" xr:uid="{00000000-0005-0000-0000-00007B030000}"/>
    <cellStyle name="_INVESTORS _SSG" xfId="940" xr:uid="{00000000-0005-0000-0000-00007C030000}"/>
    <cellStyle name="_INVESTORS _SSG_2005_PRF breakdown_Asia Credit Market" xfId="941" xr:uid="{00000000-0005-0000-0000-00007D030000}"/>
    <cellStyle name="_INVESTORS _SSG_21 Dec CM Daily" xfId="942" xr:uid="{00000000-0005-0000-0000-00007E030000}"/>
    <cellStyle name="_INVESTORS _SSG_ASIA SUMMARY-CONSOL2" xfId="943" xr:uid="{00000000-0005-0000-0000-00007F030000}"/>
    <cellStyle name="_INVESTORS _SSG_ASIAPnLRisk" xfId="944" xr:uid="{00000000-0005-0000-0000-000080030000}"/>
    <cellStyle name="_INVESTORS _SSG_ASIAPnLRisk_06_0131B" xfId="945" xr:uid="{00000000-0005-0000-0000-000081030000}"/>
    <cellStyle name="_INVESTORS _SSG_ASIAPnLRisk_NEW VERSION_PPL" xfId="946" xr:uid="{00000000-0005-0000-0000-000082030000}"/>
    <cellStyle name="_INVESTORS _SSG_Credit Sales" xfId="947" xr:uid="{00000000-0005-0000-0000-000083030000}"/>
    <cellStyle name="_INVESTORS _SSG_Data" xfId="948" xr:uid="{00000000-0005-0000-0000-000084030000}"/>
    <cellStyle name="_INVESTORS _SSG_SUMMARY" xfId="949" xr:uid="{00000000-0005-0000-0000-000085030000}"/>
    <cellStyle name="_INVESTORS _Staff Mapping" xfId="950" xr:uid="{00000000-0005-0000-0000-000086030000}"/>
    <cellStyle name="_INVESTORS _SUMMARY" xfId="951" xr:uid="{00000000-0005-0000-0000-000087030000}"/>
    <cellStyle name="_IR Slide Format - 4-11-09 (FV)" xfId="952" xr:uid="{00000000-0005-0000-0000-000088030000}"/>
    <cellStyle name="_IR Slide Format - 4-8-09" xfId="953" xr:uid="{00000000-0005-0000-0000-000089030000}"/>
    <cellStyle name="_Jan Month Investment Productivity" xfId="954" xr:uid="{00000000-0005-0000-0000-00008A030000}"/>
    <cellStyle name="_Japan IBC M&amp;A" xfId="955" xr:uid="{00000000-0005-0000-0000-00008B030000}"/>
    <cellStyle name="_JPMC GTI volume comparisons - SEPTEMBER" xfId="956" xr:uid="{00000000-0005-0000-0000-00008C030000}"/>
    <cellStyle name="_June 06 Act FPnl Database v15" xfId="957" xr:uid="{00000000-0005-0000-0000-00008D030000}"/>
    <cellStyle name="_KH Expense Pack - Jan 05" xfId="958" xr:uid="{00000000-0005-0000-0000-00008E030000}"/>
    <cellStyle name="_Latest Exposure Data" xfId="959" xr:uid="{00000000-0005-0000-0000-00008F030000}"/>
    <cellStyle name="_Line Map" xfId="960" xr:uid="{00000000-0005-0000-0000-000090030000}"/>
    <cellStyle name="_Line Map_HC Tracking Feb 07BIUSHI-elee" xfId="961" xr:uid="{00000000-0005-0000-0000-000091030000}"/>
    <cellStyle name="_Liquid Markets and Rates Exotics July 2005 Control meeting" xfId="962" xr:uid="{00000000-0005-0000-0000-000092030000}"/>
    <cellStyle name="_Loan Volume Trend thru Dec 09" xfId="963" xr:uid="{00000000-0005-0000-0000-000093030000}"/>
    <cellStyle name="_Loan Volume Trend thru Mar 09 v1" xfId="964" xr:uid="{00000000-0005-0000-0000-000094030000}"/>
    <cellStyle name="_Loans Final Macro Oct" xfId="965" xr:uid="{00000000-0005-0000-0000-000095030000}"/>
    <cellStyle name="_Loans Macro Summary Jan'09 ME" xfId="966" xr:uid="{00000000-0005-0000-0000-000096030000}"/>
    <cellStyle name="_LOB Template" xfId="967" xr:uid="{00000000-0005-0000-0000-000097030000}"/>
    <cellStyle name="_LOB Template_A" xfId="968" xr:uid="{00000000-0005-0000-0000-000098030000}"/>
    <cellStyle name="_London FX_Detail" xfId="969" xr:uid="{00000000-0005-0000-0000-000099030000}"/>
    <cellStyle name="_MAC VIE Matrix 121305" xfId="970" xr:uid="{00000000-0005-0000-0000-00009A030000}"/>
    <cellStyle name="_MAC VIE Matrix Dec 05_final" xfId="971" xr:uid="{00000000-0005-0000-0000-00009B030000}"/>
    <cellStyle name="_Macro Launch" xfId="972" xr:uid="{00000000-0005-0000-0000-00009C030000}"/>
    <cellStyle name="_Manager Wise P&amp;L Apr05" xfId="973" xr:uid="{00000000-0005-0000-0000-00009D030000}"/>
    <cellStyle name="_Manual Input" xfId="974" xr:uid="{00000000-0005-0000-0000-00009E030000}"/>
    <cellStyle name="_Mar 06 Onwing Attributions v1" xfId="975" xr:uid="{00000000-0005-0000-0000-00009F030000}"/>
    <cellStyle name="_Mar ME adj" xfId="976" xr:uid="{00000000-0005-0000-0000-0000A0030000}"/>
    <cellStyle name="_Market Risk EMR" xfId="977" xr:uid="{00000000-0005-0000-0000-0000A1030000}"/>
    <cellStyle name="_Markets Revenue Nov" xfId="978" xr:uid="{00000000-0005-0000-0000-0000A2030000}"/>
    <cellStyle name="_Markets Revenue Run Rate1" xfId="979" xr:uid="{00000000-0005-0000-0000-0000A3030000}"/>
    <cellStyle name="_May 06 Onwing Attributionv2" xfId="980" xr:uid="{00000000-0005-0000-0000-0000A4030000}"/>
    <cellStyle name="_May Invoices-unlinked" xfId="981" xr:uid="{00000000-0005-0000-0000-0000A5030000}"/>
    <cellStyle name="_MEMO FX OPTION SALES CREDIT" xfId="982" xr:uid="{00000000-0005-0000-0000-0000A6030000}"/>
    <cellStyle name="_MO one-pager" xfId="983" xr:uid="{00000000-0005-0000-0000-0000A7030000}"/>
    <cellStyle name="_MO one-pager_1" xfId="984" xr:uid="{00000000-0005-0000-0000-0000A8030000}"/>
    <cellStyle name="_MO PRF Recon Jan2004 Japan 100204" xfId="985" xr:uid="{00000000-0005-0000-0000-0000A9030000}"/>
    <cellStyle name="_Mockup1024" xfId="986" xr:uid="{00000000-0005-0000-0000-0000AA030000}"/>
    <cellStyle name="_Mockup1024 (version 1)" xfId="987" xr:uid="{00000000-0005-0000-0000-0000AB030000}"/>
    <cellStyle name="_Month-end Pending Date 02-08 v3" xfId="988" xr:uid="{00000000-0005-0000-0000-0000AC030000}"/>
    <cellStyle name="_Mortgage Business Review 04.2005" xfId="989" xr:uid="{00000000-0005-0000-0000-0000AD030000}"/>
    <cellStyle name="_Mortgage Holdings Review 02.2005" xfId="990" xr:uid="{00000000-0005-0000-0000-0000AE030000}"/>
    <cellStyle name="_Multiple" xfId="991" xr:uid="{00000000-0005-0000-0000-0000AF030000}"/>
    <cellStyle name="_Multiple_~1134290" xfId="992" xr:uid="{00000000-0005-0000-0000-0000B0030000}"/>
    <cellStyle name="_Multiple_~3036172" xfId="993" xr:uid="{00000000-0005-0000-0000-0000B1030000}"/>
    <cellStyle name="_Multiple_~7516164" xfId="994" xr:uid="{00000000-0005-0000-0000-0000B2030000}"/>
    <cellStyle name="_Multiple_~9342525" xfId="995" xr:uid="{00000000-0005-0000-0000-0000B3030000}"/>
    <cellStyle name="_Multiple_1 - Pizzi spread rec schedule" xfId="996" xr:uid="{00000000-0005-0000-0000-0000B4030000}"/>
    <cellStyle name="_Multiple_2007 Budget Scenarios v2" xfId="997" xr:uid="{00000000-0005-0000-0000-0000B5030000}"/>
    <cellStyle name="_Multiple_2008 Headcount Plan" xfId="998" xr:uid="{00000000-0005-0000-0000-0000B6030000}"/>
    <cellStyle name="_Multiple_Appendix B" xfId="999" xr:uid="{00000000-0005-0000-0000-0000B7030000}"/>
    <cellStyle name="_Multiple_Aspen Financial Update 3-8-07" xfId="1000" xr:uid="{00000000-0005-0000-0000-0000B8030000}"/>
    <cellStyle name="_Multiple_AutoPrice2000" xfId="1001" xr:uid="{00000000-0005-0000-0000-0000B9030000}"/>
    <cellStyle name="_Multiple_Book1" xfId="1002" xr:uid="{00000000-0005-0000-0000-0000BA030000}"/>
    <cellStyle name="_Multiple_Book4" xfId="1003" xr:uid="{00000000-0005-0000-0000-0000BB030000}"/>
    <cellStyle name="_Multiple_Cancun Budget Presentation PPT Excel Sheets" xfId="1004" xr:uid="{00000000-0005-0000-0000-0000BC030000}"/>
    <cellStyle name="_Multiple_Company Operating Model v24" xfId="1005" xr:uid="{00000000-0005-0000-0000-0000BD030000}"/>
    <cellStyle name="_Multiple_Covenant compliance 11-18-07 v3" xfId="1006" xr:uid="{00000000-0005-0000-0000-0000BE030000}"/>
    <cellStyle name="_Multiple_Covenant compliance 11-19-07 v2" xfId="1007" xr:uid="{00000000-0005-0000-0000-0000BF030000}"/>
    <cellStyle name="_Multiple_Earth holco capital structure" xfId="1008" xr:uid="{00000000-0005-0000-0000-0000C0030000}"/>
    <cellStyle name="_Multiple_Enterprise V10.1 budget input" xfId="1009" xr:uid="{00000000-0005-0000-0000-0000C1030000}"/>
    <cellStyle name="_Multiple_Latest Exposure Data" xfId="1010" xr:uid="{00000000-0005-0000-0000-0000C2030000}"/>
    <cellStyle name="_Multiple_Natural Account vs AMTD v2" xfId="1011" xr:uid="{00000000-0005-0000-0000-0000C3030000}"/>
    <cellStyle name="_Multiple_Q107 Company Estimate 3-29-07" xfId="1012" xr:uid="{00000000-0005-0000-0000-0000C4030000}"/>
    <cellStyle name="_Multiple_Q107 Company Estimate 3-8-07" xfId="1013" xr:uid="{00000000-0005-0000-0000-0000C5030000}"/>
    <cellStyle name="_Multiple_Q207 Forecast" xfId="1014" xr:uid="{00000000-0005-0000-0000-0000C6030000}"/>
    <cellStyle name="_Multiple_Q407 Consolidating Estimate" xfId="1015" xr:uid="{00000000-0005-0000-0000-0000C7030000}"/>
    <cellStyle name="_Multiple_Segment" xfId="1016" xr:uid="{00000000-0005-0000-0000-0000C8030000}"/>
    <cellStyle name="_Multiple_Spread Walk NEW_Budget ENT" xfId="1017" xr:uid="{00000000-0005-0000-0000-0000C9030000}"/>
    <cellStyle name="_Multiple_Valuation Materials_v2" xfId="1018" xr:uid="{00000000-0005-0000-0000-0000CA030000}"/>
    <cellStyle name="_Multiple_Valuation Materials_v6" xfId="1019" xr:uid="{00000000-0005-0000-0000-0000CB030000}"/>
    <cellStyle name="_MultipleSpace" xfId="1020" xr:uid="{00000000-0005-0000-0000-0000CC030000}"/>
    <cellStyle name="_MultipleSpace_~1134290" xfId="1021" xr:uid="{00000000-0005-0000-0000-0000CD030000}"/>
    <cellStyle name="_MultipleSpace_~3036172" xfId="1022" xr:uid="{00000000-0005-0000-0000-0000CE030000}"/>
    <cellStyle name="_MultipleSpace_~7516164" xfId="1023" xr:uid="{00000000-0005-0000-0000-0000CF030000}"/>
    <cellStyle name="_MultipleSpace_~9342525" xfId="1024" xr:uid="{00000000-0005-0000-0000-0000D0030000}"/>
    <cellStyle name="_MultipleSpace_1 - Pizzi spread rec schedule" xfId="1025" xr:uid="{00000000-0005-0000-0000-0000D1030000}"/>
    <cellStyle name="_MultipleSpace_2007 Budget Scenarios v2" xfId="1026" xr:uid="{00000000-0005-0000-0000-0000D2030000}"/>
    <cellStyle name="_MultipleSpace_2008 Headcount Plan" xfId="1027" xr:uid="{00000000-0005-0000-0000-0000D3030000}"/>
    <cellStyle name="_MultipleSpace_Appendix B" xfId="1028" xr:uid="{00000000-0005-0000-0000-0000D4030000}"/>
    <cellStyle name="_MultipleSpace_Aspen Financial Update 3-8-07" xfId="1029" xr:uid="{00000000-0005-0000-0000-0000D5030000}"/>
    <cellStyle name="_MultipleSpace_AutoPrice2000" xfId="1030" xr:uid="{00000000-0005-0000-0000-0000D6030000}"/>
    <cellStyle name="_MultipleSpace_Book1" xfId="1031" xr:uid="{00000000-0005-0000-0000-0000D7030000}"/>
    <cellStyle name="_MultipleSpace_Book4" xfId="1032" xr:uid="{00000000-0005-0000-0000-0000D8030000}"/>
    <cellStyle name="_MultipleSpace_Cancun Budget Presentation PPT Excel Sheets" xfId="1033" xr:uid="{00000000-0005-0000-0000-0000D9030000}"/>
    <cellStyle name="_MultipleSpace_Company Operating Model v24" xfId="1034" xr:uid="{00000000-0005-0000-0000-0000DA030000}"/>
    <cellStyle name="_MultipleSpace_Covenant compliance 11-18-07 v3" xfId="1035" xr:uid="{00000000-0005-0000-0000-0000DB030000}"/>
    <cellStyle name="_MultipleSpace_Covenant compliance 11-19-07 v2" xfId="1036" xr:uid="{00000000-0005-0000-0000-0000DC030000}"/>
    <cellStyle name="_MultipleSpace_Earth holco capital structure" xfId="1037" xr:uid="{00000000-0005-0000-0000-0000DD030000}"/>
    <cellStyle name="_MultipleSpace_Enterprise V10.1 budget input" xfId="1038" xr:uid="{00000000-0005-0000-0000-0000DE030000}"/>
    <cellStyle name="_MultipleSpace_Latest Exposure Data" xfId="1039" xr:uid="{00000000-0005-0000-0000-0000DF030000}"/>
    <cellStyle name="_MultipleSpace_Natural Account vs AMTD v2" xfId="1040" xr:uid="{00000000-0005-0000-0000-0000E0030000}"/>
    <cellStyle name="_MultipleSpace_Q107 Company Estimate 3-29-07" xfId="1041" xr:uid="{00000000-0005-0000-0000-0000E1030000}"/>
    <cellStyle name="_MultipleSpace_Q107 Company Estimate 3-8-07" xfId="1042" xr:uid="{00000000-0005-0000-0000-0000E2030000}"/>
    <cellStyle name="_MultipleSpace_Q207 Forecast" xfId="1043" xr:uid="{00000000-0005-0000-0000-0000E3030000}"/>
    <cellStyle name="_MultipleSpace_Q407 Consolidating Estimate" xfId="1044" xr:uid="{00000000-0005-0000-0000-0000E4030000}"/>
    <cellStyle name="_MultipleSpace_Segment" xfId="1045" xr:uid="{00000000-0005-0000-0000-0000E5030000}"/>
    <cellStyle name="_MultipleSpace_Spread Walk NEW_Budget ENT" xfId="1046" xr:uid="{00000000-0005-0000-0000-0000E6030000}"/>
    <cellStyle name="_MultipleSpace_Valuation Materials_v2" xfId="1047" xr:uid="{00000000-0005-0000-0000-0000E7030000}"/>
    <cellStyle name="_MultipleSpace_Valuation Materials_v6" xfId="1048" xr:uid="{00000000-0005-0000-0000-0000E8030000}"/>
    <cellStyle name="_NA Credit Exotics P&amp;L Dec 05" xfId="1049" xr:uid="{00000000-0005-0000-0000-0000E9030000}"/>
    <cellStyle name="_NA Struct Credit P&amp;L Feb 06" xfId="1050" xr:uid="{00000000-0005-0000-0000-0000EA030000}"/>
    <cellStyle name="_NA Struct Credit P&amp;L Jan 06" xfId="1051" xr:uid="{00000000-0005-0000-0000-0000EB030000}"/>
    <cellStyle name="_NA TRR" xfId="1052" xr:uid="{00000000-0005-0000-0000-0000EC030000}"/>
    <cellStyle name="_NA TRR_A" xfId="1053" xr:uid="{00000000-0005-0000-0000-0000ED030000}"/>
    <cellStyle name="_NACT MAC Delivrables 0306" xfId="1054" xr:uid="{00000000-0005-0000-0000-0000EE030000}"/>
    <cellStyle name="_NARS Control Package August 2005 v2" xfId="1055" xr:uid="{00000000-0005-0000-0000-0000EF030000}"/>
    <cellStyle name="_Natural Account vs AMTD v2" xfId="1056" xr:uid="{00000000-0005-0000-0000-0000F0030000}"/>
    <cellStyle name="_NETPL" xfId="1057" xr:uid="{00000000-0005-0000-0000-0000F1030000}"/>
    <cellStyle name="_NewFormatP&amp;L" xfId="1058" xr:uid="{00000000-0005-0000-0000-0000F2030000}"/>
    <cellStyle name="_NI Schedule 10.24.08 v2" xfId="1059" xr:uid="{00000000-0005-0000-0000-0000F3030000}"/>
    <cellStyle name="_NI Schedule 11.26.08 (MGMT) v3" xfId="1060" xr:uid="{00000000-0005-0000-0000-0000F4030000}"/>
    <cellStyle name="_NII Estimate - Oct" xfId="1061" xr:uid="{00000000-0005-0000-0000-0000F5030000}"/>
    <cellStyle name="_Nov 04" xfId="1062" xr:uid="{00000000-0005-0000-0000-0000F6030000}"/>
    <cellStyle name="_NPA Summary 3-31 (4-10 updates)" xfId="1063" xr:uid="{00000000-0005-0000-0000-0000F7030000}"/>
    <cellStyle name="_NPA Summary 3-31 v3" xfId="1064" xr:uid="{00000000-0005-0000-0000-0000F8030000}"/>
    <cellStyle name="_NPLSv2" xfId="1065" xr:uid="{00000000-0005-0000-0000-0000F9030000}"/>
    <cellStyle name="_oct2005.followups" xfId="1066" xr:uid="{00000000-0005-0000-0000-0000FA030000}"/>
    <cellStyle name="_One time Itemsv3" xfId="1067" xr:uid="{00000000-0005-0000-0000-0000FB030000}"/>
    <cellStyle name="_Online Index GL Split" xfId="1068" xr:uid="{00000000-0005-0000-0000-0000FC030000}"/>
    <cellStyle name="_Outstanding" xfId="1069" xr:uid="{00000000-0005-0000-0000-0000FD030000}"/>
    <cellStyle name="_Outstanding Revenue Tracking Dec 04" xfId="1070" xr:uid="{00000000-0005-0000-0000-0000FE030000}"/>
    <cellStyle name="_Outstanding Revenue Tracking Dec 04_2005_PRF breakdown_Asia Credit Market" xfId="1071" xr:uid="{00000000-0005-0000-0000-0000FF030000}"/>
    <cellStyle name="_Outstanding Revenue Tracking Dec 04_21 Dec CM Daily" xfId="1072" xr:uid="{00000000-0005-0000-0000-000000040000}"/>
    <cellStyle name="_Outstanding Revenue Tracking Dec 04_ASIA SUMMARY-CONSOL2" xfId="1073" xr:uid="{00000000-0005-0000-0000-000001040000}"/>
    <cellStyle name="_Outstanding Revenue Tracking Dec 04_ASIAPnLRisk" xfId="1074" xr:uid="{00000000-0005-0000-0000-000002040000}"/>
    <cellStyle name="_Outstanding Revenue Tracking Dec 04_ASIAPnLRisk_06_0131B" xfId="1075" xr:uid="{00000000-0005-0000-0000-000003040000}"/>
    <cellStyle name="_Outstanding Revenue Tracking Dec 04_ASIAPnLRisk_NEW VERSION_PPL" xfId="1076" xr:uid="{00000000-0005-0000-0000-000004040000}"/>
    <cellStyle name="_Outstanding Revenue Tracking Dec 04_Credit Sales" xfId="1077" xr:uid="{00000000-0005-0000-0000-000005040000}"/>
    <cellStyle name="_Outstanding Revenue Tracking Dec 04_Data" xfId="1078" xr:uid="{00000000-0005-0000-0000-000006040000}"/>
    <cellStyle name="_Outstanding Revenue Tracking Dec 04_SUMMARY" xfId="1079" xr:uid="{00000000-0005-0000-0000-000007040000}"/>
    <cellStyle name="_Outstanding_2005_PRF breakdown_Asia Credit Market" xfId="1080" xr:uid="{00000000-0005-0000-0000-000008040000}"/>
    <cellStyle name="_Outstanding_21 Dec CM Daily" xfId="1081" xr:uid="{00000000-0005-0000-0000-000009040000}"/>
    <cellStyle name="_Outstanding_ASIA SUMMARY-CONSOL2" xfId="1082" xr:uid="{00000000-0005-0000-0000-00000A040000}"/>
    <cellStyle name="_Outstanding_ASIAPnLRisk" xfId="1083" xr:uid="{00000000-0005-0000-0000-00000B040000}"/>
    <cellStyle name="_Outstanding_ASIAPnLRisk_06_0131B" xfId="1084" xr:uid="{00000000-0005-0000-0000-00000C040000}"/>
    <cellStyle name="_Outstanding_ASIAPnLRisk_NEW VERSION_PPL" xfId="1085" xr:uid="{00000000-0005-0000-0000-00000D040000}"/>
    <cellStyle name="_Outstanding_Credit Sales" xfId="1086" xr:uid="{00000000-0005-0000-0000-00000E040000}"/>
    <cellStyle name="_Outstanding_Data" xfId="1087" xr:uid="{00000000-0005-0000-0000-00000F040000}"/>
    <cellStyle name="_Outstanding_SUMMARY" xfId="1088" xr:uid="{00000000-0005-0000-0000-000010040000}"/>
    <cellStyle name="_P 40 EconRiskTrendbyComponent" xfId="1089" xr:uid="{00000000-0005-0000-0000-000011040000}"/>
    <cellStyle name="_P 40 EconRiskTrendbyComponent_July Estimate 08.04.10" xfId="1090" xr:uid="{00000000-0005-0000-0000-000012040000}"/>
    <cellStyle name="_P&amp;L by entity" xfId="1091" xr:uid="{00000000-0005-0000-0000-000013040000}"/>
    <cellStyle name="_P&amp;L(Value)_Round 2" xfId="1092" xr:uid="{00000000-0005-0000-0000-000014040000}"/>
    <cellStyle name="_P2 IncStat" xfId="1093" xr:uid="{00000000-0005-0000-0000-000015040000}"/>
    <cellStyle name="_Percent" xfId="1094" xr:uid="{00000000-0005-0000-0000-000016040000}"/>
    <cellStyle name="_PercentReal" xfId="1095" xr:uid="{00000000-0005-0000-0000-000017040000}"/>
    <cellStyle name="_PercentSpace" xfId="1096" xr:uid="{00000000-0005-0000-0000-000018040000}"/>
    <cellStyle name="_Pipeline Tracker" xfId="1097" xr:uid="{00000000-0005-0000-0000-000019040000}"/>
    <cellStyle name="_PL Macro - Current" xfId="1098" xr:uid="{00000000-0005-0000-0000-00001A040000}"/>
    <cellStyle name="_PL Macro - October final" xfId="1099" xr:uid="{00000000-0005-0000-0000-00001B040000}"/>
    <cellStyle name="_PL Macro - September Temp" xfId="1100" xr:uid="{00000000-0005-0000-0000-00001C040000}"/>
    <cellStyle name="_Plan 2005-C&amp;R" xfId="1101" xr:uid="{00000000-0005-0000-0000-00001D040000}"/>
    <cellStyle name="_Plan Summary 9 24 07v2 (Equities)" xfId="1102" xr:uid="{00000000-0005-0000-0000-00001E040000}"/>
    <cellStyle name="_Plan_2006_HK(1)" xfId="1103" xr:uid="{00000000-0005-0000-0000-00001F040000}"/>
    <cellStyle name="_Plan_2006_Sing(1)" xfId="1104" xr:uid="{00000000-0005-0000-0000-000020040000}"/>
    <cellStyle name="_portfolio" xfId="1105" xr:uid="{00000000-0005-0000-0000-000021040000}"/>
    <cellStyle name="_portfolio_Data" xfId="1106" xr:uid="{00000000-0005-0000-0000-000022040000}"/>
    <cellStyle name="_portfolio_Summary" xfId="1107" xr:uid="{00000000-0005-0000-0000-000023040000}"/>
    <cellStyle name="_product pricing 081805" xfId="1108" xr:uid="{00000000-0005-0000-0000-000024040000}"/>
    <cellStyle name="_product pricing 081805_Book1" xfId="1109" xr:uid="{00000000-0005-0000-0000-000025040000}"/>
    <cellStyle name="_product pricing 081805_File 1 - 2008 &amp; 2009 MYF - Board Pre-read View 7.24.08" xfId="1110" xr:uid="{00000000-0005-0000-0000-000026040000}"/>
    <cellStyle name="_product pricing 081805_Supplemental Sheets 5.20.09" xfId="1111" xr:uid="{00000000-0005-0000-0000-000027040000}"/>
    <cellStyle name="_Provision required Oct" xfId="1112" xr:uid="{00000000-0005-0000-0000-000028040000}"/>
    <cellStyle name="_Q1 2009 IB Credit Costs Q109 (FV)" xfId="1113" xr:uid="{00000000-0005-0000-0000-000029040000}"/>
    <cellStyle name="_Q1 IC - Tracker Update" xfId="1114" xr:uid="{00000000-0005-0000-0000-00002A040000}"/>
    <cellStyle name="_Q107 Company Estimate 3-29-07" xfId="1115" xr:uid="{00000000-0005-0000-0000-00002B040000}"/>
    <cellStyle name="_Q107 Company Estimate 3-8-07" xfId="1116" xr:uid="{00000000-0005-0000-0000-00002C040000}"/>
    <cellStyle name="_Q2" xfId="1117" xr:uid="{00000000-0005-0000-0000-00002D040000}"/>
    <cellStyle name="_Q207 Forecast" xfId="1118" xr:uid="{00000000-0005-0000-0000-00002E040000}"/>
    <cellStyle name="_Q3 2009 IB Credit Costs Package - Oct 1st v2" xfId="1119" xr:uid="{00000000-0005-0000-0000-00002F040000}"/>
    <cellStyle name="_Q3 VIE Revenue" xfId="1120" xr:uid="{00000000-0005-0000-0000-000030040000}"/>
    <cellStyle name="_Q4 VIE Revenue" xfId="1121" xr:uid="{00000000-0005-0000-0000-000031040000}"/>
    <cellStyle name="_Q407 Consolidating Estimate" xfId="1122" xr:uid="{00000000-0005-0000-0000-000032040000}"/>
    <cellStyle name="_QA" xfId="1123" xr:uid="{00000000-0005-0000-0000-000033040000}"/>
    <cellStyle name="_QA.investigating" xfId="1124" xr:uid="{00000000-0005-0000-0000-000034040000}"/>
    <cellStyle name="_Recon" xfId="1125" xr:uid="{00000000-0005-0000-0000-000035040000}"/>
    <cellStyle name="_Recon tracking" xfId="1126" xr:uid="{00000000-0005-0000-0000-000036040000}"/>
    <cellStyle name="_Remove SM flag y Jan" xfId="1127" xr:uid="{00000000-0005-0000-0000-000037040000}"/>
    <cellStyle name="_Report110905V1" xfId="1128" xr:uid="{00000000-0005-0000-0000-000038040000}"/>
    <cellStyle name="_Report110905V1_FY Forecast Tracker 9.25.08 v3" xfId="1129" xr:uid="{00000000-0005-0000-0000-000039040000}"/>
    <cellStyle name="_Report110905V1_IB Fcst Variance 1-23-09" xfId="1130" xr:uid="{00000000-0005-0000-0000-00003A040000}"/>
    <cellStyle name="_Report110905V1_IB Mgmt Fcst 1-23-09" xfId="1131" xr:uid="{00000000-0005-0000-0000-00003B040000}"/>
    <cellStyle name="_Report110905V1_NI Schedule 10.24.08 v2" xfId="1132" xr:uid="{00000000-0005-0000-0000-00003C040000}"/>
    <cellStyle name="_Report110905V1_NI Schedule 11.26.08 (MGMT) v3" xfId="1133" xr:uid="{00000000-0005-0000-0000-00003D040000}"/>
    <cellStyle name="_Report110905V1_One time Itemsv3" xfId="1134" xr:uid="{00000000-0005-0000-0000-00003E040000}"/>
    <cellStyle name="_Report110905V1_Supplemental Sheets 5.20.09" xfId="1135" xr:uid="{00000000-0005-0000-0000-00003F040000}"/>
    <cellStyle name="_Report110905V1_Tracker 2Q  5.12.08" xfId="1136" xr:uid="{00000000-0005-0000-0000-000040040000}"/>
    <cellStyle name="_Report110905V1_Tracker 2Q  5.15.08" xfId="1137" xr:uid="{00000000-0005-0000-0000-000041040000}"/>
    <cellStyle name="_Reported Net Income walk to adj PTPIC" xfId="1138" xr:uid="{00000000-0005-0000-0000-000042040000}"/>
    <cellStyle name="_Restricted_PPL_28Jun" xfId="1139" xr:uid="{00000000-0005-0000-0000-000043040000}"/>
    <cellStyle name="_Restricted_PrdRpt_12 Jun" xfId="1140" xr:uid="{00000000-0005-0000-0000-000044040000}"/>
    <cellStyle name="_RMBS_ABS Template (Alternative)_4Q08 Waterfall" xfId="1141" xr:uid="{00000000-0005-0000-0000-000045040000}"/>
    <cellStyle name="_RMBS_ABS_Request" xfId="1142" xr:uid="{00000000-0005-0000-0000-000046040000}"/>
    <cellStyle name="_Round 1 Summary FINAL 28 Sep" xfId="1143" xr:uid="{00000000-0005-0000-0000-000047040000}"/>
    <cellStyle name="_Round 2 final with 5 December EARs" xfId="1144" xr:uid="{00000000-0005-0000-0000-000048040000}"/>
    <cellStyle name="_Round 2 final with 5 December EARs_Book1" xfId="1145" xr:uid="{00000000-0005-0000-0000-000049040000}"/>
    <cellStyle name="_Round 2 final with 5 December EARs_File 1 - 2008 &amp; 2009 MYF - Board Pre-read View 7.24.08" xfId="1146" xr:uid="{00000000-0005-0000-0000-00004A040000}"/>
    <cellStyle name="_Round 2 final with 5 December EARs_Supplemental Sheets 5.20.09" xfId="1147" xr:uid="{00000000-0005-0000-0000-00004B040000}"/>
    <cellStyle name="_Round 2 final with 5 December EARs_v2" xfId="1148" xr:uid="{00000000-0005-0000-0000-00004C040000}"/>
    <cellStyle name="_Round2ExecSum_and_byLOB" xfId="1149" xr:uid="{00000000-0005-0000-0000-00004D040000}"/>
    <cellStyle name="_RT_AUS_Plan 2006" xfId="1150" xr:uid="{00000000-0005-0000-0000-00004E040000}"/>
    <cellStyle name="_RWA schedule for MAC" xfId="1151" xr:uid="{00000000-0005-0000-0000-00004F040000}"/>
    <cellStyle name="_RWA.credit.2005" xfId="1152" xr:uid="{00000000-0005-0000-0000-000050040000}"/>
    <cellStyle name="_SAA Agency Floaters" xfId="1153" xr:uid="{00000000-0005-0000-0000-000051040000}"/>
    <cellStyle name="_SAA Agency Floaters_A" xfId="1154" xr:uid="{00000000-0005-0000-0000-000052040000}"/>
    <cellStyle name="_SAA Agency IO" xfId="1155" xr:uid="{00000000-0005-0000-0000-000053040000}"/>
    <cellStyle name="_SAA Agency IO_A" xfId="1156" xr:uid="{00000000-0005-0000-0000-000054040000}"/>
    <cellStyle name="_SAA CLO" xfId="1157" xr:uid="{00000000-0005-0000-0000-000055040000}"/>
    <cellStyle name="_SAA CLO_A" xfId="1158" xr:uid="{00000000-0005-0000-0000-000056040000}"/>
    <cellStyle name="_SALES REVENUE SHARING" xfId="1159" xr:uid="{00000000-0005-0000-0000-000057040000}"/>
    <cellStyle name="_Sample Model Portfolio 2005-0527" xfId="1160" xr:uid="{00000000-0005-0000-0000-000058040000}"/>
    <cellStyle name="_Sample Model Portfolio 2005-0527_Data" xfId="1161" xr:uid="{00000000-0005-0000-0000-000059040000}"/>
    <cellStyle name="_Sample Model Portfolio 2005-0527_Summary" xfId="1162" xr:uid="{00000000-0005-0000-0000-00005A040000}"/>
    <cellStyle name="_schedules for IC Presentation_v4" xfId="1163" xr:uid="{00000000-0005-0000-0000-00005B040000}"/>
    <cellStyle name="_Sec Prod Control Package October 2005" xfId="1164" xr:uid="{00000000-0005-0000-0000-00005C040000}"/>
    <cellStyle name="_Securitized Prod Control Package February 2006" xfId="1165" xr:uid="{00000000-0005-0000-0000-00005D040000}"/>
    <cellStyle name="_Securitized Products KPI Submission - December ME 2005" xfId="1166" xr:uid="{00000000-0005-0000-0000-00005E040000}"/>
    <cellStyle name="_Securitized Products Risk Event Stats 2005" xfId="1167" xr:uid="{00000000-0005-0000-0000-00005F040000}"/>
    <cellStyle name="_Securitized Products Risk Event Stats 2005 - Dec 2005" xfId="1168" xr:uid="{00000000-0005-0000-0000-000060040000}"/>
    <cellStyle name="_Securitized Products Risk Event Stats 2005 - Nov 2005" xfId="1169" xr:uid="{00000000-0005-0000-0000-000061040000}"/>
    <cellStyle name="_Securitized Products Risk Event Stats 2006 - April 2006" xfId="1170" xr:uid="{00000000-0005-0000-0000-000062040000}"/>
    <cellStyle name="_Securitized Products Risk Event Stats 2006 - Feb 2006" xfId="1171" xr:uid="{00000000-0005-0000-0000-000063040000}"/>
    <cellStyle name="_Securitized Products Risk Event Stats 2006 - Jan 2006" xfId="1172" xr:uid="{00000000-0005-0000-0000-000064040000}"/>
    <cellStyle name="_Securitized Products Risk Event Stats 2006 - March 2006" xfId="1173" xr:uid="{00000000-0005-0000-0000-000065040000}"/>
    <cellStyle name="_Securitized Products Risk Event Stats 2006 - May 2006" xfId="1174" xr:uid="{00000000-0005-0000-0000-000066040000}"/>
    <cellStyle name="_Securitzed Products KPI Submission - April 2006" xfId="1175" xr:uid="{00000000-0005-0000-0000-000067040000}"/>
    <cellStyle name="_Securitzed Products KPI Submission - February 2006" xfId="1176" xr:uid="{00000000-0005-0000-0000-000068040000}"/>
    <cellStyle name="_Securitzed Products KPI Submission - January 2006" xfId="1177" xr:uid="{00000000-0005-0000-0000-000069040000}"/>
    <cellStyle name="_Securitzed Products KPI Submission - March 2006" xfId="1178" xr:uid="{00000000-0005-0000-0000-00006A040000}"/>
    <cellStyle name="_Securitzed Products KPI Submission - May 2006" xfId="1179" xr:uid="{00000000-0005-0000-0000-00006B040000}"/>
    <cellStyle name="_Segment" xfId="1180" xr:uid="{00000000-0005-0000-0000-00006C040000}"/>
    <cellStyle name="_SGP" xfId="1181" xr:uid="{00000000-0005-0000-0000-00006D040000}"/>
    <cellStyle name="_SGP_1" xfId="1182" xr:uid="{00000000-0005-0000-0000-00006E040000}"/>
    <cellStyle name="_SGP_1_2005_PRF breakdown_Asia Credit Market" xfId="1183" xr:uid="{00000000-0005-0000-0000-00006F040000}"/>
    <cellStyle name="_SGP_1_21 Dec CM Daily" xfId="1184" xr:uid="{00000000-0005-0000-0000-000070040000}"/>
    <cellStyle name="_SGP_1_ASIA SUMMARY-CONSOL2" xfId="1185" xr:uid="{00000000-0005-0000-0000-000071040000}"/>
    <cellStyle name="_SGP_1_ASIAPnLRisk" xfId="1186" xr:uid="{00000000-0005-0000-0000-000072040000}"/>
    <cellStyle name="_SGP_1_ASIAPnLRisk_06_0131B" xfId="1187" xr:uid="{00000000-0005-0000-0000-000073040000}"/>
    <cellStyle name="_SGP_1_ASIAPnLRisk_NEW VERSION_PPL" xfId="1188" xr:uid="{00000000-0005-0000-0000-000074040000}"/>
    <cellStyle name="_SGP_1_Credit Sales" xfId="1189" xr:uid="{00000000-0005-0000-0000-000075040000}"/>
    <cellStyle name="_SGP_1_Data" xfId="1190" xr:uid="{00000000-0005-0000-0000-000076040000}"/>
    <cellStyle name="_SGP_1_SUMMARY" xfId="1191" xr:uid="{00000000-0005-0000-0000-000077040000}"/>
    <cellStyle name="_SGP_2" xfId="1192" xr:uid="{00000000-0005-0000-0000-000078040000}"/>
    <cellStyle name="_SGP_2005_PRF breakdown_Asia Credit Market" xfId="1193" xr:uid="{00000000-0005-0000-0000-000079040000}"/>
    <cellStyle name="_SGP_21 Dec CM Daily" xfId="1194" xr:uid="{00000000-0005-0000-0000-00007A040000}"/>
    <cellStyle name="_SGP_ASIA SUMMARY-CONSOL2" xfId="1195" xr:uid="{00000000-0005-0000-0000-00007B040000}"/>
    <cellStyle name="_SGP_ASIAPnLRisk" xfId="1196" xr:uid="{00000000-0005-0000-0000-00007C040000}"/>
    <cellStyle name="_SGP_ASIAPnLRisk_06_0131B" xfId="1197" xr:uid="{00000000-0005-0000-0000-00007D040000}"/>
    <cellStyle name="_SGP_ASIAPnLRisk_NEW VERSION_PPL" xfId="1198" xr:uid="{00000000-0005-0000-0000-00007E040000}"/>
    <cellStyle name="_SGP_Cash CDO &amp; AI" xfId="1199" xr:uid="{00000000-0005-0000-0000-00007F040000}"/>
    <cellStyle name="_SGP_Cash CDO &amp; AI_2005_PRF breakdown_Asia Credit Market" xfId="1200" xr:uid="{00000000-0005-0000-0000-000080040000}"/>
    <cellStyle name="_SGP_Cash CDO &amp; AI_21 Dec CM Daily" xfId="1201" xr:uid="{00000000-0005-0000-0000-000081040000}"/>
    <cellStyle name="_SGP_Cash CDO &amp; AI_ASIA SUMMARY-CONSOL2" xfId="1202" xr:uid="{00000000-0005-0000-0000-000082040000}"/>
    <cellStyle name="_SGP_Cash CDO &amp; AI_ASIAPnLRisk" xfId="1203" xr:uid="{00000000-0005-0000-0000-000083040000}"/>
    <cellStyle name="_SGP_Cash CDO &amp; AI_ASIAPnLRisk_06_0131B" xfId="1204" xr:uid="{00000000-0005-0000-0000-000084040000}"/>
    <cellStyle name="_SGP_Cash CDO &amp; AI_ASIAPnLRisk_NEW VERSION_PPL" xfId="1205" xr:uid="{00000000-0005-0000-0000-000085040000}"/>
    <cellStyle name="_SGP_Cash CDO &amp; AI_Credit Sales" xfId="1206" xr:uid="{00000000-0005-0000-0000-000086040000}"/>
    <cellStyle name="_SGP_Cash CDO &amp; AI_Data" xfId="1207" xr:uid="{00000000-0005-0000-0000-000087040000}"/>
    <cellStyle name="_SGP_Cash CDO &amp; AI_SUMMARY" xfId="1208" xr:uid="{00000000-0005-0000-0000-000088040000}"/>
    <cellStyle name="_SGP_CORPORATE" xfId="1209" xr:uid="{00000000-0005-0000-0000-000089040000}"/>
    <cellStyle name="_SGP_Credit Sales" xfId="1210" xr:uid="{00000000-0005-0000-0000-00008A040000}"/>
    <cellStyle name="_SGP_CREDIT SUMM" xfId="1211" xr:uid="{00000000-0005-0000-0000-00008B040000}"/>
    <cellStyle name="_SGP_CREDIT SUMM_2005_PRF breakdown_Asia Credit Market" xfId="1212" xr:uid="{00000000-0005-0000-0000-00008C040000}"/>
    <cellStyle name="_SGP_CREDIT SUMM_21 Dec CM Daily" xfId="1213" xr:uid="{00000000-0005-0000-0000-00008D040000}"/>
    <cellStyle name="_SGP_CREDIT SUMM_ASIA SUMMARY-CONSOL2" xfId="1214" xr:uid="{00000000-0005-0000-0000-00008E040000}"/>
    <cellStyle name="_SGP_CREDIT SUMM_ASIAPnLRisk" xfId="1215" xr:uid="{00000000-0005-0000-0000-00008F040000}"/>
    <cellStyle name="_SGP_CREDIT SUMM_ASIAPnLRisk_06_0131B" xfId="1216" xr:uid="{00000000-0005-0000-0000-000090040000}"/>
    <cellStyle name="_SGP_CREDIT SUMM_ASIAPnLRisk_NEW VERSION_PPL" xfId="1217" xr:uid="{00000000-0005-0000-0000-000091040000}"/>
    <cellStyle name="_SGP_CREDIT SUMM_Credit Sales" xfId="1218" xr:uid="{00000000-0005-0000-0000-000092040000}"/>
    <cellStyle name="_SGP_CREDIT SUMM_Data" xfId="1219" xr:uid="{00000000-0005-0000-0000-000093040000}"/>
    <cellStyle name="_SGP_CREDIT SUMM_SUMMARY" xfId="1220" xr:uid="{00000000-0005-0000-0000-000094040000}"/>
    <cellStyle name="_SGP_Data" xfId="1221" xr:uid="{00000000-0005-0000-0000-000095040000}"/>
    <cellStyle name="_SGP_HK-PRC" xfId="1222" xr:uid="{00000000-0005-0000-0000-000096040000}"/>
    <cellStyle name="_SGP_HK-PRC_2005_PRF breakdown_Asia Credit Market" xfId="1223" xr:uid="{00000000-0005-0000-0000-000097040000}"/>
    <cellStyle name="_SGP_HK-PRC_21 Dec CM Daily" xfId="1224" xr:uid="{00000000-0005-0000-0000-000098040000}"/>
    <cellStyle name="_SGP_HK-PRC_ASIA SUMMARY-CONSOL2" xfId="1225" xr:uid="{00000000-0005-0000-0000-000099040000}"/>
    <cellStyle name="_SGP_HK-PRC_ASIAPnLRisk" xfId="1226" xr:uid="{00000000-0005-0000-0000-00009A040000}"/>
    <cellStyle name="_SGP_HK-PRC_ASIAPnLRisk_06_0131B" xfId="1227" xr:uid="{00000000-0005-0000-0000-00009B040000}"/>
    <cellStyle name="_SGP_HK-PRC_ASIAPnLRisk_NEW VERSION_PPL" xfId="1228" xr:uid="{00000000-0005-0000-0000-00009C040000}"/>
    <cellStyle name="_SGP_HK-PRC_Credit Sales" xfId="1229" xr:uid="{00000000-0005-0000-0000-00009D040000}"/>
    <cellStyle name="_SGP_HK-PRC_Data" xfId="1230" xr:uid="{00000000-0005-0000-0000-00009E040000}"/>
    <cellStyle name="_SGP_HK-PRC_SUMMARY" xfId="1231" xr:uid="{00000000-0005-0000-0000-00009F040000}"/>
    <cellStyle name="_SGP_INT DEALLIST" xfId="1232" xr:uid="{00000000-0005-0000-0000-0000A0040000}"/>
    <cellStyle name="_SGP_INVESTORS " xfId="1233" xr:uid="{00000000-0005-0000-0000-0000A1040000}"/>
    <cellStyle name="_SGP_Recon tracking" xfId="1234" xr:uid="{00000000-0005-0000-0000-0000A2040000}"/>
    <cellStyle name="_SGP_SGP" xfId="1235" xr:uid="{00000000-0005-0000-0000-0000A3040000}"/>
    <cellStyle name="_SGP_SGP_2005_PRF breakdown_Asia Credit Market" xfId="1236" xr:uid="{00000000-0005-0000-0000-0000A4040000}"/>
    <cellStyle name="_SGP_SGP_21 Dec CM Daily" xfId="1237" xr:uid="{00000000-0005-0000-0000-0000A5040000}"/>
    <cellStyle name="_SGP_SGP_ASIA SUMMARY-CONSOL2" xfId="1238" xr:uid="{00000000-0005-0000-0000-0000A6040000}"/>
    <cellStyle name="_SGP_SGP_ASIAPnLRisk" xfId="1239" xr:uid="{00000000-0005-0000-0000-0000A7040000}"/>
    <cellStyle name="_SGP_SGP_ASIAPnLRisk_06_0131B" xfId="1240" xr:uid="{00000000-0005-0000-0000-0000A8040000}"/>
    <cellStyle name="_SGP_SGP_ASIAPnLRisk_NEW VERSION_PPL" xfId="1241" xr:uid="{00000000-0005-0000-0000-0000A9040000}"/>
    <cellStyle name="_SGP_SGP_Credit Sales" xfId="1242" xr:uid="{00000000-0005-0000-0000-0000AA040000}"/>
    <cellStyle name="_SGP_SGP_Data" xfId="1243" xr:uid="{00000000-0005-0000-0000-0000AB040000}"/>
    <cellStyle name="_SGP_SGP_SUMMARY" xfId="1244" xr:uid="{00000000-0005-0000-0000-0000AC040000}"/>
    <cellStyle name="_SGP_SSG" xfId="1245" xr:uid="{00000000-0005-0000-0000-0000AD040000}"/>
    <cellStyle name="_SGP_SSG_2005_PRF breakdown_Asia Credit Market" xfId="1246" xr:uid="{00000000-0005-0000-0000-0000AE040000}"/>
    <cellStyle name="_SGP_SSG_21 Dec CM Daily" xfId="1247" xr:uid="{00000000-0005-0000-0000-0000AF040000}"/>
    <cellStyle name="_SGP_SSG_ASIA SUMMARY-CONSOL2" xfId="1248" xr:uid="{00000000-0005-0000-0000-0000B0040000}"/>
    <cellStyle name="_SGP_SSG_ASIAPnLRisk" xfId="1249" xr:uid="{00000000-0005-0000-0000-0000B1040000}"/>
    <cellStyle name="_SGP_SSG_ASIAPnLRisk_06_0131B" xfId="1250" xr:uid="{00000000-0005-0000-0000-0000B2040000}"/>
    <cellStyle name="_SGP_SSG_ASIAPnLRisk_NEW VERSION_PPL" xfId="1251" xr:uid="{00000000-0005-0000-0000-0000B3040000}"/>
    <cellStyle name="_SGP_SSG_Credit Sales" xfId="1252" xr:uid="{00000000-0005-0000-0000-0000B4040000}"/>
    <cellStyle name="_SGP_SSG_Data" xfId="1253" xr:uid="{00000000-0005-0000-0000-0000B5040000}"/>
    <cellStyle name="_SGP_SSG_SUMMARY" xfId="1254" xr:uid="{00000000-0005-0000-0000-0000B6040000}"/>
    <cellStyle name="_SGP_Staff Mapping" xfId="1255" xr:uid="{00000000-0005-0000-0000-0000B7040000}"/>
    <cellStyle name="_SGP_SUMMARY" xfId="1256" xr:uid="{00000000-0005-0000-0000-0000B8040000}"/>
    <cellStyle name="_Sheet1" xfId="1257" xr:uid="{00000000-0005-0000-0000-0000B9040000}"/>
    <cellStyle name="_Sheet1_~5254638" xfId="1258" xr:uid="{00000000-0005-0000-0000-0000BA040000}"/>
    <cellStyle name="_Sheet1_1" xfId="1259" xr:uid="{00000000-0005-0000-0000-0000BB040000}"/>
    <cellStyle name="_Sheet1_1_Cash IC Reductions 1H09 Expected vs Outlook 5.20.09" xfId="1260" xr:uid="{00000000-0005-0000-0000-0000BC040000}"/>
    <cellStyle name="_Sheet1_1_Data" xfId="1261" xr:uid="{00000000-0005-0000-0000-0000BD040000}"/>
    <cellStyle name="_Sheet1_1_IB Forecast 05.14.09 BD10 2Q" xfId="1262" xr:uid="{00000000-0005-0000-0000-0000BE040000}"/>
    <cellStyle name="_Sheet1_1_Sheet2" xfId="1263" xr:uid="{00000000-0005-0000-0000-0000BF040000}"/>
    <cellStyle name="_Sheet1_1_Summary" xfId="1264" xr:uid="{00000000-0005-0000-0000-0000C0040000}"/>
    <cellStyle name="_Sheet1_2005_PRF breakdown_Asia Credit Market" xfId="1265" xr:uid="{00000000-0005-0000-0000-0000C1040000}"/>
    <cellStyle name="_Sheet1_2008 HC Baseline - Energy" xfId="1266" xr:uid="{00000000-0005-0000-0000-0000C2040000}"/>
    <cellStyle name="_Sheet1_21 Dec CM Daily" xfId="1267" xr:uid="{00000000-0005-0000-0000-0000C3040000}"/>
    <cellStyle name="_Sheet1_Americas Emerging Markets Plan 08 Template v1.17" xfId="1268" xr:uid="{00000000-0005-0000-0000-0000C4040000}"/>
    <cellStyle name="_Sheet1_ASIA Emerging Market Plan 08 Templatev1.1" xfId="1269" xr:uid="{00000000-0005-0000-0000-0000C5040000}"/>
    <cellStyle name="_Sheet1_ASIA SUMMARY-CONSOL2" xfId="1270" xr:uid="{00000000-0005-0000-0000-0000C6040000}"/>
    <cellStyle name="_Sheet1_ASIAPnLRisk" xfId="1271" xr:uid="{00000000-0005-0000-0000-0000C7040000}"/>
    <cellStyle name="_Sheet1_ASIAPnLRisk_06_0131B" xfId="1272" xr:uid="{00000000-0005-0000-0000-0000C8040000}"/>
    <cellStyle name="_Sheet1_ASIAPnLRisk_NEW VERSION_PPL" xfId="1273" xr:uid="{00000000-0005-0000-0000-0000C9040000}"/>
    <cellStyle name="_Sheet1_Cash CDO &amp; AI" xfId="1274" xr:uid="{00000000-0005-0000-0000-0000CA040000}"/>
    <cellStyle name="_Sheet1_Cash CDO &amp; AI_2005_PRF breakdown_Asia Credit Market" xfId="1275" xr:uid="{00000000-0005-0000-0000-0000CB040000}"/>
    <cellStyle name="_Sheet1_Cash CDO &amp; AI_21 Dec CM Daily" xfId="1276" xr:uid="{00000000-0005-0000-0000-0000CC040000}"/>
    <cellStyle name="_Sheet1_Cash CDO &amp; AI_ASIA SUMMARY-CONSOL2" xfId="1277" xr:uid="{00000000-0005-0000-0000-0000CD040000}"/>
    <cellStyle name="_Sheet1_Cash CDO &amp; AI_ASIAPnLRisk" xfId="1278" xr:uid="{00000000-0005-0000-0000-0000CE040000}"/>
    <cellStyle name="_Sheet1_Cash CDO &amp; AI_ASIAPnLRisk_06_0131B" xfId="1279" xr:uid="{00000000-0005-0000-0000-0000CF040000}"/>
    <cellStyle name="_Sheet1_Cash CDO &amp; AI_ASIAPnLRisk_NEW VERSION_PPL" xfId="1280" xr:uid="{00000000-0005-0000-0000-0000D0040000}"/>
    <cellStyle name="_Sheet1_Cash CDO &amp; AI_Credit Sales" xfId="1281" xr:uid="{00000000-0005-0000-0000-0000D1040000}"/>
    <cellStyle name="_Sheet1_Cash CDO &amp; AI_Data" xfId="1282" xr:uid="{00000000-0005-0000-0000-0000D2040000}"/>
    <cellStyle name="_Sheet1_Cash CDO &amp; AI_SUMMARY" xfId="1283" xr:uid="{00000000-0005-0000-0000-0000D3040000}"/>
    <cellStyle name="_Sheet1_Cash IC Reductions 1H09 Expected vs Outlook 5.20.09" xfId="1284" xr:uid="{00000000-0005-0000-0000-0000D4040000}"/>
    <cellStyle name="_Sheet1_CORPORATE" xfId="1285" xr:uid="{00000000-0005-0000-0000-0000D5040000}"/>
    <cellStyle name="_Sheet1_Credit Sales" xfId="1286" xr:uid="{00000000-0005-0000-0000-0000D6040000}"/>
    <cellStyle name="_Sheet1_CREDIT SUMM" xfId="1287" xr:uid="{00000000-0005-0000-0000-0000D7040000}"/>
    <cellStyle name="_Sheet1_CREDIT SUMM_2005_PRF breakdown_Asia Credit Market" xfId="1288" xr:uid="{00000000-0005-0000-0000-0000D8040000}"/>
    <cellStyle name="_Sheet1_CREDIT SUMM_21 Dec CM Daily" xfId="1289" xr:uid="{00000000-0005-0000-0000-0000D9040000}"/>
    <cellStyle name="_Sheet1_CREDIT SUMM_ASIA SUMMARY-CONSOL2" xfId="1290" xr:uid="{00000000-0005-0000-0000-0000DA040000}"/>
    <cellStyle name="_Sheet1_CREDIT SUMM_ASIAPnLRisk" xfId="1291" xr:uid="{00000000-0005-0000-0000-0000DB040000}"/>
    <cellStyle name="_Sheet1_CREDIT SUMM_ASIAPnLRisk_06_0131B" xfId="1292" xr:uid="{00000000-0005-0000-0000-0000DC040000}"/>
    <cellStyle name="_Sheet1_CREDIT SUMM_ASIAPnLRisk_NEW VERSION_PPL" xfId="1293" xr:uid="{00000000-0005-0000-0000-0000DD040000}"/>
    <cellStyle name="_Sheet1_CREDIT SUMM_Credit Sales" xfId="1294" xr:uid="{00000000-0005-0000-0000-0000DE040000}"/>
    <cellStyle name="_Sheet1_CREDIT SUMM_Data" xfId="1295" xr:uid="{00000000-0005-0000-0000-0000DF040000}"/>
    <cellStyle name="_Sheet1_CREDIT SUMM_SUMMARY" xfId="1296" xr:uid="{00000000-0005-0000-0000-0000E0040000}"/>
    <cellStyle name="_Sheet1_Data" xfId="1297" xr:uid="{00000000-0005-0000-0000-0000E1040000}"/>
    <cellStyle name="_Sheet1_Data_Summary" xfId="1298" xr:uid="{00000000-0005-0000-0000-0000E2040000}"/>
    <cellStyle name="_Sheet1_EMEA Emerging Market Plan 08 Templatev1.17" xfId="1299" xr:uid="{00000000-0005-0000-0000-0000E3040000}"/>
    <cellStyle name="_Sheet1_Energy~Softs" xfId="1300" xr:uid="{00000000-0005-0000-0000-0000E4040000}"/>
    <cellStyle name="_Sheet1_Exotics Pyramid" xfId="1301" xr:uid="{00000000-0005-0000-0000-0000E5040000}"/>
    <cellStyle name="_Sheet1_GCCG templates" xfId="1302" xr:uid="{00000000-0005-0000-0000-0000E6040000}"/>
    <cellStyle name="_Sheet1_Global Exotics" xfId="1303" xr:uid="{00000000-0005-0000-0000-0000E7040000}"/>
    <cellStyle name="_Sheet1_HC Tracking July 07" xfId="1304" xr:uid="{00000000-0005-0000-0000-0000E8040000}"/>
    <cellStyle name="_Sheet1_HK-PRC" xfId="1305" xr:uid="{00000000-0005-0000-0000-0000E9040000}"/>
    <cellStyle name="_Sheet1_HK-PRC_2005_PRF breakdown_Asia Credit Market" xfId="1306" xr:uid="{00000000-0005-0000-0000-0000EA040000}"/>
    <cellStyle name="_Sheet1_HK-PRC_21 Dec CM Daily" xfId="1307" xr:uid="{00000000-0005-0000-0000-0000EB040000}"/>
    <cellStyle name="_Sheet1_HK-PRC_ASIA SUMMARY-CONSOL2" xfId="1308" xr:uid="{00000000-0005-0000-0000-0000EC040000}"/>
    <cellStyle name="_Sheet1_HK-PRC_ASIAPnLRisk" xfId="1309" xr:uid="{00000000-0005-0000-0000-0000ED040000}"/>
    <cellStyle name="_Sheet1_HK-PRC_ASIAPnLRisk_06_0131B" xfId="1310" xr:uid="{00000000-0005-0000-0000-0000EE040000}"/>
    <cellStyle name="_Sheet1_HK-PRC_ASIAPnLRisk_NEW VERSION_PPL" xfId="1311" xr:uid="{00000000-0005-0000-0000-0000EF040000}"/>
    <cellStyle name="_Sheet1_HK-PRC_Credit Sales" xfId="1312" xr:uid="{00000000-0005-0000-0000-0000F0040000}"/>
    <cellStyle name="_Sheet1_HK-PRC_Data" xfId="1313" xr:uid="{00000000-0005-0000-0000-0000F1040000}"/>
    <cellStyle name="_Sheet1_HK-PRC_SUMMARY" xfId="1314" xr:uid="{00000000-0005-0000-0000-0000F2040000}"/>
    <cellStyle name="_Sheet1_IB Forecast 05.14.09 BD10 2Q" xfId="1315" xr:uid="{00000000-0005-0000-0000-0000F3040000}"/>
    <cellStyle name="_Sheet1_INT DEALLIST" xfId="1316" xr:uid="{00000000-0005-0000-0000-0000F4040000}"/>
    <cellStyle name="_Sheet1_INVESTORS " xfId="1317" xr:uid="{00000000-0005-0000-0000-0000F5040000}"/>
    <cellStyle name="_Sheet1_NewFormatP&amp;L" xfId="1318" xr:uid="{00000000-0005-0000-0000-0000F6040000}"/>
    <cellStyle name="_Sheet1_Recon tracking" xfId="1319" xr:uid="{00000000-0005-0000-0000-0000F7040000}"/>
    <cellStyle name="_Sheet1_Round 1 Summary FINAL 28 Sep" xfId="1320" xr:uid="{00000000-0005-0000-0000-0000F8040000}"/>
    <cellStyle name="_Sheet1_SGP" xfId="1321" xr:uid="{00000000-0005-0000-0000-0000F9040000}"/>
    <cellStyle name="_Sheet1_SGP_2005_PRF breakdown_Asia Credit Market" xfId="1322" xr:uid="{00000000-0005-0000-0000-0000FA040000}"/>
    <cellStyle name="_Sheet1_SGP_21 Dec CM Daily" xfId="1323" xr:uid="{00000000-0005-0000-0000-0000FB040000}"/>
    <cellStyle name="_Sheet1_SGP_ASIA SUMMARY-CONSOL2" xfId="1324" xr:uid="{00000000-0005-0000-0000-0000FC040000}"/>
    <cellStyle name="_Sheet1_SGP_ASIAPnLRisk" xfId="1325" xr:uid="{00000000-0005-0000-0000-0000FD040000}"/>
    <cellStyle name="_Sheet1_SGP_ASIAPnLRisk_06_0131B" xfId="1326" xr:uid="{00000000-0005-0000-0000-0000FE040000}"/>
    <cellStyle name="_Sheet1_SGP_ASIAPnLRisk_NEW VERSION_PPL" xfId="1327" xr:uid="{00000000-0005-0000-0000-0000FF040000}"/>
    <cellStyle name="_Sheet1_SGP_Credit Sales" xfId="1328" xr:uid="{00000000-0005-0000-0000-000000050000}"/>
    <cellStyle name="_Sheet1_SGP_Data" xfId="1329" xr:uid="{00000000-0005-0000-0000-000001050000}"/>
    <cellStyle name="_Sheet1_SGP_SUMMARY" xfId="1330" xr:uid="{00000000-0005-0000-0000-000002050000}"/>
    <cellStyle name="_Sheet1_Sheet2" xfId="1331" xr:uid="{00000000-0005-0000-0000-000003050000}"/>
    <cellStyle name="_Sheet1_SSG" xfId="1332" xr:uid="{00000000-0005-0000-0000-000004050000}"/>
    <cellStyle name="_Sheet1_SSG_2005_PRF breakdown_Asia Credit Market" xfId="1333" xr:uid="{00000000-0005-0000-0000-000005050000}"/>
    <cellStyle name="_Sheet1_SSG_21 Dec CM Daily" xfId="1334" xr:uid="{00000000-0005-0000-0000-000006050000}"/>
    <cellStyle name="_Sheet1_SSG_ASIA SUMMARY-CONSOL2" xfId="1335" xr:uid="{00000000-0005-0000-0000-000007050000}"/>
    <cellStyle name="_Sheet1_SSG_ASIAPnLRisk" xfId="1336" xr:uid="{00000000-0005-0000-0000-000008050000}"/>
    <cellStyle name="_Sheet1_SSG_ASIAPnLRisk_06_0131B" xfId="1337" xr:uid="{00000000-0005-0000-0000-000009050000}"/>
    <cellStyle name="_Sheet1_SSG_ASIAPnLRisk_NEW VERSION_PPL" xfId="1338" xr:uid="{00000000-0005-0000-0000-00000A050000}"/>
    <cellStyle name="_Sheet1_SSG_Credit Sales" xfId="1339" xr:uid="{00000000-0005-0000-0000-00000B050000}"/>
    <cellStyle name="_Sheet1_SSG_Data" xfId="1340" xr:uid="{00000000-0005-0000-0000-00000C050000}"/>
    <cellStyle name="_Sheet1_SSG_SUMMARY" xfId="1341" xr:uid="{00000000-0005-0000-0000-00000D050000}"/>
    <cellStyle name="_Sheet1_Staff Mapping" xfId="1342" xr:uid="{00000000-0005-0000-0000-00000E050000}"/>
    <cellStyle name="_Sheet1_Summary" xfId="1343" xr:uid="{00000000-0005-0000-0000-00000F050000}"/>
    <cellStyle name="_Sheet1_SUMMARY_1" xfId="1344" xr:uid="{00000000-0005-0000-0000-000010050000}"/>
    <cellStyle name="_Sheet18" xfId="1345" xr:uid="{00000000-0005-0000-0000-000011050000}"/>
    <cellStyle name="_Sheet2" xfId="1346" xr:uid="{00000000-0005-0000-0000-000012050000}"/>
    <cellStyle name="_Sheet2_~5254638" xfId="1347" xr:uid="{00000000-0005-0000-0000-000013050000}"/>
    <cellStyle name="_Sheet2_1" xfId="1348" xr:uid="{00000000-0005-0000-0000-000014050000}"/>
    <cellStyle name="_Sheet2_2005_PRF breakdown_Asia Credit Market" xfId="1349" xr:uid="{00000000-0005-0000-0000-000015050000}"/>
    <cellStyle name="_Sheet2_2007 Commodities PassII v10 112106" xfId="1350" xr:uid="{00000000-0005-0000-0000-000016050000}"/>
    <cellStyle name="_Sheet2_2007 Commodities PassII v8 112006 S&amp;G Inv" xfId="1351" xr:uid="{00000000-0005-0000-0000-000017050000}"/>
    <cellStyle name="_Sheet2_2007 Commodities Revised v3" xfId="1352" xr:uid="{00000000-0005-0000-0000-000018050000}"/>
    <cellStyle name="_Sheet2_2007 Currency PassII V10 112006" xfId="1353" xr:uid="{00000000-0005-0000-0000-000019050000}"/>
    <cellStyle name="_Sheet2_2007 Currency PassII V11 112006 S&amp;G Inv" xfId="1354" xr:uid="{00000000-0005-0000-0000-00001A050000}"/>
    <cellStyle name="_Sheet2_2007 Currency PassII V12 112106" xfId="1355" xr:uid="{00000000-0005-0000-0000-00001B050000}"/>
    <cellStyle name="_Sheet2_2007 Currency Revised v3" xfId="1356" xr:uid="{00000000-0005-0000-0000-00001C050000}"/>
    <cellStyle name="_Sheet2_2008 Budget Templates - 8-28-07" xfId="1357" xr:uid="{00000000-0005-0000-0000-00001D050000}"/>
    <cellStyle name="_Sheet2_2008 Budget Templates 8-30-07" xfId="1358" xr:uid="{00000000-0005-0000-0000-00001E050000}"/>
    <cellStyle name="_Sheet2_2008 Budget Templates 8-30-07 Asia EM" xfId="1359" xr:uid="{00000000-0005-0000-0000-00001F050000}"/>
    <cellStyle name="_Sheet2_2008 HC Baseline - Energy" xfId="1360" xr:uid="{00000000-0005-0000-0000-000020050000}"/>
    <cellStyle name="_Sheet2_2009 budget balance sheet &amp; capital v3" xfId="1361" xr:uid="{00000000-0005-0000-0000-000021050000}"/>
    <cellStyle name="_Sheet2_21 Dec CM Daily" xfId="1362" xr:uid="{00000000-0005-0000-0000-000022050000}"/>
    <cellStyle name="_Sheet2_Americas Emerging Markets Plan 08 Template v1.17" xfId="1363" xr:uid="{00000000-0005-0000-0000-000023050000}"/>
    <cellStyle name="_Sheet2_ASIA Emerging Market Plan 08 Templatev1.1" xfId="1364" xr:uid="{00000000-0005-0000-0000-000024050000}"/>
    <cellStyle name="_Sheet2_ASIA SUMMARY-CONSOL2" xfId="1365" xr:uid="{00000000-0005-0000-0000-000025050000}"/>
    <cellStyle name="_Sheet2_ASIAPnLRisk" xfId="1366" xr:uid="{00000000-0005-0000-0000-000026050000}"/>
    <cellStyle name="_Sheet2_ASIAPnLRisk_06_0131B" xfId="1367" xr:uid="{00000000-0005-0000-0000-000027050000}"/>
    <cellStyle name="_Sheet2_ASIAPnLRisk_NEW VERSION_PPL" xfId="1368" xr:uid="{00000000-0005-0000-0000-000028050000}"/>
    <cellStyle name="_Sheet2_BS" xfId="1369" xr:uid="{00000000-0005-0000-0000-000029050000}"/>
    <cellStyle name="_Sheet2_BS compliance" xfId="1370" xr:uid="{00000000-0005-0000-0000-00002A050000}"/>
    <cellStyle name="_Sheet2_Cash CDO &amp; AI" xfId="1371" xr:uid="{00000000-0005-0000-0000-00002B050000}"/>
    <cellStyle name="_Sheet2_Cash CDO &amp; AI_2005_PRF breakdown_Asia Credit Market" xfId="1372" xr:uid="{00000000-0005-0000-0000-00002C050000}"/>
    <cellStyle name="_Sheet2_Cash CDO &amp; AI_21 Dec CM Daily" xfId="1373" xr:uid="{00000000-0005-0000-0000-00002D050000}"/>
    <cellStyle name="_Sheet2_Cash CDO &amp; AI_ASIA SUMMARY-CONSOL2" xfId="1374" xr:uid="{00000000-0005-0000-0000-00002E050000}"/>
    <cellStyle name="_Sheet2_Cash CDO &amp; AI_ASIAPnLRisk" xfId="1375" xr:uid="{00000000-0005-0000-0000-00002F050000}"/>
    <cellStyle name="_Sheet2_Cash CDO &amp; AI_ASIAPnLRisk_06_0131B" xfId="1376" xr:uid="{00000000-0005-0000-0000-000030050000}"/>
    <cellStyle name="_Sheet2_Cash CDO &amp; AI_ASIAPnLRisk_NEW VERSION_PPL" xfId="1377" xr:uid="{00000000-0005-0000-0000-000031050000}"/>
    <cellStyle name="_Sheet2_Cash CDO &amp; AI_Credit Sales" xfId="1378" xr:uid="{00000000-0005-0000-0000-000032050000}"/>
    <cellStyle name="_Sheet2_Cash CDO &amp; AI_Data" xfId="1379" xr:uid="{00000000-0005-0000-0000-000033050000}"/>
    <cellStyle name="_Sheet2_Cash CDO &amp; AI_SUMMARY" xfId="1380" xr:uid="{00000000-0005-0000-0000-000034050000}"/>
    <cellStyle name="_Sheet2_Corp IC Page for Q1 Outlook v2" xfId="1381" xr:uid="{00000000-0005-0000-0000-000035050000}"/>
    <cellStyle name="_Sheet2_CORPORATE" xfId="1382" xr:uid="{00000000-0005-0000-0000-000036050000}"/>
    <cellStyle name="_Sheet2_Credit Sales" xfId="1383" xr:uid="{00000000-0005-0000-0000-000037050000}"/>
    <cellStyle name="_Sheet2_CREDIT SUMM" xfId="1384" xr:uid="{00000000-0005-0000-0000-000038050000}"/>
    <cellStyle name="_Sheet2_CREDIT SUMM_2005_PRF breakdown_Asia Credit Market" xfId="1385" xr:uid="{00000000-0005-0000-0000-000039050000}"/>
    <cellStyle name="_Sheet2_CREDIT SUMM_21 Dec CM Daily" xfId="1386" xr:uid="{00000000-0005-0000-0000-00003A050000}"/>
    <cellStyle name="_Sheet2_CREDIT SUMM_ASIA SUMMARY-CONSOL2" xfId="1387" xr:uid="{00000000-0005-0000-0000-00003B050000}"/>
    <cellStyle name="_Sheet2_CREDIT SUMM_ASIAPnLRisk" xfId="1388" xr:uid="{00000000-0005-0000-0000-00003C050000}"/>
    <cellStyle name="_Sheet2_CREDIT SUMM_ASIAPnLRisk_06_0131B" xfId="1389" xr:uid="{00000000-0005-0000-0000-00003D050000}"/>
    <cellStyle name="_Sheet2_CREDIT SUMM_ASIAPnLRisk_NEW VERSION_PPL" xfId="1390" xr:uid="{00000000-0005-0000-0000-00003E050000}"/>
    <cellStyle name="_Sheet2_CREDIT SUMM_Credit Sales" xfId="1391" xr:uid="{00000000-0005-0000-0000-00003F050000}"/>
    <cellStyle name="_Sheet2_CREDIT SUMM_Data" xfId="1392" xr:uid="{00000000-0005-0000-0000-000040050000}"/>
    <cellStyle name="_Sheet2_CREDIT SUMM_SUMMARY" xfId="1393" xr:uid="{00000000-0005-0000-0000-000041050000}"/>
    <cellStyle name="_Sheet2_Data" xfId="1394" xr:uid="{00000000-0005-0000-0000-000042050000}"/>
    <cellStyle name="_Sheet2_Don-Marie 9-26-07 v6(CM)" xfId="1395" xr:uid="{00000000-0005-0000-0000-000043050000}"/>
    <cellStyle name="_Sheet2_EMEA Emerging Market Plan 08 Templatev1.17" xfId="1396" xr:uid="{00000000-0005-0000-0000-000044050000}"/>
    <cellStyle name="_Sheet2_GCCG templates" xfId="1397" xr:uid="{00000000-0005-0000-0000-000045050000}"/>
    <cellStyle name="_Sheet2_GEM Plan 08- Investment - Productivityv 0.08" xfId="1398" xr:uid="{00000000-0005-0000-0000-000046050000}"/>
    <cellStyle name="_Sheet2_HC Tracking July 07" xfId="1399" xr:uid="{00000000-0005-0000-0000-000047050000}"/>
    <cellStyle name="_Sheet2_HK-PRC" xfId="1400" xr:uid="{00000000-0005-0000-0000-000048050000}"/>
    <cellStyle name="_Sheet2_HK-PRC_2005_PRF breakdown_Asia Credit Market" xfId="1401" xr:uid="{00000000-0005-0000-0000-000049050000}"/>
    <cellStyle name="_Sheet2_HK-PRC_21 Dec CM Daily" xfId="1402" xr:uid="{00000000-0005-0000-0000-00004A050000}"/>
    <cellStyle name="_Sheet2_HK-PRC_ASIA SUMMARY-CONSOL2" xfId="1403" xr:uid="{00000000-0005-0000-0000-00004B050000}"/>
    <cellStyle name="_Sheet2_HK-PRC_ASIAPnLRisk" xfId="1404" xr:uid="{00000000-0005-0000-0000-00004C050000}"/>
    <cellStyle name="_Sheet2_HK-PRC_ASIAPnLRisk_06_0131B" xfId="1405" xr:uid="{00000000-0005-0000-0000-00004D050000}"/>
    <cellStyle name="_Sheet2_HK-PRC_ASIAPnLRisk_NEW VERSION_PPL" xfId="1406" xr:uid="{00000000-0005-0000-0000-00004E050000}"/>
    <cellStyle name="_Sheet2_HK-PRC_Credit Sales" xfId="1407" xr:uid="{00000000-0005-0000-0000-00004F050000}"/>
    <cellStyle name="_Sheet2_HK-PRC_Data" xfId="1408" xr:uid="{00000000-0005-0000-0000-000050050000}"/>
    <cellStyle name="_Sheet2_HK-PRC_SUMMARY" xfId="1409" xr:uid="{00000000-0005-0000-0000-000051050000}"/>
    <cellStyle name="_Sheet2_INT DEALLIST" xfId="1410" xr:uid="{00000000-0005-0000-0000-000052050000}"/>
    <cellStyle name="_Sheet2_INVESTORS " xfId="1411" xr:uid="{00000000-0005-0000-0000-000053050000}"/>
    <cellStyle name="_Sheet2_Q1 IC - Tracker Update" xfId="1412" xr:uid="{00000000-0005-0000-0000-000054050000}"/>
    <cellStyle name="_Sheet2_Recon tracking" xfId="1413" xr:uid="{00000000-0005-0000-0000-000055050000}"/>
    <cellStyle name="_Sheet2_SGP" xfId="1414" xr:uid="{00000000-0005-0000-0000-000056050000}"/>
    <cellStyle name="_Sheet2_SGP_2005_PRF breakdown_Asia Credit Market" xfId="1415" xr:uid="{00000000-0005-0000-0000-000057050000}"/>
    <cellStyle name="_Sheet2_SGP_21 Dec CM Daily" xfId="1416" xr:uid="{00000000-0005-0000-0000-000058050000}"/>
    <cellStyle name="_Sheet2_SGP_ASIA SUMMARY-CONSOL2" xfId="1417" xr:uid="{00000000-0005-0000-0000-000059050000}"/>
    <cellStyle name="_Sheet2_SGP_ASIAPnLRisk" xfId="1418" xr:uid="{00000000-0005-0000-0000-00005A050000}"/>
    <cellStyle name="_Sheet2_SGP_ASIAPnLRisk_06_0131B" xfId="1419" xr:uid="{00000000-0005-0000-0000-00005B050000}"/>
    <cellStyle name="_Sheet2_SGP_ASIAPnLRisk_NEW VERSION_PPL" xfId="1420" xr:uid="{00000000-0005-0000-0000-00005C050000}"/>
    <cellStyle name="_Sheet2_SGP_Credit Sales" xfId="1421" xr:uid="{00000000-0005-0000-0000-00005D050000}"/>
    <cellStyle name="_Sheet2_SGP_Data" xfId="1422" xr:uid="{00000000-0005-0000-0000-00005E050000}"/>
    <cellStyle name="_Sheet2_SGP_SUMMARY" xfId="1423" xr:uid="{00000000-0005-0000-0000-00005F050000}"/>
    <cellStyle name="_Sheet2_Sheet1" xfId="1424" xr:uid="{00000000-0005-0000-0000-000060050000}"/>
    <cellStyle name="_Sheet2_SSG" xfId="1425" xr:uid="{00000000-0005-0000-0000-000061050000}"/>
    <cellStyle name="_Sheet2_SSG_2005_PRF breakdown_Asia Credit Market" xfId="1426" xr:uid="{00000000-0005-0000-0000-000062050000}"/>
    <cellStyle name="_Sheet2_SSG_21 Dec CM Daily" xfId="1427" xr:uid="{00000000-0005-0000-0000-000063050000}"/>
    <cellStyle name="_Sheet2_SSG_ASIA SUMMARY-CONSOL2" xfId="1428" xr:uid="{00000000-0005-0000-0000-000064050000}"/>
    <cellStyle name="_Sheet2_SSG_ASIAPnLRisk" xfId="1429" xr:uid="{00000000-0005-0000-0000-000065050000}"/>
    <cellStyle name="_Sheet2_SSG_ASIAPnLRisk_06_0131B" xfId="1430" xr:uid="{00000000-0005-0000-0000-000066050000}"/>
    <cellStyle name="_Sheet2_SSG_ASIAPnLRisk_NEW VERSION_PPL" xfId="1431" xr:uid="{00000000-0005-0000-0000-000067050000}"/>
    <cellStyle name="_Sheet2_SSG_Credit Sales" xfId="1432" xr:uid="{00000000-0005-0000-0000-000068050000}"/>
    <cellStyle name="_Sheet2_SSG_Data" xfId="1433" xr:uid="{00000000-0005-0000-0000-000069050000}"/>
    <cellStyle name="_Sheet2_SSG_SUMMARY" xfId="1434" xr:uid="{00000000-0005-0000-0000-00006A050000}"/>
    <cellStyle name="_Sheet2_Staff Mapping" xfId="1435" xr:uid="{00000000-0005-0000-0000-00006B050000}"/>
    <cellStyle name="_Sheet2_Summary" xfId="1436" xr:uid="{00000000-0005-0000-0000-00006C050000}"/>
    <cellStyle name="_Sheet3" xfId="1437" xr:uid="{00000000-0005-0000-0000-00006D050000}"/>
    <cellStyle name="_Sheet3_2005_PRF breakdown_Asia Credit Market" xfId="1438" xr:uid="{00000000-0005-0000-0000-00006E050000}"/>
    <cellStyle name="_Sheet3_21 Dec CM Daily" xfId="1439" xr:uid="{00000000-0005-0000-0000-00006F050000}"/>
    <cellStyle name="_Sheet3_ASIA SUMMARY-CONSOL2" xfId="1440" xr:uid="{00000000-0005-0000-0000-000070050000}"/>
    <cellStyle name="_Sheet3_ASIAPnLRisk" xfId="1441" xr:uid="{00000000-0005-0000-0000-000071050000}"/>
    <cellStyle name="_Sheet3_ASIAPnLRisk_06_0131B" xfId="1442" xr:uid="{00000000-0005-0000-0000-000072050000}"/>
    <cellStyle name="_Sheet3_ASIAPnLRisk_NEW VERSION_PPL" xfId="1443" xr:uid="{00000000-0005-0000-0000-000073050000}"/>
    <cellStyle name="_Sheet3_Cash CDO &amp; AI" xfId="1444" xr:uid="{00000000-0005-0000-0000-000074050000}"/>
    <cellStyle name="_Sheet3_Cash CDO &amp; AI_2005_PRF breakdown_Asia Credit Market" xfId="1445" xr:uid="{00000000-0005-0000-0000-000075050000}"/>
    <cellStyle name="_Sheet3_Cash CDO &amp; AI_21 Dec CM Daily" xfId="1446" xr:uid="{00000000-0005-0000-0000-000076050000}"/>
    <cellStyle name="_Sheet3_Cash CDO &amp; AI_ASIA SUMMARY-CONSOL2" xfId="1447" xr:uid="{00000000-0005-0000-0000-000077050000}"/>
    <cellStyle name="_Sheet3_Cash CDO &amp; AI_ASIAPnLRisk" xfId="1448" xr:uid="{00000000-0005-0000-0000-000078050000}"/>
    <cellStyle name="_Sheet3_Cash CDO &amp; AI_ASIAPnLRisk_06_0131B" xfId="1449" xr:uid="{00000000-0005-0000-0000-000079050000}"/>
    <cellStyle name="_Sheet3_Cash CDO &amp; AI_ASIAPnLRisk_NEW VERSION_PPL" xfId="1450" xr:uid="{00000000-0005-0000-0000-00007A050000}"/>
    <cellStyle name="_Sheet3_Cash CDO &amp; AI_Credit Sales" xfId="1451" xr:uid="{00000000-0005-0000-0000-00007B050000}"/>
    <cellStyle name="_Sheet3_Cash CDO &amp; AI_Data" xfId="1452" xr:uid="{00000000-0005-0000-0000-00007C050000}"/>
    <cellStyle name="_Sheet3_Cash CDO &amp; AI_SUMMARY" xfId="1453" xr:uid="{00000000-0005-0000-0000-00007D050000}"/>
    <cellStyle name="_Sheet3_CORPORATE" xfId="1454" xr:uid="{00000000-0005-0000-0000-00007E050000}"/>
    <cellStyle name="_Sheet3_Credit Sales" xfId="1455" xr:uid="{00000000-0005-0000-0000-00007F050000}"/>
    <cellStyle name="_Sheet3_CREDIT SUMM" xfId="1456" xr:uid="{00000000-0005-0000-0000-000080050000}"/>
    <cellStyle name="_Sheet3_CREDIT SUMM_2005_PRF breakdown_Asia Credit Market" xfId="1457" xr:uid="{00000000-0005-0000-0000-000081050000}"/>
    <cellStyle name="_Sheet3_CREDIT SUMM_21 Dec CM Daily" xfId="1458" xr:uid="{00000000-0005-0000-0000-000082050000}"/>
    <cellStyle name="_Sheet3_CREDIT SUMM_ASIA SUMMARY-CONSOL2" xfId="1459" xr:uid="{00000000-0005-0000-0000-000083050000}"/>
    <cellStyle name="_Sheet3_CREDIT SUMM_ASIAPnLRisk" xfId="1460" xr:uid="{00000000-0005-0000-0000-000084050000}"/>
    <cellStyle name="_Sheet3_CREDIT SUMM_ASIAPnLRisk_06_0131B" xfId="1461" xr:uid="{00000000-0005-0000-0000-000085050000}"/>
    <cellStyle name="_Sheet3_CREDIT SUMM_ASIAPnLRisk_NEW VERSION_PPL" xfId="1462" xr:uid="{00000000-0005-0000-0000-000086050000}"/>
    <cellStyle name="_Sheet3_CREDIT SUMM_Credit Sales" xfId="1463" xr:uid="{00000000-0005-0000-0000-000087050000}"/>
    <cellStyle name="_Sheet3_CREDIT SUMM_Data" xfId="1464" xr:uid="{00000000-0005-0000-0000-000088050000}"/>
    <cellStyle name="_Sheet3_CREDIT SUMM_SUMMARY" xfId="1465" xr:uid="{00000000-0005-0000-0000-000089050000}"/>
    <cellStyle name="_Sheet3_Data" xfId="1466" xr:uid="{00000000-0005-0000-0000-00008A050000}"/>
    <cellStyle name="_Sheet3_HK-PRC" xfId="1467" xr:uid="{00000000-0005-0000-0000-00008B050000}"/>
    <cellStyle name="_Sheet3_HK-PRC_2005_PRF breakdown_Asia Credit Market" xfId="1468" xr:uid="{00000000-0005-0000-0000-00008C050000}"/>
    <cellStyle name="_Sheet3_HK-PRC_21 Dec CM Daily" xfId="1469" xr:uid="{00000000-0005-0000-0000-00008D050000}"/>
    <cellStyle name="_Sheet3_HK-PRC_ASIA SUMMARY-CONSOL2" xfId="1470" xr:uid="{00000000-0005-0000-0000-00008E050000}"/>
    <cellStyle name="_Sheet3_HK-PRC_ASIAPnLRisk" xfId="1471" xr:uid="{00000000-0005-0000-0000-00008F050000}"/>
    <cellStyle name="_Sheet3_HK-PRC_ASIAPnLRisk_06_0131B" xfId="1472" xr:uid="{00000000-0005-0000-0000-000090050000}"/>
    <cellStyle name="_Sheet3_HK-PRC_ASIAPnLRisk_NEW VERSION_PPL" xfId="1473" xr:uid="{00000000-0005-0000-0000-000091050000}"/>
    <cellStyle name="_Sheet3_HK-PRC_Credit Sales" xfId="1474" xr:uid="{00000000-0005-0000-0000-000092050000}"/>
    <cellStyle name="_Sheet3_HK-PRC_Data" xfId="1475" xr:uid="{00000000-0005-0000-0000-000093050000}"/>
    <cellStyle name="_Sheet3_HK-PRC_SUMMARY" xfId="1476" xr:uid="{00000000-0005-0000-0000-000094050000}"/>
    <cellStyle name="_Sheet3_INT DEALLIST" xfId="1477" xr:uid="{00000000-0005-0000-0000-000095050000}"/>
    <cellStyle name="_Sheet3_INVESTORS " xfId="1478" xr:uid="{00000000-0005-0000-0000-000096050000}"/>
    <cellStyle name="_Sheet3_Recon tracking" xfId="1479" xr:uid="{00000000-0005-0000-0000-000097050000}"/>
    <cellStyle name="_Sheet3_SGP" xfId="1480" xr:uid="{00000000-0005-0000-0000-000098050000}"/>
    <cellStyle name="_Sheet3_SGP_2005_PRF breakdown_Asia Credit Market" xfId="1481" xr:uid="{00000000-0005-0000-0000-000099050000}"/>
    <cellStyle name="_Sheet3_SGP_21 Dec CM Daily" xfId="1482" xr:uid="{00000000-0005-0000-0000-00009A050000}"/>
    <cellStyle name="_Sheet3_SGP_ASIA SUMMARY-CONSOL2" xfId="1483" xr:uid="{00000000-0005-0000-0000-00009B050000}"/>
    <cellStyle name="_Sheet3_SGP_ASIAPnLRisk" xfId="1484" xr:uid="{00000000-0005-0000-0000-00009C050000}"/>
    <cellStyle name="_Sheet3_SGP_ASIAPnLRisk_06_0131B" xfId="1485" xr:uid="{00000000-0005-0000-0000-00009D050000}"/>
    <cellStyle name="_Sheet3_SGP_ASIAPnLRisk_NEW VERSION_PPL" xfId="1486" xr:uid="{00000000-0005-0000-0000-00009E050000}"/>
    <cellStyle name="_Sheet3_SGP_Credit Sales" xfId="1487" xr:uid="{00000000-0005-0000-0000-00009F050000}"/>
    <cellStyle name="_Sheet3_SGP_Data" xfId="1488" xr:uid="{00000000-0005-0000-0000-0000A0050000}"/>
    <cellStyle name="_Sheet3_SGP_SUMMARY" xfId="1489" xr:uid="{00000000-0005-0000-0000-0000A1050000}"/>
    <cellStyle name="_Sheet3_SSG" xfId="1490" xr:uid="{00000000-0005-0000-0000-0000A2050000}"/>
    <cellStyle name="_Sheet3_SSG_2005_PRF breakdown_Asia Credit Market" xfId="1491" xr:uid="{00000000-0005-0000-0000-0000A3050000}"/>
    <cellStyle name="_Sheet3_SSG_21 Dec CM Daily" xfId="1492" xr:uid="{00000000-0005-0000-0000-0000A4050000}"/>
    <cellStyle name="_Sheet3_SSG_ASIA SUMMARY-CONSOL2" xfId="1493" xr:uid="{00000000-0005-0000-0000-0000A5050000}"/>
    <cellStyle name="_Sheet3_SSG_ASIAPnLRisk" xfId="1494" xr:uid="{00000000-0005-0000-0000-0000A6050000}"/>
    <cellStyle name="_Sheet3_SSG_ASIAPnLRisk_06_0131B" xfId="1495" xr:uid="{00000000-0005-0000-0000-0000A7050000}"/>
    <cellStyle name="_Sheet3_SSG_ASIAPnLRisk_NEW VERSION_PPL" xfId="1496" xr:uid="{00000000-0005-0000-0000-0000A8050000}"/>
    <cellStyle name="_Skybox" xfId="1497" xr:uid="{00000000-0005-0000-0000-0000A9050000}"/>
    <cellStyle name="_Skybox_Data" xfId="1498" xr:uid="{00000000-0005-0000-0000-0000AA050000}"/>
    <cellStyle name="_Skybox_Sheet1" xfId="1499" xr:uid="{00000000-0005-0000-0000-0000AB050000}"/>
    <cellStyle name="_Skybox_Stress" xfId="1500" xr:uid="{00000000-0005-0000-0000-0000AC050000}"/>
    <cellStyle name="_Skybox_Summary" xfId="1501" xr:uid="{00000000-0005-0000-0000-0000AD050000}"/>
    <cellStyle name="_SOX_Control_#8_Jan09_Data_as of 2-11-09 FV" xfId="1502" xr:uid="{00000000-0005-0000-0000-0000AE050000}"/>
    <cellStyle name="_Spot BS &amp; BII RWA" xfId="1503" xr:uid="{00000000-0005-0000-0000-0000AF050000}"/>
    <cellStyle name="_Spread Walk NEW_Budget ENT" xfId="1504" xr:uid="{00000000-0005-0000-0000-0000B0050000}"/>
    <cellStyle name="_SubHeading" xfId="1505" xr:uid="{00000000-0005-0000-0000-0000B1050000}"/>
    <cellStyle name="_SubHeading_management fee calc.071604" xfId="1506" xr:uid="{00000000-0005-0000-0000-0000B2050000}"/>
    <cellStyle name="_SubHeading_management fee calc.071604_Sheet1" xfId="1507" xr:uid="{00000000-0005-0000-0000-0000B3050000}"/>
    <cellStyle name="_SubHeading_management fee calc.071604_Stress" xfId="1508" xr:uid="{00000000-0005-0000-0000-0000B4050000}"/>
    <cellStyle name="_SubHeading_prestemp" xfId="1509" xr:uid="{00000000-0005-0000-0000-0000B5050000}"/>
    <cellStyle name="_SubHeading_prestemp_Sheet1" xfId="1510" xr:uid="{00000000-0005-0000-0000-0000B6050000}"/>
    <cellStyle name="_SubHeading_prestemp_Stress" xfId="1511" xr:uid="{00000000-0005-0000-0000-0000B7050000}"/>
    <cellStyle name="_Table" xfId="1512" xr:uid="{00000000-0005-0000-0000-0000B8050000}"/>
    <cellStyle name="_TableHead" xfId="1513" xr:uid="{00000000-0005-0000-0000-0000B9050000}"/>
    <cellStyle name="_TableRowHead" xfId="1514" xr:uid="{00000000-0005-0000-0000-0000BA050000}"/>
    <cellStyle name="_TableSuperHead" xfId="1515" xr:uid="{00000000-0005-0000-0000-0000BB050000}"/>
    <cellStyle name="_TSS Outlook 9-21-07" xfId="1516" xr:uid="{00000000-0005-0000-0000-0000BC050000}"/>
    <cellStyle name="_Update Assets Liquidity  Exits" xfId="1517" xr:uid="{00000000-0005-0000-0000-0000BD050000}"/>
    <cellStyle name="_Update Assets Liquidity  Exits_Sheet1" xfId="1518" xr:uid="{00000000-0005-0000-0000-0000BE050000}"/>
    <cellStyle name="_Update Assets Liquidity  Exits_Stress" xfId="1519" xr:uid="{00000000-0005-0000-0000-0000BF050000}"/>
    <cellStyle name="_Update Assets Liquidity  Exits_Summary" xfId="1520" xr:uid="{00000000-0005-0000-0000-0000C0050000}"/>
    <cellStyle name="_VIE MAC Matrix 020706_final" xfId="1521" xr:uid="{00000000-0005-0000-0000-0000C1050000}"/>
    <cellStyle name="_VIE MAC Matrix 030806" xfId="1522" xr:uid="{00000000-0005-0000-0000-0000C2050000}"/>
    <cellStyle name="_VIE MAC Matrix 041106 - Final" xfId="1523" xr:uid="{00000000-0005-0000-0000-0000C3050000}"/>
    <cellStyle name="_VIE MAC Matrix 091605" xfId="1524" xr:uid="{00000000-0005-0000-0000-0000C4050000}"/>
    <cellStyle name="_VIE MAC Matrix 11" xfId="1525" xr:uid="{00000000-0005-0000-0000-0000C5050000}"/>
    <cellStyle name="_VIE MAC Matrix 110805" xfId="1526" xr:uid="{00000000-0005-0000-0000-0000C6050000}"/>
    <cellStyle name="_Z_TrackingJan17" xfId="1527" xr:uid="{00000000-0005-0000-0000-0000C7050000}"/>
    <cellStyle name="_Z_Waterfall_RevenueType(forPPT Oct14)" xfId="1528" xr:uid="{00000000-0005-0000-0000-0000C8050000}"/>
    <cellStyle name="£ BP" xfId="1529" xr:uid="{00000000-0005-0000-0000-0000C9050000}"/>
    <cellStyle name="¥ JY" xfId="1530" xr:uid="{00000000-0005-0000-0000-0000CA050000}"/>
    <cellStyle name="€" xfId="1531" xr:uid="{00000000-0005-0000-0000-0000CB050000}"/>
    <cellStyle name="=C:\WINDOWS\SYSTEM32\COMMAND.COM" xfId="1532" xr:uid="{00000000-0005-0000-0000-0000CC050000}"/>
    <cellStyle name="=C:\WINNT\SYSTEM32\COMMAND.COM" xfId="1533" xr:uid="{00000000-0005-0000-0000-0000CD050000}"/>
    <cellStyle name="•W€_DATABASE" xfId="1534" xr:uid="{00000000-0005-0000-0000-0000CE050000}"/>
    <cellStyle name="_x000b_À_x000d__x0014__x0016_À_x0018__x001a_À_x001d_" xfId="1535" xr:uid="{00000000-0005-0000-0000-0000CF050000}"/>
    <cellStyle name="0" xfId="1536" xr:uid="{00000000-0005-0000-0000-0000D0050000}"/>
    <cellStyle name="0%" xfId="1537" xr:uid="{00000000-0005-0000-0000-0000D1050000}"/>
    <cellStyle name="0,0_x000a__x000a_NA_x000a__x000a_" xfId="1538" xr:uid="{00000000-0005-0000-0000-0000D2050000}"/>
    <cellStyle name="0,0_x000d__x000a_NA_x000d__x000a_" xfId="1539" xr:uid="{00000000-0005-0000-0000-0000D3050000}"/>
    <cellStyle name="0.0" xfId="1540" xr:uid="{00000000-0005-0000-0000-0000D4050000}"/>
    <cellStyle name="0.0%" xfId="1541" xr:uid="{00000000-0005-0000-0000-0000D5050000}"/>
    <cellStyle name="0.00" xfId="1542" xr:uid="{00000000-0005-0000-0000-0000D6050000}"/>
    <cellStyle name="0.00%" xfId="1543" xr:uid="{00000000-0005-0000-0000-0000D7050000}"/>
    <cellStyle name="0_Sheet1" xfId="1544" xr:uid="{00000000-0005-0000-0000-0000D8050000}"/>
    <cellStyle name="0_Stress" xfId="1545" xr:uid="{00000000-0005-0000-0000-0000D9050000}"/>
    <cellStyle name="0IsBlank" xfId="1546" xr:uid="{00000000-0005-0000-0000-0000DA050000}"/>
    <cellStyle name="1" xfId="1547" xr:uid="{00000000-0005-0000-0000-0000DB050000}"/>
    <cellStyle name="1_03 final prod models" xfId="1548" xr:uid="{00000000-0005-0000-0000-0000DC050000}"/>
    <cellStyle name="1_04 Prod Walk" xfId="1549" xr:uid="{00000000-0005-0000-0000-0000DD050000}"/>
    <cellStyle name="1_10-25-02 ISC Review" xfId="1550" xr:uid="{00000000-0005-0000-0000-0000DE050000}"/>
    <cellStyle name="1_2002 TOTAL" xfId="1551" xr:uid="{00000000-0005-0000-0000-0000DF050000}"/>
    <cellStyle name="1_2003 AOP DECK Ademco" xfId="1552" xr:uid="{00000000-0005-0000-0000-0000E0050000}"/>
    <cellStyle name="1_2003 AOP Deck ADI" xfId="1553" xr:uid="{00000000-0005-0000-0000-0000E1050000}"/>
    <cellStyle name="1_2003 AOP DECK Fire" xfId="1554" xr:uid="{00000000-0005-0000-0000-0000E2050000}"/>
    <cellStyle name="1_2003 AOP Deck International" xfId="1555" xr:uid="{00000000-0005-0000-0000-0000E3050000}"/>
    <cellStyle name="1_2003 Fire Productivity Deck_Gilligan Review" xfId="1556" xr:uid="{00000000-0005-0000-0000-0000E4050000}"/>
    <cellStyle name="1_2003 Productivity Model v33 (External)" xfId="1557" xr:uid="{00000000-0005-0000-0000-0000E5050000}"/>
    <cellStyle name="1_2003 SBE Productivity Decks" xfId="1558" xr:uid="{00000000-0005-0000-0000-0000E6050000}"/>
    <cellStyle name="1_2003 Template Values" xfId="1559" xr:uid="{00000000-0005-0000-0000-0000E7050000}"/>
    <cellStyle name="1_2003_02 Costs structure" xfId="1560" xr:uid="{00000000-0005-0000-0000-0000E8050000}"/>
    <cellStyle name="1_2004scorecardna66fcst" xfId="1561" xr:uid="{00000000-0005-0000-0000-0000E9050000}"/>
    <cellStyle name="1_2005scorecardwwaop" xfId="1562" xr:uid="{00000000-0005-0000-0000-0000EA050000}"/>
    <cellStyle name="1_America Debt Schedule v 21" xfId="1563" xr:uid="{00000000-0005-0000-0000-0000EB050000}"/>
    <cellStyle name="1_AOP 2003 Germany MASTER" xfId="1564" xr:uid="{00000000-0005-0000-0000-0000EC050000}"/>
    <cellStyle name="1_AOP Productivity" xfId="1565" xr:uid="{00000000-0005-0000-0000-0000ED050000}"/>
    <cellStyle name="1_AOP_present_draft1" xfId="1566" xr:uid="{00000000-0005-0000-0000-0000EE050000}"/>
    <cellStyle name="1_BASELINEEUROPE" xfId="1567" xr:uid="{00000000-0005-0000-0000-0000EF050000}"/>
    <cellStyle name="1_CopyOfOI Walks" xfId="1568" xr:uid="{00000000-0005-0000-0000-0000F0050000}"/>
    <cellStyle name="1_cost category exercise1" xfId="1569" xr:uid="{00000000-0005-0000-0000-0000F1050000}"/>
    <cellStyle name="1_Cost Structure AOP 2003 US$" xfId="1570" xr:uid="{00000000-0005-0000-0000-0000F2050000}"/>
    <cellStyle name="1_Cost Structure Benelux USD" xfId="1571" xr:uid="{00000000-0005-0000-0000-0000F3050000}"/>
    <cellStyle name="1_Cost Structure mars 03" xfId="1572" xr:uid="{00000000-0005-0000-0000-0000F4050000}"/>
    <cellStyle name="1_Cost Structure Template v" xfId="1573" xr:uid="{00000000-0005-0000-0000-0000F5050000}"/>
    <cellStyle name="1_Cost Structure Template_sz_2002_2003" xfId="1574" xr:uid="{00000000-0005-0000-0000-0000F6050000}"/>
    <cellStyle name="1_Cost Structure Template240303" xfId="1575" xr:uid="{00000000-0005-0000-0000-0000F7050000}"/>
    <cellStyle name="1_Cost Structure Templatev2" xfId="1576" xr:uid="{00000000-0005-0000-0000-0000F8050000}"/>
    <cellStyle name="1_Dec QOR_productivity chart" xfId="1577" xr:uid="{00000000-0005-0000-0000-0000F9050000}"/>
    <cellStyle name="1_December QOR_Dec11" xfId="1578" xr:uid="{00000000-0005-0000-0000-0000FA050000}"/>
    <cellStyle name="1_discretionary" xfId="1579" xr:uid="{00000000-0005-0000-0000-0000FB050000}"/>
    <cellStyle name="1_discretionary2" xfId="1580" xr:uid="{00000000-0005-0000-0000-0000FC050000}"/>
    <cellStyle name="1_Download 11-09 13h" xfId="1581" xr:uid="{00000000-0005-0000-0000-0000FD050000}"/>
    <cellStyle name="1_Dynamic Sales 2" xfId="1582" xr:uid="{00000000-0005-0000-0000-0000FE050000}"/>
    <cellStyle name="1_ESS COST CATEGORY UPDATED" xfId="1583" xr:uid="{00000000-0005-0000-0000-0000FF050000}"/>
    <cellStyle name="1_ETrade Model (Updated February 12, 2008) v.4" xfId="1584" xr:uid="{00000000-0005-0000-0000-000000060000}"/>
    <cellStyle name="1_February MOR_Feb11" xfId="1585" xr:uid="{00000000-0005-0000-0000-000001060000}"/>
    <cellStyle name="1_GD_Project_2001.10.22" xfId="1586" xr:uid="{00000000-0005-0000-0000-000002060000}"/>
    <cellStyle name="1_HFM Productivty Model.xls Chart 1" xfId="1587" xr:uid="{00000000-0005-0000-0000-000003060000}"/>
    <cellStyle name="1_HFM Productivty Model.xls Chart 3" xfId="1588" xr:uid="{00000000-0005-0000-0000-000004060000}"/>
    <cellStyle name="1_HFM Productivty Model.xls Chart 6" xfId="1589" xr:uid="{00000000-0005-0000-0000-000005060000}"/>
    <cellStyle name="1_HFM Productivty Model.xls Chart 8" xfId="1590" xr:uid="{00000000-0005-0000-0000-000006060000}"/>
    <cellStyle name="1_hfm200484estscorecardwwhps" xfId="1591" xr:uid="{00000000-0005-0000-0000-000007060000}"/>
    <cellStyle name="1_ISC Productivity Fact Sheet" xfId="1592" xr:uid="{00000000-0005-0000-0000-000008060000}"/>
    <cellStyle name="1_Jan'03 QOR_productivity chart" xfId="1593" xr:uid="{00000000-0005-0000-0000-000009060000}"/>
    <cellStyle name="1_MFR Regional Template - LAR - August" xfId="1594" xr:uid="{00000000-0005-0000-0000-00000A060000}"/>
    <cellStyle name="1_New Ops 2003.xls Chart 1" xfId="1595" xr:uid="{00000000-0005-0000-0000-00000B060000}"/>
    <cellStyle name="1_New Ops 2003.xls Chart 10" xfId="1596" xr:uid="{00000000-0005-0000-0000-00000C060000}"/>
    <cellStyle name="1_New Ops 2003.xls Chart 11" xfId="1597" xr:uid="{00000000-0005-0000-0000-00000D060000}"/>
    <cellStyle name="1_New Ops 2003.xls Chart 12" xfId="1598" xr:uid="{00000000-0005-0000-0000-00000E060000}"/>
    <cellStyle name="1_New Ops 2003.xls Chart 2" xfId="1599" xr:uid="{00000000-0005-0000-0000-00000F060000}"/>
    <cellStyle name="1_New Ops 2003.xls Chart 3" xfId="1600" xr:uid="{00000000-0005-0000-0000-000010060000}"/>
    <cellStyle name="1_New Ops 2003.xls Chart 4" xfId="1601" xr:uid="{00000000-0005-0000-0000-000011060000}"/>
    <cellStyle name="1_New Ops 2003.xls Chart 5" xfId="1602" xr:uid="{00000000-0005-0000-0000-000012060000}"/>
    <cellStyle name="1_New Ops 2003.xls Chart 6" xfId="1603" xr:uid="{00000000-0005-0000-0000-000013060000}"/>
    <cellStyle name="1_New Ops 2003.xls Chart 7" xfId="1604" xr:uid="{00000000-0005-0000-0000-000014060000}"/>
    <cellStyle name="1_New Ops 2003.xls Chart 8" xfId="1605" xr:uid="{00000000-0005-0000-0000-000015060000}"/>
    <cellStyle name="1_New Ops 2003.xls Chart 9" xfId="1606" xr:uid="{00000000-0005-0000-0000-000016060000}"/>
    <cellStyle name="1_orders" xfId="1607" xr:uid="{00000000-0005-0000-0000-000017060000}"/>
    <cellStyle name="1_pace" xfId="1608" xr:uid="{00000000-0005-0000-0000-000018060000}"/>
    <cellStyle name="1_planp&amp;l_revised_24.02" xfId="1609" xr:uid="{00000000-0005-0000-0000-000019060000}"/>
    <cellStyle name="1_Prod Calc SFS 15 July 2002" xfId="1610" xr:uid="{00000000-0005-0000-0000-00001A060000}"/>
    <cellStyle name="1_Prodcutivity Comparison_101002 Review" xfId="1611" xr:uid="{00000000-0005-0000-0000-00001B060000}"/>
    <cellStyle name="1_Productivity by Quarter Access" xfId="1612" xr:uid="{00000000-0005-0000-0000-00001C060000}"/>
    <cellStyle name="1_Productivity2003AOP" xfId="1613" xr:uid="{00000000-0005-0000-0000-00001D060000}"/>
    <cellStyle name="1_Q1 2003 Actions" xfId="1614" xr:uid="{00000000-0005-0000-0000-00001E060000}"/>
    <cellStyle name="1_Q3 and Q4 Estimate-IS Productivity Staff Mtg" xfId="1615" xr:uid="{00000000-0005-0000-0000-00001F060000}"/>
    <cellStyle name="1_qtr3ESTITALYaug" xfId="1616" xr:uid="{00000000-0005-0000-0000-000020060000}"/>
    <cellStyle name="1_revised Revenue Composition" xfId="1617" xr:uid="{00000000-0005-0000-0000-000021060000}"/>
    <cellStyle name="1_September Scorecard - deep dive" xfId="1618" xr:uid="{00000000-0005-0000-0000-000022060000}"/>
    <cellStyle name="1_SFS Project Deck 2003V1" xfId="1619" xr:uid="{00000000-0005-0000-0000-000023060000}"/>
    <cellStyle name="1_sheets_planrev1" xfId="1620" xr:uid="{00000000-0005-0000-0000-000024060000}"/>
    <cellStyle name="1_Training Plan v3" xfId="1621" xr:uid="{00000000-0005-0000-0000-000025060000}"/>
    <cellStyle name="1_Volume Review_11.09" xfId="1622" xr:uid="{00000000-0005-0000-0000-000026060000}"/>
    <cellStyle name="1_WCap" xfId="1623" xr:uid="{00000000-0005-0000-0000-000027060000}"/>
    <cellStyle name="1000s (0)" xfId="1624" xr:uid="{00000000-0005-0000-0000-000028060000}"/>
    <cellStyle name="10Q" xfId="1625" xr:uid="{00000000-0005-0000-0000-000029060000}"/>
    <cellStyle name="10Q 2" xfId="1626" xr:uid="{00000000-0005-0000-0000-00002A060000}"/>
    <cellStyle name="10Q 2 2" xfId="1627" xr:uid="{00000000-0005-0000-0000-00002B060000}"/>
    <cellStyle name="10Q 2 2 2" xfId="1628" xr:uid="{00000000-0005-0000-0000-00002C060000}"/>
    <cellStyle name="10Q 2 2 2 2" xfId="3965" xr:uid="{61457843-FAAE-4452-AF15-E7254BDF5AE8}"/>
    <cellStyle name="10Q 2 2 3" xfId="3964" xr:uid="{5598CB32-FCDF-4F3D-97E7-C08A8C18E33A}"/>
    <cellStyle name="10Q 2 3" xfId="1629" xr:uid="{00000000-0005-0000-0000-00002D060000}"/>
    <cellStyle name="10Q 2 3 2" xfId="1630" xr:uid="{00000000-0005-0000-0000-00002E060000}"/>
    <cellStyle name="10Q 2 3 2 2" xfId="3967" xr:uid="{DA39D5B4-92AF-490C-8C79-66D0FE22315C}"/>
    <cellStyle name="10Q 2 3 3" xfId="3966" xr:uid="{9D229296-314F-4E6D-941C-98E3C678AB56}"/>
    <cellStyle name="10Q 2 4" xfId="1631" xr:uid="{00000000-0005-0000-0000-00002F060000}"/>
    <cellStyle name="10Q 2 4 2" xfId="3968" xr:uid="{ED15527F-3754-4F43-9A51-6CE22CC73914}"/>
    <cellStyle name="10Q 2 5" xfId="3963" xr:uid="{6DD5BCD4-0DC5-4B5B-8AD8-EFEE2D1424AC}"/>
    <cellStyle name="10Q 3" xfId="1632" xr:uid="{00000000-0005-0000-0000-000030060000}"/>
    <cellStyle name="10Q 3 2" xfId="1633" xr:uid="{00000000-0005-0000-0000-000031060000}"/>
    <cellStyle name="10Q 3 2 2" xfId="3970" xr:uid="{8A92C855-1F01-4895-9FF1-0B7FC52BE2AD}"/>
    <cellStyle name="10Q 3 3" xfId="3969" xr:uid="{29A19260-EE4C-491F-9027-983054346576}"/>
    <cellStyle name="10Q 4" xfId="1634" xr:uid="{00000000-0005-0000-0000-000032060000}"/>
    <cellStyle name="10Q 4 2" xfId="1635" xr:uid="{00000000-0005-0000-0000-000033060000}"/>
    <cellStyle name="10Q 4 2 2" xfId="3972" xr:uid="{4AEAC9B3-8A68-4FB7-9AFC-073644BF8FBB}"/>
    <cellStyle name="10Q 4 3" xfId="3971" xr:uid="{B8F55F92-B60A-4B42-8893-766C7304F32D}"/>
    <cellStyle name="10Q 5" xfId="1636" xr:uid="{00000000-0005-0000-0000-000034060000}"/>
    <cellStyle name="10Q 5 2" xfId="1637" xr:uid="{00000000-0005-0000-0000-000035060000}"/>
    <cellStyle name="10Q 5 2 2" xfId="3974" xr:uid="{D739940D-9F2C-4142-89FD-02FA5C7675C4}"/>
    <cellStyle name="10Q 5 3" xfId="3973" xr:uid="{39751C6C-2BB3-44B5-BE9A-937DE9694B64}"/>
    <cellStyle name="10Q 6" xfId="1638" xr:uid="{00000000-0005-0000-0000-000036060000}"/>
    <cellStyle name="10Q 6 2" xfId="1639" xr:uid="{00000000-0005-0000-0000-000037060000}"/>
    <cellStyle name="10Q 6 2 2" xfId="3976" xr:uid="{985F22D2-C453-47C1-9F37-F2287E6C37DD}"/>
    <cellStyle name="10Q 6 3" xfId="3975" xr:uid="{36E8D3A5-427E-466A-ABB4-69C5AE8A1045}"/>
    <cellStyle name="10Q 7" xfId="1640" xr:uid="{00000000-0005-0000-0000-000038060000}"/>
    <cellStyle name="10Q 7 2" xfId="1641" xr:uid="{00000000-0005-0000-0000-000039060000}"/>
    <cellStyle name="10Q 7 2 2" xfId="3978" xr:uid="{172139DF-851F-494B-9CB4-6F1B69D1B510}"/>
    <cellStyle name="10Q 7 3" xfId="3977" xr:uid="{8A4C29E5-1BC0-497A-AC4C-D2FB65CF7259}"/>
    <cellStyle name="10Q 8" xfId="3962" xr:uid="{5398BC41-DE6D-401E-827B-A4D951A18E51}"/>
    <cellStyle name="2" xfId="1642" xr:uid="{00000000-0005-0000-0000-00003A060000}"/>
    <cellStyle name="2 2" xfId="1643" xr:uid="{00000000-0005-0000-0000-00003B060000}"/>
    <cellStyle name="2 2 2" xfId="1644" xr:uid="{00000000-0005-0000-0000-00003C060000}"/>
    <cellStyle name="2 2 2 2" xfId="1645" xr:uid="{00000000-0005-0000-0000-00003D060000}"/>
    <cellStyle name="2 2 3" xfId="1646" xr:uid="{00000000-0005-0000-0000-00003E060000}"/>
    <cellStyle name="2 2 3 2" xfId="1647" xr:uid="{00000000-0005-0000-0000-00003F060000}"/>
    <cellStyle name="2 2 4" xfId="1648" xr:uid="{00000000-0005-0000-0000-000040060000}"/>
    <cellStyle name="2 3" xfId="1649" xr:uid="{00000000-0005-0000-0000-000041060000}"/>
    <cellStyle name="2 3 2" xfId="1650" xr:uid="{00000000-0005-0000-0000-000042060000}"/>
    <cellStyle name="2 3 2 2" xfId="1651" xr:uid="{00000000-0005-0000-0000-000043060000}"/>
    <cellStyle name="2 3 3" xfId="1652" xr:uid="{00000000-0005-0000-0000-000044060000}"/>
    <cellStyle name="2 3 3 2" xfId="1653" xr:uid="{00000000-0005-0000-0000-000045060000}"/>
    <cellStyle name="2 3 4" xfId="1654" xr:uid="{00000000-0005-0000-0000-000046060000}"/>
    <cellStyle name="2 4" xfId="1655" xr:uid="{00000000-0005-0000-0000-000047060000}"/>
    <cellStyle name="2 4 2" xfId="1656" xr:uid="{00000000-0005-0000-0000-000048060000}"/>
    <cellStyle name="2 4 2 2" xfId="1657" xr:uid="{00000000-0005-0000-0000-000049060000}"/>
    <cellStyle name="2 4 3" xfId="1658" xr:uid="{00000000-0005-0000-0000-00004A060000}"/>
    <cellStyle name="2 4 3 2" xfId="1659" xr:uid="{00000000-0005-0000-0000-00004B060000}"/>
    <cellStyle name="2 4 4" xfId="1660" xr:uid="{00000000-0005-0000-0000-00004C060000}"/>
    <cellStyle name="2 5" xfId="1661" xr:uid="{00000000-0005-0000-0000-00004D060000}"/>
    <cellStyle name="2 5 2" xfId="1662" xr:uid="{00000000-0005-0000-0000-00004E060000}"/>
    <cellStyle name="2 6" xfId="1663" xr:uid="{00000000-0005-0000-0000-00004F060000}"/>
    <cellStyle name="2 6 2" xfId="1664" xr:uid="{00000000-0005-0000-0000-000050060000}"/>
    <cellStyle name="2 7" xfId="1665" xr:uid="{00000000-0005-0000-0000-000051060000}"/>
    <cellStyle name="2 8" xfId="1666" xr:uid="{00000000-0005-0000-0000-000052060000}"/>
    <cellStyle name="2 Decimal Places" xfId="1667" xr:uid="{00000000-0005-0000-0000-000053060000}"/>
    <cellStyle name="2_Sheet1" xfId="1668" xr:uid="{00000000-0005-0000-0000-000054060000}"/>
    <cellStyle name="2_Sheet1 2" xfId="1669" xr:uid="{00000000-0005-0000-0000-000055060000}"/>
    <cellStyle name="2_Sheet1 2 2" xfId="1670" xr:uid="{00000000-0005-0000-0000-000056060000}"/>
    <cellStyle name="2_Sheet1 2 2 2" xfId="1671" xr:uid="{00000000-0005-0000-0000-000057060000}"/>
    <cellStyle name="2_Sheet1 2 3" xfId="1672" xr:uid="{00000000-0005-0000-0000-000058060000}"/>
    <cellStyle name="2_Sheet1 2 3 2" xfId="1673" xr:uid="{00000000-0005-0000-0000-000059060000}"/>
    <cellStyle name="2_Sheet1 2 4" xfId="1674" xr:uid="{00000000-0005-0000-0000-00005A060000}"/>
    <cellStyle name="2_Sheet1 3" xfId="1675" xr:uid="{00000000-0005-0000-0000-00005B060000}"/>
    <cellStyle name="2_Sheet1 3 2" xfId="1676" xr:uid="{00000000-0005-0000-0000-00005C060000}"/>
    <cellStyle name="2_Sheet1 3 2 2" xfId="1677" xr:uid="{00000000-0005-0000-0000-00005D060000}"/>
    <cellStyle name="2_Sheet1 3 3" xfId="1678" xr:uid="{00000000-0005-0000-0000-00005E060000}"/>
    <cellStyle name="2_Sheet1 3 3 2" xfId="1679" xr:uid="{00000000-0005-0000-0000-00005F060000}"/>
    <cellStyle name="2_Sheet1 3 4" xfId="1680" xr:uid="{00000000-0005-0000-0000-000060060000}"/>
    <cellStyle name="2_Sheet1 4" xfId="1681" xr:uid="{00000000-0005-0000-0000-000061060000}"/>
    <cellStyle name="2_Sheet1 4 2" xfId="1682" xr:uid="{00000000-0005-0000-0000-000062060000}"/>
    <cellStyle name="2_Sheet1 4 2 2" xfId="1683" xr:uid="{00000000-0005-0000-0000-000063060000}"/>
    <cellStyle name="2_Sheet1 4 3" xfId="1684" xr:uid="{00000000-0005-0000-0000-000064060000}"/>
    <cellStyle name="2_Sheet1 4 3 2" xfId="1685" xr:uid="{00000000-0005-0000-0000-000065060000}"/>
    <cellStyle name="2_Sheet1 4 4" xfId="1686" xr:uid="{00000000-0005-0000-0000-000066060000}"/>
    <cellStyle name="2_Sheet1 5" xfId="1687" xr:uid="{00000000-0005-0000-0000-000067060000}"/>
    <cellStyle name="2_Sheet1 5 2" xfId="1688" xr:uid="{00000000-0005-0000-0000-000068060000}"/>
    <cellStyle name="2_Sheet1 6" xfId="1689" xr:uid="{00000000-0005-0000-0000-000069060000}"/>
    <cellStyle name="2_Sheet1 6 2" xfId="1690" xr:uid="{00000000-0005-0000-0000-00006A060000}"/>
    <cellStyle name="2_Sheet1 7" xfId="1691" xr:uid="{00000000-0005-0000-0000-00006B060000}"/>
    <cellStyle name="2_Sheet1 8" xfId="1692" xr:uid="{00000000-0005-0000-0000-00006C060000}"/>
    <cellStyle name="2_Stress" xfId="1693" xr:uid="{00000000-0005-0000-0000-00006D060000}"/>
    <cellStyle name="2_Stress 2" xfId="1694" xr:uid="{00000000-0005-0000-0000-00006E060000}"/>
    <cellStyle name="2_Stress 2 2" xfId="1695" xr:uid="{00000000-0005-0000-0000-00006F060000}"/>
    <cellStyle name="2_Stress 2 2 2" xfId="1696" xr:uid="{00000000-0005-0000-0000-000070060000}"/>
    <cellStyle name="2_Stress 2 3" xfId="1697" xr:uid="{00000000-0005-0000-0000-000071060000}"/>
    <cellStyle name="2_Stress 2 3 2" xfId="1698" xr:uid="{00000000-0005-0000-0000-000072060000}"/>
    <cellStyle name="2_Stress 2 4" xfId="1699" xr:uid="{00000000-0005-0000-0000-000073060000}"/>
    <cellStyle name="2_Stress 3" xfId="1700" xr:uid="{00000000-0005-0000-0000-000074060000}"/>
    <cellStyle name="2_Stress 3 2" xfId="1701" xr:uid="{00000000-0005-0000-0000-000075060000}"/>
    <cellStyle name="2_Stress 3 2 2" xfId="1702" xr:uid="{00000000-0005-0000-0000-000076060000}"/>
    <cellStyle name="2_Stress 3 3" xfId="1703" xr:uid="{00000000-0005-0000-0000-000077060000}"/>
    <cellStyle name="2_Stress 3 3 2" xfId="1704" xr:uid="{00000000-0005-0000-0000-000078060000}"/>
    <cellStyle name="2_Stress 3 4" xfId="1705" xr:uid="{00000000-0005-0000-0000-000079060000}"/>
    <cellStyle name="2_Stress 4" xfId="1706" xr:uid="{00000000-0005-0000-0000-00007A060000}"/>
    <cellStyle name="2_Stress 4 2" xfId="1707" xr:uid="{00000000-0005-0000-0000-00007B060000}"/>
    <cellStyle name="2_Stress 4 2 2" xfId="1708" xr:uid="{00000000-0005-0000-0000-00007C060000}"/>
    <cellStyle name="2_Stress 4 3" xfId="1709" xr:uid="{00000000-0005-0000-0000-00007D060000}"/>
    <cellStyle name="2_Stress 4 3 2" xfId="1710" xr:uid="{00000000-0005-0000-0000-00007E060000}"/>
    <cellStyle name="2_Stress 4 4" xfId="1711" xr:uid="{00000000-0005-0000-0000-00007F060000}"/>
    <cellStyle name="2_Stress 5" xfId="1712" xr:uid="{00000000-0005-0000-0000-000080060000}"/>
    <cellStyle name="2_Stress 5 2" xfId="1713" xr:uid="{00000000-0005-0000-0000-000081060000}"/>
    <cellStyle name="2_Stress 6" xfId="1714" xr:uid="{00000000-0005-0000-0000-000082060000}"/>
    <cellStyle name="2_Stress 6 2" xfId="1715" xr:uid="{00000000-0005-0000-0000-000083060000}"/>
    <cellStyle name="2_Stress 7" xfId="1716" xr:uid="{00000000-0005-0000-0000-000084060000}"/>
    <cellStyle name="2_Stress 8" xfId="1717" xr:uid="{00000000-0005-0000-0000-000085060000}"/>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3 V1.00 CORE IMAGE (5200MM3.100 08/01/97)_x000d__x000a__x000d__x000a_[windows]_x000d__x000a_;spooler=yes_x000d__x000a_load=nw" xfId="1718" xr:uid="{00000000-0005-0000-0000-00008C060000}"/>
    <cellStyle name="40% - Accent1" xfId="24" builtinId="31" customBuiltin="1"/>
    <cellStyle name="40% - Accent1 2" xfId="1719" xr:uid="{00000000-0005-0000-0000-00008E060000}"/>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572737" xfId="1720" xr:uid="{00000000-0005-0000-0000-000094060000}"/>
    <cellStyle name="60% - Accent1" xfId="25" builtinId="32" customBuiltin="1"/>
    <cellStyle name="60% - Accent1 2" xfId="1721" xr:uid="{00000000-0005-0000-0000-000096060000}"/>
    <cellStyle name="60% - Accent1 3" xfId="3956" xr:uid="{75891922-F4B5-4903-9DF1-8EDC9F8CEFEF}"/>
    <cellStyle name="60% - Accent2" xfId="29" builtinId="36" customBuiltin="1"/>
    <cellStyle name="60% - Accent2 2" xfId="3957" xr:uid="{D069BC09-24F6-45B7-9703-5B7206655DC4}"/>
    <cellStyle name="60% - Accent3" xfId="33" builtinId="40" customBuiltin="1"/>
    <cellStyle name="60% - Accent3 2" xfId="3958" xr:uid="{D1EC1741-E1D1-475A-BC37-E2201C659AC5}"/>
    <cellStyle name="60% - Accent4" xfId="37" builtinId="44" customBuiltin="1"/>
    <cellStyle name="60% - Accent4 2" xfId="3959" xr:uid="{A8CB3BDD-436A-4C54-938F-AE973EEC27DF}"/>
    <cellStyle name="60% - Accent5" xfId="41" builtinId="48" customBuiltin="1"/>
    <cellStyle name="60% - Accent5 2" xfId="3960" xr:uid="{B70BE0F0-5A97-4A1B-BA64-73D0C7823755}"/>
    <cellStyle name="60% - Accent6" xfId="45" builtinId="52" customBuiltin="1"/>
    <cellStyle name="60% - Accent6 2" xfId="3961" xr:uid="{6FB68F80-F80C-4C3D-9B4A-370CF5E54905}"/>
    <cellStyle name="752131" xfId="1722" xr:uid="{00000000-0005-0000-0000-00009C060000}"/>
    <cellStyle name="7978" xfId="1723" xr:uid="{00000000-0005-0000-0000-00009D060000}"/>
    <cellStyle name="7978 2" xfId="1724" xr:uid="{00000000-0005-0000-0000-00009E060000}"/>
    <cellStyle name="7978 3" xfId="1725" xr:uid="{00000000-0005-0000-0000-00009F060000}"/>
    <cellStyle name="7978 4" xfId="1726" xr:uid="{00000000-0005-0000-0000-0000A0060000}"/>
    <cellStyle name="7978 5" xfId="1727" xr:uid="{00000000-0005-0000-0000-0000A1060000}"/>
    <cellStyle name="85" xfId="1728" xr:uid="{00000000-0005-0000-0000-0000A2060000}"/>
    <cellStyle name="90" xfId="1729" xr:uid="{00000000-0005-0000-0000-0000A3060000}"/>
    <cellStyle name="A satisfied Microsoft Office user" xfId="1730" xr:uid="{00000000-0005-0000-0000-0000A4060000}"/>
    <cellStyle name="ac" xfId="1731" xr:uid="{00000000-0005-0000-0000-0000A5060000}"/>
    <cellStyle name="ac 2" xfId="1732" xr:uid="{00000000-0005-0000-0000-0000A6060000}"/>
    <cellStyle name="ac 2 2" xfId="1733" xr:uid="{00000000-0005-0000-0000-0000A7060000}"/>
    <cellStyle name="ac 2 2 2" xfId="1734" xr:uid="{00000000-0005-0000-0000-0000A8060000}"/>
    <cellStyle name="ac 2 2 2 2" xfId="3982" xr:uid="{A4BF44C9-6AAF-48D3-9E9C-9EC66B992076}"/>
    <cellStyle name="ac 2 2 3" xfId="3981" xr:uid="{E56BF024-FD97-46B5-9BBC-74C9CC313335}"/>
    <cellStyle name="ac 2 3" xfId="1735" xr:uid="{00000000-0005-0000-0000-0000A9060000}"/>
    <cellStyle name="ac 2 3 2" xfId="1736" xr:uid="{00000000-0005-0000-0000-0000AA060000}"/>
    <cellStyle name="ac 2 3 2 2" xfId="3984" xr:uid="{FAF724F9-BFA2-4E91-8F1B-DE88B811623D}"/>
    <cellStyle name="ac 2 3 3" xfId="3983" xr:uid="{4172D21D-2441-4624-B5AD-4751B285AB6C}"/>
    <cellStyle name="ac 2 4" xfId="1737" xr:uid="{00000000-0005-0000-0000-0000AB060000}"/>
    <cellStyle name="ac 2 4 2" xfId="3985" xr:uid="{DC73CDEE-7EAF-49B9-AD89-8D10C6886D7E}"/>
    <cellStyle name="ac 2 5" xfId="3980" xr:uid="{211D1093-F5B3-4B7E-8F91-3FEE90E26DF7}"/>
    <cellStyle name="ac 3" xfId="1738" xr:uid="{00000000-0005-0000-0000-0000AC060000}"/>
    <cellStyle name="ac 3 2" xfId="1739" xr:uid="{00000000-0005-0000-0000-0000AD060000}"/>
    <cellStyle name="ac 3 2 2" xfId="1740" xr:uid="{00000000-0005-0000-0000-0000AE060000}"/>
    <cellStyle name="ac 3 2 2 2" xfId="3988" xr:uid="{147835E8-A82F-43FE-AD64-84E8762A6C27}"/>
    <cellStyle name="ac 3 2 3" xfId="3987" xr:uid="{4D2A3A3C-6593-47A6-987F-9EA94E98EA48}"/>
    <cellStyle name="ac 3 3" xfId="1741" xr:uid="{00000000-0005-0000-0000-0000AF060000}"/>
    <cellStyle name="ac 3 3 2" xfId="1742" xr:uid="{00000000-0005-0000-0000-0000B0060000}"/>
    <cellStyle name="ac 3 3 2 2" xfId="3990" xr:uid="{42954926-6D02-4DCE-903A-D4A2EBBB818C}"/>
    <cellStyle name="ac 3 3 3" xfId="3989" xr:uid="{6E431183-D1F2-426E-9AD5-6E3492105F98}"/>
    <cellStyle name="ac 3 4" xfId="1743" xr:uid="{00000000-0005-0000-0000-0000B1060000}"/>
    <cellStyle name="ac 3 4 2" xfId="3991" xr:uid="{48EC095E-7221-4B93-A139-AA0E36C068B6}"/>
    <cellStyle name="ac 3 5" xfId="3986" xr:uid="{89D514F3-A14F-49AB-B7B0-ED2A513A6FAD}"/>
    <cellStyle name="ac 4" xfId="1744" xr:uid="{00000000-0005-0000-0000-0000B2060000}"/>
    <cellStyle name="ac 4 2" xfId="1745" xr:uid="{00000000-0005-0000-0000-0000B3060000}"/>
    <cellStyle name="ac 4 2 2" xfId="3993" xr:uid="{F77FBD83-4B8F-43A0-ADC6-7D7271483C64}"/>
    <cellStyle name="ac 4 3" xfId="3992" xr:uid="{EEB85662-CF29-4FB3-9097-120338884DF9}"/>
    <cellStyle name="ac 5" xfId="1746" xr:uid="{00000000-0005-0000-0000-0000B4060000}"/>
    <cellStyle name="ac 5 2" xfId="1747" xr:uid="{00000000-0005-0000-0000-0000B5060000}"/>
    <cellStyle name="ac 5 2 2" xfId="3995" xr:uid="{34AFBA02-3AF4-465C-B532-D6B5E64EF1CC}"/>
    <cellStyle name="ac 5 3" xfId="3994" xr:uid="{6988FE85-85D0-452E-87CE-9D4E3E401A98}"/>
    <cellStyle name="ac 6" xfId="1748" xr:uid="{00000000-0005-0000-0000-0000B6060000}"/>
    <cellStyle name="ac 6 2" xfId="1749" xr:uid="{00000000-0005-0000-0000-0000B7060000}"/>
    <cellStyle name="ac 6 2 2" xfId="3997" xr:uid="{7501048E-80E2-44CF-A778-47B344235905}"/>
    <cellStyle name="ac 6 3" xfId="3996" xr:uid="{A3637823-5064-483A-86FB-316B94704710}"/>
    <cellStyle name="ac 7" xfId="1750" xr:uid="{00000000-0005-0000-0000-0000B8060000}"/>
    <cellStyle name="ac 7 2" xfId="1751" xr:uid="{00000000-0005-0000-0000-0000B9060000}"/>
    <cellStyle name="ac 7 2 2" xfId="3999" xr:uid="{16CE9516-A243-4BD1-A628-84D72D378185}"/>
    <cellStyle name="ac 7 3" xfId="3998" xr:uid="{6DCE84CC-8157-42B7-BFD3-37B7EA634A76}"/>
    <cellStyle name="ac 8" xfId="1752" xr:uid="{00000000-0005-0000-0000-0000BA060000}"/>
    <cellStyle name="ac 8 2" xfId="1753" xr:uid="{00000000-0005-0000-0000-0000BB060000}"/>
    <cellStyle name="ac 8 2 2" xfId="4001" xr:uid="{ACBF2395-A229-4FBC-8533-F6B378DFEFAC}"/>
    <cellStyle name="ac 8 3" xfId="4000" xr:uid="{2EF139BE-4A93-4E81-9B6B-5148EF1CDA21}"/>
    <cellStyle name="ac 9" xfId="3979" xr:uid="{50F05920-20EA-4A3C-87A2-B78A2BFE7836}"/>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accounting" xfId="1754" xr:uid="{00000000-0005-0000-0000-0000C2060000}"/>
    <cellStyle name="accounting 10" xfId="1755" xr:uid="{00000000-0005-0000-0000-0000C3060000}"/>
    <cellStyle name="accounting 10 2" xfId="1756" xr:uid="{00000000-0005-0000-0000-0000C4060000}"/>
    <cellStyle name="accounting 10 2 2" xfId="4004" xr:uid="{542C7438-14DC-4C8D-BA18-FEAF1C421744}"/>
    <cellStyle name="accounting 10 3" xfId="4003" xr:uid="{AA831B6A-214C-415A-8493-B21E9C272319}"/>
    <cellStyle name="accounting 11" xfId="4002" xr:uid="{86AAB50A-2CEB-4970-8E31-E16D0B923A66}"/>
    <cellStyle name="accounting 2" xfId="1757" xr:uid="{00000000-0005-0000-0000-0000C5060000}"/>
    <cellStyle name="accounting 2 2" xfId="1758" xr:uid="{00000000-0005-0000-0000-0000C6060000}"/>
    <cellStyle name="accounting 2 2 2" xfId="1759" xr:uid="{00000000-0005-0000-0000-0000C7060000}"/>
    <cellStyle name="accounting 2 2 2 2" xfId="1760" xr:uid="{00000000-0005-0000-0000-0000C8060000}"/>
    <cellStyle name="accounting 2 2 2 2 2" xfId="4008" xr:uid="{C962C3FF-1E01-4B98-ACAA-200E3A3A25B1}"/>
    <cellStyle name="accounting 2 2 2 3" xfId="4007" xr:uid="{9F1C95B8-7A72-48FB-B159-E5B04AC8E139}"/>
    <cellStyle name="accounting 2 2 3" xfId="1761" xr:uid="{00000000-0005-0000-0000-0000C9060000}"/>
    <cellStyle name="accounting 2 2 3 2" xfId="1762" xr:uid="{00000000-0005-0000-0000-0000CA060000}"/>
    <cellStyle name="accounting 2 2 3 2 2" xfId="4010" xr:uid="{201E504D-C9A3-4BC2-9C26-A3F321C30D1F}"/>
    <cellStyle name="accounting 2 2 3 3" xfId="4009" xr:uid="{9A815CE8-4D22-4096-A23C-366E6F38D361}"/>
    <cellStyle name="accounting 2 2 4" xfId="1763" xr:uid="{00000000-0005-0000-0000-0000CB060000}"/>
    <cellStyle name="accounting 2 2 4 2" xfId="4011" xr:uid="{F5BFAD07-2CA7-44F4-8B71-297BF1F38A88}"/>
    <cellStyle name="accounting 2 2 5" xfId="4006" xr:uid="{09BE620C-982E-4665-BB44-79E136E96268}"/>
    <cellStyle name="accounting 2 3" xfId="1764" xr:uid="{00000000-0005-0000-0000-0000CC060000}"/>
    <cellStyle name="accounting 2 3 2" xfId="1765" xr:uid="{00000000-0005-0000-0000-0000CD060000}"/>
    <cellStyle name="accounting 2 3 2 2" xfId="1766" xr:uid="{00000000-0005-0000-0000-0000CE060000}"/>
    <cellStyle name="accounting 2 3 2 2 2" xfId="4014" xr:uid="{AD287C9D-1CE4-4B68-A923-FE84CD9877FE}"/>
    <cellStyle name="accounting 2 3 2 3" xfId="4013" xr:uid="{D7BEAA72-57FE-411C-B21A-9DAD9BE06E23}"/>
    <cellStyle name="accounting 2 3 3" xfId="1767" xr:uid="{00000000-0005-0000-0000-0000CF060000}"/>
    <cellStyle name="accounting 2 3 3 2" xfId="1768" xr:uid="{00000000-0005-0000-0000-0000D0060000}"/>
    <cellStyle name="accounting 2 3 3 2 2" xfId="4016" xr:uid="{608541B0-53A1-4406-8240-F62390CEB3C6}"/>
    <cellStyle name="accounting 2 3 3 3" xfId="4015" xr:uid="{B7AE2DA4-841E-4E12-B78D-162169400D06}"/>
    <cellStyle name="accounting 2 3 4" xfId="1769" xr:uid="{00000000-0005-0000-0000-0000D1060000}"/>
    <cellStyle name="accounting 2 3 4 2" xfId="4017" xr:uid="{4215C83E-C6A7-4AAC-B023-F2A58C5FDD96}"/>
    <cellStyle name="accounting 2 3 5" xfId="4012" xr:uid="{B02D0CDA-054C-4D43-8EEC-7F419A5399E1}"/>
    <cellStyle name="accounting 2 4" xfId="1770" xr:uid="{00000000-0005-0000-0000-0000D2060000}"/>
    <cellStyle name="accounting 2 4 2" xfId="1771" xr:uid="{00000000-0005-0000-0000-0000D3060000}"/>
    <cellStyle name="accounting 2 4 2 2" xfId="4019" xr:uid="{356D2A45-D663-4AF1-996C-9F83D9391034}"/>
    <cellStyle name="accounting 2 4 3" xfId="4018" xr:uid="{74F6DF5B-500E-4921-8C2B-CA85719F19EE}"/>
    <cellStyle name="accounting 2 5" xfId="1772" xr:uid="{00000000-0005-0000-0000-0000D4060000}"/>
    <cellStyle name="accounting 2 5 2" xfId="1773" xr:uid="{00000000-0005-0000-0000-0000D5060000}"/>
    <cellStyle name="accounting 2 5 2 2" xfId="4021" xr:uid="{2DC55498-1238-48E6-A872-24BBC4D08FF6}"/>
    <cellStyle name="accounting 2 5 3" xfId="4020" xr:uid="{088F4810-120A-4C33-B877-F93B0D7BA0FE}"/>
    <cellStyle name="accounting 2 6" xfId="1774" xr:uid="{00000000-0005-0000-0000-0000D6060000}"/>
    <cellStyle name="accounting 2 6 2" xfId="1775" xr:uid="{00000000-0005-0000-0000-0000D7060000}"/>
    <cellStyle name="accounting 2 6 2 2" xfId="4023" xr:uid="{2007BE35-BAED-4A1C-AC23-8B0ACD0CF8B6}"/>
    <cellStyle name="accounting 2 6 3" xfId="4022" xr:uid="{0B4578B5-1C18-400A-A1CC-90FA1C1E7365}"/>
    <cellStyle name="accounting 2 7" xfId="1776" xr:uid="{00000000-0005-0000-0000-0000D8060000}"/>
    <cellStyle name="accounting 2 7 2" xfId="1777" xr:uid="{00000000-0005-0000-0000-0000D9060000}"/>
    <cellStyle name="accounting 2 7 2 2" xfId="4025" xr:uid="{4133D1A1-16AC-40F7-BFD2-158557E5BE01}"/>
    <cellStyle name="accounting 2 7 3" xfId="4024" xr:uid="{4407D290-33E7-43DB-AA57-E10C0E9D4F2D}"/>
    <cellStyle name="accounting 2 8" xfId="1778" xr:uid="{00000000-0005-0000-0000-0000DA060000}"/>
    <cellStyle name="accounting 2 8 2" xfId="1779" xr:uid="{00000000-0005-0000-0000-0000DB060000}"/>
    <cellStyle name="accounting 2 8 2 2" xfId="4027" xr:uid="{6827F82D-3564-4022-8927-5283500740C3}"/>
    <cellStyle name="accounting 2 8 3" xfId="4026" xr:uid="{7D761B2E-30AC-48CF-825E-A97B1126CA93}"/>
    <cellStyle name="accounting 2 9" xfId="4005" xr:uid="{59E54C39-23D6-4B42-AAA7-7AC8712BA86A}"/>
    <cellStyle name="accounting 3" xfId="1780" xr:uid="{00000000-0005-0000-0000-0000DC060000}"/>
    <cellStyle name="accounting 3 2" xfId="1781" xr:uid="{00000000-0005-0000-0000-0000DD060000}"/>
    <cellStyle name="accounting 3 2 2" xfId="1782" xr:uid="{00000000-0005-0000-0000-0000DE060000}"/>
    <cellStyle name="accounting 3 2 2 2" xfId="1783" xr:uid="{00000000-0005-0000-0000-0000DF060000}"/>
    <cellStyle name="accounting 3 2 2 2 2" xfId="4031" xr:uid="{21857BE2-24CA-43F1-BD02-B15D903B1747}"/>
    <cellStyle name="accounting 3 2 2 3" xfId="4030" xr:uid="{86598805-122D-428F-AB52-68B28A142485}"/>
    <cellStyle name="accounting 3 2 3" xfId="1784" xr:uid="{00000000-0005-0000-0000-0000E0060000}"/>
    <cellStyle name="accounting 3 2 3 2" xfId="1785" xr:uid="{00000000-0005-0000-0000-0000E1060000}"/>
    <cellStyle name="accounting 3 2 3 2 2" xfId="4033" xr:uid="{355DC22E-DDD1-4048-AFE5-0A4B469E1823}"/>
    <cellStyle name="accounting 3 2 3 3" xfId="4032" xr:uid="{5CA2D380-F1CB-4BBF-A243-060CDE10013A}"/>
    <cellStyle name="accounting 3 2 4" xfId="1786" xr:uid="{00000000-0005-0000-0000-0000E2060000}"/>
    <cellStyle name="accounting 3 2 4 2" xfId="4034" xr:uid="{C9DDACD1-D556-4994-BB5E-D948347CBE93}"/>
    <cellStyle name="accounting 3 2 5" xfId="4029" xr:uid="{898D4608-28DC-4C5B-A286-6355AB701B68}"/>
    <cellStyle name="accounting 3 3" xfId="1787" xr:uid="{00000000-0005-0000-0000-0000E3060000}"/>
    <cellStyle name="accounting 3 3 2" xfId="1788" xr:uid="{00000000-0005-0000-0000-0000E4060000}"/>
    <cellStyle name="accounting 3 3 2 2" xfId="1789" xr:uid="{00000000-0005-0000-0000-0000E5060000}"/>
    <cellStyle name="accounting 3 3 2 2 2" xfId="4037" xr:uid="{0BAFD549-6F5D-4CBD-A74B-4D0C439F9959}"/>
    <cellStyle name="accounting 3 3 2 3" xfId="4036" xr:uid="{2F03E42C-7393-4DE7-BB52-8F698C956B23}"/>
    <cellStyle name="accounting 3 3 3" xfId="1790" xr:uid="{00000000-0005-0000-0000-0000E6060000}"/>
    <cellStyle name="accounting 3 3 3 2" xfId="1791" xr:uid="{00000000-0005-0000-0000-0000E7060000}"/>
    <cellStyle name="accounting 3 3 3 2 2" xfId="4039" xr:uid="{110C8CB3-C7FC-412A-8163-845A97240FC0}"/>
    <cellStyle name="accounting 3 3 3 3" xfId="4038" xr:uid="{0DD3629D-A4D7-48BC-81FF-ED498559F9D3}"/>
    <cellStyle name="accounting 3 3 4" xfId="1792" xr:uid="{00000000-0005-0000-0000-0000E8060000}"/>
    <cellStyle name="accounting 3 3 4 2" xfId="4040" xr:uid="{A4006284-587D-47D3-A3EA-5B9B3845822B}"/>
    <cellStyle name="accounting 3 3 5" xfId="4035" xr:uid="{C7DE2EB4-405B-49F3-9050-91A86BC959AF}"/>
    <cellStyle name="accounting 3 4" xfId="1793" xr:uid="{00000000-0005-0000-0000-0000E9060000}"/>
    <cellStyle name="accounting 3 4 2" xfId="1794" xr:uid="{00000000-0005-0000-0000-0000EA060000}"/>
    <cellStyle name="accounting 3 4 2 2" xfId="4042" xr:uid="{BE342002-E632-475C-B7BE-1A33301EC2AB}"/>
    <cellStyle name="accounting 3 4 3" xfId="4041" xr:uid="{36AE277A-C209-4ED4-88A0-760B9A0F47EF}"/>
    <cellStyle name="accounting 3 5" xfId="1795" xr:uid="{00000000-0005-0000-0000-0000EB060000}"/>
    <cellStyle name="accounting 3 5 2" xfId="1796" xr:uid="{00000000-0005-0000-0000-0000EC060000}"/>
    <cellStyle name="accounting 3 5 2 2" xfId="4044" xr:uid="{9114C127-25DD-43E5-BBEF-A4E1F1999A8D}"/>
    <cellStyle name="accounting 3 5 3" xfId="4043" xr:uid="{7F61E017-61C9-4253-A545-4A29FFC90A24}"/>
    <cellStyle name="accounting 3 6" xfId="1797" xr:uid="{00000000-0005-0000-0000-0000ED060000}"/>
    <cellStyle name="accounting 3 6 2" xfId="1798" xr:uid="{00000000-0005-0000-0000-0000EE060000}"/>
    <cellStyle name="accounting 3 6 2 2" xfId="4046" xr:uid="{D3BACD10-9204-4F2B-9BB6-9D29870B6CA5}"/>
    <cellStyle name="accounting 3 6 3" xfId="4045" xr:uid="{FD9ECDF5-F290-46D6-87E9-215602309BB7}"/>
    <cellStyle name="accounting 3 7" xfId="1799" xr:uid="{00000000-0005-0000-0000-0000EF060000}"/>
    <cellStyle name="accounting 3 7 2" xfId="1800" xr:uid="{00000000-0005-0000-0000-0000F0060000}"/>
    <cellStyle name="accounting 3 7 2 2" xfId="4048" xr:uid="{0E3434B0-8CE3-4D47-9F31-18A071C8C409}"/>
    <cellStyle name="accounting 3 7 3" xfId="4047" xr:uid="{DF56C4D8-56BA-4E8F-B741-07342774E7F6}"/>
    <cellStyle name="accounting 3 8" xfId="1801" xr:uid="{00000000-0005-0000-0000-0000F1060000}"/>
    <cellStyle name="accounting 3 8 2" xfId="1802" xr:uid="{00000000-0005-0000-0000-0000F2060000}"/>
    <cellStyle name="accounting 3 8 2 2" xfId="4050" xr:uid="{63867D23-370C-49E4-89CA-97C1B5B38572}"/>
    <cellStyle name="accounting 3 8 3" xfId="4049" xr:uid="{E36A4426-F4D5-4BDB-BCCE-E017ABE7BBAA}"/>
    <cellStyle name="accounting 3 9" xfId="4028" xr:uid="{31BB617C-8701-4128-8C07-E97C8D8FC542}"/>
    <cellStyle name="accounting 4" xfId="1803" xr:uid="{00000000-0005-0000-0000-0000F3060000}"/>
    <cellStyle name="accounting 4 2" xfId="1804" xr:uid="{00000000-0005-0000-0000-0000F4060000}"/>
    <cellStyle name="accounting 4 2 2" xfId="1805" xr:uid="{00000000-0005-0000-0000-0000F5060000}"/>
    <cellStyle name="accounting 4 2 2 2" xfId="4053" xr:uid="{6941BDE1-D9C9-4B1D-81AE-2B56DC2456B7}"/>
    <cellStyle name="accounting 4 2 3" xfId="4052" xr:uid="{F3A8741E-90E5-433D-86CF-8F3C510606CA}"/>
    <cellStyle name="accounting 4 3" xfId="1806" xr:uid="{00000000-0005-0000-0000-0000F6060000}"/>
    <cellStyle name="accounting 4 3 2" xfId="1807" xr:uid="{00000000-0005-0000-0000-0000F7060000}"/>
    <cellStyle name="accounting 4 3 2 2" xfId="4055" xr:uid="{7DBD86C6-59E8-49D7-B968-8D61E73121AD}"/>
    <cellStyle name="accounting 4 3 3" xfId="4054" xr:uid="{B1F5B94A-1209-4780-824B-B7FB11998F8C}"/>
    <cellStyle name="accounting 4 4" xfId="1808" xr:uid="{00000000-0005-0000-0000-0000F8060000}"/>
    <cellStyle name="accounting 4 4 2" xfId="4056" xr:uid="{63F964DB-C99A-4A9A-8B3D-F88BDE9B88DD}"/>
    <cellStyle name="accounting 4 5" xfId="4051" xr:uid="{118C3BE8-2328-4BE2-914B-E3F2C0D82D95}"/>
    <cellStyle name="accounting 5" xfId="1809" xr:uid="{00000000-0005-0000-0000-0000F9060000}"/>
    <cellStyle name="accounting 5 2" xfId="1810" xr:uid="{00000000-0005-0000-0000-0000FA060000}"/>
    <cellStyle name="accounting 5 2 2" xfId="1811" xr:uid="{00000000-0005-0000-0000-0000FB060000}"/>
    <cellStyle name="accounting 5 2 2 2" xfId="4059" xr:uid="{45A0D4DE-FCC2-421A-90DD-088154FBD24A}"/>
    <cellStyle name="accounting 5 2 3" xfId="4058" xr:uid="{28B8370A-14A2-44AF-B900-93AF4B74355B}"/>
    <cellStyle name="accounting 5 3" xfId="1812" xr:uid="{00000000-0005-0000-0000-0000FC060000}"/>
    <cellStyle name="accounting 5 3 2" xfId="1813" xr:uid="{00000000-0005-0000-0000-0000FD060000}"/>
    <cellStyle name="accounting 5 3 2 2" xfId="4061" xr:uid="{5B2EAD21-E041-41DC-8D06-99DDC0CB4717}"/>
    <cellStyle name="accounting 5 3 3" xfId="4060" xr:uid="{7D0D1AC3-069D-4666-B1C9-CC3193DB6395}"/>
    <cellStyle name="accounting 5 4" xfId="1814" xr:uid="{00000000-0005-0000-0000-0000FE060000}"/>
    <cellStyle name="accounting 5 4 2" xfId="4062" xr:uid="{DCB81192-E378-4AA4-8467-C6924AF649AD}"/>
    <cellStyle name="accounting 5 5" xfId="4057" xr:uid="{492CEFB0-B2A5-4106-8238-9B4CC464929F}"/>
    <cellStyle name="accounting 6" xfId="1815" xr:uid="{00000000-0005-0000-0000-0000FF060000}"/>
    <cellStyle name="accounting 6 2" xfId="1816" xr:uid="{00000000-0005-0000-0000-000000070000}"/>
    <cellStyle name="accounting 6 2 2" xfId="4064" xr:uid="{622E9B68-1247-47FA-8C9A-5277E05B9260}"/>
    <cellStyle name="accounting 6 3" xfId="4063" xr:uid="{121A6EB4-436B-441E-80FE-393F20C24B4E}"/>
    <cellStyle name="accounting 7" xfId="1817" xr:uid="{00000000-0005-0000-0000-000001070000}"/>
    <cellStyle name="accounting 7 2" xfId="1818" xr:uid="{00000000-0005-0000-0000-000002070000}"/>
    <cellStyle name="accounting 7 2 2" xfId="4066" xr:uid="{45943AA2-E2DF-4DE2-B59B-AEC283C97012}"/>
    <cellStyle name="accounting 7 3" xfId="4065" xr:uid="{4EE8C628-6606-49BB-AF6F-BF1947B29DCA}"/>
    <cellStyle name="accounting 8" xfId="1819" xr:uid="{00000000-0005-0000-0000-000003070000}"/>
    <cellStyle name="accounting 8 2" xfId="1820" xr:uid="{00000000-0005-0000-0000-000004070000}"/>
    <cellStyle name="accounting 8 2 2" xfId="4068" xr:uid="{7ACE8059-19A2-4EDA-86CC-9E9A989E5FFB}"/>
    <cellStyle name="accounting 8 3" xfId="4067" xr:uid="{A8CFCEA8-44B6-4657-94E1-D147D38D1F50}"/>
    <cellStyle name="accounting 9" xfId="1821" xr:uid="{00000000-0005-0000-0000-000005070000}"/>
    <cellStyle name="accounting 9 2" xfId="1822" xr:uid="{00000000-0005-0000-0000-000006070000}"/>
    <cellStyle name="accounting 9 2 2" xfId="4070" xr:uid="{EFECE019-1341-44B1-8F7D-F6435FD5A3E6}"/>
    <cellStyle name="accounting 9 3" xfId="4069" xr:uid="{6E7ECBFA-B860-4957-80A8-42923C45CF99}"/>
    <cellStyle name="Acct Level 2" xfId="1823" xr:uid="{00000000-0005-0000-0000-000007070000}"/>
    <cellStyle name="Accy [0]" xfId="1824" xr:uid="{00000000-0005-0000-0000-000008070000}"/>
    <cellStyle name="Accy [1]" xfId="1825" xr:uid="{00000000-0005-0000-0000-000009070000}"/>
    <cellStyle name="Accy [2]" xfId="1826" xr:uid="{00000000-0005-0000-0000-00000A070000}"/>
    <cellStyle name="Accy$ [0]" xfId="1827" xr:uid="{00000000-0005-0000-0000-00000B070000}"/>
    <cellStyle name="Accy$ [1]" xfId="1828" xr:uid="{00000000-0005-0000-0000-00000C070000}"/>
    <cellStyle name="Accy$ [2]" xfId="1829" xr:uid="{00000000-0005-0000-0000-00000D070000}"/>
    <cellStyle name="aCDSDev" xfId="1830" xr:uid="{00000000-0005-0000-0000-00000E070000}"/>
    <cellStyle name="aCDSDev 2" xfId="1831" xr:uid="{00000000-0005-0000-0000-00000F070000}"/>
    <cellStyle name="aCDSDev 2 2" xfId="1832" xr:uid="{00000000-0005-0000-0000-000010070000}"/>
    <cellStyle name="aCDSDev 2 2 2" xfId="1833" xr:uid="{00000000-0005-0000-0000-000011070000}"/>
    <cellStyle name="aCDSDev 2 3" xfId="1834" xr:uid="{00000000-0005-0000-0000-000012070000}"/>
    <cellStyle name="aCDSDev 3" xfId="1835" xr:uid="{00000000-0005-0000-0000-000013070000}"/>
    <cellStyle name="aCDSDev 3 2" xfId="1836" xr:uid="{00000000-0005-0000-0000-000014070000}"/>
    <cellStyle name="aCDSDev 3 2 2" xfId="1837" xr:uid="{00000000-0005-0000-0000-000015070000}"/>
    <cellStyle name="aCDSDev 3 3" xfId="1838" xr:uid="{00000000-0005-0000-0000-000016070000}"/>
    <cellStyle name="aCDSDev 4" xfId="1839" xr:uid="{00000000-0005-0000-0000-000017070000}"/>
    <cellStyle name="aCDSDev 4 2" xfId="1840" xr:uid="{00000000-0005-0000-0000-000018070000}"/>
    <cellStyle name="aCDSDev 5" xfId="1841" xr:uid="{00000000-0005-0000-0000-000019070000}"/>
    <cellStyle name="aCDSDev 6" xfId="1842" xr:uid="{00000000-0005-0000-0000-00001A070000}"/>
    <cellStyle name="aCDSDev 7" xfId="1843" xr:uid="{00000000-0005-0000-0000-00001B070000}"/>
    <cellStyle name="acomma" xfId="1844" xr:uid="{00000000-0005-0000-0000-00001C070000}"/>
    <cellStyle name="Actual Date" xfId="1845" xr:uid="{00000000-0005-0000-0000-00001D070000}"/>
    <cellStyle name="Actual Date 2" xfId="1846" xr:uid="{00000000-0005-0000-0000-00001E070000}"/>
    <cellStyle name="Add" xfId="1847" xr:uid="{00000000-0005-0000-0000-00001F070000}"/>
    <cellStyle name="AFE" xfId="1848" xr:uid="{00000000-0005-0000-0000-000020070000}"/>
    <cellStyle name="aFXDev" xfId="1849" xr:uid="{00000000-0005-0000-0000-000021070000}"/>
    <cellStyle name="aFXDev 2" xfId="1850" xr:uid="{00000000-0005-0000-0000-000022070000}"/>
    <cellStyle name="aFXDev 2 2" xfId="1851" xr:uid="{00000000-0005-0000-0000-000023070000}"/>
    <cellStyle name="aFXDev 2 2 2" xfId="1852" xr:uid="{00000000-0005-0000-0000-000024070000}"/>
    <cellStyle name="aFXDev 2 3" xfId="1853" xr:uid="{00000000-0005-0000-0000-000025070000}"/>
    <cellStyle name="aFXDev 3" xfId="1854" xr:uid="{00000000-0005-0000-0000-000026070000}"/>
    <cellStyle name="aFXDev 3 2" xfId="1855" xr:uid="{00000000-0005-0000-0000-000027070000}"/>
    <cellStyle name="aFXDev 3 2 2" xfId="1856" xr:uid="{00000000-0005-0000-0000-000028070000}"/>
    <cellStyle name="aFXDev 3 3" xfId="1857" xr:uid="{00000000-0005-0000-0000-000029070000}"/>
    <cellStyle name="aFXDev 4" xfId="1858" xr:uid="{00000000-0005-0000-0000-00002A070000}"/>
    <cellStyle name="aFXDev 4 2" xfId="1859" xr:uid="{00000000-0005-0000-0000-00002B070000}"/>
    <cellStyle name="aFXDev 5" xfId="1860" xr:uid="{00000000-0005-0000-0000-00002C070000}"/>
    <cellStyle name="aFXDev 6" xfId="1861" xr:uid="{00000000-0005-0000-0000-00002D070000}"/>
    <cellStyle name="aFXDev 7" xfId="1862" xr:uid="{00000000-0005-0000-0000-00002E070000}"/>
    <cellStyle name="aGreeks" xfId="1863" xr:uid="{00000000-0005-0000-0000-00002F070000}"/>
    <cellStyle name="ALPercent" xfId="1864" xr:uid="{00000000-0005-0000-0000-000030070000}"/>
    <cellStyle name="args.style" xfId="1865" xr:uid="{00000000-0005-0000-0000-000031070000}"/>
    <cellStyle name="Assumptions" xfId="1866" xr:uid="{00000000-0005-0000-0000-000032070000}"/>
    <cellStyle name="Assumptions 2" xfId="1867" xr:uid="{00000000-0005-0000-0000-000033070000}"/>
    <cellStyle name="Assumptions 3" xfId="1868" xr:uid="{00000000-0005-0000-0000-000034070000}"/>
    <cellStyle name="aSTRIRDEV" xfId="1869" xr:uid="{00000000-0005-0000-0000-000035070000}"/>
    <cellStyle name="aSTRIRDEV 2" xfId="1870" xr:uid="{00000000-0005-0000-0000-000036070000}"/>
    <cellStyle name="aSTRIRDEV 3" xfId="1871" xr:uid="{00000000-0005-0000-0000-000037070000}"/>
    <cellStyle name="aSTRIRDEV 4" xfId="1872" xr:uid="{00000000-0005-0000-0000-000038070000}"/>
    <cellStyle name="AutoFormat Options" xfId="1873" xr:uid="{00000000-0005-0000-0000-000039070000}"/>
    <cellStyle name="Availability" xfId="1874" xr:uid="{00000000-0005-0000-0000-00003A070000}"/>
    <cellStyle name="Background" xfId="1875" xr:uid="{00000000-0005-0000-0000-00003B070000}"/>
    <cellStyle name="Bad" xfId="12" builtinId="27" customBuiltin="1"/>
    <cellStyle name="Balances" xfId="1876" xr:uid="{00000000-0005-0000-0000-00003D070000}"/>
    <cellStyle name="Balances 2" xfId="1877" xr:uid="{00000000-0005-0000-0000-00003E070000}"/>
    <cellStyle name="Balances 3" xfId="1878" xr:uid="{00000000-0005-0000-0000-00003F070000}"/>
    <cellStyle name="Balances 4" xfId="1879" xr:uid="{00000000-0005-0000-0000-000040070000}"/>
    <cellStyle name="BalanceSheet" xfId="1880" xr:uid="{00000000-0005-0000-0000-000041070000}"/>
    <cellStyle name="BalcSht" xfId="1881" xr:uid="{00000000-0005-0000-0000-000042070000}"/>
    <cellStyle name="BalcSht 2" xfId="1882" xr:uid="{00000000-0005-0000-0000-000043070000}"/>
    <cellStyle name="BalcSht 3" xfId="1883" xr:uid="{00000000-0005-0000-0000-000044070000}"/>
    <cellStyle name="BGT" xfId="1884" xr:uid="{00000000-0005-0000-0000-000045070000}"/>
    <cellStyle name="BGT 2" xfId="1885" xr:uid="{00000000-0005-0000-0000-000046070000}"/>
    <cellStyle name="Black" xfId="1886" xr:uid="{00000000-0005-0000-0000-000047070000}"/>
    <cellStyle name="Black 2" xfId="1887" xr:uid="{00000000-0005-0000-0000-000048070000}"/>
    <cellStyle name="Black 3" xfId="1888" xr:uid="{00000000-0005-0000-0000-000049070000}"/>
    <cellStyle name="Black 4" xfId="1889" xr:uid="{00000000-0005-0000-0000-00004A070000}"/>
    <cellStyle name="Black bold" xfId="1890" xr:uid="{00000000-0005-0000-0000-00004B070000}"/>
    <cellStyle name="Black_ALLOWANCES" xfId="1891" xr:uid="{00000000-0005-0000-0000-00004C070000}"/>
    <cellStyle name="BlotterComment" xfId="1892" xr:uid="{00000000-0005-0000-0000-00004D070000}"/>
    <cellStyle name="BlotterComment 2" xfId="1893" xr:uid="{00000000-0005-0000-0000-00004E070000}"/>
    <cellStyle name="BlotterComment 3" xfId="1894" xr:uid="{00000000-0005-0000-0000-00004F070000}"/>
    <cellStyle name="Blue" xfId="1895" xr:uid="{00000000-0005-0000-0000-000050070000}"/>
    <cellStyle name="Blue bold" xfId="1896" xr:uid="{00000000-0005-0000-0000-000051070000}"/>
    <cellStyle name="Blue bold 10" xfId="4071" xr:uid="{723026D1-98ED-418B-A3FD-38CD714C3347}"/>
    <cellStyle name="Blue bold 2" xfId="1897" xr:uid="{00000000-0005-0000-0000-000052070000}"/>
    <cellStyle name="Blue bold 2 2" xfId="1898" xr:uid="{00000000-0005-0000-0000-000053070000}"/>
    <cellStyle name="Blue bold 2 2 2" xfId="1899" xr:uid="{00000000-0005-0000-0000-000054070000}"/>
    <cellStyle name="Blue bold 2 2 2 2" xfId="1900" xr:uid="{00000000-0005-0000-0000-000055070000}"/>
    <cellStyle name="Blue bold 2 2 2 2 2" xfId="4075" xr:uid="{3F69C8DE-1CCB-4C8E-865F-E3196F6A16FB}"/>
    <cellStyle name="Blue bold 2 2 2 3" xfId="4074" xr:uid="{93043010-451A-40D6-8D7B-0A61FDABDB74}"/>
    <cellStyle name="Blue bold 2 2 3" xfId="1901" xr:uid="{00000000-0005-0000-0000-000056070000}"/>
    <cellStyle name="Blue bold 2 2 3 2" xfId="1902" xr:uid="{00000000-0005-0000-0000-000057070000}"/>
    <cellStyle name="Blue bold 2 2 3 2 2" xfId="4077" xr:uid="{6E168B4B-191C-458B-88F4-3F694999D8EA}"/>
    <cellStyle name="Blue bold 2 2 3 3" xfId="4076" xr:uid="{F904A744-7424-4AC9-8F53-2FA84C432E75}"/>
    <cellStyle name="Blue bold 2 2 4" xfId="1903" xr:uid="{00000000-0005-0000-0000-000058070000}"/>
    <cellStyle name="Blue bold 2 2 4 2" xfId="4078" xr:uid="{1A63BC00-FBA6-43EE-A504-04B5E651485F}"/>
    <cellStyle name="Blue bold 2 2 5" xfId="4073" xr:uid="{80CE44F3-E603-4812-96D9-EFE639A2F429}"/>
    <cellStyle name="Blue bold 2 3" xfId="1904" xr:uid="{00000000-0005-0000-0000-000059070000}"/>
    <cellStyle name="Blue bold 2 3 2" xfId="1905" xr:uid="{00000000-0005-0000-0000-00005A070000}"/>
    <cellStyle name="Blue bold 2 3 2 2" xfId="4080" xr:uid="{EFF58963-E823-41A8-8057-98193B337E64}"/>
    <cellStyle name="Blue bold 2 3 3" xfId="4079" xr:uid="{DDC87E44-62FD-4124-A065-A77F89718EA3}"/>
    <cellStyle name="Blue bold 2 4" xfId="1906" xr:uid="{00000000-0005-0000-0000-00005B070000}"/>
    <cellStyle name="Blue bold 2 4 2" xfId="1907" xr:uid="{00000000-0005-0000-0000-00005C070000}"/>
    <cellStyle name="Blue bold 2 4 2 2" xfId="4082" xr:uid="{99A4BB63-3648-47BE-A653-EEA7FA6E103F}"/>
    <cellStyle name="Blue bold 2 4 3" xfId="4081" xr:uid="{4F6B2E82-2BF2-4E51-BD8A-E37A4C3F1B01}"/>
    <cellStyle name="Blue bold 2 5" xfId="1908" xr:uid="{00000000-0005-0000-0000-00005D070000}"/>
    <cellStyle name="Blue bold 2 5 2" xfId="1909" xr:uid="{00000000-0005-0000-0000-00005E070000}"/>
    <cellStyle name="Blue bold 2 5 2 2" xfId="4084" xr:uid="{B1477B99-B7AC-45F4-97AC-C7FE36AA32B3}"/>
    <cellStyle name="Blue bold 2 5 3" xfId="4083" xr:uid="{CD793C53-D442-41D5-AE80-2010BE2F491E}"/>
    <cellStyle name="Blue bold 2 6" xfId="1910" xr:uid="{00000000-0005-0000-0000-00005F070000}"/>
    <cellStyle name="Blue bold 2 6 2" xfId="1911" xr:uid="{00000000-0005-0000-0000-000060070000}"/>
    <cellStyle name="Blue bold 2 6 2 2" xfId="4086" xr:uid="{6CBB2049-1BEF-434C-9675-5385ADACE00C}"/>
    <cellStyle name="Blue bold 2 6 3" xfId="4085" xr:uid="{CD7A6DBB-8540-4520-AA83-FF53F3BE14EE}"/>
    <cellStyle name="Blue bold 2 7" xfId="1912" xr:uid="{00000000-0005-0000-0000-000061070000}"/>
    <cellStyle name="Blue bold 2 7 2" xfId="1913" xr:uid="{00000000-0005-0000-0000-000062070000}"/>
    <cellStyle name="Blue bold 2 7 2 2" xfId="4088" xr:uid="{59F7B505-EBD4-4F43-BB91-59670595D1F0}"/>
    <cellStyle name="Blue bold 2 7 3" xfId="4087" xr:uid="{3CA3E222-EDBA-41A8-A952-E16334BF46DD}"/>
    <cellStyle name="Blue bold 2 8" xfId="4072" xr:uid="{BA98E93B-AA5E-428C-AB09-6613E0B721B8}"/>
    <cellStyle name="Blue bold 3" xfId="1914" xr:uid="{00000000-0005-0000-0000-000063070000}"/>
    <cellStyle name="Blue bold 3 2" xfId="1915" xr:uid="{00000000-0005-0000-0000-000064070000}"/>
    <cellStyle name="Blue bold 3 2 2" xfId="1916" xr:uid="{00000000-0005-0000-0000-000065070000}"/>
    <cellStyle name="Blue bold 3 2 2 2" xfId="1917" xr:uid="{00000000-0005-0000-0000-000066070000}"/>
    <cellStyle name="Blue bold 3 2 2 2 2" xfId="4092" xr:uid="{E0515364-C839-4767-9203-0249EAFF04CF}"/>
    <cellStyle name="Blue bold 3 2 2 3" xfId="4091" xr:uid="{C042DB15-182F-4183-B465-C4C27D98DF16}"/>
    <cellStyle name="Blue bold 3 2 3" xfId="1918" xr:uid="{00000000-0005-0000-0000-000067070000}"/>
    <cellStyle name="Blue bold 3 2 3 2" xfId="1919" xr:uid="{00000000-0005-0000-0000-000068070000}"/>
    <cellStyle name="Blue bold 3 2 3 2 2" xfId="4094" xr:uid="{E18317D5-AD7F-40E9-8AF9-96A3708C8556}"/>
    <cellStyle name="Blue bold 3 2 3 3" xfId="4093" xr:uid="{B6FB75A1-3C24-4E3F-BFB3-CEDDF1577F73}"/>
    <cellStyle name="Blue bold 3 2 4" xfId="1920" xr:uid="{00000000-0005-0000-0000-000069070000}"/>
    <cellStyle name="Blue bold 3 2 4 2" xfId="4095" xr:uid="{6843699A-D33B-459C-B218-5FA9426D83A7}"/>
    <cellStyle name="Blue bold 3 2 5" xfId="4090" xr:uid="{71A74546-FE8A-477D-95BE-EEC1AF402D89}"/>
    <cellStyle name="Blue bold 3 3" xfId="1921" xr:uid="{00000000-0005-0000-0000-00006A070000}"/>
    <cellStyle name="Blue bold 3 3 2" xfId="1922" xr:uid="{00000000-0005-0000-0000-00006B070000}"/>
    <cellStyle name="Blue bold 3 3 2 2" xfId="4097" xr:uid="{4801BDBC-D6B0-4A74-9682-A8770A4631A4}"/>
    <cellStyle name="Blue bold 3 3 3" xfId="4096" xr:uid="{CC063F15-6C56-4332-8380-B9C3841C31A0}"/>
    <cellStyle name="Blue bold 3 4" xfId="1923" xr:uid="{00000000-0005-0000-0000-00006C070000}"/>
    <cellStyle name="Blue bold 3 4 2" xfId="1924" xr:uid="{00000000-0005-0000-0000-00006D070000}"/>
    <cellStyle name="Blue bold 3 4 2 2" xfId="4099" xr:uid="{76780A5B-4699-4FC4-8807-965AF95D6257}"/>
    <cellStyle name="Blue bold 3 4 3" xfId="4098" xr:uid="{E4C1781E-86C2-41A4-AD55-378E4A0A35C8}"/>
    <cellStyle name="Blue bold 3 5" xfId="1925" xr:uid="{00000000-0005-0000-0000-00006E070000}"/>
    <cellStyle name="Blue bold 3 5 2" xfId="1926" xr:uid="{00000000-0005-0000-0000-00006F070000}"/>
    <cellStyle name="Blue bold 3 5 2 2" xfId="4101" xr:uid="{345E8F78-CB95-4888-8D70-CC54A668987B}"/>
    <cellStyle name="Blue bold 3 5 3" xfId="4100" xr:uid="{952AE75F-A571-4715-B9C4-176256789087}"/>
    <cellStyle name="Blue bold 3 6" xfId="1927" xr:uid="{00000000-0005-0000-0000-000070070000}"/>
    <cellStyle name="Blue bold 3 6 2" xfId="1928" xr:uid="{00000000-0005-0000-0000-000071070000}"/>
    <cellStyle name="Blue bold 3 6 2 2" xfId="4103" xr:uid="{DC736047-744E-4341-8310-D055C1C14862}"/>
    <cellStyle name="Blue bold 3 6 3" xfId="4102" xr:uid="{0307D4B0-88A0-4B95-AF73-E75EE4EC415E}"/>
    <cellStyle name="Blue bold 3 7" xfId="1929" xr:uid="{00000000-0005-0000-0000-000072070000}"/>
    <cellStyle name="Blue bold 3 7 2" xfId="1930" xr:uid="{00000000-0005-0000-0000-000073070000}"/>
    <cellStyle name="Blue bold 3 7 2 2" xfId="4105" xr:uid="{2C5A2A61-19FE-4D85-BF20-DDFBCB560AAC}"/>
    <cellStyle name="Blue bold 3 7 3" xfId="4104" xr:uid="{CDD4D513-05EE-4FD1-98AF-78894C1D7CDB}"/>
    <cellStyle name="Blue bold 3 8" xfId="4089" xr:uid="{2AB43F98-12CD-4CF6-833E-78A606653047}"/>
    <cellStyle name="Blue bold 4" xfId="1931" xr:uid="{00000000-0005-0000-0000-000074070000}"/>
    <cellStyle name="Blue bold 4 2" xfId="1932" xr:uid="{00000000-0005-0000-0000-000075070000}"/>
    <cellStyle name="Blue bold 4 2 2" xfId="1933" xr:uid="{00000000-0005-0000-0000-000076070000}"/>
    <cellStyle name="Blue bold 4 2 2 2" xfId="4108" xr:uid="{8B7ACCDC-3C55-4931-9F1C-8942210747A5}"/>
    <cellStyle name="Blue bold 4 2 3" xfId="4107" xr:uid="{F65A9EE5-1B82-4EE3-9DE8-199EBA450440}"/>
    <cellStyle name="Blue bold 4 3" xfId="1934" xr:uid="{00000000-0005-0000-0000-000077070000}"/>
    <cellStyle name="Blue bold 4 3 2" xfId="1935" xr:uid="{00000000-0005-0000-0000-000078070000}"/>
    <cellStyle name="Blue bold 4 3 2 2" xfId="4110" xr:uid="{E915A017-6781-4D50-8178-798FFD0F8BEE}"/>
    <cellStyle name="Blue bold 4 3 3" xfId="4109" xr:uid="{B9A7ED8D-09ED-498A-AADE-7E61C9653E65}"/>
    <cellStyle name="Blue bold 4 4" xfId="1936" xr:uid="{00000000-0005-0000-0000-000079070000}"/>
    <cellStyle name="Blue bold 4 4 2" xfId="4111" xr:uid="{D04592F2-423A-45EA-BCCF-FE7E8E953C47}"/>
    <cellStyle name="Blue bold 4 5" xfId="4106" xr:uid="{E250D547-EC73-47EF-A79D-8C9D91FC8C70}"/>
    <cellStyle name="Blue bold 5" xfId="1937" xr:uid="{00000000-0005-0000-0000-00007A070000}"/>
    <cellStyle name="Blue bold 5 2" xfId="1938" xr:uid="{00000000-0005-0000-0000-00007B070000}"/>
    <cellStyle name="Blue bold 5 2 2" xfId="4113" xr:uid="{8DD6DC10-31C7-4869-9BAE-98640D92CD97}"/>
    <cellStyle name="Blue bold 5 3" xfId="4112" xr:uid="{666BBC72-D010-44A2-8205-B9ED4CF86975}"/>
    <cellStyle name="Blue bold 6" xfId="1939" xr:uid="{00000000-0005-0000-0000-00007C070000}"/>
    <cellStyle name="Blue bold 6 2" xfId="1940" xr:uid="{00000000-0005-0000-0000-00007D070000}"/>
    <cellStyle name="Blue bold 6 2 2" xfId="4115" xr:uid="{D87D9738-83C5-4FDD-9B84-8C1B0B78FD65}"/>
    <cellStyle name="Blue bold 6 3" xfId="4114" xr:uid="{141F40FC-382A-4DE5-BFD3-699BCB1AF738}"/>
    <cellStyle name="Blue bold 7" xfId="1941" xr:uid="{00000000-0005-0000-0000-00007E070000}"/>
    <cellStyle name="Blue bold 7 2" xfId="1942" xr:uid="{00000000-0005-0000-0000-00007F070000}"/>
    <cellStyle name="Blue bold 7 2 2" xfId="4117" xr:uid="{1B9C3933-8B18-4260-811F-1FCD1C0CF2FA}"/>
    <cellStyle name="Blue bold 7 3" xfId="4116" xr:uid="{A31868DB-E796-4DBD-9250-520DCDE2F38D}"/>
    <cellStyle name="Blue bold 8" xfId="1943" xr:uid="{00000000-0005-0000-0000-000080070000}"/>
    <cellStyle name="Blue bold 8 2" xfId="1944" xr:uid="{00000000-0005-0000-0000-000081070000}"/>
    <cellStyle name="Blue bold 8 2 2" xfId="4119" xr:uid="{97D53D64-02FA-47F9-9BD1-BB5F2323ED73}"/>
    <cellStyle name="Blue bold 8 3" xfId="4118" xr:uid="{DF417161-DF21-4C1E-86E7-D79BD66751E0}"/>
    <cellStyle name="Blue bold 9" xfId="1945" xr:uid="{00000000-0005-0000-0000-000082070000}"/>
    <cellStyle name="Blue bold 9 2" xfId="1946" xr:uid="{00000000-0005-0000-0000-000083070000}"/>
    <cellStyle name="Blue bold 9 2 2" xfId="4121" xr:uid="{5AA22D44-D67D-42F6-93A0-294B5B3897F1}"/>
    <cellStyle name="Blue bold 9 3" xfId="4120" xr:uid="{48D15884-EAE3-4FFF-9CE0-99A32710AA99}"/>
    <cellStyle name="Blue_1Q10 ERF Supplement 3-15-10 Check" xfId="1947" xr:uid="{00000000-0005-0000-0000-000084070000}"/>
    <cellStyle name="Body" xfId="1948" xr:uid="{00000000-0005-0000-0000-000085070000}"/>
    <cellStyle name="BOLD - Style1" xfId="1949" xr:uid="{00000000-0005-0000-0000-000086070000}"/>
    <cellStyle name="Bold/Border" xfId="1950" xr:uid="{00000000-0005-0000-0000-000087070000}"/>
    <cellStyle name="Bold/Border 2" xfId="1951" xr:uid="{00000000-0005-0000-0000-000088070000}"/>
    <cellStyle name="Bold/Border 2 2" xfId="1952" xr:uid="{00000000-0005-0000-0000-000089070000}"/>
    <cellStyle name="Bold/Border 2 2 2" xfId="1953" xr:uid="{00000000-0005-0000-0000-00008A070000}"/>
    <cellStyle name="Bold/Border 2 2 2 2" xfId="4125" xr:uid="{CBB69522-8489-49B9-A58A-D2939F1F2F8C}"/>
    <cellStyle name="Bold/Border 2 2 2_Table-View" xfId="4424" xr:uid="{8F14B5E3-40E4-4368-898C-3ABD0BA40EE3}"/>
    <cellStyle name="Bold/Border 2 2 3" xfId="4124" xr:uid="{FD854F1A-A0AF-4ADF-8411-50C40D449D54}"/>
    <cellStyle name="Bold/Border 2 2_Table-View" xfId="4423" xr:uid="{E2FCA0E1-5A77-45A9-B263-9188FA4BC641}"/>
    <cellStyle name="Bold/Border 2 3" xfId="1954" xr:uid="{00000000-0005-0000-0000-00008B070000}"/>
    <cellStyle name="Bold/Border 2 3 2" xfId="1955" xr:uid="{00000000-0005-0000-0000-00008C070000}"/>
    <cellStyle name="Bold/Border 2 3 2 2" xfId="4127" xr:uid="{EF5B65AE-A8DB-43F0-81AA-A60EC45B74EE}"/>
    <cellStyle name="Bold/Border 2 3 2_Table-View" xfId="4426" xr:uid="{DF3D25AF-29C3-47D6-85D5-391A7D7E3548}"/>
    <cellStyle name="Bold/Border 2 3 3" xfId="4126" xr:uid="{B8CA5DEE-E18D-4A4D-966B-FE679EB89C05}"/>
    <cellStyle name="Bold/Border 2 3_Table-View" xfId="4425" xr:uid="{786477A1-2A12-4CB2-84BF-88C77D30136A}"/>
    <cellStyle name="Bold/Border 2 4" xfId="1956" xr:uid="{00000000-0005-0000-0000-00008D070000}"/>
    <cellStyle name="Bold/Border 2 4 2" xfId="4128" xr:uid="{1A1ACD3B-9EF0-4B07-8CF2-6A9FF44883DB}"/>
    <cellStyle name="Bold/Border 2 4_Table-View" xfId="4427" xr:uid="{9E1A4B71-8ACB-4353-AFD9-6A45376C12D8}"/>
    <cellStyle name="Bold/Border 2 5" xfId="4123" xr:uid="{DDECC5BF-74D7-43C9-937B-237C682B05B4}"/>
    <cellStyle name="Bold/Border 2_Table-View" xfId="4422" xr:uid="{BA4CE11E-D2A0-451A-959B-D7B5745342C3}"/>
    <cellStyle name="Bold/Border 3" xfId="1957" xr:uid="{00000000-0005-0000-0000-00008E070000}"/>
    <cellStyle name="Bold/Border 3 2" xfId="1958" xr:uid="{00000000-0005-0000-0000-00008F070000}"/>
    <cellStyle name="Bold/Border 3 2 2" xfId="1959" xr:uid="{00000000-0005-0000-0000-000090070000}"/>
    <cellStyle name="Bold/Border 3 2 2 2" xfId="4131" xr:uid="{7B65A18F-2C9E-47D4-B5BF-DEB289D9E600}"/>
    <cellStyle name="Bold/Border 3 2 2_Table-View" xfId="4430" xr:uid="{56B40FAC-58D0-42FA-905E-81F0549BB421}"/>
    <cellStyle name="Bold/Border 3 2 3" xfId="4130" xr:uid="{63B0ADA1-55A2-41F6-BDD0-AA6882FE276B}"/>
    <cellStyle name="Bold/Border 3 2_Table-View" xfId="4429" xr:uid="{E8906081-D07A-41C7-8929-9F78AC1531C8}"/>
    <cellStyle name="Bold/Border 3 3" xfId="1960" xr:uid="{00000000-0005-0000-0000-000091070000}"/>
    <cellStyle name="Bold/Border 3 3 2" xfId="1961" xr:uid="{00000000-0005-0000-0000-000092070000}"/>
    <cellStyle name="Bold/Border 3 3 2 2" xfId="4133" xr:uid="{D0CBF6DA-A988-4E86-B76E-DBD7A9054BD8}"/>
    <cellStyle name="Bold/Border 3 3 2_Table-View" xfId="4432" xr:uid="{EF035C72-9A30-4794-807C-7F284B6A190F}"/>
    <cellStyle name="Bold/Border 3 3 3" xfId="4132" xr:uid="{4C2B62EA-C4E0-4F2A-9271-BEC4F0F73EE4}"/>
    <cellStyle name="Bold/Border 3 3_Table-View" xfId="4431" xr:uid="{36BAE967-40A9-439A-B014-B2BCDB48D28E}"/>
    <cellStyle name="Bold/Border 3 4" xfId="1962" xr:uid="{00000000-0005-0000-0000-000093070000}"/>
    <cellStyle name="Bold/Border 3 4 2" xfId="4134" xr:uid="{FA955C75-22BB-466E-8C0C-C6B700E5C882}"/>
    <cellStyle name="Bold/Border 3 4_Table-View" xfId="4433" xr:uid="{EABEEA1E-3F2A-48CC-9C13-9E5E6DF30C38}"/>
    <cellStyle name="Bold/Border 3 5" xfId="4129" xr:uid="{D272EB03-D967-49C7-8E8E-A72E0040330C}"/>
    <cellStyle name="Bold/Border 3_Table-View" xfId="4428" xr:uid="{419472EF-BD1A-4B35-9FEA-9C711A825E10}"/>
    <cellStyle name="Bold/Border 4" xfId="1963" xr:uid="{00000000-0005-0000-0000-000094070000}"/>
    <cellStyle name="Bold/Border 4 2" xfId="1964" xr:uid="{00000000-0005-0000-0000-000095070000}"/>
    <cellStyle name="Bold/Border 4 2 2" xfId="4136" xr:uid="{14431706-1B9C-4D53-A31D-FB87F0A8A8C5}"/>
    <cellStyle name="Bold/Border 4 2_Table-View" xfId="4435" xr:uid="{9491B9D3-27D9-4C92-A0A1-56A7F576873A}"/>
    <cellStyle name="Bold/Border 4 3" xfId="4135" xr:uid="{F5A08AC2-5FF6-4D6D-9D90-44E4408BF9D6}"/>
    <cellStyle name="Bold/Border 4_Table-View" xfId="4434" xr:uid="{C6448411-8DA0-4650-9382-F6463324E401}"/>
    <cellStyle name="Bold/Border 5" xfId="1965" xr:uid="{00000000-0005-0000-0000-000096070000}"/>
    <cellStyle name="Bold/Border 5 2" xfId="1966" xr:uid="{00000000-0005-0000-0000-000097070000}"/>
    <cellStyle name="Bold/Border 5 2 2" xfId="4138" xr:uid="{4DE661BD-1513-4896-B5C4-C97DFF9CCAED}"/>
    <cellStyle name="Bold/Border 5 2_Table-View" xfId="4437" xr:uid="{2B3C4207-8778-4F7F-BC9C-2F771ED93B42}"/>
    <cellStyle name="Bold/Border 5 3" xfId="4137" xr:uid="{4FAF8F6C-7F13-453D-92F3-86F4071BCA10}"/>
    <cellStyle name="Bold/Border 5_Table-View" xfId="4436" xr:uid="{4F92BA49-9AEF-4F9D-9F57-FE797AA9C805}"/>
    <cellStyle name="Bold/Border 6" xfId="1967" xr:uid="{00000000-0005-0000-0000-000098070000}"/>
    <cellStyle name="Bold/Border 6 2" xfId="1968" xr:uid="{00000000-0005-0000-0000-000099070000}"/>
    <cellStyle name="Bold/Border 6 2 2" xfId="4140" xr:uid="{57EA869C-3342-4BF8-894B-17C4643B5E8D}"/>
    <cellStyle name="Bold/Border 6 2_Table-View" xfId="4439" xr:uid="{B3A6A557-8EA3-487A-B7A5-0FACDB511252}"/>
    <cellStyle name="Bold/Border 6 3" xfId="4139" xr:uid="{CBEC61A7-8E53-4EDF-A676-3DB1E6BE5EA1}"/>
    <cellStyle name="Bold/Border 6_Table-View" xfId="4438" xr:uid="{689D07B1-1043-4DB0-ACA5-9F9DC96F3CA3}"/>
    <cellStyle name="Bold/Border 7" xfId="1969" xr:uid="{00000000-0005-0000-0000-00009A070000}"/>
    <cellStyle name="Bold/Border 7 2" xfId="1970" xr:uid="{00000000-0005-0000-0000-00009B070000}"/>
    <cellStyle name="Bold/Border 7 2 2" xfId="4142" xr:uid="{586EBCE1-7064-4445-9C52-093850468622}"/>
    <cellStyle name="Bold/Border 7 2_Table-View" xfId="4441" xr:uid="{CF5F1587-8A2B-48D3-A4F0-351BBB50A5A2}"/>
    <cellStyle name="Bold/Border 7 3" xfId="4141" xr:uid="{737183C9-9806-487F-A35C-68351F861131}"/>
    <cellStyle name="Bold/Border 7_Table-View" xfId="4440" xr:uid="{65DA4F8D-955E-4D34-90D0-DADE2520A48F}"/>
    <cellStyle name="Bold/Border 8" xfId="1971" xr:uid="{00000000-0005-0000-0000-00009C070000}"/>
    <cellStyle name="Bold/Border 8 2" xfId="1972" xr:uid="{00000000-0005-0000-0000-00009D070000}"/>
    <cellStyle name="Bold/Border 8 2 2" xfId="4144" xr:uid="{91FF099E-35FF-4B99-AD4F-1EA752F8C97E}"/>
    <cellStyle name="Bold/Border 8 2_Table-View" xfId="4443" xr:uid="{0ADBEB07-50F1-4BC6-B68F-54631EAE9972}"/>
    <cellStyle name="Bold/Border 8 3" xfId="4143" xr:uid="{538E9947-DF50-41B4-9DFA-A16ECE76F775}"/>
    <cellStyle name="Bold/Border 8_Table-View" xfId="4442" xr:uid="{04053E90-5C30-4FD2-913D-5A76D73FEAB7}"/>
    <cellStyle name="Bold/Border 9" xfId="4122" xr:uid="{5772B9CD-7082-4CA0-9025-5665185D285E}"/>
    <cellStyle name="Bold/Border_Table-View" xfId="4421" xr:uid="{1DE5175B-E502-4273-845D-508CCBC25D13}"/>
    <cellStyle name="BoldLineDescription" xfId="1973" xr:uid="{00000000-0005-0000-0000-00009E070000}"/>
    <cellStyle name="BoldUnderline" xfId="1974" xr:uid="{00000000-0005-0000-0000-00009F070000}"/>
    <cellStyle name="bookman top border" xfId="1975" xr:uid="{00000000-0005-0000-0000-0000A0070000}"/>
    <cellStyle name="Border" xfId="1976" xr:uid="{00000000-0005-0000-0000-0000A1070000}"/>
    <cellStyle name="Border - Style1" xfId="1977" xr:uid="{00000000-0005-0000-0000-0000A2070000}"/>
    <cellStyle name="Border - Style1 2" xfId="1978" xr:uid="{00000000-0005-0000-0000-0000A3070000}"/>
    <cellStyle name="Border - Style1 2 2" xfId="1979" xr:uid="{00000000-0005-0000-0000-0000A4070000}"/>
    <cellStyle name="Border - Style1 3" xfId="1980" xr:uid="{00000000-0005-0000-0000-0000A5070000}"/>
    <cellStyle name="Border - Style1 3 2" xfId="1981" xr:uid="{00000000-0005-0000-0000-0000A6070000}"/>
    <cellStyle name="Border - Style1 4" xfId="1982" xr:uid="{00000000-0005-0000-0000-0000A7070000}"/>
    <cellStyle name="Border - Style1 5" xfId="1983" xr:uid="{00000000-0005-0000-0000-0000A8070000}"/>
    <cellStyle name="Border - Style1 6" xfId="1984" xr:uid="{00000000-0005-0000-0000-0000A9070000}"/>
    <cellStyle name="Border - Style2" xfId="1985" xr:uid="{00000000-0005-0000-0000-0000AA070000}"/>
    <cellStyle name="Border 10" xfId="1986" xr:uid="{00000000-0005-0000-0000-0000AB070000}"/>
    <cellStyle name="Border 10 2" xfId="1987" xr:uid="{00000000-0005-0000-0000-0000AC070000}"/>
    <cellStyle name="Border 10 2 2" xfId="4147" xr:uid="{AC781D59-9169-4957-B8E6-D15DA43063D0}"/>
    <cellStyle name="Border 10 2_Table-View" xfId="4445" xr:uid="{4F8E39D6-3262-402A-A02D-4BBFAB4C1867}"/>
    <cellStyle name="Border 10 3" xfId="4146" xr:uid="{A4780209-7CBC-48BF-9FAF-365E8000F95D}"/>
    <cellStyle name="Border 10_Table-View" xfId="4444" xr:uid="{652E5B9C-B3CD-4CF4-89DB-741595B6DB65}"/>
    <cellStyle name="Border 11" xfId="1988" xr:uid="{00000000-0005-0000-0000-0000AD070000}"/>
    <cellStyle name="Border 11 2" xfId="1989" xr:uid="{00000000-0005-0000-0000-0000AE070000}"/>
    <cellStyle name="Border 11 2 2" xfId="4149" xr:uid="{4DAEFCF9-BE95-4454-AC59-8955EF31B6A0}"/>
    <cellStyle name="Border 11 2_Table-View" xfId="4447" xr:uid="{F1E0F174-3F40-4AEB-B982-6910093BEC97}"/>
    <cellStyle name="Border 11 3" xfId="4148" xr:uid="{56C8FD41-911B-4AF2-B7C8-55726C5545BF}"/>
    <cellStyle name="Border 11_Table-View" xfId="4446" xr:uid="{4EE8699C-7DCF-4CCF-AEC7-9BD96F75FD83}"/>
    <cellStyle name="Border 12" xfId="1990" xr:uid="{00000000-0005-0000-0000-0000AF070000}"/>
    <cellStyle name="Border 12 2" xfId="1991" xr:uid="{00000000-0005-0000-0000-0000B0070000}"/>
    <cellStyle name="Border 12 2 2" xfId="4151" xr:uid="{895A5E2F-3EEA-4542-97AE-39F2833AAD8B}"/>
    <cellStyle name="Border 12 2_Table-View" xfId="4449" xr:uid="{90708369-97C8-44FE-924C-E0CC516F9E7B}"/>
    <cellStyle name="Border 12 3" xfId="4150" xr:uid="{907712B2-7652-4AF3-8536-11D80C7CBD14}"/>
    <cellStyle name="Border 12_Table-View" xfId="4448" xr:uid="{B3059C4B-AAE7-4545-9397-5913C30E5C48}"/>
    <cellStyle name="Border 13" xfId="1992" xr:uid="{00000000-0005-0000-0000-0000B1070000}"/>
    <cellStyle name="Border 13 2" xfId="1993" xr:uid="{00000000-0005-0000-0000-0000B2070000}"/>
    <cellStyle name="Border 13 2 2" xfId="4153" xr:uid="{8C4527E8-DB83-4B7E-B975-B6B52B20911B}"/>
    <cellStyle name="Border 13 2_Table-View" xfId="4451" xr:uid="{FFD07C42-BA2F-493B-91D0-E33D6411F44B}"/>
    <cellStyle name="Border 13 3" xfId="4152" xr:uid="{CDB81148-63FD-478D-B5B0-27B23FC66386}"/>
    <cellStyle name="Border 13_Table-View" xfId="4450" xr:uid="{357297C2-DEAE-4293-A789-5024713BFD7B}"/>
    <cellStyle name="Border 14" xfId="1994" xr:uid="{00000000-0005-0000-0000-0000B3070000}"/>
    <cellStyle name="Border 14 2" xfId="1995" xr:uid="{00000000-0005-0000-0000-0000B4070000}"/>
    <cellStyle name="Border 14 2 2" xfId="4155" xr:uid="{34021573-69C3-4DDD-9B12-6EB713ABDC8E}"/>
    <cellStyle name="Border 14 2_Table-View" xfId="4453" xr:uid="{388BA765-D512-4739-9F80-6574D694FC2C}"/>
    <cellStyle name="Border 14 3" xfId="4154" xr:uid="{E26212AD-344A-4580-AEE0-3293596D88C6}"/>
    <cellStyle name="Border 14_Table-View" xfId="4452" xr:uid="{0FD040A1-646A-49BF-9FF7-8FB397759C18}"/>
    <cellStyle name="Border 15" xfId="1996" xr:uid="{00000000-0005-0000-0000-0000B5070000}"/>
    <cellStyle name="Border 15 2" xfId="1997" xr:uid="{00000000-0005-0000-0000-0000B6070000}"/>
    <cellStyle name="Border 15 2 2" xfId="4157" xr:uid="{F45A58AE-73BF-4252-8EED-4F59F2FA1BA5}"/>
    <cellStyle name="Border 15 2_Table-View" xfId="4455" xr:uid="{7FD7733A-116E-4476-BA89-012D03B03E47}"/>
    <cellStyle name="Border 15 3" xfId="4156" xr:uid="{A0EA2E43-172C-4BC0-878C-812F3B1B3CBC}"/>
    <cellStyle name="Border 15_Table-View" xfId="4454" xr:uid="{4049F8C1-03DD-4824-9348-2F113CAF19B1}"/>
    <cellStyle name="Border 16" xfId="1998" xr:uid="{00000000-0005-0000-0000-0000B7070000}"/>
    <cellStyle name="Border 16 2" xfId="1999" xr:uid="{00000000-0005-0000-0000-0000B8070000}"/>
    <cellStyle name="Border 16 2 2" xfId="4159" xr:uid="{ADFCB5BE-15B3-494D-966C-7EF280422360}"/>
    <cellStyle name="Border 16 2_Table-View" xfId="4457" xr:uid="{B8A5B184-3C7A-4E35-A294-4759B9B974FA}"/>
    <cellStyle name="Border 16 3" xfId="4158" xr:uid="{36ECEB69-0874-4898-B2CC-937D873FA793}"/>
    <cellStyle name="Border 16_Table-View" xfId="4456" xr:uid="{0473A1BD-246E-469E-84FA-8D3352FFBAFE}"/>
    <cellStyle name="Border 17" xfId="2000" xr:uid="{00000000-0005-0000-0000-0000B9070000}"/>
    <cellStyle name="Border 17 2" xfId="2001" xr:uid="{00000000-0005-0000-0000-0000BA070000}"/>
    <cellStyle name="Border 17 2 2" xfId="4161" xr:uid="{B0980000-F091-4C8F-BB7E-06605FF1D77B}"/>
    <cellStyle name="Border 17 2_Table-View" xfId="4459" xr:uid="{34D2785F-76B4-448F-B13C-12383DC47CAB}"/>
    <cellStyle name="Border 17 3" xfId="4160" xr:uid="{035EA1B3-536E-42F3-AE8F-02D93BE55B6E}"/>
    <cellStyle name="Border 17_Table-View" xfId="4458" xr:uid="{0E27D882-CF5D-49E2-A2DE-4209CFE14FCA}"/>
    <cellStyle name="Border 18" xfId="2002" xr:uid="{00000000-0005-0000-0000-0000BB070000}"/>
    <cellStyle name="Border 18 2" xfId="2003" xr:uid="{00000000-0005-0000-0000-0000BC070000}"/>
    <cellStyle name="Border 18 2 2" xfId="4163" xr:uid="{4C3C995C-B4C0-4F48-AF8F-C85E722DA642}"/>
    <cellStyle name="Border 18 2_Table-View" xfId="4461" xr:uid="{E764EE86-B41F-4495-A2D4-5496DE7E71AB}"/>
    <cellStyle name="Border 18 3" xfId="4162" xr:uid="{58AE6677-338F-45A0-B0BB-DA6AC35314EA}"/>
    <cellStyle name="Border 18_Table-View" xfId="4460" xr:uid="{244F76DF-2C8E-4579-BB13-BB57ADF14DF5}"/>
    <cellStyle name="Border 19" xfId="2004" xr:uid="{00000000-0005-0000-0000-0000BD070000}"/>
    <cellStyle name="Border 19 2" xfId="2005" xr:uid="{00000000-0005-0000-0000-0000BE070000}"/>
    <cellStyle name="Border 19 2 2" xfId="4165" xr:uid="{E9F2B690-53FF-41AB-9590-395B6D6B7FA5}"/>
    <cellStyle name="Border 19 2_Table-View" xfId="4463" xr:uid="{8FD407EC-61B9-4B7A-88B2-AB6A787EE5D0}"/>
    <cellStyle name="Border 19 3" xfId="4164" xr:uid="{29E42121-AA07-4D4E-85F3-B82DF4851A0E}"/>
    <cellStyle name="Border 19_Table-View" xfId="4462" xr:uid="{D4F9C63D-13D0-411C-B1E3-9B765D1BC679}"/>
    <cellStyle name="Border 2" xfId="2006" xr:uid="{00000000-0005-0000-0000-0000BF070000}"/>
    <cellStyle name="Border 2 2" xfId="2007" xr:uid="{00000000-0005-0000-0000-0000C0070000}"/>
    <cellStyle name="Border 2 2 2" xfId="2008" xr:uid="{00000000-0005-0000-0000-0000C1070000}"/>
    <cellStyle name="Border 2 2 2 2" xfId="2009" xr:uid="{00000000-0005-0000-0000-0000C2070000}"/>
    <cellStyle name="Border 2 2 2 2 2" xfId="4169" xr:uid="{41FBEC21-14A9-45EB-9B0A-1DB784E94B50}"/>
    <cellStyle name="Border 2 2 2 2_Table-View" xfId="4467" xr:uid="{6AC6BB20-99D3-4052-8CD1-9814FA4F87AC}"/>
    <cellStyle name="Border 2 2 2 3" xfId="4168" xr:uid="{1DB77962-5F2C-42DA-A8C5-882DCA3ACA67}"/>
    <cellStyle name="Border 2 2 2_Table-View" xfId="4466" xr:uid="{E38F4904-D875-47EA-91AE-68CB5157E3C9}"/>
    <cellStyle name="Border 2 2 3" xfId="2010" xr:uid="{00000000-0005-0000-0000-0000C3070000}"/>
    <cellStyle name="Border 2 2 3 2" xfId="2011" xr:uid="{00000000-0005-0000-0000-0000C4070000}"/>
    <cellStyle name="Border 2 2 3 2 2" xfId="4171" xr:uid="{AEFF2E35-ECEF-45BA-BFEB-08D1A5F78FC9}"/>
    <cellStyle name="Border 2 2 3 2_Table-View" xfId="4469" xr:uid="{80D6AB2A-A6B3-4159-B590-BAED6EE91D95}"/>
    <cellStyle name="Border 2 2 3 3" xfId="4170" xr:uid="{BB538AF2-514D-4E05-A082-783F391F5C09}"/>
    <cellStyle name="Border 2 2 3_Table-View" xfId="4468" xr:uid="{499B773D-53BF-4BAA-A675-3D1059AA3A0D}"/>
    <cellStyle name="Border 2 2 4" xfId="2012" xr:uid="{00000000-0005-0000-0000-0000C5070000}"/>
    <cellStyle name="Border 2 2 4 2" xfId="4172" xr:uid="{6B069E26-F827-4040-9F68-271A919D5A57}"/>
    <cellStyle name="Border 2 2 4_Table-View" xfId="4470" xr:uid="{A3603232-3DAD-4565-B6AC-7E68D44257BE}"/>
    <cellStyle name="Border 2 2 5" xfId="4167" xr:uid="{80E8472F-176C-472B-86BD-D24ED6746543}"/>
    <cellStyle name="Border 2 2_Table-View" xfId="4465" xr:uid="{F8B2DFA7-C9BA-4B03-9FC5-ED89D9F2FF77}"/>
    <cellStyle name="Border 2 3" xfId="2013" xr:uid="{00000000-0005-0000-0000-0000C6070000}"/>
    <cellStyle name="Border 2 3 2" xfId="2014" xr:uid="{00000000-0005-0000-0000-0000C7070000}"/>
    <cellStyle name="Border 2 3 2 2" xfId="4174" xr:uid="{DAD37836-2919-41D6-AB3F-448EF1BD9DFE}"/>
    <cellStyle name="Border 2 3 2_Table-View" xfId="4472" xr:uid="{022F0AE5-13AF-4F0F-A529-E311AD6D2CB5}"/>
    <cellStyle name="Border 2 3 3" xfId="4173" xr:uid="{82414000-CD00-4A32-AE73-968B8E359E22}"/>
    <cellStyle name="Border 2 3_Table-View" xfId="4471" xr:uid="{44D4ED38-2DE1-410C-A797-3E8154A56639}"/>
    <cellStyle name="Border 2 4" xfId="2015" xr:uid="{00000000-0005-0000-0000-0000C8070000}"/>
    <cellStyle name="Border 2 4 2" xfId="2016" xr:uid="{00000000-0005-0000-0000-0000C9070000}"/>
    <cellStyle name="Border 2 4 2 2" xfId="4176" xr:uid="{E5A51A5E-D309-4682-9270-294F4395CDE4}"/>
    <cellStyle name="Border 2 4 2_Table-View" xfId="4474" xr:uid="{464D016F-47F6-4CDB-A7D4-4242381807B0}"/>
    <cellStyle name="Border 2 4 3" xfId="4175" xr:uid="{028823FA-314B-4852-A8A0-55D514F1A6E8}"/>
    <cellStyle name="Border 2 4_Table-View" xfId="4473" xr:uid="{36D7C794-97A9-479B-97A5-C0D49835AD58}"/>
    <cellStyle name="Border 2 5" xfId="2017" xr:uid="{00000000-0005-0000-0000-0000CA070000}"/>
    <cellStyle name="Border 2 5 2" xfId="2018" xr:uid="{00000000-0005-0000-0000-0000CB070000}"/>
    <cellStyle name="Border 2 5 2 2" xfId="4178" xr:uid="{6A73E84E-C072-4F8F-80FD-0BF523B2A3C9}"/>
    <cellStyle name="Border 2 5 2_Table-View" xfId="4476" xr:uid="{CFE6C15D-5691-47A1-B488-1AE69FE69815}"/>
    <cellStyle name="Border 2 5 3" xfId="4177" xr:uid="{766D401C-00C8-4FBD-BFC4-009D9B6D54E6}"/>
    <cellStyle name="Border 2 5_Table-View" xfId="4475" xr:uid="{3CBA3B4D-03A1-46D4-8851-A76F5B715D63}"/>
    <cellStyle name="Border 2 6" xfId="2019" xr:uid="{00000000-0005-0000-0000-0000CC070000}"/>
    <cellStyle name="Border 2 6 2" xfId="2020" xr:uid="{00000000-0005-0000-0000-0000CD070000}"/>
    <cellStyle name="Border 2 6 2 2" xfId="4180" xr:uid="{78183D27-1876-4F49-A8D1-4F30F32C8939}"/>
    <cellStyle name="Border 2 6 2_Table-View" xfId="4478" xr:uid="{EA28CD88-F49D-40F1-80A4-E001C447A2AF}"/>
    <cellStyle name="Border 2 6 3" xfId="4179" xr:uid="{EE0B9314-65ED-426E-894D-6617504E9336}"/>
    <cellStyle name="Border 2 6_Table-View" xfId="4477" xr:uid="{348E1F22-A4EB-4403-98F5-EC5993254DE9}"/>
    <cellStyle name="Border 2 7" xfId="2021" xr:uid="{00000000-0005-0000-0000-0000CE070000}"/>
    <cellStyle name="Border 2 7 2" xfId="2022" xr:uid="{00000000-0005-0000-0000-0000CF070000}"/>
    <cellStyle name="Border 2 7 2 2" xfId="4182" xr:uid="{29C664B5-F7BB-4D5F-B1B0-B60C4D2EC72F}"/>
    <cellStyle name="Border 2 7 2_Table-View" xfId="4480" xr:uid="{79CC9E94-0879-4B75-8331-4AA7AB29CECC}"/>
    <cellStyle name="Border 2 7 3" xfId="4181" xr:uid="{F11BE652-C0C1-4EF9-A77B-2F460E60E24E}"/>
    <cellStyle name="Border 2 7_Table-View" xfId="4479" xr:uid="{D135D9EC-5443-40BF-B00F-4057402A99C0}"/>
    <cellStyle name="Border 2 8" xfId="4166" xr:uid="{1157B4A6-190A-4DCD-B84D-13D7A7C48C3D}"/>
    <cellStyle name="Border 2_Table-View" xfId="4464" xr:uid="{41721DDD-E4D6-490A-9C6C-C3567DA7206E}"/>
    <cellStyle name="Border 20" xfId="2023" xr:uid="{00000000-0005-0000-0000-0000D0070000}"/>
    <cellStyle name="Border 20 2" xfId="2024" xr:uid="{00000000-0005-0000-0000-0000D1070000}"/>
    <cellStyle name="Border 20 2 2" xfId="4184" xr:uid="{2A3C12EE-9CAE-4EA4-8B1A-018537DC7211}"/>
    <cellStyle name="Border 20 2_Table-View" xfId="4482" xr:uid="{F9285453-EE9C-488F-AD67-285456537320}"/>
    <cellStyle name="Border 20 3" xfId="4183" xr:uid="{237E522B-71C7-4E4A-B17B-8A301C8CBF78}"/>
    <cellStyle name="Border 20_Table-View" xfId="4481" xr:uid="{0FFE9962-26DA-4377-A613-260A2230DA08}"/>
    <cellStyle name="Border 21" xfId="2025" xr:uid="{00000000-0005-0000-0000-0000D2070000}"/>
    <cellStyle name="Border 21 2" xfId="4185" xr:uid="{2FA654ED-502E-4B6D-B1FC-701D1C2CC171}"/>
    <cellStyle name="Border 21_Table-View" xfId="4483" xr:uid="{58BD8E7D-CC32-497A-858F-8EAED06B51F8}"/>
    <cellStyle name="Border 22" xfId="4145" xr:uid="{AAFC4208-7A55-4390-91C1-D868011FE715}"/>
    <cellStyle name="Border 3" xfId="2026" xr:uid="{00000000-0005-0000-0000-0000D3070000}"/>
    <cellStyle name="Border 3 2" xfId="2027" xr:uid="{00000000-0005-0000-0000-0000D4070000}"/>
    <cellStyle name="Border 3 2 2" xfId="2028" xr:uid="{00000000-0005-0000-0000-0000D5070000}"/>
    <cellStyle name="Border 3 2 2 2" xfId="2029" xr:uid="{00000000-0005-0000-0000-0000D6070000}"/>
    <cellStyle name="Border 3 2 2 2 2" xfId="4189" xr:uid="{6AE94673-5FCC-409A-B764-14569E6C8354}"/>
    <cellStyle name="Border 3 2 2 2_Table-View" xfId="4487" xr:uid="{BB8C703F-392F-4909-8183-ADFEEEFAE218}"/>
    <cellStyle name="Border 3 2 2 3" xfId="4188" xr:uid="{C717A375-0880-4461-B317-648656EB436F}"/>
    <cellStyle name="Border 3 2 2_Table-View" xfId="4486" xr:uid="{149EC2EE-90EF-4049-9A62-74D3BC203944}"/>
    <cellStyle name="Border 3 2 3" xfId="2030" xr:uid="{00000000-0005-0000-0000-0000D7070000}"/>
    <cellStyle name="Border 3 2 3 2" xfId="2031" xr:uid="{00000000-0005-0000-0000-0000D8070000}"/>
    <cellStyle name="Border 3 2 3 2 2" xfId="4191" xr:uid="{22FD6775-2828-4790-A387-20CDA2BCF758}"/>
    <cellStyle name="Border 3 2 3 2_Table-View" xfId="4489" xr:uid="{8E8E0C13-69D9-4579-A499-01A3D9E51012}"/>
    <cellStyle name="Border 3 2 3 3" xfId="4190" xr:uid="{BA19160F-2D08-484A-B153-F5EBECC60459}"/>
    <cellStyle name="Border 3 2 3_Table-View" xfId="4488" xr:uid="{A6A1D9E8-EDCA-4B56-AE4B-8BC09347D59C}"/>
    <cellStyle name="Border 3 2 4" xfId="2032" xr:uid="{00000000-0005-0000-0000-0000D9070000}"/>
    <cellStyle name="Border 3 2 4 2" xfId="4192" xr:uid="{044CF0C2-F093-4795-A5A1-09A3E2AE9CCD}"/>
    <cellStyle name="Border 3 2 4_Table-View" xfId="4490" xr:uid="{07EBE6CD-CC7A-49E6-A342-F2C27052D391}"/>
    <cellStyle name="Border 3 2 5" xfId="4187" xr:uid="{E370C244-AB0A-411F-9E60-08C750C907BD}"/>
    <cellStyle name="Border 3 2_Table-View" xfId="4485" xr:uid="{3896F10B-86F2-46AE-8963-765183D58FB4}"/>
    <cellStyle name="Border 3 3" xfId="2033" xr:uid="{00000000-0005-0000-0000-0000DA070000}"/>
    <cellStyle name="Border 3 3 2" xfId="2034" xr:uid="{00000000-0005-0000-0000-0000DB070000}"/>
    <cellStyle name="Border 3 3 2 2" xfId="4194" xr:uid="{908F5592-ADF3-4C88-83FF-DD7C1B474EEA}"/>
    <cellStyle name="Border 3 3 2_Table-View" xfId="4492" xr:uid="{B5241AE5-D7FF-470B-ABB3-91E5A87C9BD3}"/>
    <cellStyle name="Border 3 3 3" xfId="4193" xr:uid="{C7A24B73-BF5D-49EC-A5C3-F1DB331800AA}"/>
    <cellStyle name="Border 3 3_Table-View" xfId="4491" xr:uid="{9FDC1071-117C-48F9-B10F-2A23F7B683AB}"/>
    <cellStyle name="Border 3 4" xfId="2035" xr:uid="{00000000-0005-0000-0000-0000DC070000}"/>
    <cellStyle name="Border 3 4 2" xfId="2036" xr:uid="{00000000-0005-0000-0000-0000DD070000}"/>
    <cellStyle name="Border 3 4 2 2" xfId="4196" xr:uid="{AC665A2A-051E-417A-8BBA-03169B0F061E}"/>
    <cellStyle name="Border 3 4 2_Table-View" xfId="4494" xr:uid="{8ABB8D7A-6EE7-4995-925D-883A1F887D3C}"/>
    <cellStyle name="Border 3 4 3" xfId="4195" xr:uid="{B403565C-0BB8-4C2A-BDCE-D67387ED2015}"/>
    <cellStyle name="Border 3 4_Table-View" xfId="4493" xr:uid="{E1E35A61-F588-457D-AC79-B430F0218353}"/>
    <cellStyle name="Border 3 5" xfId="2037" xr:uid="{00000000-0005-0000-0000-0000DE070000}"/>
    <cellStyle name="Border 3 5 2" xfId="2038" xr:uid="{00000000-0005-0000-0000-0000DF070000}"/>
    <cellStyle name="Border 3 5 2 2" xfId="4198" xr:uid="{F1E83C24-BD14-415E-B5B7-16D643E4FC87}"/>
    <cellStyle name="Border 3 5 2_Table-View" xfId="4496" xr:uid="{917141A8-8D4B-4E7D-BA1B-81D8AA1F68DE}"/>
    <cellStyle name="Border 3 5 3" xfId="4197" xr:uid="{96CA28A3-AC88-4166-BDA5-1525FCC5435A}"/>
    <cellStyle name="Border 3 5_Table-View" xfId="4495" xr:uid="{2C222A72-4034-40A5-B964-1B8480EEA600}"/>
    <cellStyle name="Border 3 6" xfId="2039" xr:uid="{00000000-0005-0000-0000-0000E0070000}"/>
    <cellStyle name="Border 3 6 2" xfId="2040" xr:uid="{00000000-0005-0000-0000-0000E1070000}"/>
    <cellStyle name="Border 3 6 2 2" xfId="4200" xr:uid="{EE1645B1-9333-4385-A4B4-A0889470627A}"/>
    <cellStyle name="Border 3 6 2_Table-View" xfId="4498" xr:uid="{88D62695-EA25-4CAC-A7BF-DA7D590FA01D}"/>
    <cellStyle name="Border 3 6 3" xfId="4199" xr:uid="{1F035D71-916A-4A2D-8E90-8F44E74B5B1A}"/>
    <cellStyle name="Border 3 6_Table-View" xfId="4497" xr:uid="{AAFAC319-3B58-4772-ADBD-0A4685E430E8}"/>
    <cellStyle name="Border 3 7" xfId="2041" xr:uid="{00000000-0005-0000-0000-0000E2070000}"/>
    <cellStyle name="Border 3 7 2" xfId="2042" xr:uid="{00000000-0005-0000-0000-0000E3070000}"/>
    <cellStyle name="Border 3 7 2 2" xfId="4202" xr:uid="{7E135776-F041-4DA4-84D0-1F06BF9C1E48}"/>
    <cellStyle name="Border 3 7 2_Table-View" xfId="4500" xr:uid="{F6EE3B99-10DF-48C7-A34D-F498799E01C6}"/>
    <cellStyle name="Border 3 7 3" xfId="4201" xr:uid="{E22B1F95-361F-4CA4-8F48-0B173D284365}"/>
    <cellStyle name="Border 3 7_Table-View" xfId="4499" xr:uid="{CBDBA112-29D2-449A-92AA-E352865B32EE}"/>
    <cellStyle name="Border 3 8" xfId="4186" xr:uid="{2419C126-AB81-4BF9-8687-12A5C2E5C93A}"/>
    <cellStyle name="Border 3_Table-View" xfId="4484" xr:uid="{73932DCB-4DFA-45D6-AC06-BBD09E911693}"/>
    <cellStyle name="Border 4" xfId="2043" xr:uid="{00000000-0005-0000-0000-0000E4070000}"/>
    <cellStyle name="Border 4 2" xfId="2044" xr:uid="{00000000-0005-0000-0000-0000E5070000}"/>
    <cellStyle name="Border 4 2 2" xfId="2045" xr:uid="{00000000-0005-0000-0000-0000E6070000}"/>
    <cellStyle name="Border 4 2 2 2" xfId="2046" xr:uid="{00000000-0005-0000-0000-0000E7070000}"/>
    <cellStyle name="Border 4 2 2 2 2" xfId="4206" xr:uid="{818E8981-2EEC-44EB-BE17-FA00BC1E10C6}"/>
    <cellStyle name="Border 4 2 2 2_Table-View" xfId="4504" xr:uid="{82480878-7887-436B-884E-5FC87523B839}"/>
    <cellStyle name="Border 4 2 2 3" xfId="4205" xr:uid="{9DA5BBBE-B4E2-4132-A2C7-F3986D8EAE9F}"/>
    <cellStyle name="Border 4 2 2_Table-View" xfId="4503" xr:uid="{B85DDF2E-44D2-4884-9AF0-31552549E822}"/>
    <cellStyle name="Border 4 2 3" xfId="2047" xr:uid="{00000000-0005-0000-0000-0000E8070000}"/>
    <cellStyle name="Border 4 2 3 2" xfId="2048" xr:uid="{00000000-0005-0000-0000-0000E9070000}"/>
    <cellStyle name="Border 4 2 3 2 2" xfId="4208" xr:uid="{28ED9A29-480D-4295-9F80-0EF37E57C4C2}"/>
    <cellStyle name="Border 4 2 3 2_Table-View" xfId="4506" xr:uid="{72A6BFE8-3174-46F3-AB7B-3ABEDFD3390B}"/>
    <cellStyle name="Border 4 2 3 3" xfId="4207" xr:uid="{1EDC5CA9-8EC0-4B4C-B889-9707B66743F1}"/>
    <cellStyle name="Border 4 2 3_Table-View" xfId="4505" xr:uid="{20A1B2FE-EDBA-4490-9284-B1E37C98921C}"/>
    <cellStyle name="Border 4 2 4" xfId="2049" xr:uid="{00000000-0005-0000-0000-0000EA070000}"/>
    <cellStyle name="Border 4 2 4 2" xfId="4209" xr:uid="{72C4E6E5-F879-46A1-86CE-0C305156C43E}"/>
    <cellStyle name="Border 4 2 4_Table-View" xfId="4507" xr:uid="{61B2346F-4A11-4C73-BA88-C26655FA1AD9}"/>
    <cellStyle name="Border 4 2 5" xfId="4204" xr:uid="{39F83C8A-252B-46ED-9D41-FDCD91B3B980}"/>
    <cellStyle name="Border 4 2_Table-View" xfId="4502" xr:uid="{5FE52A0C-9221-4BE2-83B2-02E2114ACFF9}"/>
    <cellStyle name="Border 4 3" xfId="2050" xr:uid="{00000000-0005-0000-0000-0000EB070000}"/>
    <cellStyle name="Border 4 3 2" xfId="2051" xr:uid="{00000000-0005-0000-0000-0000EC070000}"/>
    <cellStyle name="Border 4 3 2 2" xfId="4211" xr:uid="{232EFACC-9C0B-451D-A628-93FB529B5A1F}"/>
    <cellStyle name="Border 4 3 2_Table-View" xfId="4509" xr:uid="{9F2C3019-DE7B-46EA-9B0E-7D0E5783579A}"/>
    <cellStyle name="Border 4 3 3" xfId="4210" xr:uid="{8BFDC526-EB84-4112-BE0C-C873E84C4EC7}"/>
    <cellStyle name="Border 4 3_Table-View" xfId="4508" xr:uid="{39DC3737-0824-40D0-A8EB-5D99680A948F}"/>
    <cellStyle name="Border 4 4" xfId="2052" xr:uid="{00000000-0005-0000-0000-0000ED070000}"/>
    <cellStyle name="Border 4 4 2" xfId="2053" xr:uid="{00000000-0005-0000-0000-0000EE070000}"/>
    <cellStyle name="Border 4 4 2 2" xfId="4213" xr:uid="{AD1A780A-9C28-4857-8AE8-88FC8466F227}"/>
    <cellStyle name="Border 4 4 2_Table-View" xfId="4511" xr:uid="{4F855836-CD62-4DE2-8D3C-A8416303AE3E}"/>
    <cellStyle name="Border 4 4 3" xfId="4212" xr:uid="{729B3031-6866-4C3E-B5AD-AD5E5D079EB2}"/>
    <cellStyle name="Border 4 4_Table-View" xfId="4510" xr:uid="{F5C8230B-0E95-4DF5-945A-3EC05CCA637C}"/>
    <cellStyle name="Border 4 5" xfId="2054" xr:uid="{00000000-0005-0000-0000-0000EF070000}"/>
    <cellStyle name="Border 4 5 2" xfId="2055" xr:uid="{00000000-0005-0000-0000-0000F0070000}"/>
    <cellStyle name="Border 4 5 2 2" xfId="4215" xr:uid="{5A70F838-AD96-4F16-9DA3-ECD0CCEF0B49}"/>
    <cellStyle name="Border 4 5 2_Table-View" xfId="4513" xr:uid="{D83FA14C-D08C-40E7-8329-3412C26AD2A1}"/>
    <cellStyle name="Border 4 5 3" xfId="4214" xr:uid="{D39DFAA1-46F9-441B-B97A-A662828E086D}"/>
    <cellStyle name="Border 4 5_Table-View" xfId="4512" xr:uid="{7978301D-6FE4-46CD-B61C-CFF79553882C}"/>
    <cellStyle name="Border 4 6" xfId="2056" xr:uid="{00000000-0005-0000-0000-0000F1070000}"/>
    <cellStyle name="Border 4 6 2" xfId="2057" xr:uid="{00000000-0005-0000-0000-0000F2070000}"/>
    <cellStyle name="Border 4 6 2 2" xfId="4217" xr:uid="{405FC8A7-6B1E-4C8A-A849-06289AD19F5E}"/>
    <cellStyle name="Border 4 6 2_Table-View" xfId="4515" xr:uid="{B1B348B7-CF56-4957-B4DE-4F79192847F2}"/>
    <cellStyle name="Border 4 6 3" xfId="4216" xr:uid="{883A2817-D791-4C5B-A383-711D78043423}"/>
    <cellStyle name="Border 4 6_Table-View" xfId="4514" xr:uid="{E82998C5-9FF8-40B8-9EA3-58C5F0574D23}"/>
    <cellStyle name="Border 4 7" xfId="2058" xr:uid="{00000000-0005-0000-0000-0000F3070000}"/>
    <cellStyle name="Border 4 7 2" xfId="2059" xr:uid="{00000000-0005-0000-0000-0000F4070000}"/>
    <cellStyle name="Border 4 7 2 2" xfId="4219" xr:uid="{6059CC22-9D35-4F0A-9AF5-E19DC647A55A}"/>
    <cellStyle name="Border 4 7 2_Table-View" xfId="4517" xr:uid="{44DA4F70-B14F-4047-AEFD-C5833E7510E7}"/>
    <cellStyle name="Border 4 7 3" xfId="4218" xr:uid="{3A3FF36B-2F77-4833-B5DB-59218FABF97C}"/>
    <cellStyle name="Border 4 7_Table-View" xfId="4516" xr:uid="{5FC0D849-FE62-4745-A29F-1CEC5182A94C}"/>
    <cellStyle name="Border 4 8" xfId="4203" xr:uid="{58C1C99A-89E5-4D80-846A-554E92A0DC26}"/>
    <cellStyle name="Border 4_Table-View" xfId="4501" xr:uid="{F4A948DB-E10C-4DAF-A17B-DCD9FB5657DC}"/>
    <cellStyle name="Border 5" xfId="2060" xr:uid="{00000000-0005-0000-0000-0000F5070000}"/>
    <cellStyle name="Border 5 2" xfId="2061" xr:uid="{00000000-0005-0000-0000-0000F6070000}"/>
    <cellStyle name="Border 5 2 2" xfId="2062" xr:uid="{00000000-0005-0000-0000-0000F7070000}"/>
    <cellStyle name="Border 5 2 2 2" xfId="4222" xr:uid="{9B2BF54A-A550-4901-B8C8-FB770275DA1B}"/>
    <cellStyle name="Border 5 2 2_Table-View" xfId="4520" xr:uid="{BFA0873F-181D-4631-ABA0-374E40328E61}"/>
    <cellStyle name="Border 5 2 3" xfId="4221" xr:uid="{5DB97225-8940-41A6-83FC-AEF9AD486E49}"/>
    <cellStyle name="Border 5 2_Table-View" xfId="4519" xr:uid="{EC1382BC-258E-4041-9224-257DE6B9B820}"/>
    <cellStyle name="Border 5 3" xfId="2063" xr:uid="{00000000-0005-0000-0000-0000F8070000}"/>
    <cellStyle name="Border 5 3 2" xfId="2064" xr:uid="{00000000-0005-0000-0000-0000F9070000}"/>
    <cellStyle name="Border 5 3 2 2" xfId="4224" xr:uid="{C0BC6121-493A-46A3-9B0F-CADB9E6396F1}"/>
    <cellStyle name="Border 5 3 2_Table-View" xfId="4522" xr:uid="{467ACC3C-6645-4161-B3E2-9B8BF26319AB}"/>
    <cellStyle name="Border 5 3 3" xfId="4223" xr:uid="{631B3F32-3199-4ECB-965F-7AC590FA3D8F}"/>
    <cellStyle name="Border 5 3_Table-View" xfId="4521" xr:uid="{92952420-7D3D-4ACB-ADB3-C07D43990B63}"/>
    <cellStyle name="Border 5 4" xfId="2065" xr:uid="{00000000-0005-0000-0000-0000FA070000}"/>
    <cellStyle name="Border 5 4 2" xfId="4225" xr:uid="{7FED53DE-ECAC-478F-A80C-93F70403B47E}"/>
    <cellStyle name="Border 5 4_Table-View" xfId="4523" xr:uid="{78F364F6-FC02-4518-AD0B-7ED3B76DF745}"/>
    <cellStyle name="Border 5 5" xfId="4220" xr:uid="{E78BF155-380E-44FA-8DF6-0B13D0A51D4A}"/>
    <cellStyle name="Border 5_Table-View" xfId="4518" xr:uid="{CE4A8C63-AED1-4231-8B83-EB0FD55B8E60}"/>
    <cellStyle name="Border 6" xfId="2066" xr:uid="{00000000-0005-0000-0000-0000FB070000}"/>
    <cellStyle name="Border 6 2" xfId="2067" xr:uid="{00000000-0005-0000-0000-0000FC070000}"/>
    <cellStyle name="Border 6 2 2" xfId="4227" xr:uid="{0C786013-9A57-4690-9468-5B64292A0D8B}"/>
    <cellStyle name="Border 6 2_Table-View" xfId="4525" xr:uid="{5E5521D3-3DBF-462E-AFB6-ADB423C0B21D}"/>
    <cellStyle name="Border 6 3" xfId="4226" xr:uid="{7F5ADEC3-AFEF-4EF1-9281-B3A9FBBD6D83}"/>
    <cellStyle name="Border 6_Table-View" xfId="4524" xr:uid="{C26BC540-DE63-4D46-8297-477017C2C9C8}"/>
    <cellStyle name="Border 7" xfId="2068" xr:uid="{00000000-0005-0000-0000-0000FD070000}"/>
    <cellStyle name="Border 7 2" xfId="2069" xr:uid="{00000000-0005-0000-0000-0000FE070000}"/>
    <cellStyle name="Border 7 2 2" xfId="4229" xr:uid="{5A48FD0F-E7B9-4E16-B539-1D89238752C5}"/>
    <cellStyle name="Border 7 2_Table-View" xfId="4527" xr:uid="{39B50FD6-ECA6-4B2F-86AD-29EBA39C81AA}"/>
    <cellStyle name="Border 7 3" xfId="4228" xr:uid="{2FE3C871-324B-4206-9FDC-407AB1FC7DB9}"/>
    <cellStyle name="Border 7_Table-View" xfId="4526" xr:uid="{D18697F3-08E8-4A38-B220-D61BD8490869}"/>
    <cellStyle name="Border 8" xfId="2070" xr:uid="{00000000-0005-0000-0000-0000FF070000}"/>
    <cellStyle name="Border 8 2" xfId="2071" xr:uid="{00000000-0005-0000-0000-000000080000}"/>
    <cellStyle name="Border 8 2 2" xfId="4231" xr:uid="{5E0B95E0-E7FA-419B-95C0-6945E396509B}"/>
    <cellStyle name="Border 8 2_Table-View" xfId="4529" xr:uid="{A8A622DE-2D01-4B9E-B4D4-3F611107732B}"/>
    <cellStyle name="Border 8 3" xfId="4230" xr:uid="{D3ACF8C5-A2FC-4E3A-9578-82AB813FDB64}"/>
    <cellStyle name="Border 8_Table-View" xfId="4528" xr:uid="{1D2B2CB4-3FE4-469D-BC7B-BD3B6A3EC8B6}"/>
    <cellStyle name="Border 9" xfId="2072" xr:uid="{00000000-0005-0000-0000-000001080000}"/>
    <cellStyle name="Border 9 2" xfId="2073" xr:uid="{00000000-0005-0000-0000-000002080000}"/>
    <cellStyle name="Border 9 2 2" xfId="4233" xr:uid="{90EA0409-7396-4BB8-8A1D-2EC4FC36795A}"/>
    <cellStyle name="Border 9 2_Table-View" xfId="4531" xr:uid="{D90A9284-0EA1-4626-B402-BCF7FA88EC42}"/>
    <cellStyle name="Border 9 3" xfId="4232" xr:uid="{EDB1E375-F14D-47EA-8216-8F1C011054A5}"/>
    <cellStyle name="Border 9_Table-View" xfId="4530" xr:uid="{240EAC9A-CD64-4669-9214-11A903B03D32}"/>
    <cellStyle name="Border Heavy" xfId="2074" xr:uid="{00000000-0005-0000-0000-000003080000}"/>
    <cellStyle name="Border Thin" xfId="2075" xr:uid="{00000000-0005-0000-0000-000004080000}"/>
    <cellStyle name="Border Thin 2" xfId="2076" xr:uid="{00000000-0005-0000-0000-000005080000}"/>
    <cellStyle name="Border Thin 2 2" xfId="2077" xr:uid="{00000000-0005-0000-0000-000006080000}"/>
    <cellStyle name="Border Thin 2 2 2" xfId="2078" xr:uid="{00000000-0005-0000-0000-000007080000}"/>
    <cellStyle name="Border Thin 2 3" xfId="2079" xr:uid="{00000000-0005-0000-0000-000008080000}"/>
    <cellStyle name="Border Thin 2 3 2" xfId="2080" xr:uid="{00000000-0005-0000-0000-000009080000}"/>
    <cellStyle name="Border Thin 2 4" xfId="2081" xr:uid="{00000000-0005-0000-0000-00000A080000}"/>
    <cellStyle name="Border Thin 3" xfId="2082" xr:uid="{00000000-0005-0000-0000-00000B080000}"/>
    <cellStyle name="Border Thin 3 2" xfId="2083" xr:uid="{00000000-0005-0000-0000-00000C080000}"/>
    <cellStyle name="Border Thin 3 2 2" xfId="2084" xr:uid="{00000000-0005-0000-0000-00000D080000}"/>
    <cellStyle name="Border Thin 3 3" xfId="2085" xr:uid="{00000000-0005-0000-0000-00000E080000}"/>
    <cellStyle name="Border Thin 3 3 2" xfId="2086" xr:uid="{00000000-0005-0000-0000-00000F080000}"/>
    <cellStyle name="Border Thin 3 4" xfId="2087" xr:uid="{00000000-0005-0000-0000-000010080000}"/>
    <cellStyle name="Border Thin 4" xfId="2088" xr:uid="{00000000-0005-0000-0000-000011080000}"/>
    <cellStyle name="Border Thin 4 2" xfId="2089" xr:uid="{00000000-0005-0000-0000-000012080000}"/>
    <cellStyle name="Border Thin 4 2 2" xfId="2090" xr:uid="{00000000-0005-0000-0000-000013080000}"/>
    <cellStyle name="Border Thin 4 3" xfId="2091" xr:uid="{00000000-0005-0000-0000-000014080000}"/>
    <cellStyle name="Border Thin 4 3 2" xfId="2092" xr:uid="{00000000-0005-0000-0000-000015080000}"/>
    <cellStyle name="Border Thin 4 4" xfId="2093" xr:uid="{00000000-0005-0000-0000-000016080000}"/>
    <cellStyle name="Border Thin 5" xfId="2094" xr:uid="{00000000-0005-0000-0000-000017080000}"/>
    <cellStyle name="Border Thin 5 2" xfId="2095" xr:uid="{00000000-0005-0000-0000-000018080000}"/>
    <cellStyle name="Border Thin 6" xfId="2096" xr:uid="{00000000-0005-0000-0000-000019080000}"/>
    <cellStyle name="Border Thin 6 2" xfId="2097" xr:uid="{00000000-0005-0000-0000-00001A080000}"/>
    <cellStyle name="Border Thin 7" xfId="2098" xr:uid="{00000000-0005-0000-0000-00001B080000}"/>
    <cellStyle name="Border Thin 8" xfId="2099" xr:uid="{00000000-0005-0000-0000-00001C080000}"/>
    <cellStyle name="Border_1Q10 ERF Supplement 3-15-10 Check" xfId="2100" xr:uid="{00000000-0005-0000-0000-00001D080000}"/>
    <cellStyle name="BorderAreas" xfId="2101" xr:uid="{00000000-0005-0000-0000-00001E080000}"/>
    <cellStyle name="BorderBoth" xfId="2102" xr:uid="{00000000-0005-0000-0000-00001F080000}"/>
    <cellStyle name="BorderBoth 2" xfId="2103" xr:uid="{00000000-0005-0000-0000-000020080000}"/>
    <cellStyle name="BorderBoth 3" xfId="2104" xr:uid="{00000000-0005-0000-0000-000021080000}"/>
    <cellStyle name="BorderBottom" xfId="2105" xr:uid="{00000000-0005-0000-0000-000022080000}"/>
    <cellStyle name="BorderBottom 2" xfId="2106" xr:uid="{00000000-0005-0000-0000-000023080000}"/>
    <cellStyle name="BorderBottom 2 2" xfId="2107" xr:uid="{00000000-0005-0000-0000-000024080000}"/>
    <cellStyle name="BorderBottom 2 2 2" xfId="2108" xr:uid="{00000000-0005-0000-0000-000025080000}"/>
    <cellStyle name="BorderBottom 2 3" xfId="2109" xr:uid="{00000000-0005-0000-0000-000026080000}"/>
    <cellStyle name="BorderBottom 2 3 2" xfId="2110" xr:uid="{00000000-0005-0000-0000-000027080000}"/>
    <cellStyle name="BorderBottom 2 4" xfId="2111" xr:uid="{00000000-0005-0000-0000-000028080000}"/>
    <cellStyle name="BorderBottom 3" xfId="2112" xr:uid="{00000000-0005-0000-0000-000029080000}"/>
    <cellStyle name="BorderBottom 3 2" xfId="2113" xr:uid="{00000000-0005-0000-0000-00002A080000}"/>
    <cellStyle name="BorderBottom 3 2 2" xfId="2114" xr:uid="{00000000-0005-0000-0000-00002B080000}"/>
    <cellStyle name="BorderBottom 3 3" xfId="2115" xr:uid="{00000000-0005-0000-0000-00002C080000}"/>
    <cellStyle name="BorderBottom 3 3 2" xfId="2116" xr:uid="{00000000-0005-0000-0000-00002D080000}"/>
    <cellStyle name="BorderBottom 3 4" xfId="2117" xr:uid="{00000000-0005-0000-0000-00002E080000}"/>
    <cellStyle name="BorderBottom 4" xfId="2118" xr:uid="{00000000-0005-0000-0000-00002F080000}"/>
    <cellStyle name="BorderBottom 4 2" xfId="2119" xr:uid="{00000000-0005-0000-0000-000030080000}"/>
    <cellStyle name="BorderBottom 4 2 2" xfId="2120" xr:uid="{00000000-0005-0000-0000-000031080000}"/>
    <cellStyle name="BorderBottom 4 3" xfId="2121" xr:uid="{00000000-0005-0000-0000-000032080000}"/>
    <cellStyle name="BorderBottom 4 3 2" xfId="2122" xr:uid="{00000000-0005-0000-0000-000033080000}"/>
    <cellStyle name="BorderBottom 4 4" xfId="2123" xr:uid="{00000000-0005-0000-0000-000034080000}"/>
    <cellStyle name="BorderBottom 5" xfId="2124" xr:uid="{00000000-0005-0000-0000-000035080000}"/>
    <cellStyle name="BorderBottom 5 2" xfId="2125" xr:uid="{00000000-0005-0000-0000-000036080000}"/>
    <cellStyle name="BorderBottom 6" xfId="2126" xr:uid="{00000000-0005-0000-0000-000037080000}"/>
    <cellStyle name="BorderBottom 6 2" xfId="2127" xr:uid="{00000000-0005-0000-0000-000038080000}"/>
    <cellStyle name="BorderBottom 7" xfId="2128" xr:uid="{00000000-0005-0000-0000-000039080000}"/>
    <cellStyle name="BorderBottom 8" xfId="2129" xr:uid="{00000000-0005-0000-0000-00003A080000}"/>
    <cellStyle name="BorderTop" xfId="2130" xr:uid="{00000000-0005-0000-0000-00003B080000}"/>
    <cellStyle name="BorderTop 2" xfId="2131" xr:uid="{00000000-0005-0000-0000-00003C080000}"/>
    <cellStyle name="BorderTop 3" xfId="2132" xr:uid="{00000000-0005-0000-0000-00003D080000}"/>
    <cellStyle name="Bot2" xfId="2133" xr:uid="{00000000-0005-0000-0000-00003E080000}"/>
    <cellStyle name="Bot2 2" xfId="2134" xr:uid="{00000000-0005-0000-0000-00003F080000}"/>
    <cellStyle name="Bot2 2 2" xfId="2135" xr:uid="{00000000-0005-0000-0000-000040080000}"/>
    <cellStyle name="Bot2 2 2 2" xfId="2136" xr:uid="{00000000-0005-0000-0000-000041080000}"/>
    <cellStyle name="Bot2 2 3" xfId="2137" xr:uid="{00000000-0005-0000-0000-000042080000}"/>
    <cellStyle name="Bot2 2 3 2" xfId="2138" xr:uid="{00000000-0005-0000-0000-000043080000}"/>
    <cellStyle name="Bot2 2 4" xfId="2139" xr:uid="{00000000-0005-0000-0000-000044080000}"/>
    <cellStyle name="Bot2 3" xfId="2140" xr:uid="{00000000-0005-0000-0000-000045080000}"/>
    <cellStyle name="Bot2 3 2" xfId="2141" xr:uid="{00000000-0005-0000-0000-000046080000}"/>
    <cellStyle name="Bot2 3 2 2" xfId="2142" xr:uid="{00000000-0005-0000-0000-000047080000}"/>
    <cellStyle name="Bot2 3 3" xfId="2143" xr:uid="{00000000-0005-0000-0000-000048080000}"/>
    <cellStyle name="Bot2 3 3 2" xfId="2144" xr:uid="{00000000-0005-0000-0000-000049080000}"/>
    <cellStyle name="Bot2 3 4" xfId="2145" xr:uid="{00000000-0005-0000-0000-00004A080000}"/>
    <cellStyle name="Bot2 4" xfId="2146" xr:uid="{00000000-0005-0000-0000-00004B080000}"/>
    <cellStyle name="Bot2 4 2" xfId="2147" xr:uid="{00000000-0005-0000-0000-00004C080000}"/>
    <cellStyle name="Bot2 4 2 2" xfId="2148" xr:uid="{00000000-0005-0000-0000-00004D080000}"/>
    <cellStyle name="Bot2 4 3" xfId="2149" xr:uid="{00000000-0005-0000-0000-00004E080000}"/>
    <cellStyle name="Bot2 4 3 2" xfId="2150" xr:uid="{00000000-0005-0000-0000-00004F080000}"/>
    <cellStyle name="Bot2 4 4" xfId="2151" xr:uid="{00000000-0005-0000-0000-000050080000}"/>
    <cellStyle name="Bot2 5" xfId="2152" xr:uid="{00000000-0005-0000-0000-000051080000}"/>
    <cellStyle name="Bot2 5 2" xfId="2153" xr:uid="{00000000-0005-0000-0000-000052080000}"/>
    <cellStyle name="Bot2 6" xfId="2154" xr:uid="{00000000-0005-0000-0000-000053080000}"/>
    <cellStyle name="Bot2 6 2" xfId="2155" xr:uid="{00000000-0005-0000-0000-000054080000}"/>
    <cellStyle name="Bot2 7" xfId="2156" xr:uid="{00000000-0005-0000-0000-000055080000}"/>
    <cellStyle name="Bot2 8" xfId="2157" xr:uid="{00000000-0005-0000-0000-000056080000}"/>
    <cellStyle name="both - Style2" xfId="2158" xr:uid="{00000000-0005-0000-0000-000057080000}"/>
    <cellStyle name="both - Style2 2" xfId="2159" xr:uid="{00000000-0005-0000-0000-000058080000}"/>
    <cellStyle name="both - Style2 3" xfId="2160" xr:uid="{00000000-0005-0000-0000-000059080000}"/>
    <cellStyle name="Bottom Edge" xfId="2161" xr:uid="{00000000-0005-0000-0000-00005A080000}"/>
    <cellStyle name="Bottom Edge 2" xfId="2162" xr:uid="{00000000-0005-0000-0000-00005B080000}"/>
    <cellStyle name="Bottom Edge 3" xfId="2163" xr:uid="{00000000-0005-0000-0000-00005C080000}"/>
    <cellStyle name="bp--" xfId="2164" xr:uid="{00000000-0005-0000-0000-00005D080000}"/>
    <cellStyle name="Bullet" xfId="2165" xr:uid="{00000000-0005-0000-0000-00005E080000}"/>
    <cellStyle name="C_Blue - Style3" xfId="2166" xr:uid="{00000000-0005-0000-0000-00005F080000}"/>
    <cellStyle name="C_Brow - Style4" xfId="2167" xr:uid="{00000000-0005-0000-0000-000060080000}"/>
    <cellStyle name="c_HardInc " xfId="2168" xr:uid="{00000000-0005-0000-0000-000061080000}"/>
    <cellStyle name="c_HardInc _Sheet1" xfId="2169" xr:uid="{00000000-0005-0000-0000-000062080000}"/>
    <cellStyle name="c_HardInc _Stress" xfId="2170" xr:uid="{00000000-0005-0000-0000-000063080000}"/>
    <cellStyle name="C_Red - Style5" xfId="2171" xr:uid="{00000000-0005-0000-0000-000064080000}"/>
    <cellStyle name="C00A" xfId="2172" xr:uid="{00000000-0005-0000-0000-000065080000}"/>
    <cellStyle name="C00B" xfId="2173" xr:uid="{00000000-0005-0000-0000-000066080000}"/>
    <cellStyle name="C00L" xfId="2174" xr:uid="{00000000-0005-0000-0000-000067080000}"/>
    <cellStyle name="C01A" xfId="2175" xr:uid="{00000000-0005-0000-0000-000068080000}"/>
    <cellStyle name="C01B" xfId="2176" xr:uid="{00000000-0005-0000-0000-000069080000}"/>
    <cellStyle name="C01H" xfId="2177" xr:uid="{00000000-0005-0000-0000-00006A080000}"/>
    <cellStyle name="C01L" xfId="2178" xr:uid="{00000000-0005-0000-0000-00006B080000}"/>
    <cellStyle name="C02A" xfId="2179" xr:uid="{00000000-0005-0000-0000-00006C080000}"/>
    <cellStyle name="C02A 2" xfId="2180" xr:uid="{00000000-0005-0000-0000-00006D080000}"/>
    <cellStyle name="C02A 3" xfId="2181" xr:uid="{00000000-0005-0000-0000-00006E080000}"/>
    <cellStyle name="C02A 4" xfId="2182" xr:uid="{00000000-0005-0000-0000-00006F080000}"/>
    <cellStyle name="C02A 5" xfId="2183" xr:uid="{00000000-0005-0000-0000-000070080000}"/>
    <cellStyle name="C02A 6" xfId="2184" xr:uid="{00000000-0005-0000-0000-000071080000}"/>
    <cellStyle name="C02B" xfId="2185" xr:uid="{00000000-0005-0000-0000-000072080000}"/>
    <cellStyle name="C02H" xfId="2186" xr:uid="{00000000-0005-0000-0000-000073080000}"/>
    <cellStyle name="C02L" xfId="2187" xr:uid="{00000000-0005-0000-0000-000074080000}"/>
    <cellStyle name="C03A" xfId="2188" xr:uid="{00000000-0005-0000-0000-000075080000}"/>
    <cellStyle name="C03B" xfId="2189" xr:uid="{00000000-0005-0000-0000-000076080000}"/>
    <cellStyle name="C03H" xfId="2190" xr:uid="{00000000-0005-0000-0000-000077080000}"/>
    <cellStyle name="C03L" xfId="2191" xr:uid="{00000000-0005-0000-0000-000078080000}"/>
    <cellStyle name="C04A" xfId="2192" xr:uid="{00000000-0005-0000-0000-000079080000}"/>
    <cellStyle name="C04B" xfId="2193" xr:uid="{00000000-0005-0000-0000-00007A080000}"/>
    <cellStyle name="C04H" xfId="2194" xr:uid="{00000000-0005-0000-0000-00007B080000}"/>
    <cellStyle name="C04L" xfId="2195" xr:uid="{00000000-0005-0000-0000-00007C080000}"/>
    <cellStyle name="C05A" xfId="2196" xr:uid="{00000000-0005-0000-0000-00007D080000}"/>
    <cellStyle name="C05B" xfId="2197" xr:uid="{00000000-0005-0000-0000-00007E080000}"/>
    <cellStyle name="C05H" xfId="2198" xr:uid="{00000000-0005-0000-0000-00007F080000}"/>
    <cellStyle name="C05L" xfId="2199" xr:uid="{00000000-0005-0000-0000-000080080000}"/>
    <cellStyle name="C06A" xfId="2200" xr:uid="{00000000-0005-0000-0000-000081080000}"/>
    <cellStyle name="C06B" xfId="2201" xr:uid="{00000000-0005-0000-0000-000082080000}"/>
    <cellStyle name="C06H" xfId="2202" xr:uid="{00000000-0005-0000-0000-000083080000}"/>
    <cellStyle name="C06L" xfId="2203" xr:uid="{00000000-0005-0000-0000-000084080000}"/>
    <cellStyle name="C07A" xfId="2204" xr:uid="{00000000-0005-0000-0000-000085080000}"/>
    <cellStyle name="C07B" xfId="2205" xr:uid="{00000000-0005-0000-0000-000086080000}"/>
    <cellStyle name="C07H" xfId="2206" xr:uid="{00000000-0005-0000-0000-000087080000}"/>
    <cellStyle name="C07L" xfId="2207" xr:uid="{00000000-0005-0000-0000-000088080000}"/>
    <cellStyle name="CAD" xfId="2208" xr:uid="{00000000-0005-0000-0000-000089080000}"/>
    <cellStyle name="Calc Currency (0)" xfId="2209" xr:uid="{00000000-0005-0000-0000-00008A080000}"/>
    <cellStyle name="Calc Currency (2)" xfId="2210" xr:uid="{00000000-0005-0000-0000-00008B080000}"/>
    <cellStyle name="Calc Percent (0)" xfId="2211" xr:uid="{00000000-0005-0000-0000-00008C080000}"/>
    <cellStyle name="Calc Percent (1)" xfId="2212" xr:uid="{00000000-0005-0000-0000-00008D080000}"/>
    <cellStyle name="Calc Percent (2)" xfId="2213" xr:uid="{00000000-0005-0000-0000-00008E080000}"/>
    <cellStyle name="Calc Units (0)" xfId="2214" xr:uid="{00000000-0005-0000-0000-00008F080000}"/>
    <cellStyle name="Calc Units (1)" xfId="2215" xr:uid="{00000000-0005-0000-0000-000090080000}"/>
    <cellStyle name="Calc Units (2)" xfId="2216" xr:uid="{00000000-0005-0000-0000-000091080000}"/>
    <cellStyle name="CalcComma0" xfId="2217" xr:uid="{00000000-0005-0000-0000-000092080000}"/>
    <cellStyle name="CalcComma0 2" xfId="2218" xr:uid="{00000000-0005-0000-0000-000093080000}"/>
    <cellStyle name="CalcComma0 3" xfId="2219" xr:uid="{00000000-0005-0000-0000-000094080000}"/>
    <cellStyle name="CalcComma0 4" xfId="2220" xr:uid="{00000000-0005-0000-0000-000095080000}"/>
    <cellStyle name="CalcComma0 5" xfId="2221" xr:uid="{00000000-0005-0000-0000-000096080000}"/>
    <cellStyle name="CalcComma1" xfId="2222" xr:uid="{00000000-0005-0000-0000-000097080000}"/>
    <cellStyle name="CalcComma2" xfId="2223" xr:uid="{00000000-0005-0000-0000-000098080000}"/>
    <cellStyle name="CalcComma3" xfId="2224" xr:uid="{00000000-0005-0000-0000-000099080000}"/>
    <cellStyle name="CalcComma4" xfId="2225" xr:uid="{00000000-0005-0000-0000-00009A080000}"/>
    <cellStyle name="CalcCurr0" xfId="2226" xr:uid="{00000000-0005-0000-0000-00009B080000}"/>
    <cellStyle name="CalcCurr1" xfId="2227" xr:uid="{00000000-0005-0000-0000-00009C080000}"/>
    <cellStyle name="CalcCurr2" xfId="2228" xr:uid="{00000000-0005-0000-0000-00009D080000}"/>
    <cellStyle name="CalcCurr3" xfId="2229" xr:uid="{00000000-0005-0000-0000-00009E080000}"/>
    <cellStyle name="CalcCurr4" xfId="2230" xr:uid="{00000000-0005-0000-0000-00009F080000}"/>
    <cellStyle name="CalcPercent0" xfId="2231" xr:uid="{00000000-0005-0000-0000-0000A0080000}"/>
    <cellStyle name="CalcPercent1" xfId="2232" xr:uid="{00000000-0005-0000-0000-0000A1080000}"/>
    <cellStyle name="CalcPercent2" xfId="2233" xr:uid="{00000000-0005-0000-0000-0000A2080000}"/>
    <cellStyle name="Calculation" xfId="16" builtinId="22" customBuiltin="1"/>
    <cellStyle name="Calculations" xfId="2234" xr:uid="{00000000-0005-0000-0000-0000A4080000}"/>
    <cellStyle name="CashFlow" xfId="2235" xr:uid="{00000000-0005-0000-0000-0000A5080000}"/>
    <cellStyle name="CategoryBodyBorders" xfId="2236" xr:uid="{00000000-0005-0000-0000-0000A6080000}"/>
    <cellStyle name="CategoryBodyBorders 2" xfId="2237" xr:uid="{00000000-0005-0000-0000-0000A7080000}"/>
    <cellStyle name="CategoryBodyBorders 2 2" xfId="2238" xr:uid="{00000000-0005-0000-0000-0000A8080000}"/>
    <cellStyle name="CategoryBodyBorders 2 3" xfId="2239" xr:uid="{00000000-0005-0000-0000-0000A9080000}"/>
    <cellStyle name="CategoryBodyBorders 2 4" xfId="2240" xr:uid="{00000000-0005-0000-0000-0000AA080000}"/>
    <cellStyle name="CategoryBodyBorders 2 5" xfId="2241" xr:uid="{00000000-0005-0000-0000-0000AB080000}"/>
    <cellStyle name="CategoryBodyBorders 3" xfId="2242" xr:uid="{00000000-0005-0000-0000-0000AC080000}"/>
    <cellStyle name="CategoryBodyBorders 3 2" xfId="2243" xr:uid="{00000000-0005-0000-0000-0000AD080000}"/>
    <cellStyle name="CategoryBodyBorders 3 3" xfId="2244" xr:uid="{00000000-0005-0000-0000-0000AE080000}"/>
    <cellStyle name="CategoryBodyBorders 3 4" xfId="2245" xr:uid="{00000000-0005-0000-0000-0000AF080000}"/>
    <cellStyle name="CategoryBodyBorders 3 5" xfId="2246" xr:uid="{00000000-0005-0000-0000-0000B0080000}"/>
    <cellStyle name="CategoryBodyBorders 4" xfId="2247" xr:uid="{00000000-0005-0000-0000-0000B1080000}"/>
    <cellStyle name="CategoryBodyBorders 5" xfId="2248" xr:uid="{00000000-0005-0000-0000-0000B2080000}"/>
    <cellStyle name="CategoryBodyBorders 6" xfId="2249" xr:uid="{00000000-0005-0000-0000-0000B3080000}"/>
    <cellStyle name="CategoryBodyBorders 7" xfId="2250" xr:uid="{00000000-0005-0000-0000-0000B4080000}"/>
    <cellStyle name="CategoryBodyText" xfId="2251" xr:uid="{00000000-0005-0000-0000-0000B5080000}"/>
    <cellStyle name="CategoryBodyText 2" xfId="2252" xr:uid="{00000000-0005-0000-0000-0000B6080000}"/>
    <cellStyle name="CB Helv Cond Bld 16" xfId="2253" xr:uid="{00000000-0005-0000-0000-0000B7080000}"/>
    <cellStyle name="CB Helv Cond Bld 16 2" xfId="2254" xr:uid="{00000000-0005-0000-0000-0000B8080000}"/>
    <cellStyle name="CB Helv Cond Bld 16 3" xfId="2255" xr:uid="{00000000-0005-0000-0000-0000B9080000}"/>
    <cellStyle name="Center" xfId="2256" xr:uid="{00000000-0005-0000-0000-0000BA080000}"/>
    <cellStyle name="Center2" xfId="2257" xr:uid="{00000000-0005-0000-0000-0000BB080000}"/>
    <cellStyle name="Centered Heading" xfId="2258" xr:uid="{00000000-0005-0000-0000-0000BC080000}"/>
    <cellStyle name="Cents" xfId="2259" xr:uid="{00000000-0005-0000-0000-0000BD080000}"/>
    <cellStyle name="Cents (0.0)" xfId="2260" xr:uid="{00000000-0005-0000-0000-0000BE080000}"/>
    <cellStyle name="Cents_ETrade Model (Updated February 12, 2008) v.4" xfId="2261" xr:uid="{00000000-0005-0000-0000-0000BF080000}"/>
    <cellStyle name="Change" xfId="2262" xr:uid="{00000000-0005-0000-0000-0000C0080000}"/>
    <cellStyle name="Changeable" xfId="2263" xr:uid="{00000000-0005-0000-0000-0000C1080000}"/>
    <cellStyle name="Check Cell" xfId="18" builtinId="23" customBuiltin="1"/>
    <cellStyle name="CLear" xfId="2264" xr:uid="{00000000-0005-0000-0000-0000C3080000}"/>
    <cellStyle name="CLear 2" xfId="2265" xr:uid="{00000000-0005-0000-0000-0000C4080000}"/>
    <cellStyle name="CLear 3" xfId="2266" xr:uid="{00000000-0005-0000-0000-0000C5080000}"/>
    <cellStyle name="ClearInput" xfId="2267" xr:uid="{00000000-0005-0000-0000-0000C6080000}"/>
    <cellStyle name="ClearInput 2" xfId="2268" xr:uid="{00000000-0005-0000-0000-0000C7080000}"/>
    <cellStyle name="ClearInput 3" xfId="2269" xr:uid="{00000000-0005-0000-0000-0000C8080000}"/>
    <cellStyle name="ClearInput 4" xfId="2270" xr:uid="{00000000-0005-0000-0000-0000C9080000}"/>
    <cellStyle name="ClearInput 5" xfId="2271" xr:uid="{00000000-0005-0000-0000-0000CA080000}"/>
    <cellStyle name="Client" xfId="2272" xr:uid="{00000000-0005-0000-0000-0000CB080000}"/>
    <cellStyle name="Co. Names" xfId="2273" xr:uid="{00000000-0005-0000-0000-0000CC080000}"/>
    <cellStyle name="Co. Names - Bold" xfId="2274" xr:uid="{00000000-0005-0000-0000-0000CD080000}"/>
    <cellStyle name="Co. Names 10" xfId="2275" xr:uid="{00000000-0005-0000-0000-0000CE080000}"/>
    <cellStyle name="Co. Names 2" xfId="2276" xr:uid="{00000000-0005-0000-0000-0000CF080000}"/>
    <cellStyle name="Co. Names 3" xfId="2277" xr:uid="{00000000-0005-0000-0000-0000D0080000}"/>
    <cellStyle name="Co. Names 4" xfId="2278" xr:uid="{00000000-0005-0000-0000-0000D1080000}"/>
    <cellStyle name="Co. Names 5" xfId="2279" xr:uid="{00000000-0005-0000-0000-0000D2080000}"/>
    <cellStyle name="Co. Names 6" xfId="2280" xr:uid="{00000000-0005-0000-0000-0000D3080000}"/>
    <cellStyle name="Co. Names 7" xfId="2281" xr:uid="{00000000-0005-0000-0000-0000D4080000}"/>
    <cellStyle name="Co. Names 8" xfId="2282" xr:uid="{00000000-0005-0000-0000-0000D5080000}"/>
    <cellStyle name="Co. Names 9" xfId="2283" xr:uid="{00000000-0005-0000-0000-0000D6080000}"/>
    <cellStyle name="Co. Names_3Q09 ERF Supplement 9-17-09 revised 10022009" xfId="2284" xr:uid="{00000000-0005-0000-0000-0000D7080000}"/>
    <cellStyle name="COB" xfId="2285" xr:uid="{00000000-0005-0000-0000-0000D8080000}"/>
    <cellStyle name="Code" xfId="2286" xr:uid="{00000000-0005-0000-0000-0000D9080000}"/>
    <cellStyle name="Code Section" xfId="2287" xr:uid="{00000000-0005-0000-0000-0000DA080000}"/>
    <cellStyle name="COL HEADINGS" xfId="2288" xr:uid="{00000000-0005-0000-0000-0000DB080000}"/>
    <cellStyle name="COL HEADINGS 2" xfId="2289" xr:uid="{00000000-0005-0000-0000-0000DC080000}"/>
    <cellStyle name="COL HEADINGS 2 2" xfId="2290" xr:uid="{00000000-0005-0000-0000-0000DD080000}"/>
    <cellStyle name="COL HEADINGS 2 2 2" xfId="2291" xr:uid="{00000000-0005-0000-0000-0000DE080000}"/>
    <cellStyle name="COL HEADINGS 2 2 2 2" xfId="4237" xr:uid="{75DD903C-1546-49F2-8405-DF3BA1DA1953}"/>
    <cellStyle name="COL HEADINGS 2 2 3" xfId="4236" xr:uid="{A8C790E0-D799-4701-B07C-C6B9853150E2}"/>
    <cellStyle name="COL HEADINGS 2 3" xfId="2292" xr:uid="{00000000-0005-0000-0000-0000DF080000}"/>
    <cellStyle name="COL HEADINGS 2 3 2" xfId="2293" xr:uid="{00000000-0005-0000-0000-0000E0080000}"/>
    <cellStyle name="COL HEADINGS 2 3 2 2" xfId="4239" xr:uid="{42234BDE-E265-47F7-8209-3DD6E03E11B8}"/>
    <cellStyle name="COL HEADINGS 2 3 3" xfId="4238" xr:uid="{727A0136-3DA7-4D2F-90F7-96BE6F55E694}"/>
    <cellStyle name="COL HEADINGS 2 4" xfId="2294" xr:uid="{00000000-0005-0000-0000-0000E1080000}"/>
    <cellStyle name="COL HEADINGS 2 4 2" xfId="4240" xr:uid="{D900CF73-1665-422E-9765-594572E050B8}"/>
    <cellStyle name="COL HEADINGS 2 5" xfId="4235" xr:uid="{037659CF-20A5-4372-9651-D20173D41607}"/>
    <cellStyle name="COL HEADINGS 3" xfId="2295" xr:uid="{00000000-0005-0000-0000-0000E2080000}"/>
    <cellStyle name="COL HEADINGS 3 2" xfId="2296" xr:uid="{00000000-0005-0000-0000-0000E3080000}"/>
    <cellStyle name="COL HEADINGS 3 2 2" xfId="4242" xr:uid="{2A12BCB0-199A-4AA7-A4AE-2EECDF276F23}"/>
    <cellStyle name="COL HEADINGS 3 3" xfId="4241" xr:uid="{61F0022F-9AF6-4DAF-B9B8-4DA67876A415}"/>
    <cellStyle name="COL HEADINGS 4" xfId="2297" xr:uid="{00000000-0005-0000-0000-0000E4080000}"/>
    <cellStyle name="COL HEADINGS 4 2" xfId="2298" xr:uid="{00000000-0005-0000-0000-0000E5080000}"/>
    <cellStyle name="COL HEADINGS 4 2 2" xfId="4244" xr:uid="{8361B871-10CE-47B2-A06A-3263124A4406}"/>
    <cellStyle name="COL HEADINGS 4 3" xfId="4243" xr:uid="{80D0B9A8-E7EB-4622-88A2-912CB9299B68}"/>
    <cellStyle name="COL HEADINGS 5" xfId="2299" xr:uid="{00000000-0005-0000-0000-0000E6080000}"/>
    <cellStyle name="COL HEADINGS 5 2" xfId="2300" xr:uid="{00000000-0005-0000-0000-0000E7080000}"/>
    <cellStyle name="COL HEADINGS 5 2 2" xfId="4246" xr:uid="{14AB5E47-0CDD-482C-89B0-3E29225A4D1F}"/>
    <cellStyle name="COL HEADINGS 5 3" xfId="4245" xr:uid="{5FB4391A-3601-4103-983A-FD661AA91634}"/>
    <cellStyle name="COL HEADINGS 6" xfId="2301" xr:uid="{00000000-0005-0000-0000-0000E8080000}"/>
    <cellStyle name="COL HEADINGS 6 2" xfId="2302" xr:uid="{00000000-0005-0000-0000-0000E9080000}"/>
    <cellStyle name="COL HEADINGS 6 2 2" xfId="4248" xr:uid="{44F6A276-BDA5-4584-A56F-E1B4595EC1F4}"/>
    <cellStyle name="COL HEADINGS 6 3" xfId="4247" xr:uid="{F1D067A9-D571-49A6-A43E-1AF8CA3E6822}"/>
    <cellStyle name="COL HEADINGS 7" xfId="2303" xr:uid="{00000000-0005-0000-0000-0000EA080000}"/>
    <cellStyle name="COL HEADINGS 7 2" xfId="2304" xr:uid="{00000000-0005-0000-0000-0000EB080000}"/>
    <cellStyle name="COL HEADINGS 7 2 2" xfId="4250" xr:uid="{F89023D4-CB9E-4896-9DCA-87269743CC27}"/>
    <cellStyle name="COL HEADINGS 7 3" xfId="4249" xr:uid="{5ED2178E-5DCB-4BB4-9FFB-0A6BE16DEC89}"/>
    <cellStyle name="COL HEADINGS 8" xfId="4234" xr:uid="{AE9E5ACB-7282-4FB0-936C-B4EF93964CEC}"/>
    <cellStyle name="col1" xfId="2305" xr:uid="{00000000-0005-0000-0000-0000EC080000}"/>
    <cellStyle name="col1 2" xfId="2306" xr:uid="{00000000-0005-0000-0000-0000ED080000}"/>
    <cellStyle name="col1 3" xfId="2307" xr:uid="{00000000-0005-0000-0000-0000EE080000}"/>
    <cellStyle name="col1 4" xfId="2308" xr:uid="{00000000-0005-0000-0000-0000EF080000}"/>
    <cellStyle name="col1 5" xfId="2309" xr:uid="{00000000-0005-0000-0000-0000F0080000}"/>
    <cellStyle name="ColBlue" xfId="2310" xr:uid="{00000000-0005-0000-0000-0000F1080000}"/>
    <cellStyle name="ColGreen" xfId="2311" xr:uid="{00000000-0005-0000-0000-0000F2080000}"/>
    <cellStyle name="ColHead" xfId="2312" xr:uid="{00000000-0005-0000-0000-0000F3080000}"/>
    <cellStyle name="ColHeading" xfId="2313" xr:uid="{00000000-0005-0000-0000-0000F4080000}"/>
    <cellStyle name="ColRed" xfId="2314" xr:uid="{00000000-0005-0000-0000-0000F5080000}"/>
    <cellStyle name="Column Headers" xfId="2315" xr:uid="{00000000-0005-0000-0000-0000F6080000}"/>
    <cellStyle name="ColumnHdrs" xfId="2316" xr:uid="{00000000-0005-0000-0000-0000F7080000}"/>
    <cellStyle name="ColumnHdrs 2" xfId="2317" xr:uid="{00000000-0005-0000-0000-0000F8080000}"/>
    <cellStyle name="ColumnHdrs 3" xfId="2318" xr:uid="{00000000-0005-0000-0000-0000F9080000}"/>
    <cellStyle name="Com¶" xfId="2319" xr:uid="{00000000-0005-0000-0000-0000FA080000}"/>
    <cellStyle name="Comma  - Style1" xfId="2320" xr:uid="{00000000-0005-0000-0000-0000FB080000}"/>
    <cellStyle name="Comma  - Style2" xfId="2321" xr:uid="{00000000-0005-0000-0000-0000FC080000}"/>
    <cellStyle name="Comma  - Style3" xfId="2322" xr:uid="{00000000-0005-0000-0000-0000FD080000}"/>
    <cellStyle name="Comma  - Style4" xfId="2323" xr:uid="{00000000-0005-0000-0000-0000FE080000}"/>
    <cellStyle name="Comma  - Style5" xfId="2324" xr:uid="{00000000-0005-0000-0000-0000FF080000}"/>
    <cellStyle name="Comma  - Style6" xfId="2325" xr:uid="{00000000-0005-0000-0000-000000090000}"/>
    <cellStyle name="Comma  - Style7" xfId="2326" xr:uid="{00000000-0005-0000-0000-000001090000}"/>
    <cellStyle name="Comma  - Style8" xfId="2327" xr:uid="{00000000-0005-0000-0000-000002090000}"/>
    <cellStyle name="Comma (1)" xfId="2328" xr:uid="{00000000-0005-0000-0000-000003090000}"/>
    <cellStyle name="Comma (2)" xfId="2329" xr:uid="{00000000-0005-0000-0000-000004090000}"/>
    <cellStyle name="Comma [0] - Credits" xfId="2330" xr:uid="{00000000-0005-0000-0000-000005090000}"/>
    <cellStyle name="Comma [0] - Debits" xfId="2331" xr:uid="{00000000-0005-0000-0000-000006090000}"/>
    <cellStyle name="Comma [0] 2" xfId="2332" xr:uid="{00000000-0005-0000-0000-000007090000}"/>
    <cellStyle name="Comma [00]" xfId="2333" xr:uid="{00000000-0005-0000-0000-000008090000}"/>
    <cellStyle name="Comma [1]" xfId="2334" xr:uid="{00000000-0005-0000-0000-000009090000}"/>
    <cellStyle name="Comma [2]" xfId="2335" xr:uid="{00000000-0005-0000-0000-00000A090000}"/>
    <cellStyle name="Comma 0" xfId="2336" xr:uid="{00000000-0005-0000-0000-00000B090000}"/>
    <cellStyle name="Comma 0.0" xfId="2337" xr:uid="{00000000-0005-0000-0000-00000C090000}"/>
    <cellStyle name="Comma 0.00" xfId="2338" xr:uid="{00000000-0005-0000-0000-00000D090000}"/>
    <cellStyle name="Comma 0.000" xfId="2339" xr:uid="{00000000-0005-0000-0000-00000E090000}"/>
    <cellStyle name="Comma 0.0000" xfId="2340" xr:uid="{00000000-0005-0000-0000-00000F090000}"/>
    <cellStyle name="Comma 10" xfId="2341" xr:uid="{00000000-0005-0000-0000-000010090000}"/>
    <cellStyle name="Comma 11" xfId="2342" xr:uid="{00000000-0005-0000-0000-000011090000}"/>
    <cellStyle name="Comma 12" xfId="2343" xr:uid="{00000000-0005-0000-0000-000012090000}"/>
    <cellStyle name="Comma 13" xfId="2344" xr:uid="{00000000-0005-0000-0000-000013090000}"/>
    <cellStyle name="Comma 14" xfId="2345" xr:uid="{00000000-0005-0000-0000-000014090000}"/>
    <cellStyle name="Comma 15" xfId="2346" xr:uid="{00000000-0005-0000-0000-000015090000}"/>
    <cellStyle name="Comma 16" xfId="2347" xr:uid="{00000000-0005-0000-0000-000016090000}"/>
    <cellStyle name="Comma 17" xfId="2348" xr:uid="{00000000-0005-0000-0000-000017090000}"/>
    <cellStyle name="Comma 18" xfId="2349" xr:uid="{00000000-0005-0000-0000-000018090000}"/>
    <cellStyle name="Comma 19" xfId="2350" xr:uid="{00000000-0005-0000-0000-000019090000}"/>
    <cellStyle name="Comma 19 2" xfId="2351" xr:uid="{00000000-0005-0000-0000-00001A090000}"/>
    <cellStyle name="Comma 2" xfId="2352" xr:uid="{00000000-0005-0000-0000-00001B090000}"/>
    <cellStyle name="Comma 2 2" xfId="2353" xr:uid="{00000000-0005-0000-0000-00001C090000}"/>
    <cellStyle name="Comma 2_Data" xfId="2354" xr:uid="{00000000-0005-0000-0000-00001D090000}"/>
    <cellStyle name="Comma 20" xfId="2355" xr:uid="{00000000-0005-0000-0000-00001E090000}"/>
    <cellStyle name="Comma 21" xfId="2356" xr:uid="{00000000-0005-0000-0000-00001F090000}"/>
    <cellStyle name="Comma 22" xfId="2357" xr:uid="{00000000-0005-0000-0000-000020090000}"/>
    <cellStyle name="Comma 23" xfId="2358" xr:uid="{00000000-0005-0000-0000-000021090000}"/>
    <cellStyle name="Comma 24" xfId="2359" xr:uid="{00000000-0005-0000-0000-000022090000}"/>
    <cellStyle name="Comma 25" xfId="2360" xr:uid="{00000000-0005-0000-0000-000023090000}"/>
    <cellStyle name="Comma 26" xfId="2361" xr:uid="{00000000-0005-0000-0000-000024090000}"/>
    <cellStyle name="Comma 27" xfId="2362" xr:uid="{00000000-0005-0000-0000-000025090000}"/>
    <cellStyle name="Comma 28" xfId="2363" xr:uid="{00000000-0005-0000-0000-000026090000}"/>
    <cellStyle name="Comma 29" xfId="2364" xr:uid="{00000000-0005-0000-0000-000027090000}"/>
    <cellStyle name="Comma 3" xfId="2365" xr:uid="{00000000-0005-0000-0000-000028090000}"/>
    <cellStyle name="Comma 3 2" xfId="2366" xr:uid="{00000000-0005-0000-0000-000029090000}"/>
    <cellStyle name="Comma 3 2 2" xfId="2367" xr:uid="{00000000-0005-0000-0000-00002A090000}"/>
    <cellStyle name="Comma 3 2 2 2" xfId="2368" xr:uid="{00000000-0005-0000-0000-00002B090000}"/>
    <cellStyle name="Comma 3 2 3" xfId="2369" xr:uid="{00000000-0005-0000-0000-00002C090000}"/>
    <cellStyle name="Comma 3 2 4" xfId="2370" xr:uid="{00000000-0005-0000-0000-00002D090000}"/>
    <cellStyle name="Comma 3 3" xfId="2371" xr:uid="{00000000-0005-0000-0000-00002E090000}"/>
    <cellStyle name="Comma 3 3 2" xfId="2372" xr:uid="{00000000-0005-0000-0000-00002F090000}"/>
    <cellStyle name="Comma 3 3 3" xfId="2373" xr:uid="{00000000-0005-0000-0000-000030090000}"/>
    <cellStyle name="Comma 3 3 4" xfId="2374" xr:uid="{00000000-0005-0000-0000-000031090000}"/>
    <cellStyle name="Comma 3 4" xfId="2375" xr:uid="{00000000-0005-0000-0000-000032090000}"/>
    <cellStyle name="Comma 3 5" xfId="2376" xr:uid="{00000000-0005-0000-0000-000033090000}"/>
    <cellStyle name="Comma 3 5 2" xfId="2377" xr:uid="{00000000-0005-0000-0000-000034090000}"/>
    <cellStyle name="Comma 3 6" xfId="2378" xr:uid="{00000000-0005-0000-0000-000035090000}"/>
    <cellStyle name="Comma 3 7" xfId="2379" xr:uid="{00000000-0005-0000-0000-000036090000}"/>
    <cellStyle name="Comma 30" xfId="2380" xr:uid="{00000000-0005-0000-0000-000037090000}"/>
    <cellStyle name="Comma 31" xfId="2381" xr:uid="{00000000-0005-0000-0000-000038090000}"/>
    <cellStyle name="Comma 32" xfId="2382" xr:uid="{00000000-0005-0000-0000-000039090000}"/>
    <cellStyle name="Comma 33" xfId="2383" xr:uid="{00000000-0005-0000-0000-00003A090000}"/>
    <cellStyle name="Comma 34" xfId="2384" xr:uid="{00000000-0005-0000-0000-00003B090000}"/>
    <cellStyle name="Comma 35" xfId="2385" xr:uid="{00000000-0005-0000-0000-00003C090000}"/>
    <cellStyle name="Comma 36" xfId="2386" xr:uid="{00000000-0005-0000-0000-00003D090000}"/>
    <cellStyle name="Comma 37" xfId="2387" xr:uid="{00000000-0005-0000-0000-00003E090000}"/>
    <cellStyle name="Comma 38" xfId="2388" xr:uid="{00000000-0005-0000-0000-00003F090000}"/>
    <cellStyle name="Comma 39" xfId="2389" xr:uid="{00000000-0005-0000-0000-000040090000}"/>
    <cellStyle name="Comma 4" xfId="2390" xr:uid="{00000000-0005-0000-0000-000041090000}"/>
    <cellStyle name="Comma 4 2" xfId="2391" xr:uid="{00000000-0005-0000-0000-000042090000}"/>
    <cellStyle name="Comma 4 2 2" xfId="2392" xr:uid="{00000000-0005-0000-0000-000043090000}"/>
    <cellStyle name="Comma 4 2 2 2" xfId="2393" xr:uid="{00000000-0005-0000-0000-000044090000}"/>
    <cellStyle name="Comma 4 2 2 3" xfId="2394" xr:uid="{00000000-0005-0000-0000-000045090000}"/>
    <cellStyle name="Comma 4 2 2 4" xfId="2395" xr:uid="{00000000-0005-0000-0000-000046090000}"/>
    <cellStyle name="Comma 4 3" xfId="2396" xr:uid="{00000000-0005-0000-0000-000047090000}"/>
    <cellStyle name="Comma 4 4" xfId="2397" xr:uid="{00000000-0005-0000-0000-000048090000}"/>
    <cellStyle name="Comma 40" xfId="2398" xr:uid="{00000000-0005-0000-0000-000049090000}"/>
    <cellStyle name="Comma 41" xfId="2399" xr:uid="{00000000-0005-0000-0000-00004A090000}"/>
    <cellStyle name="Comma 42" xfId="2400" xr:uid="{00000000-0005-0000-0000-00004B090000}"/>
    <cellStyle name="Comma 43" xfId="2401" xr:uid="{00000000-0005-0000-0000-00004C090000}"/>
    <cellStyle name="Comma 43 2" xfId="2402" xr:uid="{00000000-0005-0000-0000-00004D090000}"/>
    <cellStyle name="Comma 43 3" xfId="2403" xr:uid="{00000000-0005-0000-0000-00004E090000}"/>
    <cellStyle name="Comma 43 3 2" xfId="2404" xr:uid="{00000000-0005-0000-0000-00004F090000}"/>
    <cellStyle name="Comma 44" xfId="2405" xr:uid="{00000000-0005-0000-0000-000050090000}"/>
    <cellStyle name="Comma 45" xfId="2406" xr:uid="{00000000-0005-0000-0000-000051090000}"/>
    <cellStyle name="Comma 46" xfId="2407" xr:uid="{00000000-0005-0000-0000-000052090000}"/>
    <cellStyle name="Comma 47" xfId="2408" xr:uid="{00000000-0005-0000-0000-000053090000}"/>
    <cellStyle name="Comma 48" xfId="2409" xr:uid="{00000000-0005-0000-0000-000054090000}"/>
    <cellStyle name="Comma 49" xfId="2410" xr:uid="{00000000-0005-0000-0000-000055090000}"/>
    <cellStyle name="Comma 5" xfId="2411" xr:uid="{00000000-0005-0000-0000-000056090000}"/>
    <cellStyle name="Comma 50" xfId="2412" xr:uid="{00000000-0005-0000-0000-000057090000}"/>
    <cellStyle name="Comma 51" xfId="2413" xr:uid="{00000000-0005-0000-0000-000058090000}"/>
    <cellStyle name="Comma 52" xfId="2414" xr:uid="{00000000-0005-0000-0000-000059090000}"/>
    <cellStyle name="Comma 53" xfId="2415" xr:uid="{00000000-0005-0000-0000-00005A090000}"/>
    <cellStyle name="Comma 54" xfId="2416" xr:uid="{00000000-0005-0000-0000-00005B090000}"/>
    <cellStyle name="Comma 55" xfId="2417" xr:uid="{00000000-0005-0000-0000-00005C090000}"/>
    <cellStyle name="Comma 56" xfId="2418" xr:uid="{00000000-0005-0000-0000-00005D090000}"/>
    <cellStyle name="Comma 57" xfId="2419" xr:uid="{00000000-0005-0000-0000-00005E090000}"/>
    <cellStyle name="Comma 58" xfId="2420" xr:uid="{00000000-0005-0000-0000-00005F090000}"/>
    <cellStyle name="Comma 59" xfId="2421" xr:uid="{00000000-0005-0000-0000-000060090000}"/>
    <cellStyle name="Comma 6" xfId="2422" xr:uid="{00000000-0005-0000-0000-000061090000}"/>
    <cellStyle name="Comma 6 2" xfId="2423" xr:uid="{00000000-0005-0000-0000-000062090000}"/>
    <cellStyle name="Comma 6 2 2" xfId="2424" xr:uid="{00000000-0005-0000-0000-000063090000}"/>
    <cellStyle name="Comma 6 3" xfId="2425" xr:uid="{00000000-0005-0000-0000-000064090000}"/>
    <cellStyle name="Comma 6 4" xfId="2426" xr:uid="{00000000-0005-0000-0000-000065090000}"/>
    <cellStyle name="Comma 6 5" xfId="2427" xr:uid="{00000000-0005-0000-0000-000066090000}"/>
    <cellStyle name="Comma 60" xfId="2428" xr:uid="{00000000-0005-0000-0000-000067090000}"/>
    <cellStyle name="Comma 61" xfId="2429" xr:uid="{00000000-0005-0000-0000-000068090000}"/>
    <cellStyle name="Comma 62" xfId="2430" xr:uid="{00000000-0005-0000-0000-000069090000}"/>
    <cellStyle name="Comma 63" xfId="2431" xr:uid="{00000000-0005-0000-0000-00006A090000}"/>
    <cellStyle name="Comma 64" xfId="2432" xr:uid="{00000000-0005-0000-0000-00006B090000}"/>
    <cellStyle name="Comma 65" xfId="2433" xr:uid="{00000000-0005-0000-0000-00006C090000}"/>
    <cellStyle name="Comma 66" xfId="2434" xr:uid="{00000000-0005-0000-0000-00006D090000}"/>
    <cellStyle name="Comma 67" xfId="2435" xr:uid="{00000000-0005-0000-0000-00006E090000}"/>
    <cellStyle name="Comma 68" xfId="2436" xr:uid="{00000000-0005-0000-0000-00006F090000}"/>
    <cellStyle name="Comma 69" xfId="2437" xr:uid="{00000000-0005-0000-0000-000070090000}"/>
    <cellStyle name="Comma 7" xfId="2438" xr:uid="{00000000-0005-0000-0000-000071090000}"/>
    <cellStyle name="Comma 70" xfId="2439" xr:uid="{00000000-0005-0000-0000-000072090000}"/>
    <cellStyle name="Comma 71" xfId="2440" xr:uid="{00000000-0005-0000-0000-000073090000}"/>
    <cellStyle name="Comma 72" xfId="2441" xr:uid="{00000000-0005-0000-0000-000074090000}"/>
    <cellStyle name="Comma 8" xfId="2442" xr:uid="{00000000-0005-0000-0000-000075090000}"/>
    <cellStyle name="Comma 8 2" xfId="2443" xr:uid="{00000000-0005-0000-0000-000076090000}"/>
    <cellStyle name="Comma 8 3" xfId="2444" xr:uid="{00000000-0005-0000-0000-000077090000}"/>
    <cellStyle name="Comma 8 3 2" xfId="2445" xr:uid="{00000000-0005-0000-0000-000078090000}"/>
    <cellStyle name="Comma 9" xfId="2446" xr:uid="{00000000-0005-0000-0000-000079090000}"/>
    <cellStyle name="Comma Cents" xfId="2447" xr:uid="{00000000-0005-0000-0000-00007A090000}"/>
    <cellStyle name="Comma no decimal" xfId="2448" xr:uid="{00000000-0005-0000-0000-00007B090000}"/>
    <cellStyle name="Comma one decimal" xfId="2449" xr:uid="{00000000-0005-0000-0000-00007C090000}"/>
    <cellStyle name="comma zerodec" xfId="2450" xr:uid="{00000000-0005-0000-0000-00007D090000}"/>
    <cellStyle name="Comma*" xfId="2451" xr:uid="{00000000-0005-0000-0000-00007E090000}"/>
    <cellStyle name="COMMA, 0" xfId="2452" xr:uid="{00000000-0005-0000-0000-00007F090000}"/>
    <cellStyle name="COMMA, 0 2" xfId="2453" xr:uid="{00000000-0005-0000-0000-000080090000}"/>
    <cellStyle name="COMMA, 0 2 2" xfId="2454" xr:uid="{00000000-0005-0000-0000-000081090000}"/>
    <cellStyle name="COMMA, 0 2 2 2" xfId="2455" xr:uid="{00000000-0005-0000-0000-000082090000}"/>
    <cellStyle name="COMMA, 0 2 2 2 2" xfId="2456" xr:uid="{00000000-0005-0000-0000-000083090000}"/>
    <cellStyle name="COMMA, 0 2 2 3" xfId="2457" xr:uid="{00000000-0005-0000-0000-000084090000}"/>
    <cellStyle name="COMMA, 0 2 2 3 2" xfId="2458" xr:uid="{00000000-0005-0000-0000-000085090000}"/>
    <cellStyle name="COMMA, 0 2 2 4" xfId="2459" xr:uid="{00000000-0005-0000-0000-000086090000}"/>
    <cellStyle name="COMMA, 0 2 3" xfId="2460" xr:uid="{00000000-0005-0000-0000-000087090000}"/>
    <cellStyle name="COMMA, 0 2 3 2" xfId="2461" xr:uid="{00000000-0005-0000-0000-000088090000}"/>
    <cellStyle name="COMMA, 0 2 3 2 2" xfId="2462" xr:uid="{00000000-0005-0000-0000-000089090000}"/>
    <cellStyle name="COMMA, 0 2 3 3" xfId="2463" xr:uid="{00000000-0005-0000-0000-00008A090000}"/>
    <cellStyle name="COMMA, 0 2 3 3 2" xfId="2464" xr:uid="{00000000-0005-0000-0000-00008B090000}"/>
    <cellStyle name="COMMA, 0 2 3 4" xfId="2465" xr:uid="{00000000-0005-0000-0000-00008C090000}"/>
    <cellStyle name="COMMA, 0 2 4" xfId="2466" xr:uid="{00000000-0005-0000-0000-00008D090000}"/>
    <cellStyle name="COMMA, 0 2 4 2" xfId="2467" xr:uid="{00000000-0005-0000-0000-00008E090000}"/>
    <cellStyle name="COMMA, 0 2 4 2 2" xfId="2468" xr:uid="{00000000-0005-0000-0000-00008F090000}"/>
    <cellStyle name="COMMA, 0 2 4 3" xfId="2469" xr:uid="{00000000-0005-0000-0000-000090090000}"/>
    <cellStyle name="COMMA, 0 2 4 3 2" xfId="2470" xr:uid="{00000000-0005-0000-0000-000091090000}"/>
    <cellStyle name="COMMA, 0 2 4 4" xfId="2471" xr:uid="{00000000-0005-0000-0000-000092090000}"/>
    <cellStyle name="COMMA, 0 2 5" xfId="2472" xr:uid="{00000000-0005-0000-0000-000093090000}"/>
    <cellStyle name="COMMA, 0 2 5 2" xfId="2473" xr:uid="{00000000-0005-0000-0000-000094090000}"/>
    <cellStyle name="COMMA, 0 2 6" xfId="2474" xr:uid="{00000000-0005-0000-0000-000095090000}"/>
    <cellStyle name="COMMA, 0 2 6 2" xfId="2475" xr:uid="{00000000-0005-0000-0000-000096090000}"/>
    <cellStyle name="COMMA, 0 2 7" xfId="2476" xr:uid="{00000000-0005-0000-0000-000097090000}"/>
    <cellStyle name="COMMA, 0 2 8" xfId="2477" xr:uid="{00000000-0005-0000-0000-000098090000}"/>
    <cellStyle name="COMMA, 0 3" xfId="2478" xr:uid="{00000000-0005-0000-0000-000099090000}"/>
    <cellStyle name="COMMA, 0 3 2" xfId="2479" xr:uid="{00000000-0005-0000-0000-00009A090000}"/>
    <cellStyle name="COMMA, 0 3 2 2" xfId="2480" xr:uid="{00000000-0005-0000-0000-00009B090000}"/>
    <cellStyle name="COMMA, 0 3 3" xfId="2481" xr:uid="{00000000-0005-0000-0000-00009C090000}"/>
    <cellStyle name="COMMA, 0 3 3 2" xfId="2482" xr:uid="{00000000-0005-0000-0000-00009D090000}"/>
    <cellStyle name="COMMA, 0 3 4" xfId="2483" xr:uid="{00000000-0005-0000-0000-00009E090000}"/>
    <cellStyle name="COMMA, 0 4" xfId="2484" xr:uid="{00000000-0005-0000-0000-00009F090000}"/>
    <cellStyle name="COMMA, 0 4 2" xfId="2485" xr:uid="{00000000-0005-0000-0000-0000A0090000}"/>
    <cellStyle name="COMMA, 0 4 2 2" xfId="2486" xr:uid="{00000000-0005-0000-0000-0000A1090000}"/>
    <cellStyle name="COMMA, 0 4 3" xfId="2487" xr:uid="{00000000-0005-0000-0000-0000A2090000}"/>
    <cellStyle name="COMMA, 0 4 3 2" xfId="2488" xr:uid="{00000000-0005-0000-0000-0000A3090000}"/>
    <cellStyle name="COMMA, 0 4 4" xfId="2489" xr:uid="{00000000-0005-0000-0000-0000A4090000}"/>
    <cellStyle name="COMMA, 0 5" xfId="2490" xr:uid="{00000000-0005-0000-0000-0000A5090000}"/>
    <cellStyle name="COMMA, 0 5 2" xfId="2491" xr:uid="{00000000-0005-0000-0000-0000A6090000}"/>
    <cellStyle name="COMMA, 0 5 2 2" xfId="2492" xr:uid="{00000000-0005-0000-0000-0000A7090000}"/>
    <cellStyle name="COMMA, 0 5 3" xfId="2493" xr:uid="{00000000-0005-0000-0000-0000A8090000}"/>
    <cellStyle name="COMMA, 0 5 3 2" xfId="2494" xr:uid="{00000000-0005-0000-0000-0000A9090000}"/>
    <cellStyle name="COMMA, 0 5 4" xfId="2495" xr:uid="{00000000-0005-0000-0000-0000AA090000}"/>
    <cellStyle name="COMMA, 0 6" xfId="2496" xr:uid="{00000000-0005-0000-0000-0000AB090000}"/>
    <cellStyle name="COMMA, 0 6 2" xfId="2497" xr:uid="{00000000-0005-0000-0000-0000AC090000}"/>
    <cellStyle name="COMMA, 0 7" xfId="2498" xr:uid="{00000000-0005-0000-0000-0000AD090000}"/>
    <cellStyle name="COMMA, 0 7 2" xfId="2499" xr:uid="{00000000-0005-0000-0000-0000AE090000}"/>
    <cellStyle name="COMMA, 0 8" xfId="2500" xr:uid="{00000000-0005-0000-0000-0000AF090000}"/>
    <cellStyle name="COMMA, 0 9" xfId="2501" xr:uid="{00000000-0005-0000-0000-0000B0090000}"/>
    <cellStyle name="Comma0" xfId="2502" xr:uid="{00000000-0005-0000-0000-0000B1090000}"/>
    <cellStyle name="Comma0 - Modelo1" xfId="2503" xr:uid="{00000000-0005-0000-0000-0000B2090000}"/>
    <cellStyle name="Comma0 - Style1" xfId="2504" xr:uid="{00000000-0005-0000-0000-0000B3090000}"/>
    <cellStyle name="Comma0 - Style2" xfId="2505" xr:uid="{00000000-0005-0000-0000-0000B4090000}"/>
    <cellStyle name="Comma0 10" xfId="2506" xr:uid="{00000000-0005-0000-0000-0000B5090000}"/>
    <cellStyle name="Comma0 2" xfId="2507" xr:uid="{00000000-0005-0000-0000-0000B6090000}"/>
    <cellStyle name="Comma0 3" xfId="2508" xr:uid="{00000000-0005-0000-0000-0000B7090000}"/>
    <cellStyle name="Comma0 4" xfId="2509" xr:uid="{00000000-0005-0000-0000-0000B8090000}"/>
    <cellStyle name="Comma0 5" xfId="2510" xr:uid="{00000000-0005-0000-0000-0000B9090000}"/>
    <cellStyle name="Comma0 6" xfId="2511" xr:uid="{00000000-0005-0000-0000-0000BA090000}"/>
    <cellStyle name="Comma0 7" xfId="2512" xr:uid="{00000000-0005-0000-0000-0000BB090000}"/>
    <cellStyle name="Comma0 8" xfId="2513" xr:uid="{00000000-0005-0000-0000-0000BC090000}"/>
    <cellStyle name="Comma0 9" xfId="2514" xr:uid="{00000000-0005-0000-0000-0000BD090000}"/>
    <cellStyle name="Comma0_{12.01.06.01.02} IBG_Liquidity_Forecast_03_03_08" xfId="2515" xr:uid="{00000000-0005-0000-0000-0000BE090000}"/>
    <cellStyle name="Comma1" xfId="2516" xr:uid="{00000000-0005-0000-0000-0000BF090000}"/>
    <cellStyle name="Comma1 - Modelo2" xfId="2517" xr:uid="{00000000-0005-0000-0000-0000C0090000}"/>
    <cellStyle name="Comma1 - Style1" xfId="2518" xr:uid="{00000000-0005-0000-0000-0000C1090000}"/>
    <cellStyle name="Comma1 - Style2" xfId="2519" xr:uid="{00000000-0005-0000-0000-0000C2090000}"/>
    <cellStyle name="Comma1 2" xfId="2520" xr:uid="{00000000-0005-0000-0000-0000C3090000}"/>
    <cellStyle name="Comma1 3" xfId="2521" xr:uid="{00000000-0005-0000-0000-0000C4090000}"/>
    <cellStyle name="Comma1 unp" xfId="2522" xr:uid="{00000000-0005-0000-0000-0000C5090000}"/>
    <cellStyle name="Comma1 unp 2" xfId="2523" xr:uid="{00000000-0005-0000-0000-0000C6090000}"/>
    <cellStyle name="Comma1 unp 3" xfId="2524" xr:uid="{00000000-0005-0000-0000-0000C7090000}"/>
    <cellStyle name="Comma1_~0009617" xfId="2525" xr:uid="{00000000-0005-0000-0000-0000C8090000}"/>
    <cellStyle name="Comma2" xfId="2526" xr:uid="{00000000-0005-0000-0000-0000C9090000}"/>
    <cellStyle name="Comma2 2" xfId="2527" xr:uid="{00000000-0005-0000-0000-0000CA090000}"/>
    <cellStyle name="Comma2 3" xfId="2528" xr:uid="{00000000-0005-0000-0000-0000CB090000}"/>
    <cellStyle name="Comma3" xfId="2529" xr:uid="{00000000-0005-0000-0000-0000CC090000}"/>
    <cellStyle name="Comma4" xfId="2530" xr:uid="{00000000-0005-0000-0000-0000CD090000}"/>
    <cellStyle name="Comment" xfId="2531" xr:uid="{00000000-0005-0000-0000-0000CE090000}"/>
    <cellStyle name="Company" xfId="2532" xr:uid="{00000000-0005-0000-0000-0000CF090000}"/>
    <cellStyle name="Company Name" xfId="2533" xr:uid="{00000000-0005-0000-0000-0000D0090000}"/>
    <cellStyle name="Company_Sheet1" xfId="2534" xr:uid="{00000000-0005-0000-0000-0000D1090000}"/>
    <cellStyle name="CompanyName" xfId="2535" xr:uid="{00000000-0005-0000-0000-0000D2090000}"/>
    <cellStyle name="Convergence" xfId="2536" xr:uid="{00000000-0005-0000-0000-0000D3090000}"/>
    <cellStyle name="Copied" xfId="2537" xr:uid="{00000000-0005-0000-0000-0000D4090000}"/>
    <cellStyle name="COST1" xfId="2538" xr:uid="{00000000-0005-0000-0000-0000D5090000}"/>
    <cellStyle name="ctkdata" xfId="2539" xr:uid="{00000000-0005-0000-0000-0000D6090000}"/>
    <cellStyle name="ctkdata 2" xfId="2540" xr:uid="{00000000-0005-0000-0000-0000D7090000}"/>
    <cellStyle name="ctkdata 3" xfId="2541" xr:uid="{00000000-0005-0000-0000-0000D8090000}"/>
    <cellStyle name="ctkdata 4" xfId="2542" xr:uid="{00000000-0005-0000-0000-0000D9090000}"/>
    <cellStyle name="ctkdata 5" xfId="2543" xr:uid="{00000000-0005-0000-0000-0000DA090000}"/>
    <cellStyle name="ctkheading" xfId="2544" xr:uid="{00000000-0005-0000-0000-0000DB090000}"/>
    <cellStyle name="CurRatio" xfId="2545" xr:uid="{00000000-0005-0000-0000-0000DC090000}"/>
    <cellStyle name="Currdate" xfId="2546" xr:uid="{00000000-0005-0000-0000-0000DD090000}"/>
    <cellStyle name="Currdate 2" xfId="2547" xr:uid="{00000000-0005-0000-0000-0000DE090000}"/>
    <cellStyle name="Currdate 2 2" xfId="2548" xr:uid="{00000000-0005-0000-0000-0000DF090000}"/>
    <cellStyle name="Currdate 2 2 2" xfId="2549" xr:uid="{00000000-0005-0000-0000-0000E0090000}"/>
    <cellStyle name="Currdate 2 3" xfId="2550" xr:uid="{00000000-0005-0000-0000-0000E1090000}"/>
    <cellStyle name="Currdate 2 3 2" xfId="2551" xr:uid="{00000000-0005-0000-0000-0000E2090000}"/>
    <cellStyle name="Currdate 2 4" xfId="2552" xr:uid="{00000000-0005-0000-0000-0000E3090000}"/>
    <cellStyle name="Currdate 3" xfId="2553" xr:uid="{00000000-0005-0000-0000-0000E4090000}"/>
    <cellStyle name="Currdate 3 2" xfId="2554" xr:uid="{00000000-0005-0000-0000-0000E5090000}"/>
    <cellStyle name="Currdate 3 2 2" xfId="2555" xr:uid="{00000000-0005-0000-0000-0000E6090000}"/>
    <cellStyle name="Currdate 3 3" xfId="2556" xr:uid="{00000000-0005-0000-0000-0000E7090000}"/>
    <cellStyle name="Currdate 3 3 2" xfId="2557" xr:uid="{00000000-0005-0000-0000-0000E8090000}"/>
    <cellStyle name="Currdate 3 4" xfId="2558" xr:uid="{00000000-0005-0000-0000-0000E9090000}"/>
    <cellStyle name="Currdate 4" xfId="2559" xr:uid="{00000000-0005-0000-0000-0000EA090000}"/>
    <cellStyle name="Currdate 4 2" xfId="2560" xr:uid="{00000000-0005-0000-0000-0000EB090000}"/>
    <cellStyle name="Currdate 5" xfId="2561" xr:uid="{00000000-0005-0000-0000-0000EC090000}"/>
    <cellStyle name="Currdate 5 2" xfId="2562" xr:uid="{00000000-0005-0000-0000-0000ED090000}"/>
    <cellStyle name="Currdate 6" xfId="2563" xr:uid="{00000000-0005-0000-0000-0000EE090000}"/>
    <cellStyle name="Currdate 7" xfId="2564" xr:uid="{00000000-0005-0000-0000-0000EF090000}"/>
    <cellStyle name="Curre΅cy" xfId="2565" xr:uid="{00000000-0005-0000-0000-0000F0090000}"/>
    <cellStyle name="Curre΅cy 2" xfId="2566" xr:uid="{00000000-0005-0000-0000-0000F1090000}"/>
    <cellStyle name="Curre΅cy 3" xfId="2567" xr:uid="{00000000-0005-0000-0000-0000F2090000}"/>
    <cellStyle name="Curren - Style7" xfId="2568" xr:uid="{00000000-0005-0000-0000-0000F3090000}"/>
    <cellStyle name="Curren - Style8" xfId="2569" xr:uid="{00000000-0005-0000-0000-0000F4090000}"/>
    <cellStyle name="Currency--" xfId="2570" xr:uid="{00000000-0005-0000-0000-0000F5090000}"/>
    <cellStyle name="Currency (0)" xfId="2571" xr:uid="{00000000-0005-0000-0000-0000F6090000}"/>
    <cellStyle name="Currency (2)" xfId="2572" xr:uid="{00000000-0005-0000-0000-0000F7090000}"/>
    <cellStyle name="Currency [0] - Credits" xfId="2573" xr:uid="{00000000-0005-0000-0000-0000F8090000}"/>
    <cellStyle name="Currency [0] - Debits" xfId="2574" xr:uid="{00000000-0005-0000-0000-0000F9090000}"/>
    <cellStyle name="Currency [0]Center" xfId="2575" xr:uid="{00000000-0005-0000-0000-0000FA090000}"/>
    <cellStyle name="Currency [00]" xfId="2576" xr:uid="{00000000-0005-0000-0000-0000FB090000}"/>
    <cellStyle name="Currency [1]" xfId="2577" xr:uid="{00000000-0005-0000-0000-0000FC090000}"/>
    <cellStyle name="Currency [2]" xfId="2578" xr:uid="{00000000-0005-0000-0000-0000FD090000}"/>
    <cellStyle name="Currency [2] 2" xfId="2579" xr:uid="{00000000-0005-0000-0000-0000FE090000}"/>
    <cellStyle name="Currency [2] 3" xfId="2580" xr:uid="{00000000-0005-0000-0000-0000FF090000}"/>
    <cellStyle name="Currency 0" xfId="2581" xr:uid="{00000000-0005-0000-0000-0000000A0000}"/>
    <cellStyle name="Currency 0.0" xfId="2582" xr:uid="{00000000-0005-0000-0000-0000010A0000}"/>
    <cellStyle name="Currency 0.00" xfId="2583" xr:uid="{00000000-0005-0000-0000-0000020A0000}"/>
    <cellStyle name="Currency 0.000" xfId="2584" xr:uid="{00000000-0005-0000-0000-0000030A0000}"/>
    <cellStyle name="Currency 0.0000" xfId="2585" xr:uid="{00000000-0005-0000-0000-0000040A0000}"/>
    <cellStyle name="Currency 10" xfId="2586" xr:uid="{00000000-0005-0000-0000-0000050A0000}"/>
    <cellStyle name="Currency 11" xfId="2587" xr:uid="{00000000-0005-0000-0000-0000060A0000}"/>
    <cellStyle name="Currency 12" xfId="2588" xr:uid="{00000000-0005-0000-0000-0000070A0000}"/>
    <cellStyle name="Currency 13" xfId="2589" xr:uid="{00000000-0005-0000-0000-0000080A0000}"/>
    <cellStyle name="Currency 2" xfId="2590" xr:uid="{00000000-0005-0000-0000-0000090A0000}"/>
    <cellStyle name="Currency-- 2" xfId="2591" xr:uid="{00000000-0005-0000-0000-00000A0A0000}"/>
    <cellStyle name="Currency 2 2" xfId="2592" xr:uid="{00000000-0005-0000-0000-00000B0A0000}"/>
    <cellStyle name="Currency 2 2 2" xfId="2593" xr:uid="{00000000-0005-0000-0000-00000C0A0000}"/>
    <cellStyle name="Currency 2 3" xfId="2594" xr:uid="{00000000-0005-0000-0000-00000D0A0000}"/>
    <cellStyle name="Currency 2 3 2" xfId="2595" xr:uid="{00000000-0005-0000-0000-00000E0A0000}"/>
    <cellStyle name="Currency 3" xfId="2596" xr:uid="{00000000-0005-0000-0000-00000F0A0000}"/>
    <cellStyle name="Currency 3 2" xfId="2597" xr:uid="{00000000-0005-0000-0000-0000100A0000}"/>
    <cellStyle name="Currency 3 2 2" xfId="2598" xr:uid="{00000000-0005-0000-0000-0000110A0000}"/>
    <cellStyle name="Currency 3 3" xfId="2599" xr:uid="{00000000-0005-0000-0000-0000120A0000}"/>
    <cellStyle name="Currency 3 4" xfId="2600" xr:uid="{00000000-0005-0000-0000-0000130A0000}"/>
    <cellStyle name="Currency 3 5" xfId="2601" xr:uid="{00000000-0005-0000-0000-0000140A0000}"/>
    <cellStyle name="Currency 4" xfId="2602" xr:uid="{00000000-0005-0000-0000-0000150A0000}"/>
    <cellStyle name="Currency 4 2" xfId="2603" xr:uid="{00000000-0005-0000-0000-0000160A0000}"/>
    <cellStyle name="Currency 4 3" xfId="2604" xr:uid="{00000000-0005-0000-0000-0000170A0000}"/>
    <cellStyle name="Currency 5" xfId="2605" xr:uid="{00000000-0005-0000-0000-0000180A0000}"/>
    <cellStyle name="Currency 6" xfId="2606" xr:uid="{00000000-0005-0000-0000-0000190A0000}"/>
    <cellStyle name="Currency 7" xfId="2607" xr:uid="{00000000-0005-0000-0000-00001A0A0000}"/>
    <cellStyle name="Currency 8" xfId="2608" xr:uid="{00000000-0005-0000-0000-00001B0A0000}"/>
    <cellStyle name="Currency 9" xfId="2609" xr:uid="{00000000-0005-0000-0000-00001C0A0000}"/>
    <cellStyle name="Currency$" xfId="2610" xr:uid="{00000000-0005-0000-0000-00001D0A0000}"/>
    <cellStyle name="Currency$ 2" xfId="2611" xr:uid="{00000000-0005-0000-0000-00001E0A0000}"/>
    <cellStyle name="Currency(1)" xfId="2612" xr:uid="{00000000-0005-0000-0000-00001F0A0000}"/>
    <cellStyle name="Currency*" xfId="2613" xr:uid="{00000000-0005-0000-0000-0000200A0000}"/>
    <cellStyle name="Currency--_ARM Roof_Val v7" xfId="2614" xr:uid="{00000000-0005-0000-0000-0000210A0000}"/>
    <cellStyle name="Currency0" xfId="2615" xr:uid="{00000000-0005-0000-0000-0000220A0000}"/>
    <cellStyle name="Currency1" xfId="2616" xr:uid="{00000000-0005-0000-0000-0000230A0000}"/>
    <cellStyle name="Currency1 2" xfId="2617" xr:uid="{00000000-0005-0000-0000-0000240A0000}"/>
    <cellStyle name="Currency1 3" xfId="2618" xr:uid="{00000000-0005-0000-0000-0000250A0000}"/>
    <cellStyle name="Currency2" xfId="2619" xr:uid="{00000000-0005-0000-0000-0000260A0000}"/>
    <cellStyle name="Currency3" xfId="2620" xr:uid="{00000000-0005-0000-0000-0000270A0000}"/>
    <cellStyle name="Custom" xfId="2621" xr:uid="{00000000-0005-0000-0000-0000280A0000}"/>
    <cellStyle name="Cyan bold" xfId="2622" xr:uid="{00000000-0005-0000-0000-0000290A0000}"/>
    <cellStyle name="Cyan bold underlined" xfId="2623" xr:uid="{00000000-0005-0000-0000-00002A0A0000}"/>
    <cellStyle name="Cyan bold_ALLOWANCES" xfId="2624" xr:uid="{00000000-0005-0000-0000-00002B0A0000}"/>
    <cellStyle name="Cyan italic" xfId="2625" xr:uid="{00000000-0005-0000-0000-00002C0A0000}"/>
    <cellStyle name="C㯵rrency_㳔PC Data" xfId="2626" xr:uid="{00000000-0005-0000-0000-00002D0A0000}"/>
    <cellStyle name="D1" xfId="2627" xr:uid="{00000000-0005-0000-0000-00002E0A0000}"/>
    <cellStyle name="D2" xfId="2628" xr:uid="{00000000-0005-0000-0000-00002F0A0000}"/>
    <cellStyle name="Dash" xfId="2629" xr:uid="{00000000-0005-0000-0000-0000300A0000}"/>
    <cellStyle name="data" xfId="2630" xr:uid="{00000000-0005-0000-0000-0000310A0000}"/>
    <cellStyle name="data1" xfId="2631" xr:uid="{00000000-0005-0000-0000-0000320A0000}"/>
    <cellStyle name="data1 2" xfId="2632" xr:uid="{00000000-0005-0000-0000-0000330A0000}"/>
    <cellStyle name="data1 3" xfId="2633" xr:uid="{00000000-0005-0000-0000-0000340A0000}"/>
    <cellStyle name="data1 4" xfId="2634" xr:uid="{00000000-0005-0000-0000-0000350A0000}"/>
    <cellStyle name="data1 5" xfId="2635" xr:uid="{00000000-0005-0000-0000-0000360A0000}"/>
    <cellStyle name="data2" xfId="2636" xr:uid="{00000000-0005-0000-0000-0000370A0000}"/>
    <cellStyle name="data2 2" xfId="2637" xr:uid="{00000000-0005-0000-0000-0000380A0000}"/>
    <cellStyle name="data2 3" xfId="2638" xr:uid="{00000000-0005-0000-0000-0000390A0000}"/>
    <cellStyle name="data2 4" xfId="2639" xr:uid="{00000000-0005-0000-0000-00003A0A0000}"/>
    <cellStyle name="data2 5" xfId="2640" xr:uid="{00000000-0005-0000-0000-00003B0A0000}"/>
    <cellStyle name="DataOneDigit" xfId="2641" xr:uid="{00000000-0005-0000-0000-00003C0A0000}"/>
    <cellStyle name="DataOneDigit 2" xfId="2642" xr:uid="{00000000-0005-0000-0000-00003D0A0000}"/>
    <cellStyle name="DataOneDigit 3" xfId="2643" xr:uid="{00000000-0005-0000-0000-00003E0A0000}"/>
    <cellStyle name="Date" xfId="2644" xr:uid="{00000000-0005-0000-0000-00003F0A0000}"/>
    <cellStyle name="Date - Style3" xfId="2645" xr:uid="{00000000-0005-0000-0000-0000400A0000}"/>
    <cellStyle name="Date [d-mmm-yy]" xfId="2646" xr:uid="{00000000-0005-0000-0000-0000410A0000}"/>
    <cellStyle name="Date [mm-d-yy]" xfId="2647" xr:uid="{00000000-0005-0000-0000-0000420A0000}"/>
    <cellStyle name="Date [mm-d-yyyy]" xfId="2648" xr:uid="{00000000-0005-0000-0000-0000430A0000}"/>
    <cellStyle name="Date [mm-d-yyyy] 2" xfId="2649" xr:uid="{00000000-0005-0000-0000-0000440A0000}"/>
    <cellStyle name="Date [mm-d-yyyy] 2 2" xfId="2650" xr:uid="{00000000-0005-0000-0000-0000450A0000}"/>
    <cellStyle name="Date [mm-d-yyyy] 2 2 2" xfId="2651" xr:uid="{00000000-0005-0000-0000-0000460A0000}"/>
    <cellStyle name="Date [mm-d-yyyy] 2 3" xfId="2652" xr:uid="{00000000-0005-0000-0000-0000470A0000}"/>
    <cellStyle name="Date [mm-d-yyyy] 2 3 2" xfId="2653" xr:uid="{00000000-0005-0000-0000-0000480A0000}"/>
    <cellStyle name="Date [mm-d-yyyy] 2 4" xfId="2654" xr:uid="{00000000-0005-0000-0000-0000490A0000}"/>
    <cellStyle name="Date [mm-d-yyyy] 3" xfId="2655" xr:uid="{00000000-0005-0000-0000-00004A0A0000}"/>
    <cellStyle name="Date [mm-d-yyyy] 3 2" xfId="2656" xr:uid="{00000000-0005-0000-0000-00004B0A0000}"/>
    <cellStyle name="Date [mm-d-yyyy] 4" xfId="2657" xr:uid="{00000000-0005-0000-0000-00004C0A0000}"/>
    <cellStyle name="Date [mm-d-yyyy] 4 2" xfId="2658" xr:uid="{00000000-0005-0000-0000-00004D0A0000}"/>
    <cellStyle name="Date [mm-d-yyyy] 5" xfId="2659" xr:uid="{00000000-0005-0000-0000-00004E0A0000}"/>
    <cellStyle name="Date [mm-d-yyyy] 6" xfId="2660" xr:uid="{00000000-0005-0000-0000-00004F0A0000}"/>
    <cellStyle name="Date [mmm-d-yyyy]" xfId="2661" xr:uid="{00000000-0005-0000-0000-0000500A0000}"/>
    <cellStyle name="Date [mmm-yy]" xfId="2662" xr:uid="{00000000-0005-0000-0000-0000510A0000}"/>
    <cellStyle name="Date [mmm-yyyy]" xfId="2663" xr:uid="{00000000-0005-0000-0000-0000520A0000}"/>
    <cellStyle name="Date [mmm-yyyy] 2" xfId="2664" xr:uid="{00000000-0005-0000-0000-0000530A0000}"/>
    <cellStyle name="Date [mmm-yyyy] 2 2" xfId="2665" xr:uid="{00000000-0005-0000-0000-0000540A0000}"/>
    <cellStyle name="Date [mmm-yyyy] 2 2 2" xfId="2666" xr:uid="{00000000-0005-0000-0000-0000550A0000}"/>
    <cellStyle name="Date [mmm-yyyy] 2 2 2 2" xfId="4254" xr:uid="{8F1DB81E-6FFA-413C-B0B4-DDCFDA47744F}"/>
    <cellStyle name="Date [mmm-yyyy] 2 2 3" xfId="4253" xr:uid="{5277FCDE-BC09-4D04-8B42-4DC4DD9457DD}"/>
    <cellStyle name="Date [mmm-yyyy] 2 3" xfId="2667" xr:uid="{00000000-0005-0000-0000-0000560A0000}"/>
    <cellStyle name="Date [mmm-yyyy] 2 3 2" xfId="2668" xr:uid="{00000000-0005-0000-0000-0000570A0000}"/>
    <cellStyle name="Date [mmm-yyyy] 2 3 2 2" xfId="4256" xr:uid="{2F1C58E0-B5A1-46F1-B6E8-783286523EB0}"/>
    <cellStyle name="Date [mmm-yyyy] 2 3 3" xfId="4255" xr:uid="{5231503C-905F-40F1-B115-1C8F138CC3BC}"/>
    <cellStyle name="Date [mmm-yyyy] 2 4" xfId="2669" xr:uid="{00000000-0005-0000-0000-0000580A0000}"/>
    <cellStyle name="Date [mmm-yyyy] 2 4 2" xfId="4257" xr:uid="{A6640018-5689-452C-959A-AB69F3772366}"/>
    <cellStyle name="Date [mmm-yyyy] 2 5" xfId="4252" xr:uid="{E1D8B416-123B-4FD3-899F-CD01F36F1B08}"/>
    <cellStyle name="Date [mmm-yyyy] 3" xfId="2670" xr:uid="{00000000-0005-0000-0000-0000590A0000}"/>
    <cellStyle name="Date [mmm-yyyy] 3 2" xfId="2671" xr:uid="{00000000-0005-0000-0000-00005A0A0000}"/>
    <cellStyle name="Date [mmm-yyyy] 3 2 2" xfId="2672" xr:uid="{00000000-0005-0000-0000-00005B0A0000}"/>
    <cellStyle name="Date [mmm-yyyy] 3 2 2 2" xfId="4260" xr:uid="{81D5F16F-49DB-4E16-B931-202CF5A05A01}"/>
    <cellStyle name="Date [mmm-yyyy] 3 2 3" xfId="4259" xr:uid="{451380EA-6EAB-46E5-BD94-1140114B424A}"/>
    <cellStyle name="Date [mmm-yyyy] 3 3" xfId="2673" xr:uid="{00000000-0005-0000-0000-00005C0A0000}"/>
    <cellStyle name="Date [mmm-yyyy] 3 3 2" xfId="2674" xr:uid="{00000000-0005-0000-0000-00005D0A0000}"/>
    <cellStyle name="Date [mmm-yyyy] 3 3 2 2" xfId="4262" xr:uid="{6BA99D3C-5983-4D13-95A7-AB38A069C216}"/>
    <cellStyle name="Date [mmm-yyyy] 3 3 3" xfId="4261" xr:uid="{63B355F7-FDFE-42C2-AD90-88C62AF95133}"/>
    <cellStyle name="Date [mmm-yyyy] 3 4" xfId="2675" xr:uid="{00000000-0005-0000-0000-00005E0A0000}"/>
    <cellStyle name="Date [mmm-yyyy] 3 4 2" xfId="4263" xr:uid="{AE0ABFD9-064D-4109-B5E6-7121CECEAB89}"/>
    <cellStyle name="Date [mmm-yyyy] 3 5" xfId="4258" xr:uid="{3B92D682-1A30-4256-A1FB-17C1B40F5696}"/>
    <cellStyle name="Date [mmm-yyyy] 4" xfId="2676" xr:uid="{00000000-0005-0000-0000-00005F0A0000}"/>
    <cellStyle name="Date [mmm-yyyy] 4 2" xfId="2677" xr:uid="{00000000-0005-0000-0000-0000600A0000}"/>
    <cellStyle name="Date [mmm-yyyy] 4 2 2" xfId="4265" xr:uid="{6B2D5D96-959C-4EE3-9248-CA422CB0BA1F}"/>
    <cellStyle name="Date [mmm-yyyy] 4 3" xfId="4264" xr:uid="{CE5843F4-69D4-4FF5-9DBA-7B76F7D1CCCC}"/>
    <cellStyle name="Date [mmm-yyyy] 5" xfId="2678" xr:uid="{00000000-0005-0000-0000-0000610A0000}"/>
    <cellStyle name="Date [mmm-yyyy] 5 2" xfId="2679" xr:uid="{00000000-0005-0000-0000-0000620A0000}"/>
    <cellStyle name="Date [mmm-yyyy] 5 2 2" xfId="4267" xr:uid="{4A2A42DC-5656-4E9E-84FA-44FF1E12C169}"/>
    <cellStyle name="Date [mmm-yyyy] 5 3" xfId="4266" xr:uid="{34F41067-BD65-4A9B-9A35-95EFA2DD84A7}"/>
    <cellStyle name="Date [mmm-yyyy] 6" xfId="2680" xr:uid="{00000000-0005-0000-0000-0000630A0000}"/>
    <cellStyle name="Date [mmm-yyyy] 6 2" xfId="2681" xr:uid="{00000000-0005-0000-0000-0000640A0000}"/>
    <cellStyle name="Date [mmm-yyyy] 6 2 2" xfId="4269" xr:uid="{3DE35888-0166-41EF-81AF-0E7820192A31}"/>
    <cellStyle name="Date [mmm-yyyy] 6 3" xfId="4268" xr:uid="{B9EB023B-A9B2-4497-B8B4-7697DBCFF9CD}"/>
    <cellStyle name="Date [mmm-yyyy] 7" xfId="2682" xr:uid="{00000000-0005-0000-0000-0000650A0000}"/>
    <cellStyle name="Date [mmm-yyyy] 7 2" xfId="2683" xr:uid="{00000000-0005-0000-0000-0000660A0000}"/>
    <cellStyle name="Date [mmm-yyyy] 7 2 2" xfId="4271" xr:uid="{18F6F89E-4BD5-420A-8737-0C55B39B1537}"/>
    <cellStyle name="Date [mmm-yyyy] 7 3" xfId="4270" xr:uid="{87CEF833-1191-4D79-BB2F-4DD66952E809}"/>
    <cellStyle name="Date [mmm-yyyy] 8" xfId="2684" xr:uid="{00000000-0005-0000-0000-0000670A0000}"/>
    <cellStyle name="Date [mmm-yyyy] 8 2" xfId="4272" xr:uid="{63DE48DC-D7BA-4C45-A2FD-A84BDDB63D04}"/>
    <cellStyle name="Date [mmm-yyyy] 9" xfId="4251" xr:uid="{53394623-F178-40C3-BE69-8C31C5A7F3C2}"/>
    <cellStyle name="Date 1" xfId="2685" xr:uid="{00000000-0005-0000-0000-0000680A0000}"/>
    <cellStyle name="Date 10" xfId="2686" xr:uid="{00000000-0005-0000-0000-0000690A0000}"/>
    <cellStyle name="Date 2" xfId="2687" xr:uid="{00000000-0005-0000-0000-00006A0A0000}"/>
    <cellStyle name="Date 3" xfId="2688" xr:uid="{00000000-0005-0000-0000-00006B0A0000}"/>
    <cellStyle name="Date 4" xfId="2689" xr:uid="{00000000-0005-0000-0000-00006C0A0000}"/>
    <cellStyle name="Date 5" xfId="2690" xr:uid="{00000000-0005-0000-0000-00006D0A0000}"/>
    <cellStyle name="Date 6" xfId="2691" xr:uid="{00000000-0005-0000-0000-00006E0A0000}"/>
    <cellStyle name="Date 7" xfId="2692" xr:uid="{00000000-0005-0000-0000-00006F0A0000}"/>
    <cellStyle name="Date 8" xfId="2693" xr:uid="{00000000-0005-0000-0000-0000700A0000}"/>
    <cellStyle name="Date 9" xfId="2694" xr:uid="{00000000-0005-0000-0000-0000710A0000}"/>
    <cellStyle name="Date Aligned" xfId="2695" xr:uid="{00000000-0005-0000-0000-0000720A0000}"/>
    <cellStyle name="Date m/d/yy" xfId="2696" xr:uid="{00000000-0005-0000-0000-0000730A0000}"/>
    <cellStyle name="Date Short" xfId="2697" xr:uid="{00000000-0005-0000-0000-0000740A0000}"/>
    <cellStyle name="date_~2593847" xfId="2698" xr:uid="{00000000-0005-0000-0000-0000750A0000}"/>
    <cellStyle name="Date1" xfId="2699" xr:uid="{00000000-0005-0000-0000-0000760A0000}"/>
    <cellStyle name="Date2" xfId="2700" xr:uid="{00000000-0005-0000-0000-0000770A0000}"/>
    <cellStyle name="DateFull" xfId="2701" xr:uid="{00000000-0005-0000-0000-0000780A0000}"/>
    <cellStyle name="DateInput" xfId="2702" xr:uid="{00000000-0005-0000-0000-0000790A0000}"/>
    <cellStyle name="DateNoYear" xfId="2703" xr:uid="{00000000-0005-0000-0000-00007A0A0000}"/>
    <cellStyle name="DateNoYear 2" xfId="2704" xr:uid="{00000000-0005-0000-0000-00007B0A0000}"/>
    <cellStyle name="DateOnly" xfId="3" xr:uid="{00000000-0005-0000-0000-00007C0A0000}"/>
    <cellStyle name="Dates" xfId="2705" xr:uid="{00000000-0005-0000-0000-00007D0A0000}"/>
    <cellStyle name="DateTime" xfId="4" xr:uid="{00000000-0005-0000-0000-00007E0A0000}"/>
    <cellStyle name="DateYear" xfId="2706" xr:uid="{00000000-0005-0000-0000-00007F0A0000}"/>
    <cellStyle name="DBL - Style1" xfId="2707" xr:uid="{00000000-0005-0000-0000-0000800A0000}"/>
    <cellStyle name="DealTicketAddress" xfId="2708" xr:uid="{00000000-0005-0000-0000-0000810A0000}"/>
    <cellStyle name="DealTicketAddress 2" xfId="2709" xr:uid="{00000000-0005-0000-0000-0000820A0000}"/>
    <cellStyle name="DealTicketAddress 3" xfId="2710" xr:uid="{00000000-0005-0000-0000-0000830A0000}"/>
    <cellStyle name="DealTicketAddress 4" xfId="2711" xr:uid="{00000000-0005-0000-0000-0000840A0000}"/>
    <cellStyle name="DealTicketAddress 5" xfId="2712" xr:uid="{00000000-0005-0000-0000-0000850A0000}"/>
    <cellStyle name="DealTicketData" xfId="2713" xr:uid="{00000000-0005-0000-0000-0000860A0000}"/>
    <cellStyle name="DealTicketData 2" xfId="2714" xr:uid="{00000000-0005-0000-0000-0000870A0000}"/>
    <cellStyle name="DealTicketData 3" xfId="2715" xr:uid="{00000000-0005-0000-0000-0000880A0000}"/>
    <cellStyle name="DealTicketData 4" xfId="2716" xr:uid="{00000000-0005-0000-0000-0000890A0000}"/>
    <cellStyle name="DealTicketData 5" xfId="2717" xr:uid="{00000000-0005-0000-0000-00008A0A0000}"/>
    <cellStyle name="December 1994" xfId="2718" xr:uid="{00000000-0005-0000-0000-00008B0A0000}"/>
    <cellStyle name="Decimal" xfId="2719" xr:uid="{00000000-0005-0000-0000-00008C0A0000}"/>
    <cellStyle name="Default_Formula" xfId="2720" xr:uid="{00000000-0005-0000-0000-00008D0A0000}"/>
    <cellStyle name="Del" xfId="2721" xr:uid="{00000000-0005-0000-0000-00008E0A0000}"/>
    <cellStyle name="DELTA" xfId="2722" xr:uid="{00000000-0005-0000-0000-00008F0A0000}"/>
    <cellStyle name="Dezimal [0]_092003" xfId="2723" xr:uid="{00000000-0005-0000-0000-0000900A0000}"/>
    <cellStyle name="Dezimal_092003" xfId="2724" xr:uid="{00000000-0005-0000-0000-0000910A0000}"/>
    <cellStyle name="dft.Optional" xfId="2725" xr:uid="{00000000-0005-0000-0000-0000920A0000}"/>
    <cellStyle name="dft.Required" xfId="2726" xr:uid="{00000000-0005-0000-0000-0000930A0000}"/>
    <cellStyle name="Dia" xfId="2727" xr:uid="{00000000-0005-0000-0000-0000940A0000}"/>
    <cellStyle name="Dimension" xfId="2728" xr:uid="{00000000-0005-0000-0000-0000950A0000}"/>
    <cellStyle name="Dollar" xfId="2729" xr:uid="{00000000-0005-0000-0000-0000960A0000}"/>
    <cellStyle name="Dollar (zero dec)" xfId="2730" xr:uid="{00000000-0005-0000-0000-0000970A0000}"/>
    <cellStyle name="Dollar Display" xfId="2731" xr:uid="{00000000-0005-0000-0000-0000980A0000}"/>
    <cellStyle name="Dollar Input" xfId="2732" xr:uid="{00000000-0005-0000-0000-0000990A0000}"/>
    <cellStyle name="Dollar(0)" xfId="2733" xr:uid="{00000000-0005-0000-0000-00009A0A0000}"/>
    <cellStyle name="Dollar(1)" xfId="2734" xr:uid="{00000000-0005-0000-0000-00009B0A0000}"/>
    <cellStyle name="Dollar(2)" xfId="2735" xr:uid="{00000000-0005-0000-0000-00009C0A0000}"/>
    <cellStyle name="Dollar_Data" xfId="2736" xr:uid="{00000000-0005-0000-0000-00009D0A0000}"/>
    <cellStyle name="DollarFraction" xfId="2737" xr:uid="{00000000-0005-0000-0000-00009E0A0000}"/>
    <cellStyle name="DollarFraction 2" xfId="2738" xr:uid="{00000000-0005-0000-0000-00009F0A0000}"/>
    <cellStyle name="DollarFraction 3" xfId="2739" xr:uid="{00000000-0005-0000-0000-0000A00A0000}"/>
    <cellStyle name="Dollars" xfId="2740" xr:uid="{00000000-0005-0000-0000-0000A10A0000}"/>
    <cellStyle name="DollarWhole" xfId="2741" xr:uid="{00000000-0005-0000-0000-0000A20A0000}"/>
    <cellStyle name="Dotted Line" xfId="2742" xr:uid="{00000000-0005-0000-0000-0000A30A0000}"/>
    <cellStyle name="DOUBLE - Style1" xfId="2743" xr:uid="{00000000-0005-0000-0000-0000A40A0000}"/>
    <cellStyle name="Download" xfId="2744" xr:uid="{00000000-0005-0000-0000-0000A50A0000}"/>
    <cellStyle name="Download 2" xfId="2745" xr:uid="{00000000-0005-0000-0000-0000A60A0000}"/>
    <cellStyle name="Download 3" xfId="2746" xr:uid="{00000000-0005-0000-0000-0000A70A0000}"/>
    <cellStyle name="Download 4" xfId="2747" xr:uid="{00000000-0005-0000-0000-0000A80A0000}"/>
    <cellStyle name="Download 5" xfId="2748" xr:uid="{00000000-0005-0000-0000-0000A90A0000}"/>
    <cellStyle name="Download 6" xfId="2749" xr:uid="{00000000-0005-0000-0000-0000AA0A0000}"/>
    <cellStyle name="Driver" xfId="2750" xr:uid="{00000000-0005-0000-0000-0000AB0A0000}"/>
    <cellStyle name="e" xfId="2751" xr:uid="{00000000-0005-0000-0000-0000AC0A0000}"/>
    <cellStyle name="e 2" xfId="2752" xr:uid="{00000000-0005-0000-0000-0000AD0A0000}"/>
    <cellStyle name="e 3" xfId="2753" xr:uid="{00000000-0005-0000-0000-0000AE0A0000}"/>
    <cellStyle name="e 4" xfId="2754" xr:uid="{00000000-0005-0000-0000-0000AF0A0000}"/>
    <cellStyle name="e 5" xfId="2755" xr:uid="{00000000-0005-0000-0000-0000B00A0000}"/>
    <cellStyle name="Eingabefeld" xfId="2756" xr:uid="{00000000-0005-0000-0000-0000B10A0000}"/>
    <cellStyle name="Eingabefeld 2" xfId="2757" xr:uid="{00000000-0005-0000-0000-0000B20A0000}"/>
    <cellStyle name="Eingabefeld 3" xfId="2758" xr:uid="{00000000-0005-0000-0000-0000B30A0000}"/>
    <cellStyle name="Eingabefeld 4" xfId="2759" xr:uid="{00000000-0005-0000-0000-0000B40A0000}"/>
    <cellStyle name="Eingabefeld 5" xfId="2760" xr:uid="{00000000-0005-0000-0000-0000B50A0000}"/>
    <cellStyle name="Eingabewert Dat" xfId="2761" xr:uid="{00000000-0005-0000-0000-0000B60A0000}"/>
    <cellStyle name="EMR" xfId="2762" xr:uid="{00000000-0005-0000-0000-0000B70A0000}"/>
    <cellStyle name="Encabez1" xfId="2763" xr:uid="{00000000-0005-0000-0000-0000B80A0000}"/>
    <cellStyle name="Encabez2" xfId="2764" xr:uid="{00000000-0005-0000-0000-0000B90A0000}"/>
    <cellStyle name="Enter Currency (0)" xfId="2765" xr:uid="{00000000-0005-0000-0000-0000BA0A0000}"/>
    <cellStyle name="Enter Currency (2)" xfId="2766" xr:uid="{00000000-0005-0000-0000-0000BB0A0000}"/>
    <cellStyle name="Enter Units (0)" xfId="2767" xr:uid="{00000000-0005-0000-0000-0000BC0A0000}"/>
    <cellStyle name="Enter Units (1)" xfId="2768" xr:uid="{00000000-0005-0000-0000-0000BD0A0000}"/>
    <cellStyle name="Enter Units (2)" xfId="2769" xr:uid="{00000000-0005-0000-0000-0000BE0A0000}"/>
    <cellStyle name="Entered" xfId="2770" xr:uid="{00000000-0005-0000-0000-0000BF0A0000}"/>
    <cellStyle name="En-tête" xfId="2771" xr:uid="{00000000-0005-0000-0000-0000C00A0000}"/>
    <cellStyle name="Equinox Automatic" xfId="2772" xr:uid="{00000000-0005-0000-0000-0000C10A0000}"/>
    <cellStyle name="Equinox Blue Text" xfId="2773" xr:uid="{00000000-0005-0000-0000-0000C20A0000}"/>
    <cellStyle name="Equinox DkRed Text" xfId="2774" xr:uid="{00000000-0005-0000-0000-0000C30A0000}"/>
    <cellStyle name="Equinox Grey Text" xfId="2775" xr:uid="{00000000-0005-0000-0000-0000C40A0000}"/>
    <cellStyle name="Equinox Greyout" xfId="2776" xr:uid="{00000000-0005-0000-0000-0000C50A0000}"/>
    <cellStyle name="Equinox Inactive" xfId="2777" xr:uid="{00000000-0005-0000-0000-0000C60A0000}"/>
    <cellStyle name="Equinox Red Text" xfId="2778" xr:uid="{00000000-0005-0000-0000-0000C70A0000}"/>
    <cellStyle name="Ergebnisfeld" xfId="2779" xr:uid="{00000000-0005-0000-0000-0000C80A0000}"/>
    <cellStyle name="Ergebnisfeld 2" xfId="2780" xr:uid="{00000000-0005-0000-0000-0000C90A0000}"/>
    <cellStyle name="Ergebnisfeld 3" xfId="2781" xr:uid="{00000000-0005-0000-0000-0000CA0A0000}"/>
    <cellStyle name="Ergebnisfeld 4" xfId="2782" xr:uid="{00000000-0005-0000-0000-0000CB0A0000}"/>
    <cellStyle name="Ergebnisfeld 5" xfId="2783" xr:uid="{00000000-0005-0000-0000-0000CC0A0000}"/>
    <cellStyle name="Error" xfId="2784" xr:uid="{00000000-0005-0000-0000-0000CD0A0000}"/>
    <cellStyle name="Error 2" xfId="2785" xr:uid="{00000000-0005-0000-0000-0000CE0A0000}"/>
    <cellStyle name="Error 3" xfId="2786" xr:uid="{00000000-0005-0000-0000-0000CF0A0000}"/>
    <cellStyle name="Error 4" xfId="2787" xr:uid="{00000000-0005-0000-0000-0000D00A0000}"/>
    <cellStyle name="Error 5" xfId="2788" xr:uid="{00000000-0005-0000-0000-0000D10A0000}"/>
    <cellStyle name="Euro" xfId="2789" xr:uid="{00000000-0005-0000-0000-0000D20A0000}"/>
    <cellStyle name="Euro 2" xfId="2790" xr:uid="{00000000-0005-0000-0000-0000D30A0000}"/>
    <cellStyle name="Euro 3" xfId="2791" xr:uid="{00000000-0005-0000-0000-0000D40A0000}"/>
    <cellStyle name="Euro Display" xfId="2792" xr:uid="{00000000-0005-0000-0000-0000D50A0000}"/>
    <cellStyle name="Euro Input" xfId="2793" xr:uid="{00000000-0005-0000-0000-0000D60A0000}"/>
    <cellStyle name="Euro_ Agenda" xfId="2794" xr:uid="{00000000-0005-0000-0000-0000D70A0000}"/>
    <cellStyle name="Excession" xfId="2795" xr:uid="{00000000-0005-0000-0000-0000D80A0000}"/>
    <cellStyle name="Explanatory Text" xfId="20" builtinId="53" customBuiltin="1"/>
    <cellStyle name="f" xfId="2796" xr:uid="{00000000-0005-0000-0000-0000DA0A0000}"/>
    <cellStyle name="f 2" xfId="2797" xr:uid="{00000000-0005-0000-0000-0000DB0A0000}"/>
    <cellStyle name="f 2 2" xfId="2798" xr:uid="{00000000-0005-0000-0000-0000DC0A0000}"/>
    <cellStyle name="f 2 2 2" xfId="2799" xr:uid="{00000000-0005-0000-0000-0000DD0A0000}"/>
    <cellStyle name="f 2 2 2 2" xfId="4276" xr:uid="{BDEA8C90-AFF2-40B9-934E-15C42D2417EC}"/>
    <cellStyle name="f 2 2 3" xfId="4275" xr:uid="{6217504E-3E14-4747-B50C-B78703D958BD}"/>
    <cellStyle name="f 2 3" xfId="2800" xr:uid="{00000000-0005-0000-0000-0000DE0A0000}"/>
    <cellStyle name="f 2 3 2" xfId="2801" xr:uid="{00000000-0005-0000-0000-0000DF0A0000}"/>
    <cellStyle name="f 2 3 2 2" xfId="4278" xr:uid="{07F531BE-C455-4EE2-90D6-755CF23229A1}"/>
    <cellStyle name="f 2 3 3" xfId="4277" xr:uid="{92FA8867-8F47-4959-8A42-4642B3808287}"/>
    <cellStyle name="f 2 4" xfId="2802" xr:uid="{00000000-0005-0000-0000-0000E00A0000}"/>
    <cellStyle name="f 2 4 2" xfId="4279" xr:uid="{89D67CB1-3471-49BB-A48D-A66451C075C3}"/>
    <cellStyle name="f 2 5" xfId="4274" xr:uid="{290D93B5-D8AD-423C-A317-E7BE86BB51E8}"/>
    <cellStyle name="f 3" xfId="2803" xr:uid="{00000000-0005-0000-0000-0000E10A0000}"/>
    <cellStyle name="f 3 2" xfId="2804" xr:uid="{00000000-0005-0000-0000-0000E20A0000}"/>
    <cellStyle name="f 3 2 2" xfId="2805" xr:uid="{00000000-0005-0000-0000-0000E30A0000}"/>
    <cellStyle name="f 3 2 2 2" xfId="4282" xr:uid="{A2A369F4-291D-4251-ADF4-3EF62A17946D}"/>
    <cellStyle name="f 3 2 3" xfId="4281" xr:uid="{6B5014DA-F0D5-4EF5-A49C-C417543007D8}"/>
    <cellStyle name="f 3 3" xfId="2806" xr:uid="{00000000-0005-0000-0000-0000E40A0000}"/>
    <cellStyle name="f 3 3 2" xfId="2807" xr:uid="{00000000-0005-0000-0000-0000E50A0000}"/>
    <cellStyle name="f 3 3 2 2" xfId="4284" xr:uid="{1A0D6379-0104-483D-922D-B9491AD00D6A}"/>
    <cellStyle name="f 3 3 3" xfId="4283" xr:uid="{4AC63A50-AA75-40B3-942E-9191572C12D5}"/>
    <cellStyle name="f 3 4" xfId="2808" xr:uid="{00000000-0005-0000-0000-0000E60A0000}"/>
    <cellStyle name="f 3 4 2" xfId="4285" xr:uid="{6B2CE16F-A09A-4FB0-9096-29C8ECFC1456}"/>
    <cellStyle name="f 3 5" xfId="4280" xr:uid="{7826B7D3-BB9D-451C-9993-69A88C17CECF}"/>
    <cellStyle name="f 4" xfId="2809" xr:uid="{00000000-0005-0000-0000-0000E70A0000}"/>
    <cellStyle name="f 4 2" xfId="2810" xr:uid="{00000000-0005-0000-0000-0000E80A0000}"/>
    <cellStyle name="f 4 2 2" xfId="4287" xr:uid="{18B906A8-C32D-4EC0-938A-81FA15F5E138}"/>
    <cellStyle name="f 4 3" xfId="4286" xr:uid="{0485DBEA-6A4F-4D48-B6A6-3180C877EC83}"/>
    <cellStyle name="f 5" xfId="2811" xr:uid="{00000000-0005-0000-0000-0000E90A0000}"/>
    <cellStyle name="f 5 2" xfId="2812" xr:uid="{00000000-0005-0000-0000-0000EA0A0000}"/>
    <cellStyle name="f 5 2 2" xfId="4289" xr:uid="{7F3A5B07-36F0-4740-9210-2B38E6C94C84}"/>
    <cellStyle name="f 5 3" xfId="4288" xr:uid="{0BBF7076-7D5E-41A9-A4A0-3E1B2940CA97}"/>
    <cellStyle name="f 6" xfId="2813" xr:uid="{00000000-0005-0000-0000-0000EB0A0000}"/>
    <cellStyle name="f 6 2" xfId="2814" xr:uid="{00000000-0005-0000-0000-0000EC0A0000}"/>
    <cellStyle name="f 6 2 2" xfId="4291" xr:uid="{E154885D-C962-4ADB-9803-93F0E3FF9A87}"/>
    <cellStyle name="f 6 3" xfId="4290" xr:uid="{F77109D4-1B63-4471-8996-C6385B1DA805}"/>
    <cellStyle name="f 7" xfId="2815" xr:uid="{00000000-0005-0000-0000-0000ED0A0000}"/>
    <cellStyle name="f 7 2" xfId="2816" xr:uid="{00000000-0005-0000-0000-0000EE0A0000}"/>
    <cellStyle name="f 7 2 2" xfId="4293" xr:uid="{6BB7EBF0-5000-4E1E-8229-6B70B1FD2988}"/>
    <cellStyle name="f 7 3" xfId="4292" xr:uid="{5129FFA9-B372-46A4-B70F-B41E99FB81FE}"/>
    <cellStyle name="f 8" xfId="2817" xr:uid="{00000000-0005-0000-0000-0000EF0A0000}"/>
    <cellStyle name="f 8 2" xfId="2818" xr:uid="{00000000-0005-0000-0000-0000F00A0000}"/>
    <cellStyle name="f 8 2 2" xfId="4295" xr:uid="{A33883A4-3071-4DE3-93C8-4C1E565B661B}"/>
    <cellStyle name="f 8 3" xfId="4294" xr:uid="{C1C6C8B8-8DB2-48E4-BEB7-0EB93C4F45B9}"/>
    <cellStyle name="f 9" xfId="4273" xr:uid="{B6C123F5-BB09-4246-93D9-0BA054788097}"/>
    <cellStyle name="F2" xfId="2819" xr:uid="{00000000-0005-0000-0000-0000F10A0000}"/>
    <cellStyle name="F3" xfId="2820" xr:uid="{00000000-0005-0000-0000-0000F20A0000}"/>
    <cellStyle name="F4" xfId="2821" xr:uid="{00000000-0005-0000-0000-0000F30A0000}"/>
    <cellStyle name="F5" xfId="2822" xr:uid="{00000000-0005-0000-0000-0000F40A0000}"/>
    <cellStyle name="F6" xfId="2823" xr:uid="{00000000-0005-0000-0000-0000F50A0000}"/>
    <cellStyle name="F7" xfId="2824" xr:uid="{00000000-0005-0000-0000-0000F60A0000}"/>
    <cellStyle name="F8" xfId="2825" xr:uid="{00000000-0005-0000-0000-0000F70A0000}"/>
    <cellStyle name="FakePercent(0)" xfId="2826" xr:uid="{00000000-0005-0000-0000-0000F80A0000}"/>
    <cellStyle name="FakePercent(1)" xfId="2827" xr:uid="{00000000-0005-0000-0000-0000F90A0000}"/>
    <cellStyle name="FakePercent(2)" xfId="2828" xr:uid="{00000000-0005-0000-0000-0000FA0A0000}"/>
    <cellStyle name="Fijo" xfId="2829" xr:uid="{00000000-0005-0000-0000-0000FB0A0000}"/>
    <cellStyle name="Financiero" xfId="2830" xr:uid="{00000000-0005-0000-0000-0000FC0A0000}"/>
    <cellStyle name="first line" xfId="2831" xr:uid="{00000000-0005-0000-0000-0000FD0A0000}"/>
    <cellStyle name="FirstNumbers" xfId="2832" xr:uid="{00000000-0005-0000-0000-0000FE0A0000}"/>
    <cellStyle name="FirstNumbers 2" xfId="2833" xr:uid="{00000000-0005-0000-0000-0000FF0A0000}"/>
    <cellStyle name="FirstNumbers 3" xfId="2834" xr:uid="{00000000-0005-0000-0000-0000000B0000}"/>
    <cellStyle name="Fixed" xfId="2835" xr:uid="{00000000-0005-0000-0000-0000010B0000}"/>
    <cellStyle name="Fixed (1)" xfId="2836" xr:uid="{00000000-0005-0000-0000-0000020B0000}"/>
    <cellStyle name="Fixed [0]" xfId="2837" xr:uid="{00000000-0005-0000-0000-0000030B0000}"/>
    <cellStyle name="Fixed [2]" xfId="2838" xr:uid="{00000000-0005-0000-0000-0000040B0000}"/>
    <cellStyle name="Fixed_1" xfId="2839" xr:uid="{00000000-0005-0000-0000-0000050B0000}"/>
    <cellStyle name="Fixed2 - Style2" xfId="2840" xr:uid="{00000000-0005-0000-0000-0000060B0000}"/>
    <cellStyle name="Följde hyperlänken_COLLECTIONS REVIEW0603" xfId="2841" xr:uid="{00000000-0005-0000-0000-0000070B0000}"/>
    <cellStyle name="Footnote" xfId="2842" xr:uid="{00000000-0005-0000-0000-0000080B0000}"/>
    <cellStyle name="Footnotes" xfId="2843" xr:uid="{00000000-0005-0000-0000-0000090B0000}"/>
    <cellStyle name="form" xfId="2844" xr:uid="{00000000-0005-0000-0000-00000A0B0000}"/>
    <cellStyle name="Formulas" xfId="2845" xr:uid="{00000000-0005-0000-0000-00000B0B0000}"/>
    <cellStyle name="Formulas 2" xfId="2846" xr:uid="{00000000-0005-0000-0000-00000C0B0000}"/>
    <cellStyle name="fpc - Style6" xfId="2847" xr:uid="{00000000-0005-0000-0000-00000D0B0000}"/>
    <cellStyle name="FX Rate" xfId="2848" xr:uid="{00000000-0005-0000-0000-00000E0B0000}"/>
    <cellStyle name="FX Rate 2" xfId="2849" xr:uid="{00000000-0005-0000-0000-00000F0B0000}"/>
    <cellStyle name="FX Rate 3" xfId="2850" xr:uid="{00000000-0005-0000-0000-0000100B0000}"/>
    <cellStyle name="General" xfId="2851" xr:uid="{00000000-0005-0000-0000-0000110B0000}"/>
    <cellStyle name="General0" xfId="2852" xr:uid="{00000000-0005-0000-0000-0000120B0000}"/>
    <cellStyle name="General0C" xfId="2853" xr:uid="{00000000-0005-0000-0000-0000130B0000}"/>
    <cellStyle name="General0R" xfId="2854" xr:uid="{00000000-0005-0000-0000-0000140B0000}"/>
    <cellStyle name="General2" xfId="2855" xr:uid="{00000000-0005-0000-0000-0000150B0000}"/>
    <cellStyle name="General3" xfId="2856" xr:uid="{00000000-0005-0000-0000-0000160B0000}"/>
    <cellStyle name="GeneralNumber" xfId="2857" xr:uid="{00000000-0005-0000-0000-0000170B0000}"/>
    <cellStyle name="GeneralNumber 2" xfId="2858" xr:uid="{00000000-0005-0000-0000-0000180B0000}"/>
    <cellStyle name="gill" xfId="2859" xr:uid="{00000000-0005-0000-0000-0000190B0000}"/>
    <cellStyle name="gill 2" xfId="2860" xr:uid="{00000000-0005-0000-0000-00001A0B0000}"/>
    <cellStyle name="Global" xfId="2861" xr:uid="{00000000-0005-0000-0000-00001B0B0000}"/>
    <cellStyle name="Global 2" xfId="2862" xr:uid="{00000000-0005-0000-0000-00001C0B0000}"/>
    <cellStyle name="Global 2 2" xfId="2863" xr:uid="{00000000-0005-0000-0000-00001D0B0000}"/>
    <cellStyle name="Global 2 2 2" xfId="2864" xr:uid="{00000000-0005-0000-0000-00001E0B0000}"/>
    <cellStyle name="Global 2 3" xfId="2865" xr:uid="{00000000-0005-0000-0000-00001F0B0000}"/>
    <cellStyle name="Global 3" xfId="2866" xr:uid="{00000000-0005-0000-0000-0000200B0000}"/>
    <cellStyle name="Global 3 2" xfId="2867" xr:uid="{00000000-0005-0000-0000-0000210B0000}"/>
    <cellStyle name="Global 3 2 2" xfId="2868" xr:uid="{00000000-0005-0000-0000-0000220B0000}"/>
    <cellStyle name="Global 3 3" xfId="2869" xr:uid="{00000000-0005-0000-0000-0000230B0000}"/>
    <cellStyle name="Global 4" xfId="2870" xr:uid="{00000000-0005-0000-0000-0000240B0000}"/>
    <cellStyle name="Global 4 2" xfId="2871" xr:uid="{00000000-0005-0000-0000-0000250B0000}"/>
    <cellStyle name="Global 5" xfId="2872" xr:uid="{00000000-0005-0000-0000-0000260B0000}"/>
    <cellStyle name="Global 6" xfId="2873" xr:uid="{00000000-0005-0000-0000-0000270B0000}"/>
    <cellStyle name="Global 7" xfId="2874" xr:uid="{00000000-0005-0000-0000-0000280B0000}"/>
    <cellStyle name="Good" xfId="11" builtinId="26" customBuiltin="1"/>
    <cellStyle name="Gray bold italic" xfId="2875" xr:uid="{00000000-0005-0000-0000-00002A0B0000}"/>
    <cellStyle name="Gray bold italic 2" xfId="2876" xr:uid="{00000000-0005-0000-0000-00002B0B0000}"/>
    <cellStyle name="Gray bold italic 3" xfId="2877" xr:uid="{00000000-0005-0000-0000-00002C0B0000}"/>
    <cellStyle name="Green Bold" xfId="2878" xr:uid="{00000000-0005-0000-0000-00002D0B0000}"/>
    <cellStyle name="Grey" xfId="2879" xr:uid="{00000000-0005-0000-0000-00002E0B0000}"/>
    <cellStyle name="GreyControl" xfId="2880" xr:uid="{00000000-0005-0000-0000-00002F0B0000}"/>
    <cellStyle name="greyinput" xfId="2881" xr:uid="{00000000-0005-0000-0000-0000300B0000}"/>
    <cellStyle name="greyinput 2" xfId="2882" xr:uid="{00000000-0005-0000-0000-0000310B0000}"/>
    <cellStyle name="greyinput 3" xfId="2883" xr:uid="{00000000-0005-0000-0000-0000320B0000}"/>
    <cellStyle name="greyinput 4" xfId="2884" xr:uid="{00000000-0005-0000-0000-0000330B0000}"/>
    <cellStyle name="greyinput 5" xfId="2885" xr:uid="{00000000-0005-0000-0000-0000340B0000}"/>
    <cellStyle name="Group-T" xfId="2886" xr:uid="{00000000-0005-0000-0000-0000350B0000}"/>
    <cellStyle name="GrowthRate" xfId="2887" xr:uid="{00000000-0005-0000-0000-0000360B0000}"/>
    <cellStyle name="Hard numbers" xfId="2888" xr:uid="{00000000-0005-0000-0000-0000370B0000}"/>
    <cellStyle name="Hard numbers 2" xfId="2889" xr:uid="{00000000-0005-0000-0000-0000380B0000}"/>
    <cellStyle name="Hard numbers 3" xfId="2890" xr:uid="{00000000-0005-0000-0000-0000390B0000}"/>
    <cellStyle name="Hard numbers 4" xfId="2891" xr:uid="{00000000-0005-0000-0000-00003A0B0000}"/>
    <cellStyle name="Hard numbers 5" xfId="2892" xr:uid="{00000000-0005-0000-0000-00003B0B0000}"/>
    <cellStyle name="Hard Percent" xfId="2893" xr:uid="{00000000-0005-0000-0000-00003C0B0000}"/>
    <cellStyle name="Hardcoded" xfId="2894" xr:uid="{00000000-0005-0000-0000-00003D0B0000}"/>
    <cellStyle name="Head - Style7" xfId="2895" xr:uid="{00000000-0005-0000-0000-00003E0B0000}"/>
    <cellStyle name="Head1" xfId="2896" xr:uid="{00000000-0005-0000-0000-00003F0B0000}"/>
    <cellStyle name="HEADER" xfId="2897" xr:uid="{00000000-0005-0000-0000-0000400B0000}"/>
    <cellStyle name="Header1" xfId="2898" xr:uid="{00000000-0005-0000-0000-0000410B0000}"/>
    <cellStyle name="Header2" xfId="2899" xr:uid="{00000000-0005-0000-0000-0000420B0000}"/>
    <cellStyle name="Header2 2" xfId="2900" xr:uid="{00000000-0005-0000-0000-0000430B0000}"/>
    <cellStyle name="Header2 3" xfId="2901" xr:uid="{00000000-0005-0000-0000-0000440B0000}"/>
    <cellStyle name="headers" xfId="2902" xr:uid="{00000000-0005-0000-0000-0000450B0000}"/>
    <cellStyle name="Heading" xfId="2903" xr:uid="{00000000-0005-0000-0000-0000460B0000}"/>
    <cellStyle name="Heading 1" xfId="7" builtinId="16" customBuiltin="1"/>
    <cellStyle name="Heading 2" xfId="8" builtinId="17" customBuiltin="1"/>
    <cellStyle name="Heading 3" xfId="9" builtinId="18" customBuiltin="1"/>
    <cellStyle name="Heading 4" xfId="10" builtinId="19" customBuiltin="1"/>
    <cellStyle name="Heading No Underline" xfId="2904" xr:uid="{00000000-0005-0000-0000-00004B0B0000}"/>
    <cellStyle name="Heading With Underline" xfId="2905" xr:uid="{00000000-0005-0000-0000-00004C0B0000}"/>
    <cellStyle name="Heading With Underline 2" xfId="2906" xr:uid="{00000000-0005-0000-0000-00004D0B0000}"/>
    <cellStyle name="Heading With Underline 2 2" xfId="2907" xr:uid="{00000000-0005-0000-0000-00004E0B0000}"/>
    <cellStyle name="Heading With Underline 2 2 2" xfId="2908" xr:uid="{00000000-0005-0000-0000-00004F0B0000}"/>
    <cellStyle name="Heading With Underline 2 2 2 2" xfId="4299" xr:uid="{02DAE44A-73AB-4408-A5B3-096D088A88BB}"/>
    <cellStyle name="Heading With Underline 2 2 3" xfId="4298" xr:uid="{15739BCD-A6E6-4B66-B2CC-A819C410353F}"/>
    <cellStyle name="Heading With Underline 2 3" xfId="2909" xr:uid="{00000000-0005-0000-0000-0000500B0000}"/>
    <cellStyle name="Heading With Underline 2 3 2" xfId="2910" xr:uid="{00000000-0005-0000-0000-0000510B0000}"/>
    <cellStyle name="Heading With Underline 2 3 2 2" xfId="4301" xr:uid="{49B8722A-90C9-42D7-9CC3-3F6DF0887E90}"/>
    <cellStyle name="Heading With Underline 2 3 3" xfId="4300" xr:uid="{68010EC0-CE9C-48D3-BD33-189067EBC28F}"/>
    <cellStyle name="Heading With Underline 2 4" xfId="2911" xr:uid="{00000000-0005-0000-0000-0000520B0000}"/>
    <cellStyle name="Heading With Underline 2 4 2" xfId="4302" xr:uid="{65B1CE20-6F0F-494B-8BA3-4AF5B4238FA0}"/>
    <cellStyle name="Heading With Underline 2 5" xfId="4297" xr:uid="{CDDA59C8-3344-40F2-9616-432E70048DAD}"/>
    <cellStyle name="Heading With Underline 3" xfId="2912" xr:uid="{00000000-0005-0000-0000-0000530B0000}"/>
    <cellStyle name="Heading With Underline 3 2" xfId="2913" xr:uid="{00000000-0005-0000-0000-0000540B0000}"/>
    <cellStyle name="Heading With Underline 3 2 2" xfId="2914" xr:uid="{00000000-0005-0000-0000-0000550B0000}"/>
    <cellStyle name="Heading With Underline 3 2 2 2" xfId="4305" xr:uid="{98E15C73-1AE8-4B18-B1A4-37355069F9DF}"/>
    <cellStyle name="Heading With Underline 3 2 3" xfId="4304" xr:uid="{6A43112F-692A-4F4F-BAA7-B5B46C196114}"/>
    <cellStyle name="Heading With Underline 3 3" xfId="2915" xr:uid="{00000000-0005-0000-0000-0000560B0000}"/>
    <cellStyle name="Heading With Underline 3 3 2" xfId="2916" xr:uid="{00000000-0005-0000-0000-0000570B0000}"/>
    <cellStyle name="Heading With Underline 3 3 2 2" xfId="4307" xr:uid="{09F93381-8363-48F2-9DFC-CDED386F6F38}"/>
    <cellStyle name="Heading With Underline 3 3 3" xfId="4306" xr:uid="{EE736A18-1E8C-4521-820C-72BE02CF962A}"/>
    <cellStyle name="Heading With Underline 3 4" xfId="2917" xr:uid="{00000000-0005-0000-0000-0000580B0000}"/>
    <cellStyle name="Heading With Underline 3 4 2" xfId="4308" xr:uid="{9C79B5D6-61C8-4289-AF51-3C0526B29277}"/>
    <cellStyle name="Heading With Underline 3 5" xfId="4303" xr:uid="{9670843F-7EAC-4837-A2F1-D7F96C610460}"/>
    <cellStyle name="Heading With Underline 4" xfId="2918" xr:uid="{00000000-0005-0000-0000-0000590B0000}"/>
    <cellStyle name="Heading With Underline 4 2" xfId="2919" xr:uid="{00000000-0005-0000-0000-00005A0B0000}"/>
    <cellStyle name="Heading With Underline 4 2 2" xfId="4310" xr:uid="{FB4AE1F0-2621-4301-80F5-82E6019F84D8}"/>
    <cellStyle name="Heading With Underline 4 3" xfId="4309" xr:uid="{769EC2E2-A0A8-4050-92D9-D224ACAAD8E3}"/>
    <cellStyle name="Heading With Underline 5" xfId="2920" xr:uid="{00000000-0005-0000-0000-00005B0B0000}"/>
    <cellStyle name="Heading With Underline 5 2" xfId="2921" xr:uid="{00000000-0005-0000-0000-00005C0B0000}"/>
    <cellStyle name="Heading With Underline 5 2 2" xfId="4312" xr:uid="{645D229F-0CEE-4C58-A8EA-430A7E8773DB}"/>
    <cellStyle name="Heading With Underline 5 3" xfId="4311" xr:uid="{65BA1CF2-99A4-496C-A951-4A2BA829A9D7}"/>
    <cellStyle name="Heading With Underline 6" xfId="2922" xr:uid="{00000000-0005-0000-0000-00005D0B0000}"/>
    <cellStyle name="Heading With Underline 6 2" xfId="2923" xr:uid="{00000000-0005-0000-0000-00005E0B0000}"/>
    <cellStyle name="Heading With Underline 6 2 2" xfId="4314" xr:uid="{04B364B9-FB89-46A0-A79A-9387EE11E25B}"/>
    <cellStyle name="Heading With Underline 6 3" xfId="4313" xr:uid="{906D5ACF-E1BE-4507-9CA3-70132A3EDAB5}"/>
    <cellStyle name="Heading With Underline 7" xfId="2924" xr:uid="{00000000-0005-0000-0000-00005F0B0000}"/>
    <cellStyle name="Heading With Underline 7 2" xfId="2925" xr:uid="{00000000-0005-0000-0000-0000600B0000}"/>
    <cellStyle name="Heading With Underline 7 2 2" xfId="4316" xr:uid="{E1DE4C11-4F98-4327-8558-8BA3C790EA46}"/>
    <cellStyle name="Heading With Underline 7 3" xfId="4315" xr:uid="{4C43D8D2-ECEB-4BDF-A337-6C92AABA9F55}"/>
    <cellStyle name="Heading With Underline 8" xfId="2926" xr:uid="{00000000-0005-0000-0000-0000610B0000}"/>
    <cellStyle name="Heading With Underline 8 2" xfId="2927" xr:uid="{00000000-0005-0000-0000-0000620B0000}"/>
    <cellStyle name="Heading With Underline 8 2 2" xfId="4318" xr:uid="{E2374846-862B-4EEE-A1FB-69A4776AFFEC}"/>
    <cellStyle name="Heading With Underline 8 3" xfId="4317" xr:uid="{5AA6FA83-2678-4653-9616-CBFA6E401325}"/>
    <cellStyle name="Heading With Underline 9" xfId="4296" xr:uid="{179D14E3-A98D-49CD-BC77-74D245B16BC2}"/>
    <cellStyle name="Heading1" xfId="2928" xr:uid="{00000000-0005-0000-0000-0000630B0000}"/>
    <cellStyle name="Heading2" xfId="2929" xr:uid="{00000000-0005-0000-0000-0000640B0000}"/>
    <cellStyle name="Heading3" xfId="2930" xr:uid="{00000000-0005-0000-0000-0000650B0000}"/>
    <cellStyle name="Heading4" xfId="2931" xr:uid="{00000000-0005-0000-0000-0000660B0000}"/>
    <cellStyle name="Heading4 2" xfId="2932" xr:uid="{00000000-0005-0000-0000-0000670B0000}"/>
    <cellStyle name="Heading4 2 2" xfId="2933" xr:uid="{00000000-0005-0000-0000-0000680B0000}"/>
    <cellStyle name="Heading4 3" xfId="2934" xr:uid="{00000000-0005-0000-0000-0000690B0000}"/>
    <cellStyle name="Heading4 3 2" xfId="2935" xr:uid="{00000000-0005-0000-0000-00006A0B0000}"/>
    <cellStyle name="Heading4 4" xfId="2936" xr:uid="{00000000-0005-0000-0000-00006B0B0000}"/>
    <cellStyle name="HeadingMonth" xfId="2937" xr:uid="{00000000-0005-0000-0000-00006C0B0000}"/>
    <cellStyle name="HeadingR" xfId="2938" xr:uid="{00000000-0005-0000-0000-00006D0B0000}"/>
    <cellStyle name="HeadingR 2" xfId="2939" xr:uid="{00000000-0005-0000-0000-00006E0B0000}"/>
    <cellStyle name="HeadingR 2 2" xfId="2940" xr:uid="{00000000-0005-0000-0000-00006F0B0000}"/>
    <cellStyle name="HeadingR 2 2 2" xfId="2941" xr:uid="{00000000-0005-0000-0000-0000700B0000}"/>
    <cellStyle name="HeadingR 2 3" xfId="2942" xr:uid="{00000000-0005-0000-0000-0000710B0000}"/>
    <cellStyle name="HeadingR 2 3 2" xfId="2943" xr:uid="{00000000-0005-0000-0000-0000720B0000}"/>
    <cellStyle name="HeadingR 2 4" xfId="2944" xr:uid="{00000000-0005-0000-0000-0000730B0000}"/>
    <cellStyle name="HeadingR 3" xfId="2945" xr:uid="{00000000-0005-0000-0000-0000740B0000}"/>
    <cellStyle name="HeadingR 3 2" xfId="2946" xr:uid="{00000000-0005-0000-0000-0000750B0000}"/>
    <cellStyle name="HeadingR 3 2 2" xfId="2947" xr:uid="{00000000-0005-0000-0000-0000760B0000}"/>
    <cellStyle name="HeadingR 3 3" xfId="2948" xr:uid="{00000000-0005-0000-0000-0000770B0000}"/>
    <cellStyle name="HeadingR 3 3 2" xfId="2949" xr:uid="{00000000-0005-0000-0000-0000780B0000}"/>
    <cellStyle name="HeadingR 3 4" xfId="2950" xr:uid="{00000000-0005-0000-0000-0000790B0000}"/>
    <cellStyle name="HeadingR 4" xfId="2951" xr:uid="{00000000-0005-0000-0000-00007A0B0000}"/>
    <cellStyle name="HeadingR 4 2" xfId="2952" xr:uid="{00000000-0005-0000-0000-00007B0B0000}"/>
    <cellStyle name="HeadingR 4 2 2" xfId="2953" xr:uid="{00000000-0005-0000-0000-00007C0B0000}"/>
    <cellStyle name="HeadingR 4 3" xfId="2954" xr:uid="{00000000-0005-0000-0000-00007D0B0000}"/>
    <cellStyle name="HeadingR 4 3 2" xfId="2955" xr:uid="{00000000-0005-0000-0000-00007E0B0000}"/>
    <cellStyle name="HeadingR 4 4" xfId="2956" xr:uid="{00000000-0005-0000-0000-00007F0B0000}"/>
    <cellStyle name="HeadingR 5" xfId="2957" xr:uid="{00000000-0005-0000-0000-0000800B0000}"/>
    <cellStyle name="HeadingR 5 2" xfId="2958" xr:uid="{00000000-0005-0000-0000-0000810B0000}"/>
    <cellStyle name="HeadingR 6" xfId="2959" xr:uid="{00000000-0005-0000-0000-0000820B0000}"/>
    <cellStyle name="HeadingR 6 2" xfId="2960" xr:uid="{00000000-0005-0000-0000-0000830B0000}"/>
    <cellStyle name="HeadingR 7" xfId="2961" xr:uid="{00000000-0005-0000-0000-0000840B0000}"/>
    <cellStyle name="HeadingR 8" xfId="2962" xr:uid="{00000000-0005-0000-0000-0000850B0000}"/>
    <cellStyle name="HEADINGS" xfId="2963" xr:uid="{00000000-0005-0000-0000-0000860B0000}"/>
    <cellStyle name="HEADINGSTOP" xfId="2964" xr:uid="{00000000-0005-0000-0000-0000870B0000}"/>
    <cellStyle name="helvetica" xfId="2965" xr:uid="{00000000-0005-0000-0000-0000880B0000}"/>
    <cellStyle name="Hidden" xfId="2966" xr:uid="{00000000-0005-0000-0000-0000890B0000}"/>
    <cellStyle name="HIGHLIGHT" xfId="2967" xr:uid="{00000000-0005-0000-0000-00008A0B0000}"/>
    <cellStyle name="HotLink" xfId="2968" xr:uid="{00000000-0005-0000-0000-00008B0B0000}"/>
    <cellStyle name="hotlinks" xfId="2969" xr:uid="{00000000-0005-0000-0000-00008C0B0000}"/>
    <cellStyle name="Hyperlänk_COLLECTIONS REVIEW0603" xfId="2970" xr:uid="{00000000-0005-0000-0000-00008D0B0000}"/>
    <cellStyle name="Hyperlink" xfId="3954" builtinId="8"/>
    <cellStyle name="Hyperlink 2" xfId="46" xr:uid="{00000000-0005-0000-0000-00008E0B0000}"/>
    <cellStyle name="IDD" xfId="2971" xr:uid="{00000000-0005-0000-0000-00008F0B0000}"/>
    <cellStyle name="IncomeStatement" xfId="2972" xr:uid="{00000000-0005-0000-0000-0000900B0000}"/>
    <cellStyle name="IncStmt" xfId="2973" xr:uid="{00000000-0005-0000-0000-0000910B0000}"/>
    <cellStyle name="IncStmt 2" xfId="2974" xr:uid="{00000000-0005-0000-0000-0000920B0000}"/>
    <cellStyle name="IncStmt 3" xfId="2975" xr:uid="{00000000-0005-0000-0000-0000930B0000}"/>
    <cellStyle name="InpComma0" xfId="2976" xr:uid="{00000000-0005-0000-0000-0000940B0000}"/>
    <cellStyle name="InpComma1" xfId="2977" xr:uid="{00000000-0005-0000-0000-0000950B0000}"/>
    <cellStyle name="InpComma2" xfId="2978" xr:uid="{00000000-0005-0000-0000-0000960B0000}"/>
    <cellStyle name="InpComma3" xfId="2979" xr:uid="{00000000-0005-0000-0000-0000970B0000}"/>
    <cellStyle name="InpComma4" xfId="2980" xr:uid="{00000000-0005-0000-0000-0000980B0000}"/>
    <cellStyle name="InpCurr0" xfId="2981" xr:uid="{00000000-0005-0000-0000-0000990B0000}"/>
    <cellStyle name="InpCurr1" xfId="2982" xr:uid="{00000000-0005-0000-0000-00009A0B0000}"/>
    <cellStyle name="InpCurr2" xfId="2983" xr:uid="{00000000-0005-0000-0000-00009B0B0000}"/>
    <cellStyle name="InpCurr3" xfId="2984" xr:uid="{00000000-0005-0000-0000-00009C0B0000}"/>
    <cellStyle name="InpCurr4" xfId="2985" xr:uid="{00000000-0005-0000-0000-00009D0B0000}"/>
    <cellStyle name="InpDate" xfId="2986" xr:uid="{00000000-0005-0000-0000-00009E0B0000}"/>
    <cellStyle name="InpPercent0" xfId="2987" xr:uid="{00000000-0005-0000-0000-00009F0B0000}"/>
    <cellStyle name="InpPercent1" xfId="2988" xr:uid="{00000000-0005-0000-0000-0000A00B0000}"/>
    <cellStyle name="InpPercent2" xfId="2989" xr:uid="{00000000-0005-0000-0000-0000A10B0000}"/>
    <cellStyle name="InpText" xfId="2990" xr:uid="{00000000-0005-0000-0000-0000A20B0000}"/>
    <cellStyle name="InpText 2" xfId="2991" xr:uid="{00000000-0005-0000-0000-0000A30B0000}"/>
    <cellStyle name="InpText 3" xfId="2992" xr:uid="{00000000-0005-0000-0000-0000A40B0000}"/>
    <cellStyle name="InpText 4" xfId="2993" xr:uid="{00000000-0005-0000-0000-0000A50B0000}"/>
    <cellStyle name="InpText 5" xfId="2994" xr:uid="{00000000-0005-0000-0000-0000A60B0000}"/>
    <cellStyle name="InpText 6" xfId="2995" xr:uid="{00000000-0005-0000-0000-0000A70B0000}"/>
    <cellStyle name="Input" xfId="14" builtinId="20" customBuiltin="1"/>
    <cellStyle name="Input [yellow]" xfId="2996" xr:uid="{00000000-0005-0000-0000-0000A90B0000}"/>
    <cellStyle name="Input [yellow] 2" xfId="2997" xr:uid="{00000000-0005-0000-0000-0000AA0B0000}"/>
    <cellStyle name="Input [yellow] 3" xfId="2998" xr:uid="{00000000-0005-0000-0000-0000AB0B0000}"/>
    <cellStyle name="Input [yellow] 4" xfId="2999" xr:uid="{00000000-0005-0000-0000-0000AC0B0000}"/>
    <cellStyle name="Input [yellow] 5" xfId="3000" xr:uid="{00000000-0005-0000-0000-0000AD0B0000}"/>
    <cellStyle name="Input 2" xfId="3001" xr:uid="{00000000-0005-0000-0000-0000AE0B0000}"/>
    <cellStyle name="Input 2 2" xfId="3002" xr:uid="{00000000-0005-0000-0000-0000AF0B0000}"/>
    <cellStyle name="Input 2 3" xfId="3003" xr:uid="{00000000-0005-0000-0000-0000B00B0000}"/>
    <cellStyle name="Input 2 4" xfId="3004" xr:uid="{00000000-0005-0000-0000-0000B10B0000}"/>
    <cellStyle name="Input 2 5" xfId="3005" xr:uid="{00000000-0005-0000-0000-0000B20B0000}"/>
    <cellStyle name="Input 3" xfId="3006" xr:uid="{00000000-0005-0000-0000-0000B30B0000}"/>
    <cellStyle name="Input 3 2" xfId="3007" xr:uid="{00000000-0005-0000-0000-0000B40B0000}"/>
    <cellStyle name="Input 3 3" xfId="3008" xr:uid="{00000000-0005-0000-0000-0000B50B0000}"/>
    <cellStyle name="Input 3 4" xfId="3009" xr:uid="{00000000-0005-0000-0000-0000B60B0000}"/>
    <cellStyle name="Input 3 5" xfId="3010" xr:uid="{00000000-0005-0000-0000-0000B70B0000}"/>
    <cellStyle name="Input 4" xfId="3011" xr:uid="{00000000-0005-0000-0000-0000B80B0000}"/>
    <cellStyle name="Input 4 2" xfId="3012" xr:uid="{00000000-0005-0000-0000-0000B90B0000}"/>
    <cellStyle name="Input 4 3" xfId="3013" xr:uid="{00000000-0005-0000-0000-0000BA0B0000}"/>
    <cellStyle name="Input 4 4" xfId="3014" xr:uid="{00000000-0005-0000-0000-0000BB0B0000}"/>
    <cellStyle name="Input 4 5" xfId="3015" xr:uid="{00000000-0005-0000-0000-0000BC0B0000}"/>
    <cellStyle name="Input 5" xfId="3016" xr:uid="{00000000-0005-0000-0000-0000BD0B0000}"/>
    <cellStyle name="Input 5 2" xfId="3017" xr:uid="{00000000-0005-0000-0000-0000BE0B0000}"/>
    <cellStyle name="Input 5 3" xfId="3018" xr:uid="{00000000-0005-0000-0000-0000BF0B0000}"/>
    <cellStyle name="Input 5 4" xfId="3019" xr:uid="{00000000-0005-0000-0000-0000C00B0000}"/>
    <cellStyle name="Input 5 5" xfId="3020" xr:uid="{00000000-0005-0000-0000-0000C10B0000}"/>
    <cellStyle name="Input 6" xfId="3021" xr:uid="{00000000-0005-0000-0000-0000C20B0000}"/>
    <cellStyle name="Input 6 2" xfId="3022" xr:uid="{00000000-0005-0000-0000-0000C30B0000}"/>
    <cellStyle name="Input 6 3" xfId="3023" xr:uid="{00000000-0005-0000-0000-0000C40B0000}"/>
    <cellStyle name="Input 6 4" xfId="3024" xr:uid="{00000000-0005-0000-0000-0000C50B0000}"/>
    <cellStyle name="Input 6 5" xfId="3025" xr:uid="{00000000-0005-0000-0000-0000C60B0000}"/>
    <cellStyle name="Input 7" xfId="3026" xr:uid="{00000000-0005-0000-0000-0000C70B0000}"/>
    <cellStyle name="Input 7 2" xfId="3027" xr:uid="{00000000-0005-0000-0000-0000C80B0000}"/>
    <cellStyle name="Input 7 3" xfId="3028" xr:uid="{00000000-0005-0000-0000-0000C90B0000}"/>
    <cellStyle name="Input 7 4" xfId="3029" xr:uid="{00000000-0005-0000-0000-0000CA0B0000}"/>
    <cellStyle name="Input 7 5" xfId="3030" xr:uid="{00000000-0005-0000-0000-0000CB0B0000}"/>
    <cellStyle name="Input 8" xfId="3031" xr:uid="{00000000-0005-0000-0000-0000CC0B0000}"/>
    <cellStyle name="Input 8 2" xfId="3032" xr:uid="{00000000-0005-0000-0000-0000CD0B0000}"/>
    <cellStyle name="Input 8 3" xfId="3033" xr:uid="{00000000-0005-0000-0000-0000CE0B0000}"/>
    <cellStyle name="Input 8 4" xfId="3034" xr:uid="{00000000-0005-0000-0000-0000CF0B0000}"/>
    <cellStyle name="Input 8 5" xfId="3035" xr:uid="{00000000-0005-0000-0000-0000D00B0000}"/>
    <cellStyle name="Input 9" xfId="3036" xr:uid="{00000000-0005-0000-0000-0000D10B0000}"/>
    <cellStyle name="Input 9 2" xfId="3037" xr:uid="{00000000-0005-0000-0000-0000D20B0000}"/>
    <cellStyle name="Input 9 3" xfId="3038" xr:uid="{00000000-0005-0000-0000-0000D30B0000}"/>
    <cellStyle name="Input 9 4" xfId="3039" xr:uid="{00000000-0005-0000-0000-0000D40B0000}"/>
    <cellStyle name="Input 9 5" xfId="3040" xr:uid="{00000000-0005-0000-0000-0000D50B0000}"/>
    <cellStyle name="Input Cells" xfId="3041" xr:uid="{00000000-0005-0000-0000-0000D60B0000}"/>
    <cellStyle name="Input comment text" xfId="3042" xr:uid="{00000000-0005-0000-0000-0000D70B0000}"/>
    <cellStyle name="Input Currency" xfId="3043" xr:uid="{00000000-0005-0000-0000-0000D80B0000}"/>
    <cellStyle name="Input date" xfId="3044" xr:uid="{00000000-0005-0000-0000-0000D90B0000}"/>
    <cellStyle name="Input Dollar" xfId="3045" xr:uid="{00000000-0005-0000-0000-0000DA0B0000}"/>
    <cellStyle name="Input Fixed [0]" xfId="3046" xr:uid="{00000000-0005-0000-0000-0000DB0B0000}"/>
    <cellStyle name="Input Float" xfId="3047" xr:uid="{00000000-0005-0000-0000-0000DC0B0000}"/>
    <cellStyle name="Input Normal" xfId="3048" xr:uid="{00000000-0005-0000-0000-0000DD0B0000}"/>
    <cellStyle name="Input Normal (0)" xfId="3049" xr:uid="{00000000-0005-0000-0000-0000DE0B0000}"/>
    <cellStyle name="Input Normal_~7945259" xfId="3050" xr:uid="{00000000-0005-0000-0000-0000DF0B0000}"/>
    <cellStyle name="Input Percent" xfId="3051" xr:uid="{00000000-0005-0000-0000-0000E00B0000}"/>
    <cellStyle name="Input Percent (1)" xfId="3052" xr:uid="{00000000-0005-0000-0000-0000E10B0000}"/>
    <cellStyle name="Input Percent [2]" xfId="3053" xr:uid="{00000000-0005-0000-0000-0000E20B0000}"/>
    <cellStyle name="Input Percent_Data" xfId="3054" xr:uid="{00000000-0005-0000-0000-0000E30B0000}"/>
    <cellStyle name="Input Titles" xfId="3055" xr:uid="{00000000-0005-0000-0000-0000E40B0000}"/>
    <cellStyle name="InputBlueFont_Valuation " xfId="3056" xr:uid="{00000000-0005-0000-0000-0000E50B0000}"/>
    <cellStyle name="InputCell" xfId="3057" xr:uid="{00000000-0005-0000-0000-0000E60B0000}"/>
    <cellStyle name="InputCell 2" xfId="3058" xr:uid="{00000000-0005-0000-0000-0000E70B0000}"/>
    <cellStyle name="InputCell 3" xfId="3059" xr:uid="{00000000-0005-0000-0000-0000E80B0000}"/>
    <cellStyle name="InputCell 4" xfId="3060" xr:uid="{00000000-0005-0000-0000-0000E90B0000}"/>
    <cellStyle name="InputCell 5" xfId="3061" xr:uid="{00000000-0005-0000-0000-0000EA0B0000}"/>
    <cellStyle name="InputCurrency" xfId="3062" xr:uid="{00000000-0005-0000-0000-0000EB0B0000}"/>
    <cellStyle name="InputCurrency2" xfId="3063" xr:uid="{00000000-0005-0000-0000-0000EC0B0000}"/>
    <cellStyle name="InputMultiple1" xfId="3064" xr:uid="{00000000-0005-0000-0000-0000ED0B0000}"/>
    <cellStyle name="InputPercent1" xfId="3065" xr:uid="{00000000-0005-0000-0000-0000EE0B0000}"/>
    <cellStyle name="Integer" xfId="3066" xr:uid="{00000000-0005-0000-0000-0000EF0B0000}"/>
    <cellStyle name="IS Summary" xfId="3067" xr:uid="{00000000-0005-0000-0000-0000F00B0000}"/>
    <cellStyle name="Italic" xfId="3068" xr:uid="{00000000-0005-0000-0000-0000F10B0000}"/>
    <cellStyle name="Item" xfId="3069" xr:uid="{00000000-0005-0000-0000-0000F20B0000}"/>
    <cellStyle name="ItemTypeClass" xfId="3070" xr:uid="{00000000-0005-0000-0000-0000F30B0000}"/>
    <cellStyle name="ItemTypeClass 2" xfId="3071" xr:uid="{00000000-0005-0000-0000-0000F40B0000}"/>
    <cellStyle name="ItemTypeClass 3" xfId="3072" xr:uid="{00000000-0005-0000-0000-0000F50B0000}"/>
    <cellStyle name="JPM" xfId="3073" xr:uid="{00000000-0005-0000-0000-0000F60B0000}"/>
    <cellStyle name="l" xfId="3074" xr:uid="{00000000-0005-0000-0000-0000F70B0000}"/>
    <cellStyle name="Label" xfId="3075" xr:uid="{00000000-0005-0000-0000-0000F80B0000}"/>
    <cellStyle name="Label 2" xfId="3076" xr:uid="{00000000-0005-0000-0000-0000F90B0000}"/>
    <cellStyle name="Label 3" xfId="3077" xr:uid="{00000000-0005-0000-0000-0000FA0B0000}"/>
    <cellStyle name="Label 4" xfId="3078" xr:uid="{00000000-0005-0000-0000-0000FB0B0000}"/>
    <cellStyle name="Label 5" xfId="3079" xr:uid="{00000000-0005-0000-0000-0000FC0B0000}"/>
    <cellStyle name="last line" xfId="3080" xr:uid="{00000000-0005-0000-0000-0000FD0B0000}"/>
    <cellStyle name="last line 2" xfId="3081" xr:uid="{00000000-0005-0000-0000-0000FE0B0000}"/>
    <cellStyle name="last line 3" xfId="3082" xr:uid="{00000000-0005-0000-0000-0000FF0B0000}"/>
    <cellStyle name="Lds1" xfId="3083" xr:uid="{00000000-0005-0000-0000-0000000C0000}"/>
    <cellStyle name="Left" xfId="3084" xr:uid="{00000000-0005-0000-0000-0000010C0000}"/>
    <cellStyle name="Lien hypertexte" xfId="3085" xr:uid="{00000000-0005-0000-0000-0000020C0000}"/>
    <cellStyle name="Lien hypertexte visité" xfId="3086" xr:uid="{00000000-0005-0000-0000-0000030C0000}"/>
    <cellStyle name="lightblue" xfId="3087" xr:uid="{00000000-0005-0000-0000-0000040C0000}"/>
    <cellStyle name="Line" xfId="3088" xr:uid="{00000000-0005-0000-0000-0000050C0000}"/>
    <cellStyle name="LineItem" xfId="3089" xr:uid="{00000000-0005-0000-0000-0000060C0000}"/>
    <cellStyle name="LineNum w/ Border" xfId="3090" xr:uid="{00000000-0005-0000-0000-0000070C0000}"/>
    <cellStyle name="LineNum w/ Border 10" xfId="4319" xr:uid="{F4317D3A-5803-48F2-9AD6-CE59328C7ABC}"/>
    <cellStyle name="LineNum w/ Border 2" xfId="3091" xr:uid="{00000000-0005-0000-0000-0000080C0000}"/>
    <cellStyle name="LineNum w/ Border 2 2" xfId="3092" xr:uid="{00000000-0005-0000-0000-0000090C0000}"/>
    <cellStyle name="LineNum w/ Border 2 2 2" xfId="3093" xr:uid="{00000000-0005-0000-0000-00000A0C0000}"/>
    <cellStyle name="LineNum w/ Border 2 2 2 2" xfId="3094" xr:uid="{00000000-0005-0000-0000-00000B0C0000}"/>
    <cellStyle name="LineNum w/ Border 2 2 2 2 2" xfId="4323" xr:uid="{DD5B2585-F75C-4A99-84C9-EDD5C3F61B82}"/>
    <cellStyle name="LineNum w/ Border 2 2 2 3" xfId="4322" xr:uid="{27444B4E-9974-49EF-A6F9-154AB06BDD86}"/>
    <cellStyle name="LineNum w/ Border 2 2 3" xfId="3095" xr:uid="{00000000-0005-0000-0000-00000C0C0000}"/>
    <cellStyle name="LineNum w/ Border 2 2 3 2" xfId="3096" xr:uid="{00000000-0005-0000-0000-00000D0C0000}"/>
    <cellStyle name="LineNum w/ Border 2 2 3 2 2" xfId="4325" xr:uid="{DB9B83A5-1CC0-40A7-9547-478FE3D86A05}"/>
    <cellStyle name="LineNum w/ Border 2 2 3 3" xfId="4324" xr:uid="{AA9448D6-ABD9-4D71-A56A-8074A04641EA}"/>
    <cellStyle name="LineNum w/ Border 2 2 4" xfId="3097" xr:uid="{00000000-0005-0000-0000-00000E0C0000}"/>
    <cellStyle name="LineNum w/ Border 2 2 4 2" xfId="4326" xr:uid="{3B681E4C-6467-4EFB-AFCE-EBBF3B0BFAB8}"/>
    <cellStyle name="LineNum w/ Border 2 2 5" xfId="4321" xr:uid="{485AC720-8F0A-4F85-B62B-641789AC8D6C}"/>
    <cellStyle name="LineNum w/ Border 2 3" xfId="3098" xr:uid="{00000000-0005-0000-0000-00000F0C0000}"/>
    <cellStyle name="LineNum w/ Border 2 3 2" xfId="3099" xr:uid="{00000000-0005-0000-0000-0000100C0000}"/>
    <cellStyle name="LineNum w/ Border 2 3 2 2" xfId="4328" xr:uid="{B32DF58C-0B32-4D83-91FC-1900743B0B1F}"/>
    <cellStyle name="LineNum w/ Border 2 3 3" xfId="4327" xr:uid="{9C405D33-4267-4F14-8F57-F919B5571CA5}"/>
    <cellStyle name="LineNum w/ Border 2 4" xfId="3100" xr:uid="{00000000-0005-0000-0000-0000110C0000}"/>
    <cellStyle name="LineNum w/ Border 2 4 2" xfId="3101" xr:uid="{00000000-0005-0000-0000-0000120C0000}"/>
    <cellStyle name="LineNum w/ Border 2 4 2 2" xfId="4330" xr:uid="{DFCC76E8-D017-469C-A1AC-7290FF19F7EB}"/>
    <cellStyle name="LineNum w/ Border 2 4 3" xfId="4329" xr:uid="{AE1EE933-92ED-459B-871C-802E50048B22}"/>
    <cellStyle name="LineNum w/ Border 2 5" xfId="3102" xr:uid="{00000000-0005-0000-0000-0000130C0000}"/>
    <cellStyle name="LineNum w/ Border 2 5 2" xfId="3103" xr:uid="{00000000-0005-0000-0000-0000140C0000}"/>
    <cellStyle name="LineNum w/ Border 2 5 2 2" xfId="4332" xr:uid="{D7182859-5B6D-4025-9AFA-D87FD14F904A}"/>
    <cellStyle name="LineNum w/ Border 2 5 3" xfId="4331" xr:uid="{D53A41A7-4C7C-4B84-9FA8-7CF8BD442233}"/>
    <cellStyle name="LineNum w/ Border 2 6" xfId="3104" xr:uid="{00000000-0005-0000-0000-0000150C0000}"/>
    <cellStyle name="LineNum w/ Border 2 6 2" xfId="3105" xr:uid="{00000000-0005-0000-0000-0000160C0000}"/>
    <cellStyle name="LineNum w/ Border 2 6 2 2" xfId="4334" xr:uid="{0AE9D7EC-68A6-4A78-B431-8A92030C6392}"/>
    <cellStyle name="LineNum w/ Border 2 6 3" xfId="4333" xr:uid="{CF11F449-F710-40FD-A821-58333C18A2E8}"/>
    <cellStyle name="LineNum w/ Border 2 7" xfId="3106" xr:uid="{00000000-0005-0000-0000-0000170C0000}"/>
    <cellStyle name="LineNum w/ Border 2 7 2" xfId="3107" xr:uid="{00000000-0005-0000-0000-0000180C0000}"/>
    <cellStyle name="LineNum w/ Border 2 7 2 2" xfId="4336" xr:uid="{1645364A-C5F1-4E53-AD8A-B14875927AB9}"/>
    <cellStyle name="LineNum w/ Border 2 7 3" xfId="4335" xr:uid="{D7A92FF3-6B0F-4D2D-BFF1-39B63745F397}"/>
    <cellStyle name="LineNum w/ Border 2 8" xfId="4320" xr:uid="{4DC4DB5C-2E84-41C9-A2C1-1D2BDAC349B3}"/>
    <cellStyle name="LineNum w/ Border 3" xfId="3108" xr:uid="{00000000-0005-0000-0000-0000190C0000}"/>
    <cellStyle name="LineNum w/ Border 3 2" xfId="3109" xr:uid="{00000000-0005-0000-0000-00001A0C0000}"/>
    <cellStyle name="LineNum w/ Border 3 2 2" xfId="3110" xr:uid="{00000000-0005-0000-0000-00001B0C0000}"/>
    <cellStyle name="LineNum w/ Border 3 2 2 2" xfId="3111" xr:uid="{00000000-0005-0000-0000-00001C0C0000}"/>
    <cellStyle name="LineNum w/ Border 3 2 2 2 2" xfId="4340" xr:uid="{0631C16E-A0A4-48E7-81D2-5715F6845172}"/>
    <cellStyle name="LineNum w/ Border 3 2 2 3" xfId="4339" xr:uid="{BC9041BF-DF6C-47AC-A62D-F217643A0C35}"/>
    <cellStyle name="LineNum w/ Border 3 2 3" xfId="3112" xr:uid="{00000000-0005-0000-0000-00001D0C0000}"/>
    <cellStyle name="LineNum w/ Border 3 2 3 2" xfId="3113" xr:uid="{00000000-0005-0000-0000-00001E0C0000}"/>
    <cellStyle name="LineNum w/ Border 3 2 3 2 2" xfId="4342" xr:uid="{FCD01E0F-0A7A-4942-8DCD-03C0E68BD57F}"/>
    <cellStyle name="LineNum w/ Border 3 2 3 3" xfId="4341" xr:uid="{F8170E26-3725-4674-9BF8-BBA84B3747CE}"/>
    <cellStyle name="LineNum w/ Border 3 2 4" xfId="3114" xr:uid="{00000000-0005-0000-0000-00001F0C0000}"/>
    <cellStyle name="LineNum w/ Border 3 2 4 2" xfId="4343" xr:uid="{1305E970-F125-4221-A325-DF7F654DBAA1}"/>
    <cellStyle name="LineNum w/ Border 3 2 5" xfId="4338" xr:uid="{D973315E-46F5-4D71-A6D3-13D19083DE15}"/>
    <cellStyle name="LineNum w/ Border 3 3" xfId="3115" xr:uid="{00000000-0005-0000-0000-0000200C0000}"/>
    <cellStyle name="LineNum w/ Border 3 3 2" xfId="3116" xr:uid="{00000000-0005-0000-0000-0000210C0000}"/>
    <cellStyle name="LineNum w/ Border 3 3 2 2" xfId="4345" xr:uid="{2B516622-557E-401C-AAD6-222CD4CA4B90}"/>
    <cellStyle name="LineNum w/ Border 3 3 3" xfId="4344" xr:uid="{E7B58304-55BA-4830-8B54-CFF080B3EF88}"/>
    <cellStyle name="LineNum w/ Border 3 4" xfId="3117" xr:uid="{00000000-0005-0000-0000-0000220C0000}"/>
    <cellStyle name="LineNum w/ Border 3 4 2" xfId="3118" xr:uid="{00000000-0005-0000-0000-0000230C0000}"/>
    <cellStyle name="LineNum w/ Border 3 4 2 2" xfId="4347" xr:uid="{E19D0379-E5B8-416E-9791-CAADD0489C00}"/>
    <cellStyle name="LineNum w/ Border 3 4 3" xfId="4346" xr:uid="{DE96EDB8-6F27-47B4-B2D4-2FA4BD4CBA96}"/>
    <cellStyle name="LineNum w/ Border 3 5" xfId="3119" xr:uid="{00000000-0005-0000-0000-0000240C0000}"/>
    <cellStyle name="LineNum w/ Border 3 5 2" xfId="3120" xr:uid="{00000000-0005-0000-0000-0000250C0000}"/>
    <cellStyle name="LineNum w/ Border 3 5 2 2" xfId="4349" xr:uid="{60F4A115-289E-44D2-8BAC-D8E916245F88}"/>
    <cellStyle name="LineNum w/ Border 3 5 3" xfId="4348" xr:uid="{E44AB69B-73A3-4826-A2CC-1F61CBC9ADEB}"/>
    <cellStyle name="LineNum w/ Border 3 6" xfId="3121" xr:uid="{00000000-0005-0000-0000-0000260C0000}"/>
    <cellStyle name="LineNum w/ Border 3 6 2" xfId="3122" xr:uid="{00000000-0005-0000-0000-0000270C0000}"/>
    <cellStyle name="LineNum w/ Border 3 6 2 2" xfId="4351" xr:uid="{1FD9D17C-2EE1-4B36-AC37-C438F117C09E}"/>
    <cellStyle name="LineNum w/ Border 3 6 3" xfId="4350" xr:uid="{28C097C4-1070-41E4-8AC5-37D17A8FA0F5}"/>
    <cellStyle name="LineNum w/ Border 3 7" xfId="3123" xr:uid="{00000000-0005-0000-0000-0000280C0000}"/>
    <cellStyle name="LineNum w/ Border 3 7 2" xfId="3124" xr:uid="{00000000-0005-0000-0000-0000290C0000}"/>
    <cellStyle name="LineNum w/ Border 3 7 2 2" xfId="4353" xr:uid="{947876CA-514C-4DD0-ADEE-097CD3A6C216}"/>
    <cellStyle name="LineNum w/ Border 3 7 3" xfId="4352" xr:uid="{09DDB650-F51F-40D9-8F46-1C9822B5F3EB}"/>
    <cellStyle name="LineNum w/ Border 3 8" xfId="4337" xr:uid="{12F3EA32-B8B7-4C71-B269-A18E9404F149}"/>
    <cellStyle name="LineNum w/ Border 4" xfId="3125" xr:uid="{00000000-0005-0000-0000-00002A0C0000}"/>
    <cellStyle name="LineNum w/ Border 4 2" xfId="3126" xr:uid="{00000000-0005-0000-0000-00002B0C0000}"/>
    <cellStyle name="LineNum w/ Border 4 2 2" xfId="3127" xr:uid="{00000000-0005-0000-0000-00002C0C0000}"/>
    <cellStyle name="LineNum w/ Border 4 2 2 2" xfId="4356" xr:uid="{F4452BCA-BF8E-4702-9879-4318694EF35A}"/>
    <cellStyle name="LineNum w/ Border 4 2 3" xfId="4355" xr:uid="{43DE3957-BE8A-41DE-9C76-67FA7157FFBB}"/>
    <cellStyle name="LineNum w/ Border 4 3" xfId="3128" xr:uid="{00000000-0005-0000-0000-00002D0C0000}"/>
    <cellStyle name="LineNum w/ Border 4 3 2" xfId="3129" xr:uid="{00000000-0005-0000-0000-00002E0C0000}"/>
    <cellStyle name="LineNum w/ Border 4 3 2 2" xfId="4358" xr:uid="{7C264BDF-4803-452B-87DE-11BB936E5FAB}"/>
    <cellStyle name="LineNum w/ Border 4 3 3" xfId="4357" xr:uid="{29A45AFB-17EB-4A23-B17A-82C039D41A2F}"/>
    <cellStyle name="LineNum w/ Border 4 4" xfId="3130" xr:uid="{00000000-0005-0000-0000-00002F0C0000}"/>
    <cellStyle name="LineNum w/ Border 4 4 2" xfId="4359" xr:uid="{FCFEB453-AC67-45B7-8D5B-EDFF33B6A93B}"/>
    <cellStyle name="LineNum w/ Border 4 5" xfId="4354" xr:uid="{BC2C36B9-B2E1-4325-A241-731D245B954B}"/>
    <cellStyle name="LineNum w/ Border 5" xfId="3131" xr:uid="{00000000-0005-0000-0000-0000300C0000}"/>
    <cellStyle name="LineNum w/ Border 5 2" xfId="3132" xr:uid="{00000000-0005-0000-0000-0000310C0000}"/>
    <cellStyle name="LineNum w/ Border 5 2 2" xfId="4361" xr:uid="{A2C0B520-07CA-4EB5-B345-FD2B06447BF2}"/>
    <cellStyle name="LineNum w/ Border 5 3" xfId="4360" xr:uid="{D41F9125-36B2-4E47-86B8-3CEAD06E93B6}"/>
    <cellStyle name="LineNum w/ Border 6" xfId="3133" xr:uid="{00000000-0005-0000-0000-0000320C0000}"/>
    <cellStyle name="LineNum w/ Border 6 2" xfId="3134" xr:uid="{00000000-0005-0000-0000-0000330C0000}"/>
    <cellStyle name="LineNum w/ Border 6 2 2" xfId="4363" xr:uid="{ED88BF68-9FB1-459A-AB27-AF348D3FFF08}"/>
    <cellStyle name="LineNum w/ Border 6 3" xfId="4362" xr:uid="{554FA15F-B2BF-4421-AF0F-BCC48400ED68}"/>
    <cellStyle name="LineNum w/ Border 7" xfId="3135" xr:uid="{00000000-0005-0000-0000-0000340C0000}"/>
    <cellStyle name="LineNum w/ Border 7 2" xfId="3136" xr:uid="{00000000-0005-0000-0000-0000350C0000}"/>
    <cellStyle name="LineNum w/ Border 7 2 2" xfId="4365" xr:uid="{2C578E60-C925-4907-964A-F294E8B7C641}"/>
    <cellStyle name="LineNum w/ Border 7 3" xfId="4364" xr:uid="{D6B50252-EDFA-42C4-8786-E8AD4DF12ADB}"/>
    <cellStyle name="LineNum w/ Border 8" xfId="3137" xr:uid="{00000000-0005-0000-0000-0000360C0000}"/>
    <cellStyle name="LineNum w/ Border 8 2" xfId="3138" xr:uid="{00000000-0005-0000-0000-0000370C0000}"/>
    <cellStyle name="LineNum w/ Border 8 2 2" xfId="4367" xr:uid="{A6DE4F3A-2DE1-4EDF-961D-9A0465E0B503}"/>
    <cellStyle name="LineNum w/ Border 8 3" xfId="4366" xr:uid="{FF9E2957-5211-426D-AF19-E76C93F52174}"/>
    <cellStyle name="LineNum w/ Border 9" xfId="3139" xr:uid="{00000000-0005-0000-0000-0000380C0000}"/>
    <cellStyle name="LineNum w/ Border 9 2" xfId="3140" xr:uid="{00000000-0005-0000-0000-0000390C0000}"/>
    <cellStyle name="LineNum w/ Border 9 2 2" xfId="4369" xr:uid="{938196E0-E16C-4DC0-8249-C801E8FE755C}"/>
    <cellStyle name="LineNum w/ Border 9 3" xfId="4368" xr:uid="{DDC21BA4-2DB5-497D-83D5-CFE8BEAF188D}"/>
    <cellStyle name="LineNumbers" xfId="3141" xr:uid="{00000000-0005-0000-0000-00003A0C0000}"/>
    <cellStyle name="LineNumbersFirstColumn" xfId="3142" xr:uid="{00000000-0005-0000-0000-00003B0C0000}"/>
    <cellStyle name="Lines" xfId="3143" xr:uid="{00000000-0005-0000-0000-00003C0C0000}"/>
    <cellStyle name="Link Currency (0)" xfId="3144" xr:uid="{00000000-0005-0000-0000-00003D0C0000}"/>
    <cellStyle name="Link Currency (2)" xfId="3145" xr:uid="{00000000-0005-0000-0000-00003E0C0000}"/>
    <cellStyle name="Link Units (0)" xfId="3146" xr:uid="{00000000-0005-0000-0000-00003F0C0000}"/>
    <cellStyle name="Link Units (1)" xfId="3147" xr:uid="{00000000-0005-0000-0000-0000400C0000}"/>
    <cellStyle name="Link Units (2)" xfId="3148" xr:uid="{00000000-0005-0000-0000-0000410C0000}"/>
    <cellStyle name="Linked Cell" xfId="17" builtinId="24" customBuiltin="1"/>
    <cellStyle name="Linked Cells" xfId="3149" xr:uid="{00000000-0005-0000-0000-0000430C0000}"/>
    <cellStyle name="Linked-Sheet" xfId="3150" xr:uid="{00000000-0005-0000-0000-0000440C0000}"/>
    <cellStyle name="Linked-WB" xfId="3151" xr:uid="{00000000-0005-0000-0000-0000450C0000}"/>
    <cellStyle name="Locked" xfId="3152" xr:uid="{00000000-0005-0000-0000-0000460C0000}"/>
    <cellStyle name="m/d/yy" xfId="3153" xr:uid="{00000000-0005-0000-0000-0000470C0000}"/>
    <cellStyle name="m/d/yy 2" xfId="3154" xr:uid="{00000000-0005-0000-0000-0000480C0000}"/>
    <cellStyle name="m/d/yy 2 2" xfId="3155" xr:uid="{00000000-0005-0000-0000-0000490C0000}"/>
    <cellStyle name="m/d/yy 2 2 2" xfId="3156" xr:uid="{00000000-0005-0000-0000-00004A0C0000}"/>
    <cellStyle name="m/d/yy 2 2 2 2" xfId="4373" xr:uid="{EA1926EB-D5F5-4B17-B007-8AFDF592FF03}"/>
    <cellStyle name="m/d/yy 2 2 3" xfId="4372" xr:uid="{66FAC96E-8C31-4E9F-A9C1-D506ACCF9BF7}"/>
    <cellStyle name="m/d/yy 2 3" xfId="3157" xr:uid="{00000000-0005-0000-0000-00004B0C0000}"/>
    <cellStyle name="m/d/yy 2 3 2" xfId="3158" xr:uid="{00000000-0005-0000-0000-00004C0C0000}"/>
    <cellStyle name="m/d/yy 2 3 2 2" xfId="4375" xr:uid="{F312CE09-00BE-46FD-B8DE-9AC67D15F318}"/>
    <cellStyle name="m/d/yy 2 3 3" xfId="4374" xr:uid="{99F9D50D-7471-4056-9931-F42C2BA0B4E6}"/>
    <cellStyle name="m/d/yy 2 4" xfId="3159" xr:uid="{00000000-0005-0000-0000-00004D0C0000}"/>
    <cellStyle name="m/d/yy 2 4 2" xfId="4376" xr:uid="{74BC0CE9-1DBE-4F1C-8F1B-E488A4A87925}"/>
    <cellStyle name="m/d/yy 2 5" xfId="4371" xr:uid="{89458630-6734-4BF5-A6FD-4BC4FEDE3CF4}"/>
    <cellStyle name="m/d/yy 3" xfId="3160" xr:uid="{00000000-0005-0000-0000-00004E0C0000}"/>
    <cellStyle name="m/d/yy 3 2" xfId="3161" xr:uid="{00000000-0005-0000-0000-00004F0C0000}"/>
    <cellStyle name="m/d/yy 3 2 2" xfId="4378" xr:uid="{B8D22B45-A086-4843-ACC5-DF5029599FB8}"/>
    <cellStyle name="m/d/yy 3 3" xfId="4377" xr:uid="{9FD34009-F1CB-42E3-A18E-08C507C37AFC}"/>
    <cellStyle name="m/d/yy 4" xfId="3162" xr:uid="{00000000-0005-0000-0000-0000500C0000}"/>
    <cellStyle name="m/d/yy 4 2" xfId="3163" xr:uid="{00000000-0005-0000-0000-0000510C0000}"/>
    <cellStyle name="m/d/yy 4 2 2" xfId="4380" xr:uid="{6C365B07-7E85-4A96-9966-7DE63BFC6D4F}"/>
    <cellStyle name="m/d/yy 4 3" xfId="4379" xr:uid="{F46C3E78-B6EE-42B9-80C1-1597709AED34}"/>
    <cellStyle name="m/d/yy 5" xfId="3164" xr:uid="{00000000-0005-0000-0000-0000520C0000}"/>
    <cellStyle name="m/d/yy 5 2" xfId="3165" xr:uid="{00000000-0005-0000-0000-0000530C0000}"/>
    <cellStyle name="m/d/yy 5 2 2" xfId="4382" xr:uid="{A53212F3-14BB-4D2B-8C07-3DD108C81877}"/>
    <cellStyle name="m/d/yy 5 3" xfId="4381" xr:uid="{6C4F2ADF-D031-4E19-B710-F64BEE950B6D}"/>
    <cellStyle name="m/d/yy 6" xfId="3166" xr:uid="{00000000-0005-0000-0000-0000540C0000}"/>
    <cellStyle name="m/d/yy 6 2" xfId="3167" xr:uid="{00000000-0005-0000-0000-0000550C0000}"/>
    <cellStyle name="m/d/yy 6 2 2" xfId="4384" xr:uid="{ACC7E294-1939-43DB-8269-D9B580D99C60}"/>
    <cellStyle name="m/d/yy 6 3" xfId="4383" xr:uid="{7D5FA6EE-B18B-46BB-8C59-1063AC502715}"/>
    <cellStyle name="m/d/yy 7" xfId="3168" xr:uid="{00000000-0005-0000-0000-0000560C0000}"/>
    <cellStyle name="m/d/yy 7 2" xfId="3169" xr:uid="{00000000-0005-0000-0000-0000570C0000}"/>
    <cellStyle name="m/d/yy 7 2 2" xfId="4386" xr:uid="{819D91B4-1DC3-44D7-8369-414D4F5C7E0E}"/>
    <cellStyle name="m/d/yy 7 3" xfId="4385" xr:uid="{77A5CE91-BDC5-4795-B32A-79B778757FE3}"/>
    <cellStyle name="m/d/yy 8" xfId="4370" xr:uid="{96999E48-7BE7-4CF4-856B-0DA901117B2C}"/>
    <cellStyle name="MacroComment" xfId="3170" xr:uid="{00000000-0005-0000-0000-0000580C0000}"/>
    <cellStyle name="MacroHeading" xfId="3171" xr:uid="{00000000-0005-0000-0000-0000590C0000}"/>
    <cellStyle name="Magic" xfId="3172" xr:uid="{00000000-0005-0000-0000-00005A0C0000}"/>
    <cellStyle name="Magic 2" xfId="3173" xr:uid="{00000000-0005-0000-0000-00005B0C0000}"/>
    <cellStyle name="Magic 2 2" xfId="3174" xr:uid="{00000000-0005-0000-0000-00005C0C0000}"/>
    <cellStyle name="Magic 2 2 2" xfId="3175" xr:uid="{00000000-0005-0000-0000-00005D0C0000}"/>
    <cellStyle name="Magic 2 2 2 2" xfId="4390" xr:uid="{5394877B-AF62-489C-95DA-9A187556082B}"/>
    <cellStyle name="Magic 2 2 3" xfId="4389" xr:uid="{0290C037-AB7D-4F7E-B847-F0E4C634CB79}"/>
    <cellStyle name="Magic 2 3" xfId="3176" xr:uid="{00000000-0005-0000-0000-00005E0C0000}"/>
    <cellStyle name="Magic 2 3 2" xfId="3177" xr:uid="{00000000-0005-0000-0000-00005F0C0000}"/>
    <cellStyle name="Magic 2 3 2 2" xfId="4392" xr:uid="{DEE098BA-F54D-4E19-A492-3E5D586584E1}"/>
    <cellStyle name="Magic 2 3 3" xfId="4391" xr:uid="{7FCD9D18-CC90-4417-8E36-4F7BA3978DA1}"/>
    <cellStyle name="Magic 2 4" xfId="3178" xr:uid="{00000000-0005-0000-0000-0000600C0000}"/>
    <cellStyle name="Magic 2 4 2" xfId="4393" xr:uid="{F562CA09-8389-4210-B3FB-C3505977F98D}"/>
    <cellStyle name="Magic 2 5" xfId="4388" xr:uid="{8F0CD93A-A058-4B2C-9B4A-7D4EEA6EFE84}"/>
    <cellStyle name="Magic 3" xfId="3179" xr:uid="{00000000-0005-0000-0000-0000610C0000}"/>
    <cellStyle name="Magic 3 2" xfId="3180" xr:uid="{00000000-0005-0000-0000-0000620C0000}"/>
    <cellStyle name="Magic 3 2 2" xfId="4395" xr:uid="{BAFF1729-8B9A-4B03-A6D5-5E6DC0C28D89}"/>
    <cellStyle name="Magic 3 3" xfId="4394" xr:uid="{09264780-DB4E-4878-8FEF-544BB3ADE08B}"/>
    <cellStyle name="Magic 4" xfId="3181" xr:uid="{00000000-0005-0000-0000-0000630C0000}"/>
    <cellStyle name="Magic 4 2" xfId="3182" xr:uid="{00000000-0005-0000-0000-0000640C0000}"/>
    <cellStyle name="Magic 4 2 2" xfId="4397" xr:uid="{A2892472-E8AD-4AAA-9530-05612A3C2DB5}"/>
    <cellStyle name="Magic 4 3" xfId="4396" xr:uid="{3EF6F1A0-F1D8-426F-8F0B-A0B29522B6CC}"/>
    <cellStyle name="Magic 5" xfId="3183" xr:uid="{00000000-0005-0000-0000-0000650C0000}"/>
    <cellStyle name="Magic 5 2" xfId="3184" xr:uid="{00000000-0005-0000-0000-0000660C0000}"/>
    <cellStyle name="Magic 5 2 2" xfId="4399" xr:uid="{2B9EB8A5-3E7D-4416-BDF7-36F1B251FB6D}"/>
    <cellStyle name="Magic 5 3" xfId="4398" xr:uid="{CB2F3051-5D18-4CEA-BEFD-B790295BD35E}"/>
    <cellStyle name="Magic 6" xfId="3185" xr:uid="{00000000-0005-0000-0000-0000670C0000}"/>
    <cellStyle name="Magic 6 2" xfId="3186" xr:uid="{00000000-0005-0000-0000-0000680C0000}"/>
    <cellStyle name="Magic 6 2 2" xfId="4401" xr:uid="{35E64153-F069-46D2-9810-B2261C847883}"/>
    <cellStyle name="Magic 6 3" xfId="4400" xr:uid="{DB740AA5-0D06-4B07-9739-FA8BDCB99EE0}"/>
    <cellStyle name="Magic 7" xfId="3187" xr:uid="{00000000-0005-0000-0000-0000690C0000}"/>
    <cellStyle name="Magic 7 2" xfId="3188" xr:uid="{00000000-0005-0000-0000-00006A0C0000}"/>
    <cellStyle name="Magic 7 2 2" xfId="4403" xr:uid="{26D12DAA-530A-4F01-AB13-C4FB0557A690}"/>
    <cellStyle name="Magic 7 3" xfId="4402" xr:uid="{E0169859-FC6E-45CE-B241-270CF9BE8C65}"/>
    <cellStyle name="Magic 8" xfId="4387" xr:uid="{768B8085-A315-4469-BEF9-7154508C1A5C}"/>
    <cellStyle name="Margins" xfId="3189" xr:uid="{00000000-0005-0000-0000-00006B0C0000}"/>
    <cellStyle name="Middle" xfId="3190" xr:uid="{00000000-0005-0000-0000-00006C0C0000}"/>
    <cellStyle name="Mifrog" xfId="3191" xr:uid="{00000000-0005-0000-0000-00006D0C0000}"/>
    <cellStyle name="Mifrog 2" xfId="3192" xr:uid="{00000000-0005-0000-0000-00006E0C0000}"/>
    <cellStyle name="Mifrog 2 2" xfId="3193" xr:uid="{00000000-0005-0000-0000-00006F0C0000}"/>
    <cellStyle name="Mifrog 2 2 2" xfId="3194" xr:uid="{00000000-0005-0000-0000-0000700C0000}"/>
    <cellStyle name="Mifrog 2 2 2 2" xfId="4407" xr:uid="{9135917E-3F18-4C40-96FF-D3A8C47A2768}"/>
    <cellStyle name="Mifrog 2 2 3" xfId="4406" xr:uid="{D0614F18-3CBF-46BE-9D07-52AD88879533}"/>
    <cellStyle name="Mifrog 2 3" xfId="3195" xr:uid="{00000000-0005-0000-0000-0000710C0000}"/>
    <cellStyle name="Mifrog 2 3 2" xfId="3196" xr:uid="{00000000-0005-0000-0000-0000720C0000}"/>
    <cellStyle name="Mifrog 2 3 2 2" xfId="4409" xr:uid="{B301F4D8-0591-42EA-90AD-24EF3B990799}"/>
    <cellStyle name="Mifrog 2 3 3" xfId="4408" xr:uid="{33E2E7AA-7DD8-4270-A135-E27AD0FB1B27}"/>
    <cellStyle name="Mifrog 2 4" xfId="3197" xr:uid="{00000000-0005-0000-0000-0000730C0000}"/>
    <cellStyle name="Mifrog 2 4 2" xfId="4410" xr:uid="{8506E090-6771-4641-95EC-51DC4FFC940F}"/>
    <cellStyle name="Mifrog 2 5" xfId="4405" xr:uid="{72E6BFD1-5017-48B3-895C-3DBBD55AFA6A}"/>
    <cellStyle name="Mifrog 3" xfId="3198" xr:uid="{00000000-0005-0000-0000-0000740C0000}"/>
    <cellStyle name="Mifrog 3 2" xfId="3199" xr:uid="{00000000-0005-0000-0000-0000750C0000}"/>
    <cellStyle name="Mifrog 3 2 2" xfId="4412" xr:uid="{119C0FC9-A22A-4853-8773-CC9E2383DE87}"/>
    <cellStyle name="Mifrog 3 3" xfId="4411" xr:uid="{AA08B884-5FF5-43B2-AD55-011D610B53D0}"/>
    <cellStyle name="Mifrog 4" xfId="3200" xr:uid="{00000000-0005-0000-0000-0000760C0000}"/>
    <cellStyle name="Mifrog 4 2" xfId="3201" xr:uid="{00000000-0005-0000-0000-0000770C0000}"/>
    <cellStyle name="Mifrog 4 2 2" xfId="4414" xr:uid="{FC78B433-29B8-41ED-B38D-7913F02670AC}"/>
    <cellStyle name="Mifrog 4 3" xfId="4413" xr:uid="{AE90EF0D-34F2-4D36-AF82-7ABBD2C01680}"/>
    <cellStyle name="Mifrog 5" xfId="3202" xr:uid="{00000000-0005-0000-0000-0000780C0000}"/>
    <cellStyle name="Mifrog 5 2" xfId="3203" xr:uid="{00000000-0005-0000-0000-0000790C0000}"/>
    <cellStyle name="Mifrog 5 2 2" xfId="4416" xr:uid="{EC881C69-97B1-4125-89AF-BEF1DA36B34B}"/>
    <cellStyle name="Mifrog 5 3" xfId="4415" xr:uid="{D7D62FF0-B4FC-4E4E-BDE5-3BA41AEA0C57}"/>
    <cellStyle name="Mifrog 6" xfId="3204" xr:uid="{00000000-0005-0000-0000-00007A0C0000}"/>
    <cellStyle name="Mifrog 6 2" xfId="3205" xr:uid="{00000000-0005-0000-0000-00007B0C0000}"/>
    <cellStyle name="Mifrog 6 2 2" xfId="4418" xr:uid="{4B877842-D619-4464-9516-8E7E4AD807DB}"/>
    <cellStyle name="Mifrog 6 3" xfId="4417" xr:uid="{70B438E3-DD43-44A0-85A5-49764C08590B}"/>
    <cellStyle name="Mifrog 7" xfId="3206" xr:uid="{00000000-0005-0000-0000-00007C0C0000}"/>
    <cellStyle name="Mifrog 7 2" xfId="3207" xr:uid="{00000000-0005-0000-0000-00007D0C0000}"/>
    <cellStyle name="Mifrog 7 2 2" xfId="4420" xr:uid="{EA8F6455-7A07-407D-89F6-7B85ECED0F9B}"/>
    <cellStyle name="Mifrog 7 3" xfId="4419" xr:uid="{5299C9D3-E3A2-4009-94D2-1224B506136F}"/>
    <cellStyle name="Mifrog 8" xfId="4404" xr:uid="{68D4AC92-6127-4A97-B698-9CC7FB26EEF5}"/>
    <cellStyle name="Migliaia (0)_07 Deut - FS0699HY" xfId="3208" xr:uid="{00000000-0005-0000-0000-00007E0C0000}"/>
    <cellStyle name="Migliaia_07 Deut - FS0699HY" xfId="3209" xr:uid="{00000000-0005-0000-0000-00007F0C0000}"/>
    <cellStyle name="Millares [0]_10 AVERIAS MASIVAS + ANT" xfId="3210" xr:uid="{00000000-0005-0000-0000-0000800C0000}"/>
    <cellStyle name="Millares_10 AVERIAS MASIVAS + ANT" xfId="3211" xr:uid="{00000000-0005-0000-0000-0000810C0000}"/>
    <cellStyle name="Milliers [0]_!!!GO" xfId="3212" xr:uid="{00000000-0005-0000-0000-0000820C0000}"/>
    <cellStyle name="Milliers_!!!GO" xfId="3213" xr:uid="{00000000-0005-0000-0000-0000830C0000}"/>
    <cellStyle name="Millions" xfId="3214" xr:uid="{00000000-0005-0000-0000-0000840C0000}"/>
    <cellStyle name="Millions 2" xfId="3215" xr:uid="{00000000-0005-0000-0000-0000850C0000}"/>
    <cellStyle name="Millions 3" xfId="3216" xr:uid="{00000000-0005-0000-0000-0000860C0000}"/>
    <cellStyle name="Millions[1]" xfId="3217" xr:uid="{00000000-0005-0000-0000-0000870C0000}"/>
    <cellStyle name="Millions_~0154029" xfId="3218" xr:uid="{00000000-0005-0000-0000-0000880C0000}"/>
    <cellStyle name="Moneda [0]_10 AVERIAS MASIVAS + ANT" xfId="3219" xr:uid="{00000000-0005-0000-0000-0000890C0000}"/>
    <cellStyle name="Moneda_10 AVERIAS MASIVAS + ANT" xfId="3220" xr:uid="{00000000-0005-0000-0000-00008A0C0000}"/>
    <cellStyle name="Monétaire [0]_!!!GO" xfId="3221" xr:uid="{00000000-0005-0000-0000-00008B0C0000}"/>
    <cellStyle name="Monétaire_!!!GO" xfId="3222" xr:uid="{00000000-0005-0000-0000-00008C0C0000}"/>
    <cellStyle name="Monetario" xfId="3223" xr:uid="{00000000-0005-0000-0000-00008D0C0000}"/>
    <cellStyle name="MonthYear" xfId="3224" xr:uid="{00000000-0005-0000-0000-00008E0C0000}"/>
    <cellStyle name="Mul1" xfId="3225" xr:uid="{00000000-0005-0000-0000-00008F0C0000}"/>
    <cellStyle name="Multiple" xfId="3226" xr:uid="{00000000-0005-0000-0000-0000900C0000}"/>
    <cellStyle name="Multiple [0]" xfId="3227" xr:uid="{00000000-0005-0000-0000-0000910C0000}"/>
    <cellStyle name="Multiple [1]" xfId="3228" xr:uid="{00000000-0005-0000-0000-0000920C0000}"/>
    <cellStyle name="Multiple 10" xfId="3229" xr:uid="{00000000-0005-0000-0000-0000930C0000}"/>
    <cellStyle name="Multiple 2" xfId="3230" xr:uid="{00000000-0005-0000-0000-0000940C0000}"/>
    <cellStyle name="Multiple 3" xfId="3231" xr:uid="{00000000-0005-0000-0000-0000950C0000}"/>
    <cellStyle name="Multiple 4" xfId="3232" xr:uid="{00000000-0005-0000-0000-0000960C0000}"/>
    <cellStyle name="Multiple 5" xfId="3233" xr:uid="{00000000-0005-0000-0000-0000970C0000}"/>
    <cellStyle name="Multiple 6" xfId="3234" xr:uid="{00000000-0005-0000-0000-0000980C0000}"/>
    <cellStyle name="Multiple 7" xfId="3235" xr:uid="{00000000-0005-0000-0000-0000990C0000}"/>
    <cellStyle name="Multiple 8" xfId="3236" xr:uid="{00000000-0005-0000-0000-00009A0C0000}"/>
    <cellStyle name="Multiple 9" xfId="3237" xr:uid="{00000000-0005-0000-0000-00009B0C0000}"/>
    <cellStyle name="Multiple(1)" xfId="3238" xr:uid="{00000000-0005-0000-0000-00009C0C0000}"/>
    <cellStyle name="Multiple(2)" xfId="3239" xr:uid="{00000000-0005-0000-0000-00009D0C0000}"/>
    <cellStyle name="Multiple_1Q10 ERF Supplement 3-15-10 Check" xfId="3240" xr:uid="{00000000-0005-0000-0000-00009E0C0000}"/>
    <cellStyle name="Multiple1" xfId="3241" xr:uid="{00000000-0005-0000-0000-00009F0C0000}"/>
    <cellStyle name="n*" xfId="3242" xr:uid="{00000000-0005-0000-0000-0000A00C0000}"/>
    <cellStyle name="NA is zero" xfId="3243" xr:uid="{00000000-0005-0000-0000-0000A10C0000}"/>
    <cellStyle name="Needs update" xfId="3244" xr:uid="{00000000-0005-0000-0000-0000A20C0000}"/>
    <cellStyle name="Neutral" xfId="13" builtinId="28" customBuiltin="1"/>
    <cellStyle name="Neutral 2" xfId="3245" xr:uid="{00000000-0005-0000-0000-0000A40C0000}"/>
    <cellStyle name="Neutral 3" xfId="3955" xr:uid="{4F4CEFB2-CA29-4B20-86C9-BAAEE7489922}"/>
    <cellStyle name="New Times Roman" xfId="3246" xr:uid="{00000000-0005-0000-0000-0000A50C0000}"/>
    <cellStyle name="NewAcct" xfId="3247" xr:uid="{00000000-0005-0000-0000-0000A60C0000}"/>
    <cellStyle name="newstyle" xfId="3248" xr:uid="{00000000-0005-0000-0000-0000A70C0000}"/>
    <cellStyle name="no dec" xfId="3249" xr:uid="{00000000-0005-0000-0000-0000A80C0000}"/>
    <cellStyle name="No-Action" xfId="3250" xr:uid="{00000000-0005-0000-0000-0000A90C0000}"/>
    <cellStyle name="NoEntry" xfId="3251" xr:uid="{00000000-0005-0000-0000-0000AA0C0000}"/>
    <cellStyle name="NoEntry 2" xfId="3252" xr:uid="{00000000-0005-0000-0000-0000AB0C0000}"/>
    <cellStyle name="NoEntry 3" xfId="3253" xr:uid="{00000000-0005-0000-0000-0000AC0C0000}"/>
    <cellStyle name="NoEntry 4" xfId="3254" xr:uid="{00000000-0005-0000-0000-0000AD0C0000}"/>
    <cellStyle name="NoEntry 5" xfId="3255" xr:uid="{00000000-0005-0000-0000-0000AE0C0000}"/>
    <cellStyle name="NoMultiple(1)" xfId="3256" xr:uid="{00000000-0005-0000-0000-0000AF0C0000}"/>
    <cellStyle name="NoMultiple(2)" xfId="3257" xr:uid="{00000000-0005-0000-0000-0000B00C0000}"/>
    <cellStyle name="NoPercent(0)" xfId="3258" xr:uid="{00000000-0005-0000-0000-0000B10C0000}"/>
    <cellStyle name="NoPercent(1)" xfId="3259" xr:uid="{00000000-0005-0000-0000-0000B20C0000}"/>
    <cellStyle name="NoPercent(2)" xfId="3260" xr:uid="{00000000-0005-0000-0000-0000B30C0000}"/>
    <cellStyle name="Nor" xfId="3261" xr:uid="{00000000-0005-0000-0000-0000B40C0000}"/>
    <cellStyle name="Normal" xfId="0" builtinId="0"/>
    <cellStyle name="Normal--" xfId="3262" xr:uid="{00000000-0005-0000-0000-0000B60C0000}"/>
    <cellStyle name="Normal - Style1" xfId="3263" xr:uid="{00000000-0005-0000-0000-0000B70C0000}"/>
    <cellStyle name="Normal - Style1 2" xfId="3264" xr:uid="{00000000-0005-0000-0000-0000B80C0000}"/>
    <cellStyle name="Normal - Style2" xfId="3265" xr:uid="{00000000-0005-0000-0000-0000B90C0000}"/>
    <cellStyle name="Normal - Style3" xfId="3266" xr:uid="{00000000-0005-0000-0000-0000BA0C0000}"/>
    <cellStyle name="Normal - Style4" xfId="3267" xr:uid="{00000000-0005-0000-0000-0000BB0C0000}"/>
    <cellStyle name="Normal - Style5" xfId="3268" xr:uid="{00000000-0005-0000-0000-0000BC0C0000}"/>
    <cellStyle name="Normal - Style6" xfId="3269" xr:uid="{00000000-0005-0000-0000-0000BD0C0000}"/>
    <cellStyle name="Normal - Style7" xfId="3270" xr:uid="{00000000-0005-0000-0000-0000BE0C0000}"/>
    <cellStyle name="Normal - Style8" xfId="3271" xr:uid="{00000000-0005-0000-0000-0000BF0C0000}"/>
    <cellStyle name="Normal [0]" xfId="3272" xr:uid="{00000000-0005-0000-0000-0000C00C0000}"/>
    <cellStyle name="Normal [1]" xfId="3273" xr:uid="{00000000-0005-0000-0000-0000C10C0000}"/>
    <cellStyle name="Normal [2]" xfId="3274" xr:uid="{00000000-0005-0000-0000-0000C20C0000}"/>
    <cellStyle name="Normal [3]" xfId="3275" xr:uid="{00000000-0005-0000-0000-0000C30C0000}"/>
    <cellStyle name="Normal 10" xfId="3276" xr:uid="{00000000-0005-0000-0000-0000C40C0000}"/>
    <cellStyle name="Normal 10 2" xfId="3277" xr:uid="{00000000-0005-0000-0000-0000C50C0000}"/>
    <cellStyle name="Normal 10 3" xfId="3278" xr:uid="{00000000-0005-0000-0000-0000C60C0000}"/>
    <cellStyle name="Normal 10 3 2" xfId="3279" xr:uid="{00000000-0005-0000-0000-0000C70C0000}"/>
    <cellStyle name="Normal 10 4" xfId="3280" xr:uid="{00000000-0005-0000-0000-0000C80C0000}"/>
    <cellStyle name="Normal 11" xfId="3281" xr:uid="{00000000-0005-0000-0000-0000C90C0000}"/>
    <cellStyle name="Normal 12" xfId="3282" xr:uid="{00000000-0005-0000-0000-0000CA0C0000}"/>
    <cellStyle name="Normal 13" xfId="3283" xr:uid="{00000000-0005-0000-0000-0000CB0C0000}"/>
    <cellStyle name="Normal 14" xfId="3284" xr:uid="{00000000-0005-0000-0000-0000CC0C0000}"/>
    <cellStyle name="Normal 15" xfId="3285" xr:uid="{00000000-0005-0000-0000-0000CD0C0000}"/>
    <cellStyle name="Normal 16" xfId="3286" xr:uid="{00000000-0005-0000-0000-0000CE0C0000}"/>
    <cellStyle name="Normal 17" xfId="3287" xr:uid="{00000000-0005-0000-0000-0000CF0C0000}"/>
    <cellStyle name="Normal 18" xfId="3288" xr:uid="{00000000-0005-0000-0000-0000D00C0000}"/>
    <cellStyle name="Normal 19" xfId="3289" xr:uid="{00000000-0005-0000-0000-0000D10C0000}"/>
    <cellStyle name="Normal 2" xfId="6" xr:uid="{00000000-0005-0000-0000-0000D20C0000}"/>
    <cellStyle name="Normal 2 2" xfId="3290" xr:uid="{00000000-0005-0000-0000-0000D30C0000}"/>
    <cellStyle name="Normal 2 2 2" xfId="3291" xr:uid="{00000000-0005-0000-0000-0000D40C0000}"/>
    <cellStyle name="Normal 2 2 3" xfId="3292" xr:uid="{00000000-0005-0000-0000-0000D50C0000}"/>
    <cellStyle name="Normal 2 2 4" xfId="3293" xr:uid="{00000000-0005-0000-0000-0000D60C0000}"/>
    <cellStyle name="Normal 2 3" xfId="3294" xr:uid="{00000000-0005-0000-0000-0000D70C0000}"/>
    <cellStyle name="Normal 2 3 2" xfId="3295" xr:uid="{00000000-0005-0000-0000-0000D80C0000}"/>
    <cellStyle name="Normal 2 3 3" xfId="3296" xr:uid="{00000000-0005-0000-0000-0000D90C0000}"/>
    <cellStyle name="Normal 2 3 4" xfId="3297" xr:uid="{00000000-0005-0000-0000-0000DA0C0000}"/>
    <cellStyle name="Normal 2 3 5" xfId="3298" xr:uid="{00000000-0005-0000-0000-0000DB0C0000}"/>
    <cellStyle name="Normal 2 3 6" xfId="3299" xr:uid="{00000000-0005-0000-0000-0000DC0C0000}"/>
    <cellStyle name="Normal 2 4" xfId="3300" xr:uid="{00000000-0005-0000-0000-0000DD0C0000}"/>
    <cellStyle name="Normal 2 4 2" xfId="3301" xr:uid="{00000000-0005-0000-0000-0000DE0C0000}"/>
    <cellStyle name="Normal 2 5" xfId="3302" xr:uid="{00000000-0005-0000-0000-0000DF0C0000}"/>
    <cellStyle name="Normal 2 6" xfId="3303" xr:uid="{00000000-0005-0000-0000-0000E00C0000}"/>
    <cellStyle name="Normal 2 7" xfId="3304" xr:uid="{00000000-0005-0000-0000-0000E10C0000}"/>
    <cellStyle name="Normal 2 8" xfId="3305" xr:uid="{00000000-0005-0000-0000-0000E20C0000}"/>
    <cellStyle name="Normal 2 9" xfId="3953" xr:uid="{00000000-0005-0000-0000-0000E30C0000}"/>
    <cellStyle name="Normal 2_Data" xfId="3306" xr:uid="{00000000-0005-0000-0000-0000E40C0000}"/>
    <cellStyle name="Normal 20" xfId="3307" xr:uid="{00000000-0005-0000-0000-0000E50C0000}"/>
    <cellStyle name="Normal 21" xfId="3308" xr:uid="{00000000-0005-0000-0000-0000E60C0000}"/>
    <cellStyle name="Normal 21 2" xfId="3309" xr:uid="{00000000-0005-0000-0000-0000E70C0000}"/>
    <cellStyle name="Normal 22" xfId="3310" xr:uid="{00000000-0005-0000-0000-0000E80C0000}"/>
    <cellStyle name="Normal 23" xfId="3311" xr:uid="{00000000-0005-0000-0000-0000E90C0000}"/>
    <cellStyle name="Normal 24" xfId="3312" xr:uid="{00000000-0005-0000-0000-0000EA0C0000}"/>
    <cellStyle name="Normal 25" xfId="3313" xr:uid="{00000000-0005-0000-0000-0000EB0C0000}"/>
    <cellStyle name="Normal 26" xfId="3314" xr:uid="{00000000-0005-0000-0000-0000EC0C0000}"/>
    <cellStyle name="Normal 27" xfId="3315" xr:uid="{00000000-0005-0000-0000-0000ED0C0000}"/>
    <cellStyle name="Normal 27 2" xfId="3316" xr:uid="{00000000-0005-0000-0000-0000EE0C0000}"/>
    <cellStyle name="Normal 27 3" xfId="3317" xr:uid="{00000000-0005-0000-0000-0000EF0C0000}"/>
    <cellStyle name="Normal 28" xfId="3318" xr:uid="{00000000-0005-0000-0000-0000F00C0000}"/>
    <cellStyle name="Normal 28 2" xfId="3319" xr:uid="{00000000-0005-0000-0000-0000F10C0000}"/>
    <cellStyle name="Normal 28 3" xfId="3320" xr:uid="{00000000-0005-0000-0000-0000F20C0000}"/>
    <cellStyle name="Normal 29" xfId="3321" xr:uid="{00000000-0005-0000-0000-0000F30C0000}"/>
    <cellStyle name="Normal 29 2" xfId="3322" xr:uid="{00000000-0005-0000-0000-0000F40C0000}"/>
    <cellStyle name="Normal 29 3" xfId="3323" xr:uid="{00000000-0005-0000-0000-0000F50C0000}"/>
    <cellStyle name="Normal 3" xfId="2" xr:uid="{00000000-0005-0000-0000-0000F60C0000}"/>
    <cellStyle name="Normal 3 10" xfId="3324" xr:uid="{00000000-0005-0000-0000-0000F70C0000}"/>
    <cellStyle name="Normal 3 11" xfId="3325" xr:uid="{00000000-0005-0000-0000-0000F80C0000}"/>
    <cellStyle name="Normal 3 12" xfId="3326" xr:uid="{00000000-0005-0000-0000-0000F90C0000}"/>
    <cellStyle name="Normal 3 2" xfId="3327" xr:uid="{00000000-0005-0000-0000-0000FA0C0000}"/>
    <cellStyle name="Normal 3 2 2" xfId="3328" xr:uid="{00000000-0005-0000-0000-0000FB0C0000}"/>
    <cellStyle name="Normal 3 3" xfId="3329" xr:uid="{00000000-0005-0000-0000-0000FC0C0000}"/>
    <cellStyle name="Normal 3 4" xfId="3330" xr:uid="{00000000-0005-0000-0000-0000FD0C0000}"/>
    <cellStyle name="Normal 3 4 2" xfId="3331" xr:uid="{00000000-0005-0000-0000-0000FE0C0000}"/>
    <cellStyle name="Normal 3 4 3" xfId="3332" xr:uid="{00000000-0005-0000-0000-0000FF0C0000}"/>
    <cellStyle name="Normal 3 4 4" xfId="3333" xr:uid="{00000000-0005-0000-0000-0000000D0000}"/>
    <cellStyle name="Normal 3 5" xfId="3334" xr:uid="{00000000-0005-0000-0000-0000010D0000}"/>
    <cellStyle name="Normal 3 6" xfId="3335" xr:uid="{00000000-0005-0000-0000-0000020D0000}"/>
    <cellStyle name="Normal 3 7" xfId="3336" xr:uid="{00000000-0005-0000-0000-0000030D0000}"/>
    <cellStyle name="Normal 3 8" xfId="3337" xr:uid="{00000000-0005-0000-0000-0000040D0000}"/>
    <cellStyle name="Normal 3 9" xfId="3338" xr:uid="{00000000-0005-0000-0000-0000050D0000}"/>
    <cellStyle name="Normal 30" xfId="3339" xr:uid="{00000000-0005-0000-0000-0000060D0000}"/>
    <cellStyle name="Normal 30 2" xfId="3340" xr:uid="{00000000-0005-0000-0000-0000070D0000}"/>
    <cellStyle name="Normal 30 3" xfId="3341" xr:uid="{00000000-0005-0000-0000-0000080D0000}"/>
    <cellStyle name="Normal 31" xfId="3342" xr:uid="{00000000-0005-0000-0000-0000090D0000}"/>
    <cellStyle name="Normal 31 2" xfId="3343" xr:uid="{00000000-0005-0000-0000-00000A0D0000}"/>
    <cellStyle name="Normal 31 3" xfId="3344" xr:uid="{00000000-0005-0000-0000-00000B0D0000}"/>
    <cellStyle name="Normal 32" xfId="3345" xr:uid="{00000000-0005-0000-0000-00000C0D0000}"/>
    <cellStyle name="Normal 32 2" xfId="3346" xr:uid="{00000000-0005-0000-0000-00000D0D0000}"/>
    <cellStyle name="Normal 32 3" xfId="3347" xr:uid="{00000000-0005-0000-0000-00000E0D0000}"/>
    <cellStyle name="Normal 33" xfId="3348" xr:uid="{00000000-0005-0000-0000-00000F0D0000}"/>
    <cellStyle name="Normal 33 2" xfId="3349" xr:uid="{00000000-0005-0000-0000-0000100D0000}"/>
    <cellStyle name="Normal 33 3" xfId="3350" xr:uid="{00000000-0005-0000-0000-0000110D0000}"/>
    <cellStyle name="Normal 34" xfId="3351" xr:uid="{00000000-0005-0000-0000-0000120D0000}"/>
    <cellStyle name="Normal 35" xfId="3352" xr:uid="{00000000-0005-0000-0000-0000130D0000}"/>
    <cellStyle name="Normal 36" xfId="3353" xr:uid="{00000000-0005-0000-0000-0000140D0000}"/>
    <cellStyle name="Normal 37" xfId="3354" xr:uid="{00000000-0005-0000-0000-0000150D0000}"/>
    <cellStyle name="Normal 38" xfId="3355" xr:uid="{00000000-0005-0000-0000-0000160D0000}"/>
    <cellStyle name="Normal 39" xfId="3356" xr:uid="{00000000-0005-0000-0000-0000170D0000}"/>
    <cellStyle name="Normal 4" xfId="5" xr:uid="{00000000-0005-0000-0000-0000180D0000}"/>
    <cellStyle name="Normal 4 10" xfId="3357" xr:uid="{00000000-0005-0000-0000-0000190D0000}"/>
    <cellStyle name="Normal 4 2" xfId="3358" xr:uid="{00000000-0005-0000-0000-00001A0D0000}"/>
    <cellStyle name="Normal 4 2 2" xfId="3359" xr:uid="{00000000-0005-0000-0000-00001B0D0000}"/>
    <cellStyle name="Normal 4 2 3" xfId="3360" xr:uid="{00000000-0005-0000-0000-00001C0D0000}"/>
    <cellStyle name="Normal 4 3" xfId="3361" xr:uid="{00000000-0005-0000-0000-00001D0D0000}"/>
    <cellStyle name="Normal 4 4" xfId="3362" xr:uid="{00000000-0005-0000-0000-00001E0D0000}"/>
    <cellStyle name="Normal 4 5" xfId="3363" xr:uid="{00000000-0005-0000-0000-00001F0D0000}"/>
    <cellStyle name="Normal 4 6" xfId="3364" xr:uid="{00000000-0005-0000-0000-0000200D0000}"/>
    <cellStyle name="Normal 4 7" xfId="3365" xr:uid="{00000000-0005-0000-0000-0000210D0000}"/>
    <cellStyle name="Normal 4 8" xfId="3366" xr:uid="{00000000-0005-0000-0000-0000220D0000}"/>
    <cellStyle name="Normal 4 9" xfId="3367" xr:uid="{00000000-0005-0000-0000-0000230D0000}"/>
    <cellStyle name="Normal 40" xfId="3368" xr:uid="{00000000-0005-0000-0000-0000240D0000}"/>
    <cellStyle name="Normal 41" xfId="3369" xr:uid="{00000000-0005-0000-0000-0000250D0000}"/>
    <cellStyle name="Normal 42" xfId="3370" xr:uid="{00000000-0005-0000-0000-0000260D0000}"/>
    <cellStyle name="Normal 43" xfId="3371" xr:uid="{00000000-0005-0000-0000-0000270D0000}"/>
    <cellStyle name="Normal 44" xfId="3372" xr:uid="{00000000-0005-0000-0000-0000280D0000}"/>
    <cellStyle name="Normal 45" xfId="3373" xr:uid="{00000000-0005-0000-0000-0000290D0000}"/>
    <cellStyle name="Normal 45 2" xfId="3374" xr:uid="{00000000-0005-0000-0000-00002A0D0000}"/>
    <cellStyle name="Normal 45 3" xfId="3375" xr:uid="{00000000-0005-0000-0000-00002B0D0000}"/>
    <cellStyle name="Normal 45 3 2" xfId="3376" xr:uid="{00000000-0005-0000-0000-00002C0D0000}"/>
    <cellStyle name="Normal 46" xfId="3377" xr:uid="{00000000-0005-0000-0000-00002D0D0000}"/>
    <cellStyle name="Normal 47" xfId="3378" xr:uid="{00000000-0005-0000-0000-00002E0D0000}"/>
    <cellStyle name="Normal 48" xfId="3379" xr:uid="{00000000-0005-0000-0000-00002F0D0000}"/>
    <cellStyle name="Normal 49" xfId="3380" xr:uid="{00000000-0005-0000-0000-0000300D0000}"/>
    <cellStyle name="Normal 5" xfId="3381" xr:uid="{00000000-0005-0000-0000-0000310D0000}"/>
    <cellStyle name="Normal 5 2" xfId="3382" xr:uid="{00000000-0005-0000-0000-0000320D0000}"/>
    <cellStyle name="Normal 5 2 2" xfId="3383" xr:uid="{00000000-0005-0000-0000-0000330D0000}"/>
    <cellStyle name="Normal 5 2 2 2" xfId="3384" xr:uid="{00000000-0005-0000-0000-0000340D0000}"/>
    <cellStyle name="Normal 5 2 2 3" xfId="3385" xr:uid="{00000000-0005-0000-0000-0000350D0000}"/>
    <cellStyle name="Normal 5 2 2 4" xfId="3386" xr:uid="{00000000-0005-0000-0000-0000360D0000}"/>
    <cellStyle name="Normal 5 3" xfId="3387" xr:uid="{00000000-0005-0000-0000-0000370D0000}"/>
    <cellStyle name="Normal 5 4" xfId="3388" xr:uid="{00000000-0005-0000-0000-0000380D0000}"/>
    <cellStyle name="Normal 5 5" xfId="3389" xr:uid="{00000000-0005-0000-0000-0000390D0000}"/>
    <cellStyle name="Normal 5 6" xfId="3390" xr:uid="{00000000-0005-0000-0000-00003A0D0000}"/>
    <cellStyle name="Normal 5 7" xfId="3391" xr:uid="{00000000-0005-0000-0000-00003B0D0000}"/>
    <cellStyle name="Normal 50" xfId="3392" xr:uid="{00000000-0005-0000-0000-00003C0D0000}"/>
    <cellStyle name="Normal 51" xfId="3393" xr:uid="{00000000-0005-0000-0000-00003D0D0000}"/>
    <cellStyle name="Normal 52" xfId="3394" xr:uid="{00000000-0005-0000-0000-00003E0D0000}"/>
    <cellStyle name="Normal 53" xfId="3395" xr:uid="{00000000-0005-0000-0000-00003F0D0000}"/>
    <cellStyle name="Normal 54" xfId="3396" xr:uid="{00000000-0005-0000-0000-0000400D0000}"/>
    <cellStyle name="Normal 55" xfId="3397" xr:uid="{00000000-0005-0000-0000-0000410D0000}"/>
    <cellStyle name="Normal 56" xfId="3398" xr:uid="{00000000-0005-0000-0000-0000420D0000}"/>
    <cellStyle name="Normal 57" xfId="3399" xr:uid="{00000000-0005-0000-0000-0000430D0000}"/>
    <cellStyle name="Normal 58" xfId="3400" xr:uid="{00000000-0005-0000-0000-0000440D0000}"/>
    <cellStyle name="Normal 59" xfId="3401" xr:uid="{00000000-0005-0000-0000-0000450D0000}"/>
    <cellStyle name="Normal 6" xfId="3402" xr:uid="{00000000-0005-0000-0000-0000460D0000}"/>
    <cellStyle name="Normal 6 2" xfId="3403" xr:uid="{00000000-0005-0000-0000-0000470D0000}"/>
    <cellStyle name="Normal 6 3" xfId="3404" xr:uid="{00000000-0005-0000-0000-0000480D0000}"/>
    <cellStyle name="Normal 60" xfId="3405" xr:uid="{00000000-0005-0000-0000-0000490D0000}"/>
    <cellStyle name="Normal 61" xfId="3406" xr:uid="{00000000-0005-0000-0000-00004A0D0000}"/>
    <cellStyle name="Normal 62" xfId="3407" xr:uid="{00000000-0005-0000-0000-00004B0D0000}"/>
    <cellStyle name="Normal 63" xfId="3408" xr:uid="{00000000-0005-0000-0000-00004C0D0000}"/>
    <cellStyle name="Normal 64" xfId="3409" xr:uid="{00000000-0005-0000-0000-00004D0D0000}"/>
    <cellStyle name="Normal 65" xfId="3410" xr:uid="{00000000-0005-0000-0000-00004E0D0000}"/>
    <cellStyle name="Normal 66" xfId="3411" xr:uid="{00000000-0005-0000-0000-00004F0D0000}"/>
    <cellStyle name="Normal 67" xfId="3412" xr:uid="{00000000-0005-0000-0000-0000500D0000}"/>
    <cellStyle name="Normal 68" xfId="3413" xr:uid="{00000000-0005-0000-0000-0000510D0000}"/>
    <cellStyle name="Normal 69" xfId="3414" xr:uid="{00000000-0005-0000-0000-0000520D0000}"/>
    <cellStyle name="Normal 7" xfId="3415" xr:uid="{00000000-0005-0000-0000-0000530D0000}"/>
    <cellStyle name="Normal 70" xfId="3416" xr:uid="{00000000-0005-0000-0000-0000540D0000}"/>
    <cellStyle name="Normal 70 2" xfId="3417" xr:uid="{00000000-0005-0000-0000-0000550D0000}"/>
    <cellStyle name="Normal 71" xfId="3418" xr:uid="{00000000-0005-0000-0000-0000560D0000}"/>
    <cellStyle name="Normal 72" xfId="3419" xr:uid="{00000000-0005-0000-0000-0000570D0000}"/>
    <cellStyle name="Normal 72 2" xfId="3420" xr:uid="{00000000-0005-0000-0000-0000580D0000}"/>
    <cellStyle name="Normal 73" xfId="3421" xr:uid="{00000000-0005-0000-0000-0000590D0000}"/>
    <cellStyle name="Normal 73 2" xfId="3422" xr:uid="{00000000-0005-0000-0000-00005A0D0000}"/>
    <cellStyle name="Normal 74" xfId="3423" xr:uid="{00000000-0005-0000-0000-00005B0D0000}"/>
    <cellStyle name="Normal 75" xfId="3424" xr:uid="{00000000-0005-0000-0000-00005C0D0000}"/>
    <cellStyle name="Normal 76" xfId="3425" xr:uid="{00000000-0005-0000-0000-00005D0D0000}"/>
    <cellStyle name="Normal 77" xfId="3426" xr:uid="{00000000-0005-0000-0000-00005E0D0000}"/>
    <cellStyle name="Normal 8" xfId="3427" xr:uid="{00000000-0005-0000-0000-00005F0D0000}"/>
    <cellStyle name="Normal 8 2" xfId="3428" xr:uid="{00000000-0005-0000-0000-0000600D0000}"/>
    <cellStyle name="Normal 8 2 2" xfId="3429" xr:uid="{00000000-0005-0000-0000-0000610D0000}"/>
    <cellStyle name="Normal 8 3" xfId="3430" xr:uid="{00000000-0005-0000-0000-0000620D0000}"/>
    <cellStyle name="Normal 8 4" xfId="3431" xr:uid="{00000000-0005-0000-0000-0000630D0000}"/>
    <cellStyle name="Normal 8 5" xfId="3432" xr:uid="{00000000-0005-0000-0000-0000640D0000}"/>
    <cellStyle name="Normal 9" xfId="3433" xr:uid="{00000000-0005-0000-0000-0000650D0000}"/>
    <cellStyle name="Normal 9 2" xfId="3434" xr:uid="{00000000-0005-0000-0000-0000660D0000}"/>
    <cellStyle name="Normal 9 3" xfId="3435" xr:uid="{00000000-0005-0000-0000-0000670D0000}"/>
    <cellStyle name="Normal Bold" xfId="3436" xr:uid="{00000000-0005-0000-0000-0000680D0000}"/>
    <cellStyle name="Normal Bold [0]" xfId="3437" xr:uid="{00000000-0005-0000-0000-0000690D0000}"/>
    <cellStyle name="Normal Bold_Copy of Global IB Risk Bal Sht 5th Aug 2010" xfId="3438" xr:uid="{00000000-0005-0000-0000-00006A0D0000}"/>
    <cellStyle name="Normal Pct" xfId="3439" xr:uid="{00000000-0005-0000-0000-00006B0D0000}"/>
    <cellStyle name="Normal(0)CenGreen" xfId="3440" xr:uid="{00000000-0005-0000-0000-00006C0D0000}"/>
    <cellStyle name="Normal(0)CenGreen 2" xfId="3441" xr:uid="{00000000-0005-0000-0000-00006D0D0000}"/>
    <cellStyle name="Normal(0)CenGreen 3" xfId="3442" xr:uid="{00000000-0005-0000-0000-00006E0D0000}"/>
    <cellStyle name="Normal(0)Center" xfId="3443" xr:uid="{00000000-0005-0000-0000-00006F0D0000}"/>
    <cellStyle name="Normal(0)Center2" xfId="3444" xr:uid="{00000000-0005-0000-0000-0000700D0000}"/>
    <cellStyle name="Normal0" xfId="3445" xr:uid="{00000000-0005-0000-0000-0000710D0000}"/>
    <cellStyle name="Normal2" xfId="3446" xr:uid="{00000000-0005-0000-0000-0000720D0000}"/>
    <cellStyle name="Normal2 2" xfId="3447" xr:uid="{00000000-0005-0000-0000-0000730D0000}"/>
    <cellStyle name="Normal2 3" xfId="3448" xr:uid="{00000000-0005-0000-0000-0000740D0000}"/>
    <cellStyle name="NormalBold" xfId="3449" xr:uid="{00000000-0005-0000-0000-0000750D0000}"/>
    <cellStyle name="NormalCurrencyCenter" xfId="3450" xr:uid="{00000000-0005-0000-0000-0000760D0000}"/>
    <cellStyle name="Normale_07 Deut - FS0699HY" xfId="3451" xr:uid="{00000000-0005-0000-0000-0000770D0000}"/>
    <cellStyle name="NormalInput" xfId="3452" xr:uid="{00000000-0005-0000-0000-0000780D0000}"/>
    <cellStyle name="NormalInput 2" xfId="3453" xr:uid="{00000000-0005-0000-0000-0000790D0000}"/>
    <cellStyle name="NormalInput 3" xfId="3454" xr:uid="{00000000-0005-0000-0000-00007A0D0000}"/>
    <cellStyle name="NormalInput 4" xfId="3455" xr:uid="{00000000-0005-0000-0000-00007B0D0000}"/>
    <cellStyle name="NormalInput 5" xfId="3456" xr:uid="{00000000-0005-0000-0000-00007C0D0000}"/>
    <cellStyle name="NormalInput1" xfId="3457" xr:uid="{00000000-0005-0000-0000-00007D0D0000}"/>
    <cellStyle name="NormalInput2" xfId="3458" xr:uid="{00000000-0005-0000-0000-00007E0D0000}"/>
    <cellStyle name="NormalLarge" xfId="3459" xr:uid="{00000000-0005-0000-0000-00007F0D0000}"/>
    <cellStyle name="NormalMultiple" xfId="3460" xr:uid="{00000000-0005-0000-0000-0000800D0000}"/>
    <cellStyle name="NormalOutput" xfId="3461" xr:uid="{00000000-0005-0000-0000-0000810D0000}"/>
    <cellStyle name="NormalUnprotect" xfId="3462" xr:uid="{00000000-0005-0000-0000-0000820D0000}"/>
    <cellStyle name="Normalx" xfId="3463" xr:uid="{00000000-0005-0000-0000-0000830D0000}"/>
    <cellStyle name="NormalxShadow" xfId="3464" xr:uid="{00000000-0005-0000-0000-0000840D0000}"/>
    <cellStyle name="Not Implemented" xfId="3465" xr:uid="{00000000-0005-0000-0000-0000850D0000}"/>
    <cellStyle name="Not Implemented 2" xfId="3466" xr:uid="{00000000-0005-0000-0000-0000860D0000}"/>
    <cellStyle name="Not Implemented 3" xfId="3467" xr:uid="{00000000-0005-0000-0000-0000870D0000}"/>
    <cellStyle name="Not Implemented 4" xfId="3468" xr:uid="{00000000-0005-0000-0000-0000880D0000}"/>
    <cellStyle name="Not Implemented 5" xfId="3469" xr:uid="{00000000-0005-0000-0000-0000890D0000}"/>
    <cellStyle name="Not_Excession" xfId="3470" xr:uid="{00000000-0005-0000-0000-00008A0D0000}"/>
    <cellStyle name="Note" xfId="1" builtinId="10" customBuiltin="1"/>
    <cellStyle name="Note 2" xfId="3471" xr:uid="{00000000-0005-0000-0000-00008C0D0000}"/>
    <cellStyle name="Note 2 2" xfId="3472" xr:uid="{00000000-0005-0000-0000-00008D0D0000}"/>
    <cellStyle name="Note 2 3" xfId="3473" xr:uid="{00000000-0005-0000-0000-00008E0D0000}"/>
    <cellStyle name="Note 3" xfId="3474" xr:uid="{00000000-0005-0000-0000-00008F0D0000}"/>
    <cellStyle name="Note 3 2" xfId="3475" xr:uid="{00000000-0005-0000-0000-0000900D0000}"/>
    <cellStyle name="Note 3 3" xfId="3476" xr:uid="{00000000-0005-0000-0000-0000910D0000}"/>
    <cellStyle name="nplode" xfId="3477" xr:uid="{00000000-0005-0000-0000-0000920D0000}"/>
    <cellStyle name="nPlosion" xfId="3478" xr:uid="{00000000-0005-0000-0000-0000930D0000}"/>
    <cellStyle name="NPPESalesPct" xfId="3479" xr:uid="{00000000-0005-0000-0000-0000940D0000}"/>
    <cellStyle name="num,nodecpts" xfId="3480" xr:uid="{00000000-0005-0000-0000-0000950D0000}"/>
    <cellStyle name="Num1" xfId="3481" xr:uid="{00000000-0005-0000-0000-0000960D0000}"/>
    <cellStyle name="Number" xfId="3482" xr:uid="{00000000-0005-0000-0000-0000970D0000}"/>
    <cellStyle name="Number [0]" xfId="3483" xr:uid="{00000000-0005-0000-0000-0000980D0000}"/>
    <cellStyle name="Number(0)" xfId="3484" xr:uid="{00000000-0005-0000-0000-0000990D0000}"/>
    <cellStyle name="Number(1)" xfId="3485" xr:uid="{00000000-0005-0000-0000-00009A0D0000}"/>
    <cellStyle name="Number(2)" xfId="3486" xr:uid="{00000000-0005-0000-0000-00009B0D0000}"/>
    <cellStyle name="Number_~9831392" xfId="3487" xr:uid="{00000000-0005-0000-0000-00009C0D0000}"/>
    <cellStyle name="Number2DecimalStyle" xfId="3488" xr:uid="{00000000-0005-0000-0000-00009D0D0000}"/>
    <cellStyle name="Number2DecimalStyle 2" xfId="3489" xr:uid="{00000000-0005-0000-0000-00009E0D0000}"/>
    <cellStyle name="Number2DecimalStyle 3" xfId="3490" xr:uid="{00000000-0005-0000-0000-00009F0D0000}"/>
    <cellStyle name="NumberFormat" xfId="3491" xr:uid="{00000000-0005-0000-0000-0000A00D0000}"/>
    <cellStyle name="Numbers" xfId="3492" xr:uid="{00000000-0005-0000-0000-0000A10D0000}"/>
    <cellStyle name="Numbers - Bold" xfId="3493" xr:uid="{00000000-0005-0000-0000-0000A20D0000}"/>
    <cellStyle name="Numbers - Bold - Italic" xfId="3494" xr:uid="{00000000-0005-0000-0000-0000A30D0000}"/>
    <cellStyle name="Numbers - Bold - Italic 2" xfId="3495" xr:uid="{00000000-0005-0000-0000-0000A40D0000}"/>
    <cellStyle name="Numbers - Bold - Italic 3" xfId="3496" xr:uid="{00000000-0005-0000-0000-0000A50D0000}"/>
    <cellStyle name="Numbers - Bold 10" xfId="3497" xr:uid="{00000000-0005-0000-0000-0000A60D0000}"/>
    <cellStyle name="Numbers - Bold 2" xfId="3498" xr:uid="{00000000-0005-0000-0000-0000A70D0000}"/>
    <cellStyle name="Numbers - Bold 3" xfId="3499" xr:uid="{00000000-0005-0000-0000-0000A80D0000}"/>
    <cellStyle name="Numbers - Bold 4" xfId="3500" xr:uid="{00000000-0005-0000-0000-0000A90D0000}"/>
    <cellStyle name="Numbers - Bold 5" xfId="3501" xr:uid="{00000000-0005-0000-0000-0000AA0D0000}"/>
    <cellStyle name="Numbers - Bold 6" xfId="3502" xr:uid="{00000000-0005-0000-0000-0000AB0D0000}"/>
    <cellStyle name="Numbers - Bold 7" xfId="3503" xr:uid="{00000000-0005-0000-0000-0000AC0D0000}"/>
    <cellStyle name="Numbers - Bold 8" xfId="3504" xr:uid="{00000000-0005-0000-0000-0000AD0D0000}"/>
    <cellStyle name="Numbers - Bold 9" xfId="3505" xr:uid="{00000000-0005-0000-0000-0000AE0D0000}"/>
    <cellStyle name="Numbers - Bold_3Q09 ERF Supplement 9-17-09 revised 10022009" xfId="3506" xr:uid="{00000000-0005-0000-0000-0000AF0D0000}"/>
    <cellStyle name="Numbers - Large" xfId="3507" xr:uid="{00000000-0005-0000-0000-0000B00D0000}"/>
    <cellStyle name="Numbers 10" xfId="3508" xr:uid="{00000000-0005-0000-0000-0000B10D0000}"/>
    <cellStyle name="Numbers 2" xfId="3509" xr:uid="{00000000-0005-0000-0000-0000B20D0000}"/>
    <cellStyle name="Numbers 3" xfId="3510" xr:uid="{00000000-0005-0000-0000-0000B30D0000}"/>
    <cellStyle name="Numbers 4" xfId="3511" xr:uid="{00000000-0005-0000-0000-0000B40D0000}"/>
    <cellStyle name="Numbers 5" xfId="3512" xr:uid="{00000000-0005-0000-0000-0000B50D0000}"/>
    <cellStyle name="Numbers 6" xfId="3513" xr:uid="{00000000-0005-0000-0000-0000B60D0000}"/>
    <cellStyle name="Numbers 7" xfId="3514" xr:uid="{00000000-0005-0000-0000-0000B70D0000}"/>
    <cellStyle name="Numbers 8" xfId="3515" xr:uid="{00000000-0005-0000-0000-0000B80D0000}"/>
    <cellStyle name="Numbers 9" xfId="3516" xr:uid="{00000000-0005-0000-0000-0000B90D0000}"/>
    <cellStyle name="Numbers_1Q10 ERF Supplement 3-15-10 Check" xfId="3517" xr:uid="{00000000-0005-0000-0000-0000BA0D0000}"/>
    <cellStyle name="nVision" xfId="3518" xr:uid="{00000000-0005-0000-0000-0000BB0D0000}"/>
    <cellStyle name="NWI%S" xfId="3519" xr:uid="{00000000-0005-0000-0000-0000BC0D0000}"/>
    <cellStyle name="O1" xfId="3520" xr:uid="{00000000-0005-0000-0000-0000BD0D0000}"/>
    <cellStyle name="O2" xfId="3521" xr:uid="{00000000-0005-0000-0000-0000BE0D0000}"/>
    <cellStyle name="Œ…‹æØ‚è [0.00]_!!!GO" xfId="3522" xr:uid="{00000000-0005-0000-0000-0000BF0D0000}"/>
    <cellStyle name="Œ…‹æØ‚è_!!!GO" xfId="3523" xr:uid="{00000000-0005-0000-0000-0000C00D0000}"/>
    <cellStyle name="OSW_ColumnLabels" xfId="3524" xr:uid="{00000000-0005-0000-0000-0000C10D0000}"/>
    <cellStyle name="outh America" xfId="3525" xr:uid="{00000000-0005-0000-0000-0000C20D0000}"/>
    <cellStyle name="Output" xfId="15" builtinId="21" customBuiltin="1"/>
    <cellStyle name="output 2" xfId="3526" xr:uid="{00000000-0005-0000-0000-0000C40D0000}"/>
    <cellStyle name="output 3" xfId="3527" xr:uid="{00000000-0005-0000-0000-0000C50D0000}"/>
    <cellStyle name="Output Amounts" xfId="3528" xr:uid="{00000000-0005-0000-0000-0000C60D0000}"/>
    <cellStyle name="Output Column Headings" xfId="3529" xr:uid="{00000000-0005-0000-0000-0000C70D0000}"/>
    <cellStyle name="Output Line Items" xfId="3530" xr:uid="{00000000-0005-0000-0000-0000C80D0000}"/>
    <cellStyle name="Output Percent" xfId="3531" xr:uid="{00000000-0005-0000-0000-0000C90D0000}"/>
    <cellStyle name="Output Percent (0)" xfId="3532" xr:uid="{00000000-0005-0000-0000-0000CA0D0000}"/>
    <cellStyle name="Output Percent_Data" xfId="3533" xr:uid="{00000000-0005-0000-0000-0000CB0D0000}"/>
    <cellStyle name="Output Report Heading" xfId="3534" xr:uid="{00000000-0005-0000-0000-0000CC0D0000}"/>
    <cellStyle name="Output Report Title" xfId="3535" xr:uid="{00000000-0005-0000-0000-0000CD0D0000}"/>
    <cellStyle name="P1" xfId="3536" xr:uid="{00000000-0005-0000-0000-0000CE0D0000}"/>
    <cellStyle name="P2" xfId="3537" xr:uid="{00000000-0005-0000-0000-0000CF0D0000}"/>
    <cellStyle name="Page 1" xfId="3538" xr:uid="{00000000-0005-0000-0000-0000D00D0000}"/>
    <cellStyle name="Page 2" xfId="3539" xr:uid="{00000000-0005-0000-0000-0000D10D0000}"/>
    <cellStyle name="Page 3" xfId="3540" xr:uid="{00000000-0005-0000-0000-0000D20D0000}"/>
    <cellStyle name="Page 4" xfId="3541" xr:uid="{00000000-0005-0000-0000-0000D30D0000}"/>
    <cellStyle name="Page 5" xfId="3542" xr:uid="{00000000-0005-0000-0000-0000D40D0000}"/>
    <cellStyle name="Page 6" xfId="3543" xr:uid="{00000000-0005-0000-0000-0000D50D0000}"/>
    <cellStyle name="Page 7" xfId="3544" xr:uid="{00000000-0005-0000-0000-0000D60D0000}"/>
    <cellStyle name="Page Heading Large" xfId="3545" xr:uid="{00000000-0005-0000-0000-0000D70D0000}"/>
    <cellStyle name="Page Heading Small" xfId="3546" xr:uid="{00000000-0005-0000-0000-0000D80D0000}"/>
    <cellStyle name="Page Number" xfId="3547" xr:uid="{00000000-0005-0000-0000-0000D90D0000}"/>
    <cellStyle name="Page Title" xfId="3548" xr:uid="{00000000-0005-0000-0000-0000DA0D0000}"/>
    <cellStyle name="Page1" xfId="3549" xr:uid="{00000000-0005-0000-0000-0000DB0D0000}"/>
    <cellStyle name="Page2" xfId="3550" xr:uid="{00000000-0005-0000-0000-0000DC0D0000}"/>
    <cellStyle name="Page3" xfId="3551" xr:uid="{00000000-0005-0000-0000-0000DD0D0000}"/>
    <cellStyle name="Page4" xfId="3552" xr:uid="{00000000-0005-0000-0000-0000DE0D0000}"/>
    <cellStyle name="Page5" xfId="3553" xr:uid="{00000000-0005-0000-0000-0000DF0D0000}"/>
    <cellStyle name="Page6" xfId="3554" xr:uid="{00000000-0005-0000-0000-0000E00D0000}"/>
    <cellStyle name="pc1" xfId="3555" xr:uid="{00000000-0005-0000-0000-0000E10D0000}"/>
    <cellStyle name="Pec (2dec,fs)" xfId="3556" xr:uid="{00000000-0005-0000-0000-0000E20D0000}"/>
    <cellStyle name="per.style" xfId="3557" xr:uid="{00000000-0005-0000-0000-0000E30D0000}"/>
    <cellStyle name="Percen - Style1" xfId="3558" xr:uid="{00000000-0005-0000-0000-0000E40D0000}"/>
    <cellStyle name="Percent %" xfId="3559" xr:uid="{00000000-0005-0000-0000-0000E50D0000}"/>
    <cellStyle name="Percent % Long Underline" xfId="3560" xr:uid="{00000000-0005-0000-0000-0000E60D0000}"/>
    <cellStyle name="Percent ()" xfId="3561" xr:uid="{00000000-0005-0000-0000-0000E70D0000}"/>
    <cellStyle name="Percent (0)" xfId="3562" xr:uid="{00000000-0005-0000-0000-0000E80D0000}"/>
    <cellStyle name="Percent (0.0)" xfId="3563" xr:uid="{00000000-0005-0000-0000-0000E90D0000}"/>
    <cellStyle name="Percent (1)" xfId="3564" xr:uid="{00000000-0005-0000-0000-0000EA0D0000}"/>
    <cellStyle name="Percent (2)" xfId="3565" xr:uid="{00000000-0005-0000-0000-0000EB0D0000}"/>
    <cellStyle name="Percent [0]" xfId="3566" xr:uid="{00000000-0005-0000-0000-0000EC0D0000}"/>
    <cellStyle name="Percent [0] 2" xfId="3567" xr:uid="{00000000-0005-0000-0000-0000ED0D0000}"/>
    <cellStyle name="Percent [0] 3" xfId="3568" xr:uid="{00000000-0005-0000-0000-0000EE0D0000}"/>
    <cellStyle name="Percent [00]" xfId="3569" xr:uid="{00000000-0005-0000-0000-0000EF0D0000}"/>
    <cellStyle name="Percent [1]" xfId="3570" xr:uid="{00000000-0005-0000-0000-0000F00D0000}"/>
    <cellStyle name="Percent [1] --" xfId="3571" xr:uid="{00000000-0005-0000-0000-0000F10D0000}"/>
    <cellStyle name="Percent [1] 2" xfId="3572" xr:uid="{00000000-0005-0000-0000-0000F20D0000}"/>
    <cellStyle name="Percent [1]_~6435875" xfId="3573" xr:uid="{00000000-0005-0000-0000-0000F30D0000}"/>
    <cellStyle name="Percent [2]" xfId="3574" xr:uid="{00000000-0005-0000-0000-0000F40D0000}"/>
    <cellStyle name="Percent [2] 2" xfId="3575" xr:uid="{00000000-0005-0000-0000-0000F50D0000}"/>
    <cellStyle name="Percent [2] 3" xfId="3576" xr:uid="{00000000-0005-0000-0000-0000F60D0000}"/>
    <cellStyle name="Percent [4]" xfId="3577" xr:uid="{00000000-0005-0000-0000-0000F70D0000}"/>
    <cellStyle name="Percent [4] 2" xfId="3578" xr:uid="{00000000-0005-0000-0000-0000F80D0000}"/>
    <cellStyle name="Percent 10" xfId="3579" xr:uid="{00000000-0005-0000-0000-0000F90D0000}"/>
    <cellStyle name="Percent 11" xfId="3580" xr:uid="{00000000-0005-0000-0000-0000FA0D0000}"/>
    <cellStyle name="Percent 12" xfId="3581" xr:uid="{00000000-0005-0000-0000-0000FB0D0000}"/>
    <cellStyle name="Percent 13" xfId="3582" xr:uid="{00000000-0005-0000-0000-0000FC0D0000}"/>
    <cellStyle name="Percent 14" xfId="3583" xr:uid="{00000000-0005-0000-0000-0000FD0D0000}"/>
    <cellStyle name="Percent 15" xfId="3584" xr:uid="{00000000-0005-0000-0000-0000FE0D0000}"/>
    <cellStyle name="Percent 16" xfId="3585" xr:uid="{00000000-0005-0000-0000-0000FF0D0000}"/>
    <cellStyle name="Percent 17" xfId="3586" xr:uid="{00000000-0005-0000-0000-0000000E0000}"/>
    <cellStyle name="Percent 18" xfId="3587" xr:uid="{00000000-0005-0000-0000-0000010E0000}"/>
    <cellStyle name="Percent 19" xfId="3588" xr:uid="{00000000-0005-0000-0000-0000020E0000}"/>
    <cellStyle name="Percent 2" xfId="3589" xr:uid="{00000000-0005-0000-0000-0000030E0000}"/>
    <cellStyle name="Percent 2 2" xfId="3590" xr:uid="{00000000-0005-0000-0000-0000040E0000}"/>
    <cellStyle name="Percent 2 2 2" xfId="3591" xr:uid="{00000000-0005-0000-0000-0000050E0000}"/>
    <cellStyle name="Percent 2 3" xfId="3592" xr:uid="{00000000-0005-0000-0000-0000060E0000}"/>
    <cellStyle name="Percent 20" xfId="3593" xr:uid="{00000000-0005-0000-0000-0000070E0000}"/>
    <cellStyle name="Percent 21" xfId="3594" xr:uid="{00000000-0005-0000-0000-0000080E0000}"/>
    <cellStyle name="Percent 22" xfId="3595" xr:uid="{00000000-0005-0000-0000-0000090E0000}"/>
    <cellStyle name="Percent 23" xfId="3596" xr:uid="{00000000-0005-0000-0000-00000A0E0000}"/>
    <cellStyle name="Percent 24" xfId="3597" xr:uid="{00000000-0005-0000-0000-00000B0E0000}"/>
    <cellStyle name="Percent 25" xfId="3598" xr:uid="{00000000-0005-0000-0000-00000C0E0000}"/>
    <cellStyle name="Percent 26" xfId="3599" xr:uid="{00000000-0005-0000-0000-00000D0E0000}"/>
    <cellStyle name="Percent 27" xfId="3600" xr:uid="{00000000-0005-0000-0000-00000E0E0000}"/>
    <cellStyle name="Percent 28" xfId="3601" xr:uid="{00000000-0005-0000-0000-00000F0E0000}"/>
    <cellStyle name="Percent 29" xfId="3602" xr:uid="{00000000-0005-0000-0000-0000100E0000}"/>
    <cellStyle name="Percent 3" xfId="3603" xr:uid="{00000000-0005-0000-0000-0000110E0000}"/>
    <cellStyle name="Percent 3 2" xfId="3604" xr:uid="{00000000-0005-0000-0000-0000120E0000}"/>
    <cellStyle name="Percent 3 2 2" xfId="3605" xr:uid="{00000000-0005-0000-0000-0000130E0000}"/>
    <cellStyle name="Percent 3 2 3" xfId="3606" xr:uid="{00000000-0005-0000-0000-0000140E0000}"/>
    <cellStyle name="Percent 3 2 4" xfId="3607" xr:uid="{00000000-0005-0000-0000-0000150E0000}"/>
    <cellStyle name="Percent 3 3" xfId="3608" xr:uid="{00000000-0005-0000-0000-0000160E0000}"/>
    <cellStyle name="Percent 3 4" xfId="3609" xr:uid="{00000000-0005-0000-0000-0000170E0000}"/>
    <cellStyle name="Percent 3 5" xfId="3610" xr:uid="{00000000-0005-0000-0000-0000180E0000}"/>
    <cellStyle name="Percent 30" xfId="3611" xr:uid="{00000000-0005-0000-0000-0000190E0000}"/>
    <cellStyle name="Percent 31" xfId="3612" xr:uid="{00000000-0005-0000-0000-00001A0E0000}"/>
    <cellStyle name="Percent 32" xfId="3613" xr:uid="{00000000-0005-0000-0000-00001B0E0000}"/>
    <cellStyle name="Percent 33" xfId="3614" xr:uid="{00000000-0005-0000-0000-00001C0E0000}"/>
    <cellStyle name="Percent 34" xfId="3615" xr:uid="{00000000-0005-0000-0000-00001D0E0000}"/>
    <cellStyle name="Percent 35" xfId="3616" xr:uid="{00000000-0005-0000-0000-00001E0E0000}"/>
    <cellStyle name="Percent 36" xfId="3617" xr:uid="{00000000-0005-0000-0000-00001F0E0000}"/>
    <cellStyle name="Percent 37" xfId="3618" xr:uid="{00000000-0005-0000-0000-0000200E0000}"/>
    <cellStyle name="Percent 38" xfId="3619" xr:uid="{00000000-0005-0000-0000-0000210E0000}"/>
    <cellStyle name="Percent 39" xfId="3620" xr:uid="{00000000-0005-0000-0000-0000220E0000}"/>
    <cellStyle name="Percent 4" xfId="3621" xr:uid="{00000000-0005-0000-0000-0000230E0000}"/>
    <cellStyle name="Percent 4 2" xfId="3622" xr:uid="{00000000-0005-0000-0000-0000240E0000}"/>
    <cellStyle name="Percent 4 3" xfId="3623" xr:uid="{00000000-0005-0000-0000-0000250E0000}"/>
    <cellStyle name="Percent 40" xfId="3624" xr:uid="{00000000-0005-0000-0000-0000260E0000}"/>
    <cellStyle name="Percent 41" xfId="3625" xr:uid="{00000000-0005-0000-0000-0000270E0000}"/>
    <cellStyle name="Percent 42" xfId="3626" xr:uid="{00000000-0005-0000-0000-0000280E0000}"/>
    <cellStyle name="Percent 43" xfId="3627" xr:uid="{00000000-0005-0000-0000-0000290E0000}"/>
    <cellStyle name="Percent 44" xfId="3628" xr:uid="{00000000-0005-0000-0000-00002A0E0000}"/>
    <cellStyle name="Percent 45" xfId="3629" xr:uid="{00000000-0005-0000-0000-00002B0E0000}"/>
    <cellStyle name="Percent 46" xfId="3630" xr:uid="{00000000-0005-0000-0000-00002C0E0000}"/>
    <cellStyle name="Percent 47" xfId="3631" xr:uid="{00000000-0005-0000-0000-00002D0E0000}"/>
    <cellStyle name="Percent 48" xfId="3632" xr:uid="{00000000-0005-0000-0000-00002E0E0000}"/>
    <cellStyle name="Percent 49" xfId="3633" xr:uid="{00000000-0005-0000-0000-00002F0E0000}"/>
    <cellStyle name="Percent 5" xfId="3634" xr:uid="{00000000-0005-0000-0000-0000300E0000}"/>
    <cellStyle name="Percent 50" xfId="3635" xr:uid="{00000000-0005-0000-0000-0000310E0000}"/>
    <cellStyle name="Percent 51" xfId="3636" xr:uid="{00000000-0005-0000-0000-0000320E0000}"/>
    <cellStyle name="Percent 52" xfId="3637" xr:uid="{00000000-0005-0000-0000-0000330E0000}"/>
    <cellStyle name="Percent 53" xfId="3638" xr:uid="{00000000-0005-0000-0000-0000340E0000}"/>
    <cellStyle name="Percent 54" xfId="3639" xr:uid="{00000000-0005-0000-0000-0000350E0000}"/>
    <cellStyle name="Percent 55" xfId="3640" xr:uid="{00000000-0005-0000-0000-0000360E0000}"/>
    <cellStyle name="Percent 56" xfId="3641" xr:uid="{00000000-0005-0000-0000-0000370E0000}"/>
    <cellStyle name="Percent 57" xfId="3642" xr:uid="{00000000-0005-0000-0000-0000380E0000}"/>
    <cellStyle name="Percent 58" xfId="3643" xr:uid="{00000000-0005-0000-0000-0000390E0000}"/>
    <cellStyle name="Percent 59" xfId="3644" xr:uid="{00000000-0005-0000-0000-00003A0E0000}"/>
    <cellStyle name="Percent 6" xfId="3645" xr:uid="{00000000-0005-0000-0000-00003B0E0000}"/>
    <cellStyle name="Percent 60" xfId="3646" xr:uid="{00000000-0005-0000-0000-00003C0E0000}"/>
    <cellStyle name="Percent 61" xfId="3647" xr:uid="{00000000-0005-0000-0000-00003D0E0000}"/>
    <cellStyle name="Percent 62" xfId="3648" xr:uid="{00000000-0005-0000-0000-00003E0E0000}"/>
    <cellStyle name="Percent 63" xfId="3649" xr:uid="{00000000-0005-0000-0000-00003F0E0000}"/>
    <cellStyle name="Percent 64" xfId="3650" xr:uid="{00000000-0005-0000-0000-0000400E0000}"/>
    <cellStyle name="Percent 65" xfId="3651" xr:uid="{00000000-0005-0000-0000-0000410E0000}"/>
    <cellStyle name="Percent 66" xfId="3652" xr:uid="{00000000-0005-0000-0000-0000420E0000}"/>
    <cellStyle name="Percent 67" xfId="3653" xr:uid="{00000000-0005-0000-0000-0000430E0000}"/>
    <cellStyle name="Percent 68" xfId="3654" xr:uid="{00000000-0005-0000-0000-0000440E0000}"/>
    <cellStyle name="Percent 7" xfId="3655" xr:uid="{00000000-0005-0000-0000-0000450E0000}"/>
    <cellStyle name="Percent 8" xfId="3656" xr:uid="{00000000-0005-0000-0000-0000460E0000}"/>
    <cellStyle name="Percent 9" xfId="3657" xr:uid="{00000000-0005-0000-0000-0000470E0000}"/>
    <cellStyle name="Percent Hard" xfId="3658" xr:uid="{00000000-0005-0000-0000-0000480E0000}"/>
    <cellStyle name="Percent([1])" xfId="3659" xr:uid="{00000000-0005-0000-0000-0000490E0000}"/>
    <cellStyle name="Percent([1]) 2" xfId="3660" xr:uid="{00000000-0005-0000-0000-00004A0E0000}"/>
    <cellStyle name="Percent([1]) 3" xfId="3661" xr:uid="{00000000-0005-0000-0000-00004B0E0000}"/>
    <cellStyle name="Percent1" xfId="3662" xr:uid="{00000000-0005-0000-0000-00004C0E0000}"/>
    <cellStyle name="Percent2" xfId="3663" xr:uid="{00000000-0005-0000-0000-00004D0E0000}"/>
    <cellStyle name="Percent2 2" xfId="3664" xr:uid="{00000000-0005-0000-0000-00004E0E0000}"/>
    <cellStyle name="Percent2 3" xfId="3665" xr:uid="{00000000-0005-0000-0000-00004F0E0000}"/>
    <cellStyle name="percentage" xfId="3666" xr:uid="{00000000-0005-0000-0000-0000500E0000}"/>
    <cellStyle name="Population Info" xfId="3667" xr:uid="{00000000-0005-0000-0000-0000510E0000}"/>
    <cellStyle name="prin2" xfId="3668" xr:uid="{00000000-0005-0000-0000-0000520E0000}"/>
    <cellStyle name="PrintDate" xfId="3669" xr:uid="{00000000-0005-0000-0000-0000530E0000}"/>
    <cellStyle name="Protect" xfId="3670" xr:uid="{00000000-0005-0000-0000-0000540E0000}"/>
    <cellStyle name="PSChar" xfId="3671" xr:uid="{00000000-0005-0000-0000-0000550E0000}"/>
    <cellStyle name="PSDate" xfId="3672" xr:uid="{00000000-0005-0000-0000-0000560E0000}"/>
    <cellStyle name="PSDec" xfId="3673" xr:uid="{00000000-0005-0000-0000-0000570E0000}"/>
    <cellStyle name="PSHeading" xfId="3674" xr:uid="{00000000-0005-0000-0000-0000580E0000}"/>
    <cellStyle name="PSInt" xfId="3675" xr:uid="{00000000-0005-0000-0000-0000590E0000}"/>
    <cellStyle name="PSSpacer" xfId="3676" xr:uid="{00000000-0005-0000-0000-00005A0E0000}"/>
    <cellStyle name="r" xfId="3677" xr:uid="{00000000-0005-0000-0000-00005B0E0000}"/>
    <cellStyle name="r_ALLOWANCES" xfId="3678" xr:uid="{00000000-0005-0000-0000-00005C0E0000}"/>
    <cellStyle name="r_ALLOWANCES 2" xfId="3679" xr:uid="{00000000-0005-0000-0000-00005D0E0000}"/>
    <cellStyle name="r_CREDIT BY PRODUCT AND LOB" xfId="3680" xr:uid="{00000000-0005-0000-0000-00005E0E0000}"/>
    <cellStyle name="r_CREDIT BY PRODUCT AND LOB 2" xfId="3681" xr:uid="{00000000-0005-0000-0000-00005F0E0000}"/>
    <cellStyle name="r_GLOSSARY" xfId="3682" xr:uid="{00000000-0005-0000-0000-0000600E0000}"/>
    <cellStyle name="r_GLOSSARY 2" xfId="3683" xr:uid="{00000000-0005-0000-0000-0000610E0000}"/>
    <cellStyle name="r_NPAS" xfId="3684" xr:uid="{00000000-0005-0000-0000-0000620E0000}"/>
    <cellStyle name="r_NPAS 2" xfId="3685" xr:uid="{00000000-0005-0000-0000-0000630E0000}"/>
    <cellStyle name="r_RETAIL METRICS" xfId="3686" xr:uid="{00000000-0005-0000-0000-0000640E0000}"/>
    <cellStyle name="r_RETAIL METRICS 2" xfId="3687" xr:uid="{00000000-0005-0000-0000-0000650E0000}"/>
    <cellStyle name="RangeName" xfId="3688" xr:uid="{00000000-0005-0000-0000-0000660E0000}"/>
    <cellStyle name="Red Font" xfId="3689" xr:uid="{00000000-0005-0000-0000-0000670E0000}"/>
    <cellStyle name="regstoresfromspecstores" xfId="3690" xr:uid="{00000000-0005-0000-0000-0000680E0000}"/>
    <cellStyle name="ReportFieldNames" xfId="3691" xr:uid="{00000000-0005-0000-0000-0000690E0000}"/>
    <cellStyle name="ReportFieldNames 2" xfId="3692" xr:uid="{00000000-0005-0000-0000-00006A0E0000}"/>
    <cellStyle name="RevList" xfId="3693" xr:uid="{00000000-0005-0000-0000-00006B0E0000}"/>
    <cellStyle name="Right" xfId="3694" xr:uid="{00000000-0005-0000-0000-00006C0E0000}"/>
    <cellStyle name="Rollup" xfId="3695" xr:uid="{00000000-0005-0000-0000-00006D0E0000}"/>
    <cellStyle name="Rollup 2" xfId="3696" xr:uid="{00000000-0005-0000-0000-00006E0E0000}"/>
    <cellStyle name="Rollup 3" xfId="3697" xr:uid="{00000000-0005-0000-0000-00006F0E0000}"/>
    <cellStyle name="RoundingPrecision" xfId="3698" xr:uid="{00000000-0005-0000-0000-0000700E0000}"/>
    <cellStyle name="RowLevelOneDataEvenStyle" xfId="3699" xr:uid="{00000000-0005-0000-0000-0000710E0000}"/>
    <cellStyle name="RowLevelOneDataOddStyle" xfId="3700" xr:uid="{00000000-0005-0000-0000-0000720E0000}"/>
    <cellStyle name="SecBody2" xfId="3701" xr:uid="{00000000-0005-0000-0000-0000730E0000}"/>
    <cellStyle name="SecBody2 2" xfId="3702" xr:uid="{00000000-0005-0000-0000-0000740E0000}"/>
    <cellStyle name="SecBody2 2 2" xfId="3703" xr:uid="{00000000-0005-0000-0000-0000750E0000}"/>
    <cellStyle name="SecBody2 2 3" xfId="3704" xr:uid="{00000000-0005-0000-0000-0000760E0000}"/>
    <cellStyle name="SecBody2 2 4" xfId="3705" xr:uid="{00000000-0005-0000-0000-0000770E0000}"/>
    <cellStyle name="SecBody2 2 5" xfId="3706" xr:uid="{00000000-0005-0000-0000-0000780E0000}"/>
    <cellStyle name="SecBody2 3" xfId="3707" xr:uid="{00000000-0005-0000-0000-0000790E0000}"/>
    <cellStyle name="SecBody2 4" xfId="3708" xr:uid="{00000000-0005-0000-0000-00007A0E0000}"/>
    <cellStyle name="SecBody2 5" xfId="3709" xr:uid="{00000000-0005-0000-0000-00007B0E0000}"/>
    <cellStyle name="SecBody2 6" xfId="3710" xr:uid="{00000000-0005-0000-0000-00007C0E0000}"/>
    <cellStyle name="SecHead2" xfId="3711" xr:uid="{00000000-0005-0000-0000-00007D0E0000}"/>
    <cellStyle name="SecHead2 2" xfId="3712" xr:uid="{00000000-0005-0000-0000-00007E0E0000}"/>
    <cellStyle name="SelectFormat" xfId="3713" xr:uid="{00000000-0005-0000-0000-00007F0E0000}"/>
    <cellStyle name="SelectFormat 2" xfId="3714" xr:uid="{00000000-0005-0000-0000-0000800E0000}"/>
    <cellStyle name="SelectFormat 2 2" xfId="3715" xr:uid="{00000000-0005-0000-0000-0000810E0000}"/>
    <cellStyle name="SelectFormat 2 3" xfId="3716" xr:uid="{00000000-0005-0000-0000-0000820E0000}"/>
    <cellStyle name="SelectFormat 3" xfId="3717" xr:uid="{00000000-0005-0000-0000-0000830E0000}"/>
    <cellStyle name="SelectFormat 3 2" xfId="3718" xr:uid="{00000000-0005-0000-0000-0000840E0000}"/>
    <cellStyle name="SelectFormat 3 3" xfId="3719" xr:uid="{00000000-0005-0000-0000-0000850E0000}"/>
    <cellStyle name="SelectFormat 4" xfId="3720" xr:uid="{00000000-0005-0000-0000-0000860E0000}"/>
    <cellStyle name="SelectFormat 5" xfId="3721" xr:uid="{00000000-0005-0000-0000-0000870E0000}"/>
    <cellStyle name="Shaded" xfId="3722" xr:uid="{00000000-0005-0000-0000-0000880E0000}"/>
    <cellStyle name="SHADEDSTORES" xfId="3723" xr:uid="{00000000-0005-0000-0000-0000890E0000}"/>
    <cellStyle name="SHADEDSTORES 2" xfId="3724" xr:uid="{00000000-0005-0000-0000-00008A0E0000}"/>
    <cellStyle name="SHADEDSTORES 3" xfId="3725" xr:uid="{00000000-0005-0000-0000-00008B0E0000}"/>
    <cellStyle name="Shading" xfId="3726" xr:uid="{00000000-0005-0000-0000-00008C0E0000}"/>
    <cellStyle name="SHEET2!Normal" xfId="3727" xr:uid="{00000000-0005-0000-0000-00008D0E0000}"/>
    <cellStyle name="SHEET2!Normal 2" xfId="3728" xr:uid="{00000000-0005-0000-0000-00008E0E0000}"/>
    <cellStyle name="SHEET2!Normal 3" xfId="3729" xr:uid="{00000000-0005-0000-0000-00008F0E0000}"/>
    <cellStyle name="Shell" xfId="3730" xr:uid="{00000000-0005-0000-0000-0000900E0000}"/>
    <cellStyle name="specstores" xfId="3731" xr:uid="{00000000-0005-0000-0000-0000910E0000}"/>
    <cellStyle name="src_1" xfId="3732" xr:uid="{00000000-0005-0000-0000-0000920E0000}"/>
    <cellStyle name="Std Date" xfId="3733" xr:uid="{00000000-0005-0000-0000-0000930E0000}"/>
    <cellStyle name="Style 1" xfId="3734" xr:uid="{00000000-0005-0000-0000-0000940E0000}"/>
    <cellStyle name="Style 1 2" xfId="3735" xr:uid="{00000000-0005-0000-0000-0000950E0000}"/>
    <cellStyle name="Style 10" xfId="3736" xr:uid="{00000000-0005-0000-0000-0000960E0000}"/>
    <cellStyle name="Style 11" xfId="3737" xr:uid="{00000000-0005-0000-0000-0000970E0000}"/>
    <cellStyle name="Style 12" xfId="3738" xr:uid="{00000000-0005-0000-0000-0000980E0000}"/>
    <cellStyle name="Style 13" xfId="3739" xr:uid="{00000000-0005-0000-0000-0000990E0000}"/>
    <cellStyle name="Style 14" xfId="3740" xr:uid="{00000000-0005-0000-0000-00009A0E0000}"/>
    <cellStyle name="Style 15" xfId="3741" xr:uid="{00000000-0005-0000-0000-00009B0E0000}"/>
    <cellStyle name="Style 16" xfId="3742" xr:uid="{00000000-0005-0000-0000-00009C0E0000}"/>
    <cellStyle name="Style 17" xfId="3743" xr:uid="{00000000-0005-0000-0000-00009D0E0000}"/>
    <cellStyle name="Style 18" xfId="3744" xr:uid="{00000000-0005-0000-0000-00009E0E0000}"/>
    <cellStyle name="Style 19" xfId="3745" xr:uid="{00000000-0005-0000-0000-00009F0E0000}"/>
    <cellStyle name="Style 2" xfId="3746" xr:uid="{00000000-0005-0000-0000-0000A00E0000}"/>
    <cellStyle name="Style 20" xfId="3747" xr:uid="{00000000-0005-0000-0000-0000A10E0000}"/>
    <cellStyle name="Style 21" xfId="3748" xr:uid="{00000000-0005-0000-0000-0000A20E0000}"/>
    <cellStyle name="Style 21 2" xfId="3749" xr:uid="{00000000-0005-0000-0000-0000A30E0000}"/>
    <cellStyle name="Style 22" xfId="3750" xr:uid="{00000000-0005-0000-0000-0000A40E0000}"/>
    <cellStyle name="Style 22 2" xfId="3751" xr:uid="{00000000-0005-0000-0000-0000A50E0000}"/>
    <cellStyle name="Style 23" xfId="3752" xr:uid="{00000000-0005-0000-0000-0000A60E0000}"/>
    <cellStyle name="Style 24" xfId="3753" xr:uid="{00000000-0005-0000-0000-0000A70E0000}"/>
    <cellStyle name="Style 25" xfId="3754" xr:uid="{00000000-0005-0000-0000-0000A80E0000}"/>
    <cellStyle name="Style 26" xfId="3755" xr:uid="{00000000-0005-0000-0000-0000A90E0000}"/>
    <cellStyle name="Style 27" xfId="3756" xr:uid="{00000000-0005-0000-0000-0000AA0E0000}"/>
    <cellStyle name="Style 28" xfId="3757" xr:uid="{00000000-0005-0000-0000-0000AB0E0000}"/>
    <cellStyle name="Style 29" xfId="3758" xr:uid="{00000000-0005-0000-0000-0000AC0E0000}"/>
    <cellStyle name="Style 3" xfId="3759" xr:uid="{00000000-0005-0000-0000-0000AD0E0000}"/>
    <cellStyle name="Style 30" xfId="3760" xr:uid="{00000000-0005-0000-0000-0000AE0E0000}"/>
    <cellStyle name="Style 31" xfId="3761" xr:uid="{00000000-0005-0000-0000-0000AF0E0000}"/>
    <cellStyle name="Style 32" xfId="3762" xr:uid="{00000000-0005-0000-0000-0000B00E0000}"/>
    <cellStyle name="Style 33" xfId="3763" xr:uid="{00000000-0005-0000-0000-0000B10E0000}"/>
    <cellStyle name="Style 34" xfId="3764" xr:uid="{00000000-0005-0000-0000-0000B20E0000}"/>
    <cellStyle name="Style 35" xfId="3765" xr:uid="{00000000-0005-0000-0000-0000B30E0000}"/>
    <cellStyle name="Style 36" xfId="3766" xr:uid="{00000000-0005-0000-0000-0000B40E0000}"/>
    <cellStyle name="Style 37" xfId="3767" xr:uid="{00000000-0005-0000-0000-0000B50E0000}"/>
    <cellStyle name="Style 38" xfId="3768" xr:uid="{00000000-0005-0000-0000-0000B60E0000}"/>
    <cellStyle name="Style 39" xfId="3769" xr:uid="{00000000-0005-0000-0000-0000B70E0000}"/>
    <cellStyle name="Style 4" xfId="3770" xr:uid="{00000000-0005-0000-0000-0000B80E0000}"/>
    <cellStyle name="Style 40" xfId="3771" xr:uid="{00000000-0005-0000-0000-0000B90E0000}"/>
    <cellStyle name="Style 41" xfId="3772" xr:uid="{00000000-0005-0000-0000-0000BA0E0000}"/>
    <cellStyle name="Style 42" xfId="3773" xr:uid="{00000000-0005-0000-0000-0000BB0E0000}"/>
    <cellStyle name="Style 43" xfId="3774" xr:uid="{00000000-0005-0000-0000-0000BC0E0000}"/>
    <cellStyle name="Style 44" xfId="3775" xr:uid="{00000000-0005-0000-0000-0000BD0E0000}"/>
    <cellStyle name="Style 45" xfId="3776" xr:uid="{00000000-0005-0000-0000-0000BE0E0000}"/>
    <cellStyle name="Style 46" xfId="3777" xr:uid="{00000000-0005-0000-0000-0000BF0E0000}"/>
    <cellStyle name="Style 47" xfId="3778" xr:uid="{00000000-0005-0000-0000-0000C00E0000}"/>
    <cellStyle name="Style 48" xfId="3779" xr:uid="{00000000-0005-0000-0000-0000C10E0000}"/>
    <cellStyle name="Style 49" xfId="3780" xr:uid="{00000000-0005-0000-0000-0000C20E0000}"/>
    <cellStyle name="Style 5" xfId="3781" xr:uid="{00000000-0005-0000-0000-0000C30E0000}"/>
    <cellStyle name="Style 50" xfId="3782" xr:uid="{00000000-0005-0000-0000-0000C40E0000}"/>
    <cellStyle name="Style 51" xfId="3783" xr:uid="{00000000-0005-0000-0000-0000C50E0000}"/>
    <cellStyle name="Style 52" xfId="3784" xr:uid="{00000000-0005-0000-0000-0000C60E0000}"/>
    <cellStyle name="Style 53" xfId="3785" xr:uid="{00000000-0005-0000-0000-0000C70E0000}"/>
    <cellStyle name="Style 54" xfId="3786" xr:uid="{00000000-0005-0000-0000-0000C80E0000}"/>
    <cellStyle name="Style 55" xfId="3787" xr:uid="{00000000-0005-0000-0000-0000C90E0000}"/>
    <cellStyle name="Style 56" xfId="3788" xr:uid="{00000000-0005-0000-0000-0000CA0E0000}"/>
    <cellStyle name="Style 57" xfId="3789" xr:uid="{00000000-0005-0000-0000-0000CB0E0000}"/>
    <cellStyle name="Style 58" xfId="3790" xr:uid="{00000000-0005-0000-0000-0000CC0E0000}"/>
    <cellStyle name="Style 59" xfId="3791" xr:uid="{00000000-0005-0000-0000-0000CD0E0000}"/>
    <cellStyle name="Style 6" xfId="3792" xr:uid="{00000000-0005-0000-0000-0000CE0E0000}"/>
    <cellStyle name="Style 60" xfId="3793" xr:uid="{00000000-0005-0000-0000-0000CF0E0000}"/>
    <cellStyle name="Style 61" xfId="3794" xr:uid="{00000000-0005-0000-0000-0000D00E0000}"/>
    <cellStyle name="Style 7" xfId="3795" xr:uid="{00000000-0005-0000-0000-0000D10E0000}"/>
    <cellStyle name="Style 8" xfId="3796" xr:uid="{00000000-0005-0000-0000-0000D20E0000}"/>
    <cellStyle name="Style 9" xfId="3797" xr:uid="{00000000-0005-0000-0000-0000D30E0000}"/>
    <cellStyle name="STYLE_CenterNumber" xfId="3798" xr:uid="{00000000-0005-0000-0000-0000D40E0000}"/>
    <cellStyle name="STYLE2" xfId="3799" xr:uid="{00000000-0005-0000-0000-0000D50E0000}"/>
    <cellStyle name="SubHead1" xfId="3800" xr:uid="{00000000-0005-0000-0000-0000D60E0000}"/>
    <cellStyle name="SubHead1 2" xfId="3801" xr:uid="{00000000-0005-0000-0000-0000D70E0000}"/>
    <cellStyle name="SubTitle" xfId="3802" xr:uid="{00000000-0005-0000-0000-0000D80E0000}"/>
    <cellStyle name="SubTotal" xfId="3803" xr:uid="{00000000-0005-0000-0000-0000D90E0000}"/>
    <cellStyle name="SubTotal 2" xfId="3804" xr:uid="{00000000-0005-0000-0000-0000DA0E0000}"/>
    <cellStyle name="SubTotal 2 2" xfId="3805" xr:uid="{00000000-0005-0000-0000-0000DB0E0000}"/>
    <cellStyle name="SubTotal 2 3" xfId="3806" xr:uid="{00000000-0005-0000-0000-0000DC0E0000}"/>
    <cellStyle name="SubTotal 3" xfId="3807" xr:uid="{00000000-0005-0000-0000-0000DD0E0000}"/>
    <cellStyle name="SubTotal 3 2" xfId="3808" xr:uid="{00000000-0005-0000-0000-0000DE0E0000}"/>
    <cellStyle name="SubTotal 3 3" xfId="3809" xr:uid="{00000000-0005-0000-0000-0000DF0E0000}"/>
    <cellStyle name="SubTotal 4" xfId="3810" xr:uid="{00000000-0005-0000-0000-0000E00E0000}"/>
    <cellStyle name="SubTotal 5" xfId="3811" xr:uid="{00000000-0005-0000-0000-0000E10E0000}"/>
    <cellStyle name="Subtotal1" xfId="3812" xr:uid="{00000000-0005-0000-0000-0000E20E0000}"/>
    <cellStyle name="Subtotal1 2" xfId="3813" xr:uid="{00000000-0005-0000-0000-0000E30E0000}"/>
    <cellStyle name="Subtotal1 3" xfId="3814" xr:uid="{00000000-0005-0000-0000-0000E40E0000}"/>
    <cellStyle name="Subtotals1" xfId="3815" xr:uid="{00000000-0005-0000-0000-0000E50E0000}"/>
    <cellStyle name="Subtotals1 2" xfId="3816" xr:uid="{00000000-0005-0000-0000-0000E60E0000}"/>
    <cellStyle name="Subtotals1 2 2" xfId="3817" xr:uid="{00000000-0005-0000-0000-0000E70E0000}"/>
    <cellStyle name="Subtotals1 2 3" xfId="3818" xr:uid="{00000000-0005-0000-0000-0000E80E0000}"/>
    <cellStyle name="Subtotals1 2 4" xfId="3819" xr:uid="{00000000-0005-0000-0000-0000E90E0000}"/>
    <cellStyle name="Subtotals1 2 5" xfId="3820" xr:uid="{00000000-0005-0000-0000-0000EA0E0000}"/>
    <cellStyle name="Subtotals1 3" xfId="3821" xr:uid="{00000000-0005-0000-0000-0000EB0E0000}"/>
    <cellStyle name="Subtotals1 3 2" xfId="3822" xr:uid="{00000000-0005-0000-0000-0000EC0E0000}"/>
    <cellStyle name="Subtotals1 3 3" xfId="3823" xr:uid="{00000000-0005-0000-0000-0000ED0E0000}"/>
    <cellStyle name="Subtotals1 3 4" xfId="3824" xr:uid="{00000000-0005-0000-0000-0000EE0E0000}"/>
    <cellStyle name="Subtotals1 3 5" xfId="3825" xr:uid="{00000000-0005-0000-0000-0000EF0E0000}"/>
    <cellStyle name="Subtotals1 4" xfId="3826" xr:uid="{00000000-0005-0000-0000-0000F00E0000}"/>
    <cellStyle name="Subtotals1 5" xfId="3827" xr:uid="{00000000-0005-0000-0000-0000F10E0000}"/>
    <cellStyle name="Subtotals1 6" xfId="3828" xr:uid="{00000000-0005-0000-0000-0000F20E0000}"/>
    <cellStyle name="Subtotals1 7" xfId="3829" xr:uid="{00000000-0005-0000-0000-0000F30E0000}"/>
    <cellStyle name="swpBody01" xfId="3830" xr:uid="{00000000-0005-0000-0000-0000F40E0000}"/>
    <cellStyle name="swpBodyFirstCol" xfId="3831" xr:uid="{00000000-0005-0000-0000-0000F50E0000}"/>
    <cellStyle name="swpCaption" xfId="3832" xr:uid="{00000000-0005-0000-0000-0000F60E0000}"/>
    <cellStyle name="swpClear" xfId="3833" xr:uid="{00000000-0005-0000-0000-0000F70E0000}"/>
    <cellStyle name="swpHBBookTitle" xfId="3834" xr:uid="{00000000-0005-0000-0000-0000F80E0000}"/>
    <cellStyle name="swpHBChapterTitle" xfId="3835" xr:uid="{00000000-0005-0000-0000-0000F90E0000}"/>
    <cellStyle name="swpHead01" xfId="3836" xr:uid="{00000000-0005-0000-0000-0000FA0E0000}"/>
    <cellStyle name="swpHead01 2" xfId="3837" xr:uid="{00000000-0005-0000-0000-0000FB0E0000}"/>
    <cellStyle name="swpHead01 3" xfId="3838" xr:uid="{00000000-0005-0000-0000-0000FC0E0000}"/>
    <cellStyle name="swpHead01R" xfId="3839" xr:uid="{00000000-0005-0000-0000-0000FD0E0000}"/>
    <cellStyle name="swpHead01R 2" xfId="3840" xr:uid="{00000000-0005-0000-0000-0000FE0E0000}"/>
    <cellStyle name="swpHead01R 3" xfId="3841" xr:uid="{00000000-0005-0000-0000-0000FF0E0000}"/>
    <cellStyle name="swpHead02" xfId="3842" xr:uid="{00000000-0005-0000-0000-0000000F0000}"/>
    <cellStyle name="swpHead02R" xfId="3843" xr:uid="{00000000-0005-0000-0000-0000010F0000}"/>
    <cellStyle name="swpHead03" xfId="3844" xr:uid="{00000000-0005-0000-0000-0000020F0000}"/>
    <cellStyle name="swpHead03R" xfId="3845" xr:uid="{00000000-0005-0000-0000-0000030F0000}"/>
    <cellStyle name="swpHeadBraL" xfId="3846" xr:uid="{00000000-0005-0000-0000-0000040F0000}"/>
    <cellStyle name="swpHeadBraM" xfId="3847" xr:uid="{00000000-0005-0000-0000-0000050F0000}"/>
    <cellStyle name="swpHeadBraR" xfId="3848" xr:uid="{00000000-0005-0000-0000-0000060F0000}"/>
    <cellStyle name="swpTag" xfId="3849" xr:uid="{00000000-0005-0000-0000-0000070F0000}"/>
    <cellStyle name="swpTotals" xfId="3850" xr:uid="{00000000-0005-0000-0000-0000080F0000}"/>
    <cellStyle name="swpTotals 2" xfId="3851" xr:uid="{00000000-0005-0000-0000-0000090F0000}"/>
    <cellStyle name="swpTotals 3" xfId="3852" xr:uid="{00000000-0005-0000-0000-00000A0F0000}"/>
    <cellStyle name="swpTotalsNo" xfId="3853" xr:uid="{00000000-0005-0000-0000-00000B0F0000}"/>
    <cellStyle name="swpTotalsNo 2" xfId="3854" xr:uid="{00000000-0005-0000-0000-00000C0F0000}"/>
    <cellStyle name="swpTotalsNo 3" xfId="3855" xr:uid="{00000000-0005-0000-0000-00000D0F0000}"/>
    <cellStyle name="swpTotalsTotal" xfId="3856" xr:uid="{00000000-0005-0000-0000-00000E0F0000}"/>
    <cellStyle name="swpTotalsTotal 2" xfId="3857" xr:uid="{00000000-0005-0000-0000-00000F0F0000}"/>
    <cellStyle name="swpTotalsTotal 2 2" xfId="3858" xr:uid="{00000000-0005-0000-0000-0000100F0000}"/>
    <cellStyle name="swpTotalsTotal 2 2 2" xfId="3859" xr:uid="{00000000-0005-0000-0000-0000110F0000}"/>
    <cellStyle name="swpTotalsTotal 2 2_Table-View" xfId="4534" xr:uid="{4BA3F075-A772-418F-A3AF-7FDC05702CC6}"/>
    <cellStyle name="swpTotalsTotal 2 3" xfId="3860" xr:uid="{00000000-0005-0000-0000-0000120F0000}"/>
    <cellStyle name="swpTotalsTotal 2 3 2" xfId="3861" xr:uid="{00000000-0005-0000-0000-0000130F0000}"/>
    <cellStyle name="swpTotalsTotal 2 3_Table-View" xfId="4535" xr:uid="{90E8C6C6-0005-4A78-8296-DAF7507E37FA}"/>
    <cellStyle name="swpTotalsTotal 2 4" xfId="3862" xr:uid="{00000000-0005-0000-0000-0000140F0000}"/>
    <cellStyle name="swpTotalsTotal 2_Table-View" xfId="4533" xr:uid="{2B67B8B3-9B9A-4388-8B03-38FE0FE2317B}"/>
    <cellStyle name="swpTotalsTotal 3" xfId="3863" xr:uid="{00000000-0005-0000-0000-0000150F0000}"/>
    <cellStyle name="swpTotalsTotal 3 2" xfId="3864" xr:uid="{00000000-0005-0000-0000-0000160F0000}"/>
    <cellStyle name="swpTotalsTotal 3_Table-View" xfId="4536" xr:uid="{B9E5F3A9-8E60-40A2-8CFC-E00102924518}"/>
    <cellStyle name="swpTotalsTotal 4" xfId="3865" xr:uid="{00000000-0005-0000-0000-0000170F0000}"/>
    <cellStyle name="swpTotalsTotal 4 2" xfId="3866" xr:uid="{00000000-0005-0000-0000-0000180F0000}"/>
    <cellStyle name="swpTotalsTotal 4_Table-View" xfId="4537" xr:uid="{081604F9-864E-4973-95E2-C4A3826CD751}"/>
    <cellStyle name="swpTotalsTotal 5" xfId="3867" xr:uid="{00000000-0005-0000-0000-0000190F0000}"/>
    <cellStyle name="swpTotalsTotal 5 2" xfId="3868" xr:uid="{00000000-0005-0000-0000-00001A0F0000}"/>
    <cellStyle name="swpTotalsTotal 5_Table-View" xfId="4538" xr:uid="{6E212A8B-2881-47CC-90DF-92AC51513733}"/>
    <cellStyle name="swpTotalsTotal 6" xfId="3869" xr:uid="{00000000-0005-0000-0000-00001B0F0000}"/>
    <cellStyle name="swpTotalsTotal 6 2" xfId="3870" xr:uid="{00000000-0005-0000-0000-00001C0F0000}"/>
    <cellStyle name="swpTotalsTotal 6_Table-View" xfId="4539" xr:uid="{5034D5EE-A532-440B-960B-3C277E89AD14}"/>
    <cellStyle name="swpTotalsTotal 7" xfId="3871" xr:uid="{00000000-0005-0000-0000-00001D0F0000}"/>
    <cellStyle name="swpTotalsTotal_Table-View" xfId="4532" xr:uid="{3C160D6B-DE0C-484B-9E6F-D320220F8906}"/>
    <cellStyle name="Table Col Head" xfId="3872" xr:uid="{00000000-0005-0000-0000-00001E0F0000}"/>
    <cellStyle name="Table Sub Head" xfId="3873" xr:uid="{00000000-0005-0000-0000-00001F0F0000}"/>
    <cellStyle name="Table Title" xfId="3874" xr:uid="{00000000-0005-0000-0000-0000200F0000}"/>
    <cellStyle name="Table Units" xfId="3875" xr:uid="{00000000-0005-0000-0000-0000210F0000}"/>
    <cellStyle name="TableBody" xfId="3876" xr:uid="{00000000-0005-0000-0000-0000220F0000}"/>
    <cellStyle name="TableBody 2" xfId="3877" xr:uid="{00000000-0005-0000-0000-0000230F0000}"/>
    <cellStyle name="TableBody 3" xfId="3878" xr:uid="{00000000-0005-0000-0000-0000240F0000}"/>
    <cellStyle name="TextEntry" xfId="3879" xr:uid="{00000000-0005-0000-0000-0000250F0000}"/>
    <cellStyle name="TextEntry 2" xfId="3880" xr:uid="{00000000-0005-0000-0000-0000260F0000}"/>
    <cellStyle name="TextEntry 3" xfId="3881" xr:uid="{00000000-0005-0000-0000-0000270F0000}"/>
    <cellStyle name="TextStyle" xfId="3882" xr:uid="{00000000-0005-0000-0000-0000280F0000}"/>
    <cellStyle name="TextStyle 2" xfId="3883" xr:uid="{00000000-0005-0000-0000-0000290F0000}"/>
    <cellStyle name="TextStyle 3" xfId="3884" xr:uid="{00000000-0005-0000-0000-00002A0F0000}"/>
    <cellStyle name="þíÌY_x000c_Eý)_x000d_8ýß_x0007_×Üï_x0012__x0007__x0001__x0001_" xfId="3885" xr:uid="{00000000-0005-0000-0000-00002B0F0000}"/>
    <cellStyle name="Thousands" xfId="3886" xr:uid="{00000000-0005-0000-0000-00002C0F0000}"/>
    <cellStyle name="Thousands 2" xfId="3887" xr:uid="{00000000-0005-0000-0000-00002D0F0000}"/>
    <cellStyle name="Thousands 3" xfId="3888" xr:uid="{00000000-0005-0000-0000-00002E0F0000}"/>
    <cellStyle name="Times" xfId="3889" xr:uid="{00000000-0005-0000-0000-00002F0F0000}"/>
    <cellStyle name="Title - PROJECT" xfId="3890" xr:uid="{00000000-0005-0000-0000-0000300F0000}"/>
    <cellStyle name="Title - PROJECT 2" xfId="3891" xr:uid="{00000000-0005-0000-0000-0000310F0000}"/>
    <cellStyle name="Title - Underline" xfId="3892" xr:uid="{00000000-0005-0000-0000-0000320F0000}"/>
    <cellStyle name="Title 2" xfId="47" xr:uid="{00000000-0005-0000-0000-0000330F0000}"/>
    <cellStyle name="Title 3" xfId="3893" xr:uid="{00000000-0005-0000-0000-0000340F0000}"/>
    <cellStyle name="Title 4" xfId="3894" xr:uid="{00000000-0005-0000-0000-0000350F0000}"/>
    <cellStyle name="Title 5" xfId="3895" xr:uid="{00000000-0005-0000-0000-0000360F0000}"/>
    <cellStyle name="Title 6" xfId="3896" xr:uid="{00000000-0005-0000-0000-0000370F0000}"/>
    <cellStyle name="Title 7" xfId="3897" xr:uid="{00000000-0005-0000-0000-0000380F0000}"/>
    <cellStyle name="Title 8" xfId="3898" xr:uid="{00000000-0005-0000-0000-0000390F0000}"/>
    <cellStyle name="Title 9" xfId="3899" xr:uid="{00000000-0005-0000-0000-00003A0F0000}"/>
    <cellStyle name="Titles" xfId="3900" xr:uid="{00000000-0005-0000-0000-00003B0F0000}"/>
    <cellStyle name="Titles - Col. Headings" xfId="3901" xr:uid="{00000000-0005-0000-0000-00003C0F0000}"/>
    <cellStyle name="Titles - Other" xfId="3902" xr:uid="{00000000-0005-0000-0000-00003D0F0000}"/>
    <cellStyle name="Titles - Other 2" xfId="3903" xr:uid="{00000000-0005-0000-0000-00003E0F0000}"/>
    <cellStyle name="todate" xfId="3904" xr:uid="{00000000-0005-0000-0000-00003F0F0000}"/>
    <cellStyle name="Top Line" xfId="3905" xr:uid="{00000000-0005-0000-0000-0000400F0000}"/>
    <cellStyle name="Top Line 2" xfId="3906" xr:uid="{00000000-0005-0000-0000-0000410F0000}"/>
    <cellStyle name="Top Line 3" xfId="3907" xr:uid="{00000000-0005-0000-0000-0000420F0000}"/>
    <cellStyle name="Total" xfId="21" builtinId="25" customBuiltin="1"/>
    <cellStyle name="TotalNumbers" xfId="3908" xr:uid="{00000000-0005-0000-0000-0000440F0000}"/>
    <cellStyle name="TotalNumbers 2" xfId="3909" xr:uid="{00000000-0005-0000-0000-0000450F0000}"/>
    <cellStyle name="TotalNumbers 3" xfId="3910" xr:uid="{00000000-0005-0000-0000-0000460F0000}"/>
    <cellStyle name="underlineHeading" xfId="3911" xr:uid="{00000000-0005-0000-0000-0000470F0000}"/>
    <cellStyle name="underlineHeading 2" xfId="3912" xr:uid="{00000000-0005-0000-0000-0000480F0000}"/>
    <cellStyle name="underlineHeading 2 2" xfId="3913" xr:uid="{00000000-0005-0000-0000-0000490F0000}"/>
    <cellStyle name="underlineHeading 2 2 2" xfId="3914" xr:uid="{00000000-0005-0000-0000-00004A0F0000}"/>
    <cellStyle name="underlineHeading 2 2_Table-View" xfId="4542" xr:uid="{CF472950-1673-4FC8-8E5F-EADB3AA616ED}"/>
    <cellStyle name="underlineHeading 2 3" xfId="3915" xr:uid="{00000000-0005-0000-0000-00004B0F0000}"/>
    <cellStyle name="underlineHeading 2 3 2" xfId="3916" xr:uid="{00000000-0005-0000-0000-00004C0F0000}"/>
    <cellStyle name="underlineHeading 2 3_Table-View" xfId="4543" xr:uid="{CE3AC726-F3B8-46A9-A405-BFAEE45A7853}"/>
    <cellStyle name="underlineHeading 2 4" xfId="3917" xr:uid="{00000000-0005-0000-0000-00004D0F0000}"/>
    <cellStyle name="underlineHeading 2_Table-View" xfId="4541" xr:uid="{D80CE9E1-3153-4DB8-9B37-27450528FAC0}"/>
    <cellStyle name="underlineHeading 3" xfId="3918" xr:uid="{00000000-0005-0000-0000-00004E0F0000}"/>
    <cellStyle name="underlineHeading 3 2" xfId="3919" xr:uid="{00000000-0005-0000-0000-00004F0F0000}"/>
    <cellStyle name="underlineHeading 3_Table-View" xfId="4544" xr:uid="{70D180C7-163A-48E9-B1CA-122330E8E57C}"/>
    <cellStyle name="underlineHeading 4" xfId="3920" xr:uid="{00000000-0005-0000-0000-0000500F0000}"/>
    <cellStyle name="underlineHeading 4 2" xfId="3921" xr:uid="{00000000-0005-0000-0000-0000510F0000}"/>
    <cellStyle name="underlineHeading 4_Table-View" xfId="4545" xr:uid="{0E404766-3197-479F-AA08-9B1CBFCAC505}"/>
    <cellStyle name="underlineHeading 5" xfId="3922" xr:uid="{00000000-0005-0000-0000-0000520F0000}"/>
    <cellStyle name="underlineHeading 5 2" xfId="3923" xr:uid="{00000000-0005-0000-0000-0000530F0000}"/>
    <cellStyle name="underlineHeading 5_Table-View" xfId="4546" xr:uid="{E93EE3B7-BCF0-406B-BFDE-1C691DA56751}"/>
    <cellStyle name="underlineHeading 6" xfId="3924" xr:uid="{00000000-0005-0000-0000-0000540F0000}"/>
    <cellStyle name="underlineHeading 6 2" xfId="3925" xr:uid="{00000000-0005-0000-0000-0000550F0000}"/>
    <cellStyle name="underlineHeading 6_Table-View" xfId="4547" xr:uid="{3F69AD17-3D14-41D9-ABEE-C71ACDDF9C58}"/>
    <cellStyle name="underlineHeading 7" xfId="3926" xr:uid="{00000000-0005-0000-0000-0000560F0000}"/>
    <cellStyle name="underlineHeading_Table-View" xfId="4540" xr:uid="{C49F83B4-6D5C-4BA1-92CC-74EA4C77EA49}"/>
    <cellStyle name="Unprot" xfId="3927" xr:uid="{00000000-0005-0000-0000-0000570F0000}"/>
    <cellStyle name="Unprot$" xfId="3928" xr:uid="{00000000-0005-0000-0000-0000580F0000}"/>
    <cellStyle name="Unprot$ 2" xfId="3929" xr:uid="{00000000-0005-0000-0000-0000590F0000}"/>
    <cellStyle name="Unprotect" xfId="3930" xr:uid="{00000000-0005-0000-0000-00005A0F0000}"/>
    <cellStyle name="van_box" xfId="3931" xr:uid="{00000000-0005-0000-0000-00005B0F0000}"/>
    <cellStyle name="Var%" xfId="3932" xr:uid="{00000000-0005-0000-0000-00005C0F0000}"/>
    <cellStyle name="Var% 2" xfId="3933" xr:uid="{00000000-0005-0000-0000-00005D0F0000}"/>
    <cellStyle name="Var% 3" xfId="3934" xr:uid="{00000000-0005-0000-0000-00005E0F0000}"/>
    <cellStyle name="Warning Text" xfId="19" builtinId="11" customBuiltin="1"/>
    <cellStyle name="White" xfId="3935" xr:uid="{00000000-0005-0000-0000-0000600F0000}"/>
    <cellStyle name="White 2" xfId="3936" xr:uid="{00000000-0005-0000-0000-0000610F0000}"/>
    <cellStyle name="Wrapped" xfId="3937" xr:uid="{00000000-0005-0000-0000-0000620F0000}"/>
    <cellStyle name="Wrapped 2" xfId="3938" xr:uid="{00000000-0005-0000-0000-0000630F0000}"/>
    <cellStyle name="Wrapped 2 2" xfId="3939" xr:uid="{00000000-0005-0000-0000-0000640F0000}"/>
    <cellStyle name="Wrapped 3" xfId="3940" xr:uid="{00000000-0005-0000-0000-0000650F0000}"/>
    <cellStyle name="Wrapped 3 2" xfId="3941" xr:uid="{00000000-0005-0000-0000-0000660F0000}"/>
    <cellStyle name="Wrapped 4" xfId="3942" xr:uid="{00000000-0005-0000-0000-0000670F0000}"/>
    <cellStyle name="wu" xfId="3943" xr:uid="{00000000-0005-0000-0000-0000680F0000}"/>
    <cellStyle name="wu 2" xfId="3944" xr:uid="{00000000-0005-0000-0000-0000690F0000}"/>
    <cellStyle name="wu 3" xfId="3945" xr:uid="{00000000-0005-0000-0000-00006A0F0000}"/>
    <cellStyle name="Year" xfId="3946" xr:uid="{00000000-0005-0000-0000-00006B0F0000}"/>
    <cellStyle name="一般_NJA" xfId="3947" xr:uid="{00000000-0005-0000-0000-00006C0F0000}"/>
    <cellStyle name="桁区切り [0.00]_Asia Securities Balance Sheet 1q2004" xfId="3948" xr:uid="{00000000-0005-0000-0000-00006D0F0000}"/>
    <cellStyle name="桁区切り_Asia Securities Balance Sheet 1q2004" xfId="3949" xr:uid="{00000000-0005-0000-0000-00006E0F0000}"/>
    <cellStyle name="標準_~2262088" xfId="3950" xr:uid="{00000000-0005-0000-0000-00006F0F0000}"/>
    <cellStyle name="通貨 [0.00]_Asia Securities Balance Sheet 1q2004" xfId="3951" xr:uid="{00000000-0005-0000-0000-0000700F0000}"/>
    <cellStyle name="通貨_Asia Securities Balance Sheet 1q2004" xfId="3952" xr:uid="{00000000-0005-0000-0000-0000710F0000}"/>
  </cellStyles>
  <dxfs count="93">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numFmt numFmtId="0" formatCode="General"/>
      <alignment horizontal="general" vertical="top" textRotation="0" indent="0" justifyLastLine="0" shrinkToFit="0" readingOrder="0"/>
    </dxf>
    <dxf>
      <alignment horizontal="general" vertical="top" textRotation="0" indent="0" justifyLastLine="0" shrinkToFit="0" readingOrder="0"/>
    </dxf>
    <dxf>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indexed="65"/>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color auto="1"/>
        <name val="Calibri"/>
        <family val="2"/>
        <scheme val="minor"/>
      </font>
      <fill>
        <patternFill patternType="none">
          <fgColor indexed="64"/>
          <bgColor auto="1"/>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alignment vertical="top" textRotation="0" indent="0" justifyLastLine="0" shrinkToFit="0" readingOrder="0"/>
    </dxf>
    <dxf>
      <border outline="0">
        <bottom style="thin">
          <color indexed="64"/>
        </bottom>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indexed="65"/>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color auto="1"/>
        <name val="Calibri"/>
        <family val="2"/>
        <scheme val="minor"/>
      </font>
      <fill>
        <patternFill patternType="none">
          <fgColor indexed="64"/>
          <bgColor auto="1"/>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alignment vertical="top" textRotation="0" indent="0" justifyLastLine="0" shrinkToFit="0" readingOrder="0"/>
    </dxf>
    <dxf>
      <border outline="0">
        <bottom style="thin">
          <color rgb="FF000000"/>
        </bottom>
      </border>
    </dxf>
    <dxf>
      <fill>
        <patternFill>
          <bgColor theme="0" tint="-4.9989318521683403E-2"/>
        </patternFill>
      </fill>
    </dxf>
    <dxf>
      <font>
        <b/>
        <i val="0"/>
      </font>
      <fill>
        <patternFill>
          <bgColor theme="0" tint="-0.14996795556505021"/>
        </patternFill>
      </fill>
    </dxf>
  </dxfs>
  <tableStyles count="1" defaultTableStyle="Table Style 1" defaultPivotStyle="PivotStyleLight16">
    <tableStyle name="Table Style 1" pivot="0" count="2" xr9:uid="{AE52A834-D775-4FB4-9FA8-AE9AA9952FBD}">
      <tableStyleElement type="headerRow" dxfId="92"/>
      <tableStyleElement type="secondRowStripe" dxfId="91"/>
    </tableStyle>
  </tableStyles>
  <colors>
    <mruColors>
      <color rgb="FFD4ECFA"/>
      <color rgb="FF97F12B"/>
      <color rgb="FFFFFF66"/>
      <color rgb="FFA1FDC0"/>
      <color rgb="FF6854F8"/>
      <color rgb="FFC5C5C5"/>
      <color rgb="FFA4BF41"/>
      <color rgb="FFB646E8"/>
      <color rgb="FF9082FA"/>
      <color rgb="FFEBF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apphub.rjf.com\appsense$\Users\sagnihotri1\Downloads\DRD_Activity_Fact%20(1).xlsx" TargetMode="External"/><Relationship Id="rId1" Type="http://schemas.openxmlformats.org/officeDocument/2006/relationships/externalLinkPath" Target="file:///\\apphub.rjf.com\appsense$\Users\sagnihotri1\Downloads\DRD_Activity_Fact%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apphub.rjf.com\appsense$\Users\sagnihotri1\Downloads\Copy%20of%20DRD_Activity_Fact%20(copy%20as%20of%202026-02-25).xlsx" TargetMode="External"/><Relationship Id="rId1" Type="http://schemas.openxmlformats.org/officeDocument/2006/relationships/externalLinkPath" Target="file:///\\apphub.rjf.com\appsense$\Users\sagnihotri1\Downloads\Copy%20of%20DRD_Activity_Fact%20(copy%20as%20of%202026-02-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raymondjamesprod.sharepoint.com/sites/CCAL/Shared%20Documents/ETL%20Modernization/Activity/DRD_Activity_Fact%20(copy%20as%20of%202026-02-25).xlsx" TargetMode="External"/><Relationship Id="rId1" Type="http://schemas.openxmlformats.org/officeDocument/2006/relationships/externalLinkPath" Target="file:///\\apphub.rjf.com\appsense$\sites\CCAL\Shared%20Documents\ETL%20Modernization\Activity\DRD_Activity_Fact%20(copy%20as%20of%202026-02-25).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sites/CCAL/Shared%20Documents/ETL%20Modernization/Activity/DRD_Activity_Fact%20(copy%20as%20of%202026-02-25).xlsx" TargetMode="External"/><Relationship Id="rId2" Type="http://schemas.openxmlformats.org/officeDocument/2006/relationships/externalLinkPath" Target="https://raymondjamesprod.sharepoint.com/sites/CCAL/Shared%20Documents/ETL%20Modernization/Activity/DRD_Activity_Fact%20(copy%20as%20of%202026-02-25).xlsx" TargetMode="External"/><Relationship Id="rId1" Type="http://schemas.openxmlformats.org/officeDocument/2006/relationships/externalLinkPath" Target="/sites/CCAL/Shared%20Documents/ETL%20Modernization/Activity/DRD_Activity_Fact%20(copy%20as%20of%202026-02-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View"/>
      <sheetName val="Consumer View"/>
      <sheetName val="Table"/>
      <sheetName val="RJM Activity Fact View"/>
      <sheetName val="RJBank Activity Fact View"/>
      <sheetName val="ETL Notes"/>
      <sheetName val="attributes"/>
      <sheetName val="Attribute"/>
      <sheetName val="Model"/>
      <sheetName val="AVY_FACT"/>
      <sheetName val="Table_view_sorted"/>
      <sheetName val="DRD_Activity_Fact (1)"/>
    </sheetNames>
    <sheetDataSet>
      <sheetData sheetId="0"/>
      <sheetData sheetId="1"/>
      <sheetData sheetId="2">
        <row r="2">
          <cell r="A2" t="str">
            <v>ACAT_CNTRA_FIRM_CLRG_ID_TP_CD</v>
          </cell>
          <cell r="B2" t="str">
            <v>VARCHAR2(1 BYTE)</v>
          </cell>
          <cell r="C2" t="str">
            <v>Yes</v>
          </cell>
          <cell r="E2">
            <v>193</v>
          </cell>
          <cell r="F2" t="str">
            <v>ACAT Broker ID Type</v>
          </cell>
        </row>
        <row r="3">
          <cell r="A3" t="str">
            <v>ACAT_CNTRA_FIRM_CLRG_NUM</v>
          </cell>
          <cell r="B3" t="str">
            <v>VARCHAR2(4 BYTE)</v>
          </cell>
          <cell r="C3" t="str">
            <v>Yes</v>
          </cell>
          <cell r="E3">
            <v>173</v>
          </cell>
          <cell r="F3" t="e">
            <v>#VALUE!</v>
          </cell>
        </row>
        <row r="4">
          <cell r="A4" t="str">
            <v>ACAT_CNTRA_FIRM_NM</v>
          </cell>
          <cell r="B4" t="str">
            <v>VARCHAR2(50 BYTE)</v>
          </cell>
          <cell r="C4" t="str">
            <v>Yes</v>
          </cell>
          <cell r="E4">
            <v>191</v>
          </cell>
          <cell r="F4" t="str">
            <v>ACAT Contra Firm Clearing Name</v>
          </cell>
        </row>
        <row r="5">
          <cell r="A5" t="str">
            <v>ACAT_CNTRA_FIRM_SHRT_NM</v>
          </cell>
          <cell r="B5" t="str">
            <v>VARCHAR2(15 BYTE)</v>
          </cell>
          <cell r="C5" t="str">
            <v>Yes</v>
          </cell>
          <cell r="E5">
            <v>192</v>
          </cell>
          <cell r="F5" t="str">
            <v>ACAT Contra Firm Clearing Short Name</v>
          </cell>
        </row>
        <row r="6">
          <cell r="A6" t="str">
            <v>ACG_TP_CD</v>
          </cell>
          <cell r="B6" t="str">
            <v>VARCHAR2(1 BYTE)</v>
          </cell>
          <cell r="C6" t="str">
            <v>Yes</v>
          </cell>
          <cell r="E6">
            <v>114</v>
          </cell>
          <cell r="F6" t="str">
            <v>Accounting type code from SIS (e.g., 1,2)</v>
          </cell>
        </row>
        <row r="7">
          <cell r="A7" t="str">
            <v>ACG_TP_DIM_ID</v>
          </cell>
          <cell r="B7" t="str">
            <v>NUMBER(38,0)</v>
          </cell>
          <cell r="C7" t="str">
            <v>No</v>
          </cell>
          <cell r="E7">
            <v>4</v>
          </cell>
          <cell r="F7" t="str">
            <v>Surrogate key for SIS Accounting Dimension</v>
          </cell>
        </row>
        <row r="8">
          <cell r="A8" t="str">
            <v>ACG_TP_ID</v>
          </cell>
          <cell r="B8" t="str">
            <v>NUMBER(38,0)</v>
          </cell>
          <cell r="C8" t="str">
            <v>Yes</v>
          </cell>
          <cell r="E8">
            <v>146</v>
          </cell>
          <cell r="F8" t="str">
            <v>Numeric identifier of the accounting type ID (e.g., 1006, 1001)</v>
          </cell>
        </row>
        <row r="9">
          <cell r="A9" t="str">
            <v>ACG_TP_NM</v>
          </cell>
          <cell r="B9" t="str">
            <v>VARCHAR2(30 BYTE)</v>
          </cell>
          <cell r="C9" t="str">
            <v>Yes</v>
          </cell>
          <cell r="E9">
            <v>115</v>
          </cell>
          <cell r="F9" t="str">
            <v>It is the Sub Account associated with the position identifying the regulatory needs of the position. (e.g., cash account,margin account)</v>
          </cell>
        </row>
        <row r="10">
          <cell r="A10" t="str">
            <v>ACTV_F</v>
          </cell>
          <cell r="B10" t="str">
            <v>VARCHAR2(1 BYTE)</v>
          </cell>
          <cell r="C10" t="str">
            <v>No</v>
          </cell>
          <cell r="D10" t="str">
            <v xml:space="preserve">'Y' </v>
          </cell>
          <cell r="E10">
            <v>137</v>
          </cell>
          <cell r="F10" t="str">
            <v>Indicates that the row is active</v>
          </cell>
        </row>
        <row r="11">
          <cell r="A11" t="str">
            <v>AGRT_ORIG_FEES</v>
          </cell>
          <cell r="B11" t="str">
            <v>NUMBER</v>
          </cell>
          <cell r="C11" t="str">
            <v>Yes</v>
          </cell>
          <cell r="E11">
            <v>208</v>
          </cell>
          <cell r="F11" t="str">
            <v>Aggregate Original Fees</v>
          </cell>
        </row>
        <row r="12">
          <cell r="A12" t="str">
            <v>AGRT_STMT_FEES</v>
          </cell>
          <cell r="B12" t="str">
            <v>NUMBER</v>
          </cell>
          <cell r="C12" t="str">
            <v>Yes</v>
          </cell>
          <cell r="E12">
            <v>209</v>
          </cell>
          <cell r="F12" t="str">
            <v>Aggregate Statement Fees</v>
          </cell>
        </row>
        <row r="13">
          <cell r="A13" t="str">
            <v>AR_DIM_ID</v>
          </cell>
          <cell r="B13" t="str">
            <v>NUMBER(38,0)</v>
          </cell>
          <cell r="C13" t="str">
            <v>No</v>
          </cell>
          <cell r="E13">
            <v>2</v>
          </cell>
          <cell r="F13" t="str">
            <v>Surrogate Key for Arrangement Dimension corresponding to AR_ID</v>
          </cell>
        </row>
        <row r="14">
          <cell r="A14" t="str">
            <v>AR_ID</v>
          </cell>
          <cell r="B14" t="str">
            <v>NUMBER(38,0)</v>
          </cell>
          <cell r="C14" t="str">
            <v>Yes</v>
          </cell>
          <cell r="E14">
            <v>93</v>
          </cell>
          <cell r="F14" t="str">
            <v>Arrangement Id of the Arrangement this APA belongs to.</v>
          </cell>
        </row>
        <row r="15">
          <cell r="A15" t="str">
            <v>AR_ORIG_SRC_STM_CD</v>
          </cell>
          <cell r="B15" t="str">
            <v>VARCHAR2(20 BYTE)</v>
          </cell>
          <cell r="C15" t="str">
            <v>Yes</v>
          </cell>
          <cell r="E15">
            <v>150</v>
          </cell>
          <cell r="F15" t="str">
            <v>Code that represents the source system from which CDS database receives/obtains the underlying Arrangement from.</v>
          </cell>
        </row>
        <row r="16">
          <cell r="A16" t="str">
            <v>AR_SETL_TP_CD</v>
          </cell>
          <cell r="B16" t="str">
            <v>VARCHAR2(20 BYTE)</v>
          </cell>
          <cell r="C16" t="str">
            <v>Yes</v>
          </cell>
          <cell r="E16">
            <v>156</v>
          </cell>
          <cell r="F16" t="str">
            <v xml:space="preserve">A code that identifies how an arrangement settles its security transactions. </v>
          </cell>
        </row>
        <row r="17">
          <cell r="A17" t="str">
            <v>AR_SETL_TP_DSC</v>
          </cell>
          <cell r="B17" t="str">
            <v>VARCHAR2(100 BYTE)</v>
          </cell>
          <cell r="C17" t="str">
            <v>Yes</v>
          </cell>
          <cell r="E17">
            <v>157</v>
          </cell>
          <cell r="F17" t="str">
            <v>A description that identifies how an arrangement settles its security transactions.</v>
          </cell>
        </row>
        <row r="18">
          <cell r="A18" t="str">
            <v>BATCH_DT</v>
          </cell>
          <cell r="B18" t="str">
            <v>DATE</v>
          </cell>
          <cell r="C18" t="str">
            <v>Yes</v>
          </cell>
          <cell r="E18">
            <v>134</v>
          </cell>
          <cell r="F18" t="str">
            <v>Business Date for the Load run of the Activity Asset Packager row IBM Unique ID:BDW03041</v>
          </cell>
        </row>
        <row r="19">
          <cell r="A19" t="str">
            <v>BKG_DT</v>
          </cell>
          <cell r="B19" t="str">
            <v>DATE</v>
          </cell>
          <cell r="C19" t="str">
            <v>Yes</v>
          </cell>
          <cell r="E19">
            <v>23</v>
          </cell>
          <cell r="F19" t="str">
            <v>System generated Date Time stamp when the record was created.  In SIS would be represented by Effective Date.</v>
          </cell>
        </row>
        <row r="20">
          <cell r="A20" t="str">
            <v>BKR_AR_DIM_ID</v>
          </cell>
          <cell r="B20" t="str">
            <v>NUMBER(38,0)</v>
          </cell>
          <cell r="C20" t="str">
            <v>No</v>
          </cell>
          <cell r="E20">
            <v>18</v>
          </cell>
          <cell r="F20" t="str">
            <v>Surrogate Key for Brokerage Arrangement Dimension</v>
          </cell>
        </row>
        <row r="21">
          <cell r="A21" t="str">
            <v>BKR_AR_ID</v>
          </cell>
          <cell r="B21" t="str">
            <v>NUMBER(38,0)</v>
          </cell>
          <cell r="C21" t="str">
            <v>Yes</v>
          </cell>
          <cell r="E21">
            <v>96</v>
          </cell>
          <cell r="F21" t="str">
            <v>Brokerage arrangement associated with the Arrangement id. If the transaction is for a brokerage arrangement than both will have same value.</v>
          </cell>
        </row>
        <row r="22">
          <cell r="A22" t="str">
            <v>BR_CD</v>
          </cell>
          <cell r="B22" t="str">
            <v>VARCHAR2(20 BYTE)</v>
          </cell>
          <cell r="C22" t="str">
            <v>Yes</v>
          </cell>
          <cell r="E22">
            <v>98</v>
          </cell>
          <cell r="F22" t="str">
            <v>Entity Code of the Financial Advisor that is executing the trade.</v>
          </cell>
        </row>
        <row r="23">
          <cell r="A23" t="str">
            <v>BUY_SELL_IND</v>
          </cell>
          <cell r="B23" t="str">
            <v>VARCHAR2(10 BYTE)</v>
          </cell>
          <cell r="C23" t="str">
            <v>Yes</v>
          </cell>
          <cell r="E23">
            <v>51</v>
          </cell>
          <cell r="F23" t="str">
            <v>Indicator to determine whether the transaction is a sale or a purchase</v>
          </cell>
        </row>
        <row r="24">
          <cell r="A24" t="str">
            <v>CASH_ALT_DSC_TRAILER_2</v>
          </cell>
          <cell r="B24" t="str">
            <v>VARCHAR2(256 BYTE)</v>
          </cell>
          <cell r="C24" t="str">
            <v>Yes</v>
          </cell>
          <cell r="E24">
            <v>57</v>
          </cell>
          <cell r="F24" t="str">
            <v>Second line of unformatted, monolingual narrative booking information. SIS trailer field 2.This field will be populated only if the transaction has a Cash leg.</v>
          </cell>
        </row>
        <row r="25">
          <cell r="A25" t="str">
            <v>CASH_APA_EXT_QUALFR</v>
          </cell>
          <cell r="B25" t="str">
            <v>VARCHAR2(50 BYTE)</v>
          </cell>
          <cell r="C25" t="str">
            <v>Yes</v>
          </cell>
          <cell r="E25">
            <v>147</v>
          </cell>
          <cell r="F25" t="str">
            <v>Qualifier code from the external source system.This field will be populated only if the transaction has a Cash leg.</v>
          </cell>
        </row>
        <row r="26">
          <cell r="A26" t="str">
            <v>CASH_APA_TP_CD</v>
          </cell>
          <cell r="B26" t="str">
            <v>VARCHAR2(20 BYTE)</v>
          </cell>
          <cell r="C26" t="str">
            <v>Yes</v>
          </cell>
          <cell r="E26">
            <v>80</v>
          </cell>
          <cell r="F26" t="str">
            <v>Code associated with Asset Package Type Id.This field will be populated only if the transaction has a Cash leg.</v>
          </cell>
        </row>
        <row r="27">
          <cell r="A27" t="str">
            <v>CASH_APA_TP_DSC</v>
          </cell>
          <cell r="B27" t="str">
            <v>VARCHAR2(1000 BYTE)</v>
          </cell>
          <cell r="C27" t="str">
            <v>Yes</v>
          </cell>
          <cell r="E27">
            <v>82</v>
          </cell>
          <cell r="F27" t="str">
            <v>Description associated with Asset Package Type Id.This field will be populated only if the transaction has a Cash leg.</v>
          </cell>
        </row>
        <row r="28">
          <cell r="A28" t="str">
            <v>CASH_APA_TP_NM</v>
          </cell>
          <cell r="B28" t="str">
            <v>VARCHAR2(200 BYTE)</v>
          </cell>
          <cell r="C28" t="str">
            <v>Yes</v>
          </cell>
          <cell r="E28">
            <v>81</v>
          </cell>
          <cell r="F28" t="str">
            <v>Name of Asset Package Type Id.This field will be populated only if the transaction has a Cash leg.</v>
          </cell>
        </row>
        <row r="29">
          <cell r="A29" t="str">
            <v>CASH_AVY_CGY</v>
          </cell>
          <cell r="B29" t="str">
            <v>VARCHAR2(25 BYTE)</v>
          </cell>
          <cell r="C29" t="str">
            <v>Yes</v>
          </cell>
          <cell r="E29">
            <v>86</v>
          </cell>
          <cell r="F29" t="str">
            <v>Represents the specific Category of activity such as a 'Purchase' or 'Income'. Further refinement of the categories are captured under Activity Type.This field will be populated only if the transaction has a Cash leg.</v>
          </cell>
        </row>
        <row r="30">
          <cell r="A30" t="str">
            <v>CASH_AVY_TP</v>
          </cell>
          <cell r="B30" t="str">
            <v>VARCHAR2(100 BYTE)</v>
          </cell>
          <cell r="C30" t="str">
            <v>Yes</v>
          </cell>
          <cell r="E30">
            <v>87</v>
          </cell>
          <cell r="F30" t="str">
            <v>Represents a more refined view of the Activity Category.This field will be populated only if the transaction has a Cash leg.</v>
          </cell>
        </row>
        <row r="31">
          <cell r="A31" t="str">
            <v>CASH_CIRD_PD_ID</v>
          </cell>
          <cell r="B31" t="str">
            <v>NUMBER(38,0)</v>
          </cell>
          <cell r="C31" t="str">
            <v>Yes</v>
          </cell>
          <cell r="E31">
            <v>135</v>
          </cell>
          <cell r="F31" t="str">
            <v>CIRD identifier for product.This field will be populated only if the transaction has a Cash leg.</v>
          </cell>
        </row>
        <row r="32">
          <cell r="A32" t="str">
            <v>CASH_DB_CR_CD</v>
          </cell>
          <cell r="B32" t="str">
            <v>VARCHAR2(20 BYTE)</v>
          </cell>
          <cell r="C32" t="str">
            <v>Yes</v>
          </cell>
          <cell r="E32">
            <v>45</v>
          </cell>
          <cell r="F32" t="str">
            <v>A code representing Debit / Credit (e.g. D / C).This field will be populated only if the transaction has a Cash leg.</v>
          </cell>
        </row>
        <row r="33">
          <cell r="A33" t="str">
            <v>CASH_DB_CR_NM</v>
          </cell>
          <cell r="B33" t="str">
            <v>VARCHAR2(100 BYTE)</v>
          </cell>
          <cell r="C33" t="str">
            <v>Yes</v>
          </cell>
          <cell r="E33">
            <v>131</v>
          </cell>
          <cell r="F33" t="str">
            <v>A Name representing Debit / Credit (e.g. Debit / Credit).This field will be populated only if the transaction has a Cash leg.</v>
          </cell>
        </row>
        <row r="34">
          <cell r="A34" t="str">
            <v>CASH_DSC_TRAILER_1</v>
          </cell>
          <cell r="B34" t="str">
            <v>VARCHAR2(256 BYTE)</v>
          </cell>
          <cell r="C34" t="str">
            <v>Yes</v>
          </cell>
          <cell r="E34">
            <v>56</v>
          </cell>
          <cell r="F34" t="str">
            <v>First line of unformatted, monolingual narrative booking information. SIS Trailer field 1.This field will be populated only if the transaction has a Cash leg.</v>
          </cell>
        </row>
        <row r="35">
          <cell r="A35" t="str">
            <v>CASH_PD_DIM_ID</v>
          </cell>
          <cell r="B35" t="str">
            <v>NUMBER(38,0)</v>
          </cell>
          <cell r="C35" t="str">
            <v>No</v>
          </cell>
          <cell r="E35">
            <v>8</v>
          </cell>
          <cell r="F35" t="str">
            <v>Surrogate key for Instrument Product Dim.This field will be populated only if the transaction has a Cash leg.</v>
          </cell>
        </row>
        <row r="36">
          <cell r="A36" t="str">
            <v>CASH_PD_ID</v>
          </cell>
          <cell r="B36" t="str">
            <v>NUMBER(38,0)</v>
          </cell>
          <cell r="C36" t="str">
            <v>Yes</v>
          </cell>
          <cell r="E36">
            <v>95</v>
          </cell>
          <cell r="F36" t="str">
            <v>Product Identifier from Cash Asset package</v>
          </cell>
        </row>
        <row r="37">
          <cell r="A37" t="str">
            <v>CASH_POS_TP_CD</v>
          </cell>
          <cell r="B37" t="str">
            <v>VARCHAR2(10 BYTE)</v>
          </cell>
          <cell r="C37" t="str">
            <v>Yes</v>
          </cell>
          <cell r="E37">
            <v>116</v>
          </cell>
          <cell r="F37" t="str">
            <v>Coded name for the Cash Postion Type e.g., rjtgs2i, rtc</v>
          </cell>
        </row>
        <row r="38">
          <cell r="A38" t="str">
            <v>CASH_POS_TP_DIM_ID</v>
          </cell>
          <cell r="B38" t="str">
            <v>NUMBER(38,0)</v>
          </cell>
          <cell r="C38" t="str">
            <v>No</v>
          </cell>
          <cell r="E38">
            <v>5</v>
          </cell>
          <cell r="F38" t="str">
            <v>Surrogate Key for Cash Position Type</v>
          </cell>
        </row>
        <row r="39">
          <cell r="A39" t="str">
            <v>CASH_POS_TP_ID</v>
          </cell>
          <cell r="B39" t="str">
            <v>NUMBER(38,0)</v>
          </cell>
          <cell r="C39" t="str">
            <v>Yes</v>
          </cell>
          <cell r="E39">
            <v>148</v>
          </cell>
          <cell r="F39" t="str">
            <v>An Id representing Cash position type</v>
          </cell>
        </row>
        <row r="40">
          <cell r="A40" t="str">
            <v>CASH_POS_TP_NM</v>
          </cell>
          <cell r="B40" t="str">
            <v>VARCHAR2(75 BYTE)</v>
          </cell>
          <cell r="C40" t="str">
            <v>Yes</v>
          </cell>
          <cell r="E40">
            <v>117</v>
          </cell>
          <cell r="F40" t="str">
            <v>Identifying how the cash position is treated at the end of the day for purposes of cash segregation and sweeps. e.g., Goldman Sachs Federal Fund - Income, Real Time Cash</v>
          </cell>
        </row>
        <row r="41">
          <cell r="A41" t="str">
            <v>CASH_SBC_AMT</v>
          </cell>
          <cell r="B41" t="str">
            <v>NUMBER(38,6)</v>
          </cell>
          <cell r="C41" t="str">
            <v>Yes</v>
          </cell>
          <cell r="E41">
            <v>42</v>
          </cell>
          <cell r="F41" t="str">
            <v>Transaction Amount expressed in System Base Currency.This field will be populated only if the transaction has a Cash leg.</v>
          </cell>
        </row>
        <row r="42">
          <cell r="A42" t="str">
            <v>CASH_SIMP_DSPL_AVY_CGY</v>
          </cell>
          <cell r="B42" t="str">
            <v>VARCHAR2(25 BYTE)</v>
          </cell>
          <cell r="C42" t="str">
            <v>Yes</v>
          </cell>
          <cell r="E42">
            <v>159</v>
          </cell>
          <cell r="F42" t="str">
            <v>Simplified Display activity category shown to advisor in applications like client center.This field will be populated only if the transaction has a Cash leg.</v>
          </cell>
        </row>
        <row r="43">
          <cell r="A43" t="str">
            <v>CASH_SIMP_DSPL_AVY_TP</v>
          </cell>
          <cell r="B43" t="str">
            <v>VARCHAR2(100 BYTE)</v>
          </cell>
          <cell r="C43" t="str">
            <v>Yes</v>
          </cell>
          <cell r="E43">
            <v>160</v>
          </cell>
          <cell r="F43" t="str">
            <v>Simplified Display activity type shown to advisor in applications like client center.This field will be populated only if the transaction has a Cash leg.</v>
          </cell>
        </row>
        <row r="44">
          <cell r="A44" t="str">
            <v>CASH_SRC_SEQ_NUM</v>
          </cell>
          <cell r="B44" t="str">
            <v>NUMBER(38,0)</v>
          </cell>
          <cell r="C44" t="str">
            <v>Yes</v>
          </cell>
          <cell r="E44">
            <v>58</v>
          </cell>
          <cell r="F44" t="str">
            <v>Sequence Number assigned by source system.This field will be populated only if the transaction has a Cash leg.</v>
          </cell>
        </row>
        <row r="45">
          <cell r="A45" t="str">
            <v>CASH_TXN_AMT</v>
          </cell>
          <cell r="B45" t="str">
            <v>NUMBER(38,6)</v>
          </cell>
          <cell r="C45" t="str">
            <v>Yes</v>
          </cell>
          <cell r="E45">
            <v>35</v>
          </cell>
          <cell r="F45" t="str">
            <v>Transaction amount applicable to the Asset package in transaction currency.This field will be populated only if the transaction has a Cash leg.</v>
          </cell>
        </row>
        <row r="46">
          <cell r="A46" t="str">
            <v>CCY_CD</v>
          </cell>
          <cell r="B46" t="str">
            <v>VARCHAR2(3 BYTE)</v>
          </cell>
          <cell r="C46" t="str">
            <v>Yes</v>
          </cell>
          <cell r="E46">
            <v>105</v>
          </cell>
          <cell r="F46" t="str">
            <v>ISO Currency Code for transaction amount</v>
          </cell>
        </row>
        <row r="47">
          <cell r="A47" t="str">
            <v>CCY_DIM_ID</v>
          </cell>
          <cell r="B47" t="str">
            <v>NUMBER(38,0)</v>
          </cell>
          <cell r="C47" t="str">
            <v>Yes</v>
          </cell>
          <cell r="E47">
            <v>104</v>
          </cell>
          <cell r="F47" t="str">
            <v>Surrogate key for Currency dimension based on Currency Code.</v>
          </cell>
        </row>
        <row r="48">
          <cell r="A48" t="str">
            <v>CF_GEN_F</v>
          </cell>
          <cell r="B48" t="str">
            <v>VARCHAR2(2 BYTE)</v>
          </cell>
          <cell r="C48" t="str">
            <v>Yes</v>
          </cell>
          <cell r="E48">
            <v>52</v>
          </cell>
          <cell r="F48" t="str">
            <v>Cash Flow Generation Flag</v>
          </cell>
        </row>
        <row r="49">
          <cell r="A49" t="str">
            <v>CLNT_FRIENDLY_DSC</v>
          </cell>
          <cell r="B49" t="str">
            <v>VARCHAR2(256 BYTE)</v>
          </cell>
          <cell r="C49" t="str">
            <v>Yes</v>
          </cell>
          <cell r="E49">
            <v>143</v>
          </cell>
          <cell r="F49" t="str">
            <v>Client friendly description of the Asset package.</v>
          </cell>
        </row>
        <row r="50">
          <cell r="A50" t="str">
            <v>CRT_DTM</v>
          </cell>
          <cell r="B50" t="str">
            <v>DATE</v>
          </cell>
          <cell r="C50" t="str">
            <v>No</v>
          </cell>
          <cell r="D50" t="str">
            <v xml:space="preserve">SYSDATE </v>
          </cell>
          <cell r="E50">
            <v>89</v>
          </cell>
          <cell r="F50" t="str">
            <v>The exact date when a record was first created.</v>
          </cell>
        </row>
        <row r="51">
          <cell r="A51" t="str">
            <v>CRT_USR_NM</v>
          </cell>
          <cell r="B51" t="str">
            <v>VARCHAR2(256 BYTE)</v>
          </cell>
          <cell r="C51" t="str">
            <v>No</v>
          </cell>
          <cell r="D51" t="str">
            <v xml:space="preserve">USER  </v>
          </cell>
          <cell r="E51">
            <v>90</v>
          </cell>
          <cell r="F51" t="str">
            <v>The name that represents the user who created an occurrence of a record.</v>
          </cell>
        </row>
        <row r="52">
          <cell r="A52" t="str">
            <v>CSH_APA_ID</v>
          </cell>
          <cell r="B52" t="str">
            <v>NUMBER(38,0)</v>
          </cell>
          <cell r="C52" t="str">
            <v>Yes</v>
          </cell>
          <cell r="E52">
            <v>32</v>
          </cell>
          <cell r="F52" t="str">
            <v>APA_ID from CCAL APA table. It is recorded here for the purpose of maintaining a link with the source.This field will be populated only if the transaction has a Cash leg.</v>
          </cell>
        </row>
        <row r="53">
          <cell r="A53" t="str">
            <v>CSH_APA_TP_ID</v>
          </cell>
          <cell r="B53" t="str">
            <v>NUMBER(38,0)</v>
          </cell>
          <cell r="C53" t="str">
            <v>Yes</v>
          </cell>
          <cell r="E53">
            <v>79</v>
          </cell>
          <cell r="F53" t="str">
            <v>Asset Pacakge type Id from CCAL core.This field will be populated only if the transaction has a Cash leg.</v>
          </cell>
        </row>
        <row r="54">
          <cell r="A54" t="str">
            <v>CSH_AVY_CL_ID</v>
          </cell>
          <cell r="B54" t="str">
            <v>NUMBER(38,0)</v>
          </cell>
          <cell r="C54" t="str">
            <v>Yes</v>
          </cell>
          <cell r="E54">
            <v>88</v>
          </cell>
          <cell r="F54" t="str">
            <v>CDS assigned identifier for the activity class.This field will be populated only if the transaction has a Cash leg.</v>
          </cell>
        </row>
        <row r="55">
          <cell r="A55" t="str">
            <v>DOL_IND_CD</v>
          </cell>
          <cell r="B55" t="str">
            <v>VARCHAR2(20 BYTE)</v>
          </cell>
          <cell r="C55" t="str">
            <v>Yes</v>
          </cell>
          <cell r="E55">
            <v>109</v>
          </cell>
          <cell r="F55" t="str">
            <v>A code that identifies whether or not an account is deemed eligible in accordance with the DOL fiduciary rule.</v>
          </cell>
        </row>
        <row r="56">
          <cell r="A56" t="str">
            <v>DOL_IND_ID</v>
          </cell>
          <cell r="B56" t="str">
            <v>NUMBER(38,0)</v>
          </cell>
          <cell r="C56" t="str">
            <v>Yes</v>
          </cell>
          <cell r="E56">
            <v>108</v>
          </cell>
          <cell r="F56" t="str">
            <v>Identifier of whether or not an account is deemed eligible in accordance with the DOL fiduciary rule.</v>
          </cell>
        </row>
        <row r="57">
          <cell r="A57" t="str">
            <v>DOL_IND_NM</v>
          </cell>
          <cell r="B57" t="str">
            <v>VARCHAR2(200 BYTE)</v>
          </cell>
          <cell r="C57" t="str">
            <v>Yes</v>
          </cell>
          <cell r="E57">
            <v>110</v>
          </cell>
          <cell r="F57" t="str">
            <v>Name that identifies whether or not an account is deemed eligible in accordance with the DOL fiduciary rule.</v>
          </cell>
        </row>
        <row r="58">
          <cell r="A58" t="str">
            <v>DVDN_RCRD_DT</v>
          </cell>
          <cell r="B58" t="str">
            <v>DATE</v>
          </cell>
          <cell r="C58" t="str">
            <v>Yes</v>
          </cell>
          <cell r="E58">
            <v>170</v>
          </cell>
          <cell r="F58" t="str">
            <v>The cut-off date that an organization is expected to use to determine which shareholders are eligible to receive a dividend or income distribution.</v>
          </cell>
        </row>
        <row r="59">
          <cell r="A59" t="str">
            <v>EXEC_DTM</v>
          </cell>
          <cell r="B59" t="str">
            <v>TIMESTAMP(6)</v>
          </cell>
          <cell r="C59" t="str">
            <v>Yes</v>
          </cell>
          <cell r="E59">
            <v>25</v>
          </cell>
          <cell r="F59" t="str">
            <v>System generated date time stamp when the order manager determined the information as binding and liable against 3rd parties. That is when an order is executed in the marketplace. This field holds timestamp at microsec level.</v>
          </cell>
        </row>
        <row r="60">
          <cell r="A60" t="str">
            <v>EXEC_SBTP_CD</v>
          </cell>
          <cell r="B60" t="str">
            <v>VARCHAR2(20 BYTE)</v>
          </cell>
          <cell r="C60" t="str">
            <v>Yes</v>
          </cell>
          <cell r="E60">
            <v>71</v>
          </cell>
          <cell r="F60" t="str">
            <v>A code for the execution sub-types allow the refinement of execution types for an order manager���s internal diversification only such as strategy level type, e.g.. Bullish Vertical spread, stop limit order.</v>
          </cell>
        </row>
        <row r="61">
          <cell r="A61" t="str">
            <v>EXEC_SBTP_DSC</v>
          </cell>
          <cell r="B61" t="str">
            <v>VARCHAR2(1000 BYTE)</v>
          </cell>
          <cell r="C61" t="str">
            <v>Yes</v>
          </cell>
          <cell r="E61">
            <v>73</v>
          </cell>
          <cell r="F61" t="str">
            <v>A description for the execution sub-types allow the refinement of execution types for an order manager���s internal diversification only such as strategy level type, e.g.. Bullish Vertical spread, stop limit order.</v>
          </cell>
        </row>
        <row r="62">
          <cell r="A62" t="str">
            <v>EXEC_SBTP_ID</v>
          </cell>
          <cell r="B62" t="str">
            <v>NUMBER(38,0)</v>
          </cell>
          <cell r="C62" t="str">
            <v>Yes</v>
          </cell>
          <cell r="E62">
            <v>74</v>
          </cell>
          <cell r="F62" t="e">
            <v>#VALUE!</v>
          </cell>
        </row>
        <row r="63">
          <cell r="A63" t="str">
            <v>EXEC_SBTP_NM</v>
          </cell>
          <cell r="B63" t="str">
            <v>VARCHAR2(200 BYTE)</v>
          </cell>
          <cell r="C63" t="str">
            <v>Yes</v>
          </cell>
          <cell r="E63">
            <v>72</v>
          </cell>
          <cell r="F63" t="str">
            <v>Name for the execution sub-types allow the refinement of execution types for an order manager���s internal diversification only such as strategy level type, e.g.. Bullish Vertical spread, stop limit order.</v>
          </cell>
        </row>
        <row r="64">
          <cell r="A64" t="str">
            <v>EXEC_TP_CD</v>
          </cell>
          <cell r="B64" t="str">
            <v>VARCHAR2(20 BYTE)</v>
          </cell>
          <cell r="C64" t="str">
            <v>Yes</v>
          </cell>
          <cell r="E64">
            <v>68</v>
          </cell>
          <cell r="F64" t="e">
            <v>#VALUE!</v>
          </cell>
        </row>
        <row r="65">
          <cell r="A65" t="str">
            <v>EXEC_TP_DSC</v>
          </cell>
          <cell r="B65" t="str">
            <v>VARCHAR2(1000 BYTE)</v>
          </cell>
          <cell r="C65" t="str">
            <v>Yes</v>
          </cell>
          <cell r="E65">
            <v>70</v>
          </cell>
          <cell r="F65" t="e">
            <v>#VALUE!</v>
          </cell>
        </row>
        <row r="66">
          <cell r="A66" t="str">
            <v>EXEC_TP_ID</v>
          </cell>
          <cell r="B66" t="str">
            <v>NUMBER(38,0)</v>
          </cell>
          <cell r="C66" t="str">
            <v>Yes</v>
          </cell>
          <cell r="E66">
            <v>67</v>
          </cell>
          <cell r="F66" t="e">
            <v>#VALUE!</v>
          </cell>
        </row>
        <row r="67">
          <cell r="A67" t="str">
            <v>EXEC_TP_NM</v>
          </cell>
          <cell r="B67" t="str">
            <v>VARCHAR2(200 BYTE)</v>
          </cell>
          <cell r="C67" t="str">
            <v>Yes</v>
          </cell>
          <cell r="E67">
            <v>69</v>
          </cell>
          <cell r="F67" t="e">
            <v>#VALUE!</v>
          </cell>
        </row>
        <row r="68">
          <cell r="A68" t="str">
            <v>EXG_CD</v>
          </cell>
          <cell r="B68" t="str">
            <v>VARCHAR2(30 BYTE)</v>
          </cell>
          <cell r="C68" t="str">
            <v>Yes</v>
          </cell>
          <cell r="E68">
            <v>112</v>
          </cell>
          <cell r="F68" t="str">
            <v>Code to indicate an exchange where a given trade was executed.  CIRD uses the MIC code where available/provided.</v>
          </cell>
        </row>
        <row r="69">
          <cell r="A69" t="str">
            <v>EXG_DIM_ID</v>
          </cell>
          <cell r="B69" t="str">
            <v>NUMBER(38,0)</v>
          </cell>
          <cell r="C69" t="str">
            <v>No</v>
          </cell>
          <cell r="E69">
            <v>1</v>
          </cell>
          <cell r="F69" t="str">
            <v>Surrogate key for Exchange Dim - The exchange that the transaction was conducted on</v>
          </cell>
        </row>
        <row r="70">
          <cell r="A70" t="str">
            <v>EXG_NM</v>
          </cell>
          <cell r="B70" t="str">
            <v>VARCHAR2(500 BYTE)</v>
          </cell>
          <cell r="C70" t="str">
            <v>Yes</v>
          </cell>
          <cell r="E70">
            <v>113</v>
          </cell>
          <cell r="F70" t="str">
            <v>Name that represents an exchange where a given trade was executed.  CIRD uses the MIC code where available/provided.</v>
          </cell>
        </row>
        <row r="71">
          <cell r="A71" t="str">
            <v>FA_NUM</v>
          </cell>
          <cell r="B71" t="str">
            <v>VARCHAR2(20 BYTE)</v>
          </cell>
          <cell r="C71" t="str">
            <v>Yes</v>
          </cell>
          <cell r="E71">
            <v>99</v>
          </cell>
          <cell r="F71" t="str">
            <v>A 4 character value assigned to one or more FAs for purposes of paying commissions. Accounts are assigned one FA Number. The FA Number is used to relate Advisors to client accounts.</v>
          </cell>
        </row>
        <row r="72">
          <cell r="A72" t="str">
            <v>FA_OWN_EMPE_ID</v>
          </cell>
          <cell r="B72" t="str">
            <v>VARCHAR2(44 BYTE)</v>
          </cell>
          <cell r="C72" t="str">
            <v>Yes</v>
          </cell>
          <cell r="E72">
            <v>206</v>
          </cell>
          <cell r="F72" t="str">
            <v>PeopleWorks Identifier for the Responsible Party for an FA Number</v>
          </cell>
        </row>
        <row r="73">
          <cell r="A73" t="str">
            <v>IMP_SRC_ACTN_CD</v>
          </cell>
          <cell r="B73" t="str">
            <v>VARCHAR2(1 BYTE)</v>
          </cell>
          <cell r="C73" t="str">
            <v>Yes</v>
          </cell>
          <cell r="E73">
            <v>164</v>
          </cell>
          <cell r="F73" t="str">
            <v>Code representing Action Type in IMPACT source system</v>
          </cell>
        </row>
        <row r="74">
          <cell r="A74" t="str">
            <v>IMP_SRC_ACTN_NM</v>
          </cell>
          <cell r="B74" t="str">
            <v>VARCHAR2(100 BYTE)</v>
          </cell>
          <cell r="C74" t="str">
            <v>Yes</v>
          </cell>
          <cell r="E74">
            <v>204</v>
          </cell>
          <cell r="F74" t="str">
            <v>Name representing Action Type in IMPACT source system</v>
          </cell>
        </row>
        <row r="75">
          <cell r="A75" t="str">
            <v>LAST_UDT_DTM</v>
          </cell>
          <cell r="B75" t="str">
            <v>DATE</v>
          </cell>
          <cell r="C75" t="str">
            <v>No</v>
          </cell>
          <cell r="D75" t="str">
            <v xml:space="preserve">SYSDATE </v>
          </cell>
          <cell r="E75">
            <v>189</v>
          </cell>
          <cell r="F75" t="str">
            <v>The exact date and time when an occurrence is inserted, updated, or deleted a row</v>
          </cell>
        </row>
        <row r="76">
          <cell r="A76" t="str">
            <v>LAST_UDT_USR_NM</v>
          </cell>
          <cell r="B76" t="str">
            <v>VARCHAR2(256 BYTE)</v>
          </cell>
          <cell r="C76" t="str">
            <v>No</v>
          </cell>
          <cell r="D76" t="str">
            <v xml:space="preserve">USER </v>
          </cell>
          <cell r="E76">
            <v>188</v>
          </cell>
          <cell r="F76" t="str">
            <v>The name that represents the user or application who inserted, updated, or deleted each occurrence of row</v>
          </cell>
        </row>
        <row r="77">
          <cell r="A77" t="str">
            <v>LGCY_CNCL_CMPLN_RSN_DIM_ID</v>
          </cell>
          <cell r="B77" t="str">
            <v>NUMBER(38,0)</v>
          </cell>
          <cell r="C77" t="str">
            <v>No</v>
          </cell>
          <cell r="E77">
            <v>9</v>
          </cell>
          <cell r="F77" t="str">
            <v>Surrogate key for Legacy Cancellation Compliance Reason Type dimension.</v>
          </cell>
        </row>
        <row r="78">
          <cell r="A78" t="str">
            <v>LGCY_CNCL_CMPLN_RSN_TP_CD</v>
          </cell>
          <cell r="B78" t="str">
            <v>VARCHAR2(20 BYTE)</v>
          </cell>
          <cell r="C78" t="str">
            <v>Yes</v>
          </cell>
          <cell r="E78">
            <v>118</v>
          </cell>
          <cell r="F78" t="str">
            <v>A code that indicates the Legacy Cancellation Compliance Reason Type.</v>
          </cell>
        </row>
        <row r="79">
          <cell r="A79" t="str">
            <v>LGCY_CNCL_CMPLN_RSN_TP_ID</v>
          </cell>
          <cell r="B79" t="str">
            <v>NUMBER(38,0)</v>
          </cell>
          <cell r="C79" t="str">
            <v>Yes</v>
          </cell>
          <cell r="E79">
            <v>180</v>
          </cell>
          <cell r="F79" t="str">
            <v>Identifier for the Legacy Cancellation Compliance Reason Type.</v>
          </cell>
        </row>
        <row r="80">
          <cell r="A80" t="str">
            <v>LGCY_CNCL_CMPLN_RSN_TP_NM</v>
          </cell>
          <cell r="B80" t="str">
            <v>VARCHAR2(200 BYTE)</v>
          </cell>
          <cell r="C80" t="str">
            <v>Yes</v>
          </cell>
          <cell r="E80">
            <v>119</v>
          </cell>
          <cell r="F80" t="str">
            <v>Name of the Legacy Cancellation Compliance Reason Type.This will provide specific reason as to why a trade was cancelled, such as due to a price correction.</v>
          </cell>
        </row>
        <row r="81">
          <cell r="A81" t="str">
            <v>LGCY_CNCL_CMPLN_SRC_DIM_ID</v>
          </cell>
          <cell r="B81" t="str">
            <v>NUMBER(38,0)</v>
          </cell>
          <cell r="C81" t="str">
            <v>No</v>
          </cell>
          <cell r="E81">
            <v>10</v>
          </cell>
          <cell r="F81" t="str">
            <v>Surrogate key for Legacy Cancellation Compliance Source Type Dimension.</v>
          </cell>
        </row>
        <row r="82">
          <cell r="A82" t="str">
            <v>LGCY_CNCL_CMPLN_SRC_TP_CD</v>
          </cell>
          <cell r="B82" t="str">
            <v>VARCHAR2(20 BYTE)</v>
          </cell>
          <cell r="C82" t="str">
            <v>Yes</v>
          </cell>
          <cell r="E82">
            <v>120</v>
          </cell>
          <cell r="F82" t="str">
            <v>A code that indicates the Legacy Cancellation Compliance Source Type.</v>
          </cell>
        </row>
        <row r="83">
          <cell r="A83" t="str">
            <v>LGCY_CNCL_CMPLN_SRC_TP_ID</v>
          </cell>
          <cell r="B83" t="str">
            <v>NUMBER(38,0)</v>
          </cell>
          <cell r="C83" t="str">
            <v>Yes</v>
          </cell>
          <cell r="E83">
            <v>181</v>
          </cell>
          <cell r="F83" t="str">
            <v>Identifier for the Legacy Cancellation Compliance Source Type.</v>
          </cell>
        </row>
        <row r="84">
          <cell r="A84" t="str">
            <v>LGCY_CNCL_CMPLN_SRC_TP_NM</v>
          </cell>
          <cell r="B84" t="str">
            <v>VARCHAR2(200 BYTE)</v>
          </cell>
          <cell r="C84" t="str">
            <v>Yes</v>
          </cell>
          <cell r="E84">
            <v>121</v>
          </cell>
          <cell r="F84" t="str">
            <v>Name of the Legacy Cancellation Compliance Source Type.This will provide which internal or external source executed the trade cancellation, such as Purchase and Sales department.</v>
          </cell>
        </row>
        <row r="85">
          <cell r="A85" t="str">
            <v>LGCY_MKT_TP_CD</v>
          </cell>
          <cell r="B85" t="str">
            <v>VARCHAR2(20 BYTE)</v>
          </cell>
          <cell r="C85" t="str">
            <v>Yes</v>
          </cell>
          <cell r="E85">
            <v>122</v>
          </cell>
          <cell r="F85" t="str">
            <v>Code to indicate what type of market the trade was executed in. Eg. NYSE, OTC, CBOE, etc</v>
          </cell>
        </row>
        <row r="86">
          <cell r="A86" t="str">
            <v>LGCY_MKT_TP_DIM_ID</v>
          </cell>
          <cell r="B86" t="str">
            <v>NUMBER(38,0)</v>
          </cell>
          <cell r="C86" t="str">
            <v>No</v>
          </cell>
          <cell r="E86">
            <v>11</v>
          </cell>
          <cell r="F86" t="str">
            <v>Surrogate key for Legacy Market Type Dimension.</v>
          </cell>
        </row>
        <row r="87">
          <cell r="A87" t="str">
            <v>LGCY_MKT_TP_ID</v>
          </cell>
          <cell r="B87" t="str">
            <v>NUMBER(38,0)</v>
          </cell>
          <cell r="C87" t="str">
            <v>Yes</v>
          </cell>
          <cell r="E87">
            <v>182</v>
          </cell>
          <cell r="F87" t="str">
            <v>Identifier that represents what type of market the trade was executed in.</v>
          </cell>
        </row>
        <row r="88">
          <cell r="A88" t="str">
            <v>LGCY_MKT_TP_NM</v>
          </cell>
          <cell r="B88" t="str">
            <v>VARCHAR2(200 BYTE)</v>
          </cell>
          <cell r="C88" t="str">
            <v>Yes</v>
          </cell>
          <cell r="E88">
            <v>123</v>
          </cell>
          <cell r="F88" t="str">
            <v>Name that represents what type of market the trade was executed in. Eg. NYSE, OTC, CBOE, etc</v>
          </cell>
        </row>
        <row r="89">
          <cell r="A89" t="str">
            <v>LGCY_TRD_CPCTY_TP_CD</v>
          </cell>
          <cell r="B89" t="str">
            <v>VARCHAR2(20 BYTE)</v>
          </cell>
          <cell r="C89" t="str">
            <v>Yes</v>
          </cell>
          <cell r="E89">
            <v>124</v>
          </cell>
          <cell r="F89" t="str">
            <v>Code to show what type of capacity the trade was executed in. Eg. acting as principal or agency.</v>
          </cell>
        </row>
        <row r="90">
          <cell r="A90" t="str">
            <v>LGCY_TRD_CPCTY_TP_DIM_ID</v>
          </cell>
          <cell r="B90" t="str">
            <v>NUMBER(38,0)</v>
          </cell>
          <cell r="C90" t="str">
            <v>No</v>
          </cell>
          <cell r="E90">
            <v>12</v>
          </cell>
          <cell r="F90" t="str">
            <v>Surrogate key for Legacy trade Capacity Type Dimension.</v>
          </cell>
        </row>
        <row r="91">
          <cell r="A91" t="str">
            <v>LGCY_TRD_CPCTY_TP_ID</v>
          </cell>
          <cell r="B91" t="str">
            <v>NUMBER(38,0)</v>
          </cell>
          <cell r="C91" t="str">
            <v>Yes</v>
          </cell>
          <cell r="E91">
            <v>183</v>
          </cell>
          <cell r="F91" t="str">
            <v>Identifier that represents what type of capacity the trade was executed in.</v>
          </cell>
        </row>
        <row r="92">
          <cell r="A92" t="str">
            <v>LGCY_TRD_CPCTY_TP_NM</v>
          </cell>
          <cell r="B92" t="str">
            <v>VARCHAR2(200 BYTE)</v>
          </cell>
          <cell r="C92" t="str">
            <v>Yes</v>
          </cell>
          <cell r="E92">
            <v>125</v>
          </cell>
          <cell r="F92" t="str">
            <v>Name that represents what type of capacity the trade was executed in. Eg. acting as principal or agency.</v>
          </cell>
        </row>
        <row r="93">
          <cell r="A93" t="str">
            <v>MF_AC_NUM</v>
          </cell>
          <cell r="B93" t="str">
            <v>VARCHAR2(30 BYTE)</v>
          </cell>
          <cell r="C93" t="str">
            <v>Yes</v>
          </cell>
          <cell r="E93">
            <v>151</v>
          </cell>
          <cell r="F93" t="str">
            <v>Account number of the mutual fund, if the transaction is on mutual fund.</v>
          </cell>
        </row>
        <row r="94">
          <cell r="A94" t="str">
            <v>MM_ALT_ID</v>
          </cell>
          <cell r="B94" t="str">
            <v>VARCHAR2(50 BYTE)</v>
          </cell>
          <cell r="C94" t="str">
            <v>Yes</v>
          </cell>
          <cell r="E94">
            <v>174</v>
          </cell>
          <cell r="F94" t="str">
            <v>Identifier on all Money movement transactions</v>
          </cell>
        </row>
        <row r="95">
          <cell r="A95" t="str">
            <v>OFST_AR_DIM_ID</v>
          </cell>
          <cell r="B95" t="str">
            <v>NUMBER(38,0)</v>
          </cell>
          <cell r="C95" t="str">
            <v>No</v>
          </cell>
          <cell r="E95">
            <v>3</v>
          </cell>
          <cell r="F95" t="str">
            <v>Surrogate Key for offset Arrangement Dimension</v>
          </cell>
        </row>
        <row r="96">
          <cell r="A96" t="str">
            <v>OFST_AR_ID</v>
          </cell>
          <cell r="B96" t="str">
            <v>NUMBER(38,0)</v>
          </cell>
          <cell r="C96" t="str">
            <v>Yes</v>
          </cell>
          <cell r="E96">
            <v>97</v>
          </cell>
          <cell r="F96" t="str">
            <v>If the APA was satisfied by offsetting with another RJ arrangement then, this column will contain the offsetted arrangement.</v>
          </cell>
        </row>
        <row r="97">
          <cell r="A97" t="str">
            <v>OFST_AR_ORIG_SRC_STM_CD</v>
          </cell>
          <cell r="B97" t="str">
            <v>VARCHAR2(20 BYTE)</v>
          </cell>
          <cell r="C97" t="str">
            <v>Yes</v>
          </cell>
          <cell r="E97">
            <v>153</v>
          </cell>
          <cell r="F97" t="e">
            <v>#VALUE!</v>
          </cell>
        </row>
        <row r="98">
          <cell r="A98" t="str">
            <v>OFST_AR_SETL_TP_CD</v>
          </cell>
          <cell r="B98" t="str">
            <v>VARCHAR2(20 BYTE)</v>
          </cell>
          <cell r="C98" t="str">
            <v>Yes</v>
          </cell>
          <cell r="E98">
            <v>154</v>
          </cell>
          <cell r="F98" t="e">
            <v>#VALUE!</v>
          </cell>
        </row>
        <row r="99">
          <cell r="A99" t="str">
            <v>OFST_AR_SETL_TP_DSC</v>
          </cell>
          <cell r="B99" t="str">
            <v>VARCHAR2(100 BYTE)</v>
          </cell>
          <cell r="C99" t="str">
            <v>Yes</v>
          </cell>
          <cell r="E99">
            <v>155</v>
          </cell>
          <cell r="F99" t="e">
            <v>#VALUE!</v>
          </cell>
        </row>
        <row r="100">
          <cell r="A100" t="str">
            <v>OFST_ORIG_SRC_STM_AR_ID</v>
          </cell>
          <cell r="B100" t="str">
            <v>VARCHAR2(50 BYTE)</v>
          </cell>
          <cell r="C100" t="str">
            <v>Yes</v>
          </cell>
          <cell r="E100">
            <v>152</v>
          </cell>
          <cell r="F100" t="e">
            <v>#VALUE!</v>
          </cell>
        </row>
        <row r="101">
          <cell r="A101" t="str">
            <v>OMS_EXEC_TP_CD</v>
          </cell>
          <cell r="B101" t="str">
            <v>VARCHAR2(20 BYTE)</v>
          </cell>
          <cell r="C101" t="str">
            <v>Yes</v>
          </cell>
          <cell r="E101">
            <v>140</v>
          </cell>
          <cell r="F101" t="str">
            <v>A code for the type of trade executions used in the Order Management System in a code format.</v>
          </cell>
        </row>
        <row r="102">
          <cell r="A102" t="str">
            <v>OMS_EXEC_TP_DSC</v>
          </cell>
          <cell r="B102" t="str">
            <v>VARCHAR2(1000 BYTE)</v>
          </cell>
          <cell r="C102" t="str">
            <v>Yes</v>
          </cell>
          <cell r="E102">
            <v>142</v>
          </cell>
          <cell r="F102" t="str">
            <v>A description for the type of trade executions used in the Order Management System in a code format.</v>
          </cell>
        </row>
        <row r="103">
          <cell r="A103" t="str">
            <v>OMS_EXEC_TP_ID</v>
          </cell>
          <cell r="B103" t="str">
            <v>NUMBER(38,0)</v>
          </cell>
          <cell r="C103" t="str">
            <v>Yes</v>
          </cell>
          <cell r="E103">
            <v>139</v>
          </cell>
          <cell r="F103" t="str">
            <v>Identifier for the type of trade executions used in the Order Management System in a code format.</v>
          </cell>
        </row>
        <row r="104">
          <cell r="A104" t="str">
            <v>OMS_EXEC_TP_NM</v>
          </cell>
          <cell r="B104" t="str">
            <v>VARCHAR2(200 BYTE)</v>
          </cell>
          <cell r="C104" t="str">
            <v>Yes</v>
          </cell>
          <cell r="E104">
            <v>141</v>
          </cell>
          <cell r="F104" t="str">
            <v>Name of the type of trade executions used in the Order Management System. Examples of OMS execution types would be 'Agency', 'Principal', 'Open Repo', 'Close Repo' etc.</v>
          </cell>
        </row>
        <row r="105">
          <cell r="A105" t="str">
            <v>OMS_ORDR_KEY</v>
          </cell>
          <cell r="B105" t="str">
            <v>VARCHAR2(20 BYTE)</v>
          </cell>
          <cell r="C105" t="str">
            <v>Yes</v>
          </cell>
          <cell r="E105">
            <v>111</v>
          </cell>
          <cell r="F105" t="str">
            <v>Unique system generated key from OMS system. This field is required in the CAT extracts and will be used to find the newOrderFDID, a field required on Allocation events (MEPA events).</v>
          </cell>
        </row>
        <row r="106">
          <cell r="A106" t="str">
            <v>OPT_CLSS_CD</v>
          </cell>
          <cell r="B106" t="str">
            <v>VARCHAR2(10 BYTE)</v>
          </cell>
          <cell r="C106" t="str">
            <v>Yes</v>
          </cell>
          <cell r="E106">
            <v>54</v>
          </cell>
          <cell r="F106" t="e">
            <v>#VALUE!</v>
          </cell>
        </row>
        <row r="107">
          <cell r="A107" t="str">
            <v>ORIG_BKG_DT</v>
          </cell>
          <cell r="B107" t="str">
            <v>DATE</v>
          </cell>
          <cell r="C107" t="str">
            <v>Yes</v>
          </cell>
          <cell r="E107">
            <v>24</v>
          </cell>
          <cell r="F107" t="str">
            <v>This represents the business day date when the quantity has been ���booked��� in the system.</v>
          </cell>
        </row>
        <row r="108">
          <cell r="A108" t="str">
            <v>ORIG_SRC_STM_AR_ID</v>
          </cell>
          <cell r="B108" t="str">
            <v>VARCHAR2(50 BYTE)</v>
          </cell>
          <cell r="C108" t="str">
            <v>Yes</v>
          </cell>
          <cell r="E108">
            <v>158</v>
          </cell>
          <cell r="F108" t="str">
            <v>Contains the account number/contract number from the original source system provider - e.g., SIS Account number for brokerage accounts</v>
          </cell>
        </row>
        <row r="109">
          <cell r="A109" t="str">
            <v>ORIG_SRC_STM_CD</v>
          </cell>
          <cell r="B109" t="str">
            <v>VARCHAR2(10 BYTE)</v>
          </cell>
          <cell r="C109" t="str">
            <v>Yes</v>
          </cell>
          <cell r="E109">
            <v>145</v>
          </cell>
          <cell r="F109" t="str">
            <v>Code that represents the source system from which CDS database receives/obtains the underlying record.</v>
          </cell>
        </row>
        <row r="110">
          <cell r="A110" t="str">
            <v>ORIG_SRC_STM_ID</v>
          </cell>
          <cell r="B110" t="str">
            <v>NUMBER(38,0)</v>
          </cell>
          <cell r="C110" t="str">
            <v>Yes</v>
          </cell>
          <cell r="E110">
            <v>144</v>
          </cell>
          <cell r="F110" t="str">
            <v>Identifier of the source system from which CDS database receives/obtains the underlying record.</v>
          </cell>
        </row>
        <row r="111">
          <cell r="A111" t="str">
            <v>ORIG_TD</v>
          </cell>
          <cell r="B111" t="str">
            <v>DATE</v>
          </cell>
          <cell r="C111" t="str">
            <v>Yes</v>
          </cell>
          <cell r="E111">
            <v>101</v>
          </cell>
          <cell r="F111" t="str">
            <v>The date trade took place at fund company (specific to level 4 mutual funds).</v>
          </cell>
        </row>
        <row r="112">
          <cell r="A112" t="str">
            <v>ORIG_TRD_NUM</v>
          </cell>
          <cell r="B112" t="str">
            <v>VARCHAR2(15 BYTE)</v>
          </cell>
          <cell r="C112" t="str">
            <v>Yes</v>
          </cell>
          <cell r="E112">
            <v>29</v>
          </cell>
          <cell r="F112" t="str">
            <v>Original trade number when a trade is being cancelled, corrected, reversed (if available).</v>
          </cell>
        </row>
        <row r="113">
          <cell r="A113" t="str">
            <v>OWN_FA_NUM</v>
          </cell>
          <cell r="B113" t="str">
            <v>VARCHAR2(6 BYTE)</v>
          </cell>
          <cell r="C113" t="str">
            <v>Yes</v>
          </cell>
          <cell r="E113">
            <v>172</v>
          </cell>
          <cell r="F113" t="str">
            <v>Owner FA Number is a FA Number that owns the Arrangement for which activity is recorded</v>
          </cell>
        </row>
        <row r="114">
          <cell r="A114" t="str">
            <v>OWN_FA_NUM_ENT_CD</v>
          </cell>
          <cell r="B114" t="str">
            <v>VARCHAR2(20 BYTE)</v>
          </cell>
          <cell r="C114" t="str">
            <v>Yes</v>
          </cell>
          <cell r="E114">
            <v>205</v>
          </cell>
          <cell r="F114" t="str">
            <v>Entity Code that owns the Owner FA Number</v>
          </cell>
        </row>
        <row r="115">
          <cell r="A115" t="str">
            <v>OWN_FA_NUM_ENT_ENTP_ID</v>
          </cell>
          <cell r="B115" t="str">
            <v>NUMBER(22,0)</v>
          </cell>
          <cell r="C115" t="str">
            <v>Yes</v>
          </cell>
          <cell r="E115">
            <v>207</v>
          </cell>
          <cell r="F115" t="str">
            <v>Enterprise Id of the Entity that owns the Owner FA Number</v>
          </cell>
        </row>
        <row r="116">
          <cell r="A116" t="str">
            <v>OWN_IMP_FA_NUM</v>
          </cell>
          <cell r="B116" t="str">
            <v>VARCHAR2(20 BYTE)</v>
          </cell>
          <cell r="C116" t="str">
            <v>Yes</v>
          </cell>
          <cell r="E116">
            <v>171</v>
          </cell>
          <cell r="F116" t="str">
            <v>FA Number as given in Impact system</v>
          </cell>
        </row>
        <row r="117">
          <cell r="A117" t="str">
            <v>REL_TXN_ID</v>
          </cell>
          <cell r="B117" t="str">
            <v>NUMBER(38,0)</v>
          </cell>
          <cell r="C117" t="str">
            <v>Yes</v>
          </cell>
          <cell r="E117">
            <v>27</v>
          </cell>
          <cell r="F117" t="str">
            <v>The CDS assigned numeric identfier of the related (target) transaction that this current transaction is cancelling/correcting/reversing.</v>
          </cell>
        </row>
        <row r="118">
          <cell r="A118" t="str">
            <v>REL_TXN_RLTNP_TP_CD</v>
          </cell>
          <cell r="B118" t="str">
            <v>VARCHAR2(20 BYTE)</v>
          </cell>
          <cell r="C118" t="str">
            <v>Yes</v>
          </cell>
          <cell r="E118">
            <v>199</v>
          </cell>
          <cell r="F118" t="str">
            <v>Code of Relationship type with the target transaction E.g.R01, R02, R03</v>
          </cell>
        </row>
        <row r="119">
          <cell r="A119" t="str">
            <v>REL_TXN_RLTNP_TP_ID</v>
          </cell>
          <cell r="B119" t="str">
            <v>NUMBER(38,0)</v>
          </cell>
          <cell r="C119" t="str">
            <v>Yes</v>
          </cell>
          <cell r="E119">
            <v>190</v>
          </cell>
          <cell r="F119" t="str">
            <v>Identifier for Relationship type with the related transaction</v>
          </cell>
        </row>
        <row r="120">
          <cell r="A120" t="str">
            <v>REL_TXN_RLTNP_TP_NM</v>
          </cell>
          <cell r="B120" t="str">
            <v>VARCHAR2(100 BYTE)</v>
          </cell>
          <cell r="C120" t="str">
            <v>Yes</v>
          </cell>
          <cell r="E120">
            <v>200</v>
          </cell>
          <cell r="F120" t="str">
            <v>Name of Relation ship with the target transaction E.g. Reversal, Cancel, Correct</v>
          </cell>
        </row>
        <row r="121">
          <cell r="A121" t="str">
            <v>REL_TXN_SRC_STM_CD</v>
          </cell>
          <cell r="B121" t="str">
            <v>VARCHAR2(20 BYTE)</v>
          </cell>
          <cell r="C121" t="str">
            <v>Yes</v>
          </cell>
          <cell r="E121">
            <v>202</v>
          </cell>
          <cell r="F121" t="str">
            <v>CDS assigned source system code for related transaction</v>
          </cell>
        </row>
        <row r="122">
          <cell r="A122" t="str">
            <v>REL_TXN_SRC_STM_DIM_ID</v>
          </cell>
          <cell r="B122" t="str">
            <v>NUMBER(38,0)</v>
          </cell>
          <cell r="C122" t="str">
            <v>No</v>
          </cell>
          <cell r="E122">
            <v>17</v>
          </cell>
          <cell r="F122" t="str">
            <v>Surrogate key for Related Transaction Source System Dimension.</v>
          </cell>
        </row>
        <row r="123">
          <cell r="A123" t="str">
            <v>REL_TXN_SRC_STM_ID</v>
          </cell>
          <cell r="B123" t="str">
            <v>NUMBER(38,0)</v>
          </cell>
          <cell r="C123" t="str">
            <v>Yes</v>
          </cell>
          <cell r="E123">
            <v>184</v>
          </cell>
          <cell r="F123" t="str">
            <v>CDS assigned source system id for related transaction</v>
          </cell>
        </row>
        <row r="124">
          <cell r="A124" t="str">
            <v>SALE_CHRG_RATE_MULTI_NUM</v>
          </cell>
          <cell r="B124" t="str">
            <v>NUMBER(38,6)</v>
          </cell>
          <cell r="C124" t="str">
            <v>Yes</v>
          </cell>
          <cell r="E124">
            <v>149</v>
          </cell>
          <cell r="F124" t="str">
            <v>Sales charge expressed as a multiplier for the portion represented by the asset package. This column will have values if Sales Charge Rate is expressed as a multipler.</v>
          </cell>
        </row>
        <row r="125">
          <cell r="A125" t="str">
            <v>SALE_CHRG_RATE_PCT</v>
          </cell>
          <cell r="B125" t="str">
            <v>NUMBER(38,6)</v>
          </cell>
          <cell r="C125" t="str">
            <v>Yes</v>
          </cell>
          <cell r="E125">
            <v>38</v>
          </cell>
          <cell r="F125" t="str">
            <v>Sales charge expressed as percent for the portion represented by the asset package. This column will have values if Sales Charge Rate Type Identifier indicates that it was recorded as a percentage in CCAL</v>
          </cell>
        </row>
        <row r="126">
          <cell r="A126" t="str">
            <v>SALE_CHRG_RATE_TP_CD</v>
          </cell>
          <cell r="B126" t="str">
            <v>VARCHAR2(20 BYTE)</v>
          </cell>
          <cell r="C126" t="str">
            <v>Yes</v>
          </cell>
          <cell r="E126">
            <v>40</v>
          </cell>
          <cell r="F126" t="str">
            <v>A code representing the type of value stored for sales charge</v>
          </cell>
        </row>
        <row r="127">
          <cell r="A127" t="str">
            <v>SALE_CHRG_RATE_TP_ID</v>
          </cell>
          <cell r="B127" t="str">
            <v>NUMBER(38,0)</v>
          </cell>
          <cell r="C127" t="str">
            <v>Yes</v>
          </cell>
          <cell r="E127">
            <v>39</v>
          </cell>
          <cell r="F127" t="str">
            <v>Identifier representing the type of value stored for sales charge</v>
          </cell>
        </row>
        <row r="128">
          <cell r="A128" t="str">
            <v>SALE_CHRG_RATE_TP_NM</v>
          </cell>
          <cell r="B128" t="str">
            <v>VARCHAR2(200 BYTE)</v>
          </cell>
          <cell r="C128" t="str">
            <v>Yes</v>
          </cell>
          <cell r="E128">
            <v>130</v>
          </cell>
          <cell r="F128" t="str">
            <v>Name of Sales charge type Percentage or Multiplier.</v>
          </cell>
        </row>
        <row r="129">
          <cell r="A129" t="str">
            <v>SBC_CCY_CALC_DT</v>
          </cell>
          <cell r="B129" t="str">
            <v>DATE</v>
          </cell>
          <cell r="C129" t="str">
            <v>Yes</v>
          </cell>
          <cell r="E129">
            <v>43</v>
          </cell>
          <cell r="F129" t="str">
            <v>Date and time  when transaction amount was converted to system base currency</v>
          </cell>
        </row>
        <row r="130">
          <cell r="A130" t="str">
            <v>SBC_CCY_CD</v>
          </cell>
          <cell r="B130" t="str">
            <v>VARCHAR2(3 BYTE)</v>
          </cell>
          <cell r="C130" t="str">
            <v>Yes</v>
          </cell>
          <cell r="E130">
            <v>106</v>
          </cell>
          <cell r="F130" t="str">
            <v>Product identifier of the system base currency. This is USD for data coming from CDS currently..</v>
          </cell>
        </row>
        <row r="131">
          <cell r="A131" t="str">
            <v>SBC_CCY_DIM_ID</v>
          </cell>
          <cell r="B131" t="str">
            <v>NUMBER(38,0)</v>
          </cell>
          <cell r="C131" t="str">
            <v>No</v>
          </cell>
          <cell r="E131">
            <v>6</v>
          </cell>
          <cell r="F131" t="str">
            <v>Surrogate key for Currency dimension</v>
          </cell>
        </row>
        <row r="132">
          <cell r="A132" t="str">
            <v>SBC_EXG_RATE</v>
          </cell>
          <cell r="B132" t="str">
            <v>NUMBER(38,6)</v>
          </cell>
          <cell r="C132" t="str">
            <v>Yes</v>
          </cell>
          <cell r="E132">
            <v>44</v>
          </cell>
          <cell r="F132" t="str">
            <v>Exchange rate used to calculate transaction amount in system base currency</v>
          </cell>
        </row>
        <row r="133">
          <cell r="A133" t="str">
            <v>SCR_APA_TP_CD</v>
          </cell>
          <cell r="B133" t="str">
            <v>VARCHAR2(20 BYTE)</v>
          </cell>
          <cell r="C133" t="str">
            <v>Yes</v>
          </cell>
          <cell r="E133">
            <v>76</v>
          </cell>
          <cell r="F133" t="str">
            <v>Code associated with Asset Package Type Id.This field will be populated only if the transaction has a Security leg.</v>
          </cell>
        </row>
        <row r="134">
          <cell r="A134" t="str">
            <v>SCR_APA_TP_DSC</v>
          </cell>
          <cell r="B134" t="str">
            <v>VARCHAR2(1000 BYTE)</v>
          </cell>
          <cell r="C134" t="str">
            <v>Yes</v>
          </cell>
          <cell r="E134">
            <v>78</v>
          </cell>
          <cell r="F134" t="str">
            <v>Description associated with Asset Package Type Id.This field will be populated only if the transaction has a Security leg.</v>
          </cell>
        </row>
        <row r="135">
          <cell r="A135" t="str">
            <v>SCR_APA_TP_NM</v>
          </cell>
          <cell r="B135" t="str">
            <v>VARCHAR2(200 BYTE)</v>
          </cell>
          <cell r="C135" t="str">
            <v>Yes</v>
          </cell>
          <cell r="E135">
            <v>77</v>
          </cell>
          <cell r="F135" t="str">
            <v>Name of Asset Package Type Id.This field will be populated only if the transaction has a Security leg.</v>
          </cell>
        </row>
        <row r="136">
          <cell r="A136" t="str">
            <v>SCR_AVY_CGY</v>
          </cell>
          <cell r="B136" t="str">
            <v>VARCHAR2(25 BYTE)</v>
          </cell>
          <cell r="C136" t="str">
            <v>Yes</v>
          </cell>
          <cell r="E136">
            <v>83</v>
          </cell>
          <cell r="F136" t="str">
            <v>Represents the specific Category of activity such as a 'Purchase' or 'Income'. Further refinement of the categories are captured under Activity Type.This field will be populated only if the transaction has a Security leg.</v>
          </cell>
        </row>
        <row r="137">
          <cell r="A137" t="str">
            <v>SCR_AVY_TP</v>
          </cell>
          <cell r="B137" t="str">
            <v>VARCHAR2(100 BYTE)</v>
          </cell>
          <cell r="C137" t="str">
            <v>Yes</v>
          </cell>
          <cell r="E137">
            <v>84</v>
          </cell>
          <cell r="F137" t="str">
            <v>Represents a more refined view of the Activity Category.This field will be populated only if the transaction has a Security leg.</v>
          </cell>
        </row>
        <row r="138">
          <cell r="A138" t="str">
            <v>SCR_SIMP_DSPL_AVY_CGY</v>
          </cell>
          <cell r="B138" t="str">
            <v>VARCHAR2(25 BYTE)</v>
          </cell>
          <cell r="C138" t="str">
            <v>Yes</v>
          </cell>
          <cell r="E138">
            <v>161</v>
          </cell>
          <cell r="F138" t="str">
            <v>Simplified Display activity category shown to advisor in applications like client center.This field will be populated only if the transaction has a Security leg.</v>
          </cell>
        </row>
        <row r="139">
          <cell r="A139" t="str">
            <v>SCR_SIMP_DSPL_AVY_TP</v>
          </cell>
          <cell r="B139" t="str">
            <v>VARCHAR2(100 BYTE)</v>
          </cell>
          <cell r="C139" t="str">
            <v>Yes</v>
          </cell>
          <cell r="E139">
            <v>162</v>
          </cell>
          <cell r="F139" t="str">
            <v>Simplified Display activity type shown to advisor in applications like client center.This field will be populated only if the transaction has a Security leg.</v>
          </cell>
        </row>
        <row r="140">
          <cell r="A140" t="str">
            <v>SD</v>
          </cell>
          <cell r="B140" t="str">
            <v>DATE</v>
          </cell>
          <cell r="C140" t="str">
            <v>Yes</v>
          </cell>
          <cell r="E140">
            <v>22</v>
          </cell>
          <cell r="F140" t="str">
            <v>Settlement date is a securities industry term describing the date on which a trade settles. That is, the actual day on which transfer of cash or assets is completed and is usually a few days after the trade was done.</v>
          </cell>
        </row>
        <row r="141">
          <cell r="A141" t="str">
            <v>SD_DIM_ID</v>
          </cell>
          <cell r="B141" t="str">
            <v>NUMBER(38,0)</v>
          </cell>
          <cell r="C141" t="str">
            <v>No</v>
          </cell>
          <cell r="E141">
            <v>21</v>
          </cell>
          <cell r="F141" t="str">
            <v>Synthetic Key identifying a single date in the DATE Dimension based on Settlement date</v>
          </cell>
        </row>
        <row r="142">
          <cell r="A142" t="str">
            <v>SEC_ALT_DSC_TRAILER_2</v>
          </cell>
          <cell r="B142" t="str">
            <v>VARCHAR2(256 BYTE)</v>
          </cell>
          <cell r="C142" t="str">
            <v>Yes</v>
          </cell>
          <cell r="E142">
            <v>50</v>
          </cell>
          <cell r="F142" t="str">
            <v>Second line of unformatted, monolingual narrative booking information. SIS trailer field 2.This field will be populated only if the transaction has a Security leg.</v>
          </cell>
        </row>
        <row r="143">
          <cell r="A143" t="str">
            <v>SEC_APA_EXT_QUALFR</v>
          </cell>
          <cell r="B143" t="str">
            <v>VARCHAR2(50 BYTE)</v>
          </cell>
          <cell r="C143" t="str">
            <v>Yes</v>
          </cell>
          <cell r="E143">
            <v>48</v>
          </cell>
          <cell r="F143" t="str">
            <v>Qualifier code from the external source system.This field will be populated only if the transaction has a Security leg.</v>
          </cell>
        </row>
        <row r="144">
          <cell r="A144" t="str">
            <v>SEC_APA_ID</v>
          </cell>
          <cell r="B144" t="str">
            <v>NUMBER(38,0)</v>
          </cell>
          <cell r="C144" t="str">
            <v>Yes</v>
          </cell>
          <cell r="E144">
            <v>31</v>
          </cell>
          <cell r="F144" t="str">
            <v>APA_ID from CCAL APA table. It is recorded here for the purpose of maintaining a link with the source.This field will be populated only if the transaction has a Security leg.</v>
          </cell>
        </row>
        <row r="145">
          <cell r="A145" t="str">
            <v>SEC_APA_TP_ID</v>
          </cell>
          <cell r="B145" t="str">
            <v>NUMBER(38,0)</v>
          </cell>
          <cell r="C145" t="str">
            <v>Yes</v>
          </cell>
          <cell r="E145">
            <v>75</v>
          </cell>
          <cell r="F145" t="str">
            <v>Asset Pacakge type Id from CCAL core.This field will be populated only if the transaction has a Security leg.</v>
          </cell>
        </row>
        <row r="146">
          <cell r="A146" t="str">
            <v>SEC_AVY_CL_ID</v>
          </cell>
          <cell r="B146" t="str">
            <v>NUMBER(38,0)</v>
          </cell>
          <cell r="C146" t="str">
            <v>Yes</v>
          </cell>
          <cell r="E146">
            <v>85</v>
          </cell>
          <cell r="F146" t="str">
            <v>CDS assigned identifier for the activity class.This field will be populated only if the transaction has a Security leg.</v>
          </cell>
        </row>
        <row r="147">
          <cell r="A147" t="str">
            <v>SEC_CIRD_PD_ID</v>
          </cell>
          <cell r="B147" t="str">
            <v>NUMBER(38,0)</v>
          </cell>
          <cell r="C147" t="str">
            <v>Yes</v>
          </cell>
          <cell r="E147">
            <v>136</v>
          </cell>
          <cell r="F147" t="str">
            <v>CIRD identifier for product.This field will be populated only if the transaction has a Security leg.</v>
          </cell>
        </row>
        <row r="148">
          <cell r="A148" t="str">
            <v>SEC_DB_CR_CD</v>
          </cell>
          <cell r="B148" t="str">
            <v>VARCHAR2(20 BYTE)</v>
          </cell>
          <cell r="C148" t="str">
            <v>Yes</v>
          </cell>
          <cell r="E148">
            <v>46</v>
          </cell>
          <cell r="F148" t="str">
            <v>A code representing Debit / Credit (e.g. D / C).This field will be populated only if the transaction has a Security leg.</v>
          </cell>
        </row>
        <row r="149">
          <cell r="A149" t="str">
            <v>SEC_DB_CR_NM</v>
          </cell>
          <cell r="B149" t="str">
            <v>VARCHAR2(100 BYTE)</v>
          </cell>
          <cell r="C149" t="str">
            <v>Yes</v>
          </cell>
          <cell r="E149">
            <v>132</v>
          </cell>
          <cell r="F149" t="str">
            <v>A Name representing Debit / Credit (e.g. Debit / Credit).This field will be populated only if the transaction has a Security leg.</v>
          </cell>
        </row>
        <row r="150">
          <cell r="A150" t="str">
            <v>SEC_DSC_TRAILER_1</v>
          </cell>
          <cell r="B150" t="str">
            <v>VARCHAR2(256 BYTE)</v>
          </cell>
          <cell r="C150" t="str">
            <v>Yes</v>
          </cell>
          <cell r="E150">
            <v>49</v>
          </cell>
          <cell r="F150" t="str">
            <v>First line of unformatted, monolingual narrative booking information. SIS Trailer field 1.This field will be populated only if the transaction has a Security leg.</v>
          </cell>
        </row>
        <row r="151">
          <cell r="A151" t="str">
            <v>SEC_ORIG_QTY</v>
          </cell>
          <cell r="B151" t="str">
            <v>NUMBER(38,6)</v>
          </cell>
          <cell r="C151" t="str">
            <v>Yes</v>
          </cell>
          <cell r="E151">
            <v>36</v>
          </cell>
          <cell r="F151" t="str">
            <v>Original Quantity of the Package.This field will be populated only if the transaction has a Security leg.</v>
          </cell>
        </row>
        <row r="152">
          <cell r="A152" t="str">
            <v>SEC_PD_DIM_ID</v>
          </cell>
          <cell r="B152" t="str">
            <v>NUMBER(38,0)</v>
          </cell>
          <cell r="C152" t="str">
            <v>No</v>
          </cell>
          <cell r="E152">
            <v>7</v>
          </cell>
          <cell r="F152" t="str">
            <v>Surrogate key for Instrument Product Dim.This field will be populated only if the transaction has a Security leg.</v>
          </cell>
        </row>
        <row r="153">
          <cell r="A153" t="str">
            <v>SEC_PD_ID</v>
          </cell>
          <cell r="B153" t="str">
            <v>NUMBER(38,0)</v>
          </cell>
          <cell r="C153" t="str">
            <v>Yes</v>
          </cell>
          <cell r="E153">
            <v>94</v>
          </cell>
          <cell r="F153" t="str">
            <v>Product Identifier from Security Asset package</v>
          </cell>
        </row>
        <row r="154">
          <cell r="A154" t="str">
            <v>SEC_PRC_IN_TXN_CCY</v>
          </cell>
          <cell r="B154" t="str">
            <v>NUMBER(38,8)</v>
          </cell>
          <cell r="C154" t="str">
            <v>Yes</v>
          </cell>
          <cell r="E154">
            <v>33</v>
          </cell>
          <cell r="F154" t="str">
            <v>Price of the securities instrument in transaction currency.</v>
          </cell>
        </row>
        <row r="155">
          <cell r="A155" t="str">
            <v>SEC_SBC_AMT</v>
          </cell>
          <cell r="B155" t="str">
            <v>NUMBER(38,6)</v>
          </cell>
          <cell r="C155" t="str">
            <v>Yes</v>
          </cell>
          <cell r="E155">
            <v>41</v>
          </cell>
          <cell r="F155" t="str">
            <v>Transaction Amount expressed in System Base Currency.This field will be populated only if the transaction has a Security leg.</v>
          </cell>
        </row>
        <row r="156">
          <cell r="A156" t="str">
            <v>SEC_SRC_CUSIP</v>
          </cell>
          <cell r="B156" t="str">
            <v>VARCHAR2(20 BYTE)</v>
          </cell>
          <cell r="C156" t="str">
            <v>Yes</v>
          </cell>
          <cell r="E156">
            <v>55</v>
          </cell>
          <cell r="F156" t="str">
            <v>CUSIP from source system.This field will be populated only if the transaction has a Security leg.</v>
          </cell>
        </row>
        <row r="157">
          <cell r="A157" t="str">
            <v>SEC_SRC_PRC_IN_SBC</v>
          </cell>
          <cell r="B157" t="str">
            <v>NUMBER(38,8)</v>
          </cell>
          <cell r="C157" t="str">
            <v>Yes</v>
          </cell>
          <cell r="E157">
            <v>37</v>
          </cell>
          <cell r="F157" t="str">
            <v>Principal amount of the trade execution expressed in the system base currency. This value should not include commissions or fees associated with the trade.This field will be populated only if the transaction has a Security leg.</v>
          </cell>
        </row>
        <row r="158">
          <cell r="A158" t="str">
            <v>SEC_SRC_SEQ_NUM</v>
          </cell>
          <cell r="B158" t="str">
            <v>NUMBER(38,0)</v>
          </cell>
          <cell r="C158" t="str">
            <v>Yes</v>
          </cell>
          <cell r="E158">
            <v>47</v>
          </cell>
          <cell r="F158" t="str">
            <v>Sequence Number assigned by source system.This field will be populated only if the transaction has a Security leg.</v>
          </cell>
        </row>
        <row r="159">
          <cell r="A159" t="str">
            <v>SEC_TXN_AMT</v>
          </cell>
          <cell r="B159" t="str">
            <v>NUMBER(38,6)</v>
          </cell>
          <cell r="C159" t="str">
            <v>Yes</v>
          </cell>
          <cell r="E159">
            <v>34</v>
          </cell>
          <cell r="F159" t="str">
            <v>Transaction amount applicable to the Asset package in transaction currency.This field will be populated only if the transaction has a Security leg.</v>
          </cell>
        </row>
        <row r="160">
          <cell r="A160" t="str">
            <v>SESS_NO</v>
          </cell>
          <cell r="B160" t="str">
            <v>NUMBER(38,0)</v>
          </cell>
          <cell r="C160" t="str">
            <v>Yes</v>
          </cell>
          <cell r="E160">
            <v>91</v>
          </cell>
          <cell r="F160" t="str">
            <v>OCI Session Number which created this record</v>
          </cell>
        </row>
        <row r="161">
          <cell r="A161" t="str">
            <v>SHDW_TXN_TP_CD</v>
          </cell>
          <cell r="B161" t="str">
            <v>VARCHAR2(50 BYTE)</v>
          </cell>
          <cell r="C161" t="str">
            <v>Yes</v>
          </cell>
          <cell r="E161">
            <v>163</v>
          </cell>
          <cell r="F161" t="str">
            <v>Possible values:  ORG, OLD, NEW, REV, REP.</v>
          </cell>
        </row>
        <row r="162">
          <cell r="A162" t="str">
            <v>SHDW_TXN_TP_NM</v>
          </cell>
          <cell r="B162" t="str">
            <v>VARCHAR2(50 BYTE)</v>
          </cell>
          <cell r="C162" t="str">
            <v>Yes</v>
          </cell>
          <cell r="E162">
            <v>203</v>
          </cell>
          <cell r="F162" t="str">
            <v>Name of the Shadow Transaction Type Code.</v>
          </cell>
        </row>
        <row r="163">
          <cell r="A163" t="str">
            <v>SIS_AC_CL_CD</v>
          </cell>
          <cell r="B163" t="str">
            <v>VARCHAR2(50 BYTE)</v>
          </cell>
          <cell r="C163" t="str">
            <v>Yes</v>
          </cell>
          <cell r="E163">
            <v>167</v>
          </cell>
          <cell r="F163" t="str">
            <v>SIS account classification codes</v>
          </cell>
        </row>
        <row r="164">
          <cell r="A164" t="str">
            <v>SIS_DLTD_EV_ID</v>
          </cell>
          <cell r="B164" t="str">
            <v>NUMBER(38,0)</v>
          </cell>
          <cell r="C164" t="str">
            <v>Yes</v>
          </cell>
          <cell r="E164">
            <v>165</v>
          </cell>
          <cell r="F164" t="str">
            <v>Identifier that determines what type of transaction the record contains. For SIS activity the values depend on the record type.</v>
          </cell>
        </row>
        <row r="165">
          <cell r="A165" t="str">
            <v>SIS_DLTD_EV_NM</v>
          </cell>
          <cell r="B165" t="str">
            <v>VARCHAR2(200 BYTE)</v>
          </cell>
          <cell r="C165" t="str">
            <v>Yes</v>
          </cell>
          <cell r="E165">
            <v>194</v>
          </cell>
          <cell r="F165" t="str">
            <v>Name that determines what type of transaction the record contains. For SIS activity the values depend on the record type.</v>
          </cell>
        </row>
        <row r="166">
          <cell r="A166" t="str">
            <v>SIS_USR_ID</v>
          </cell>
          <cell r="B166" t="str">
            <v>VARCHAR2(255 BYTE)</v>
          </cell>
          <cell r="C166" t="str">
            <v>Yes</v>
          </cell>
          <cell r="E166">
            <v>166</v>
          </cell>
          <cell r="F166" t="str">
            <v>Identifier of the process or user that creates the records sourced from SIS Money Movement</v>
          </cell>
        </row>
        <row r="167">
          <cell r="A167" t="str">
            <v>SRC_CNCL_RSN_CD</v>
          </cell>
          <cell r="B167" t="str">
            <v>VARCHAR2(20 BYTE)</v>
          </cell>
          <cell r="C167" t="str">
            <v>Yes</v>
          </cell>
          <cell r="E167">
            <v>195</v>
          </cell>
          <cell r="F167" t="e">
            <v>#VALUE!</v>
          </cell>
        </row>
        <row r="168">
          <cell r="A168" t="str">
            <v>SRC_CNCL_RSN_ID</v>
          </cell>
          <cell r="B168" t="str">
            <v>NUMBER(38,0)</v>
          </cell>
          <cell r="C168" t="str">
            <v>Yes</v>
          </cell>
          <cell r="E168">
            <v>168</v>
          </cell>
          <cell r="F168" t="str">
            <v>Id representing Reason for cancellation in source system</v>
          </cell>
        </row>
        <row r="169">
          <cell r="A169" t="str">
            <v>SRC_CNCL_RSN_NM</v>
          </cell>
          <cell r="B169" t="str">
            <v>VARCHAR2(200 BYTE)</v>
          </cell>
          <cell r="C169" t="str">
            <v>Yes</v>
          </cell>
          <cell r="E169">
            <v>196</v>
          </cell>
          <cell r="F169" t="str">
            <v>Name representing Reason for cancellation in source system</v>
          </cell>
        </row>
        <row r="170">
          <cell r="A170" t="str">
            <v>SRC_CNCL_X_RVSN_CD</v>
          </cell>
          <cell r="B170" t="str">
            <v>VARCHAR2(3 BYTE)</v>
          </cell>
          <cell r="C170" t="str">
            <v>Yes</v>
          </cell>
          <cell r="E170">
            <v>176</v>
          </cell>
          <cell r="F170" t="str">
            <v>Cancel or Revise Code in the source system</v>
          </cell>
        </row>
        <row r="171">
          <cell r="A171" t="str">
            <v>SRC_CRT_USRNM</v>
          </cell>
          <cell r="B171" t="str">
            <v>VARCHAR2(50 BYTE)</v>
          </cell>
          <cell r="C171" t="str">
            <v>Yes</v>
          </cell>
          <cell r="E171">
            <v>100</v>
          </cell>
          <cell r="F171" t="str">
            <v>The name that represents the user/process that created row in the primary source table</v>
          </cell>
        </row>
        <row r="172">
          <cell r="A172" t="str">
            <v>SRC_EFF_DT</v>
          </cell>
          <cell r="B172" t="str">
            <v>DATE</v>
          </cell>
          <cell r="C172" t="str">
            <v>Yes</v>
          </cell>
          <cell r="E172">
            <v>107</v>
          </cell>
          <cell r="F172" t="str">
            <v>Effective date of the APA in the source system</v>
          </cell>
        </row>
        <row r="173">
          <cell r="A173" t="str">
            <v>SRC_ENTR_CNL_TP_CD</v>
          </cell>
          <cell r="B173" t="str">
            <v>VARCHAR2(20 BYTE)</v>
          </cell>
          <cell r="C173" t="str">
            <v>Yes</v>
          </cell>
          <cell r="E173">
            <v>126</v>
          </cell>
          <cell r="F173" t="e">
            <v>#VALUE!</v>
          </cell>
        </row>
        <row r="174">
          <cell r="A174" t="str">
            <v>SRC_ENTR_CNL_TP_DIM_ID</v>
          </cell>
          <cell r="B174" t="str">
            <v>NUMBER(38,0)</v>
          </cell>
          <cell r="C174" t="str">
            <v>No</v>
          </cell>
          <cell r="E174">
            <v>14</v>
          </cell>
          <cell r="F174" t="str">
            <v>Surrogate key for the Source Entry Channel Type Dimension</v>
          </cell>
        </row>
        <row r="175">
          <cell r="A175" t="str">
            <v>SRC_ENTR_CNL_TP_ID</v>
          </cell>
          <cell r="B175" t="str">
            <v>NUMBER(38,0)</v>
          </cell>
          <cell r="C175" t="str">
            <v>Yes</v>
          </cell>
          <cell r="E175">
            <v>185</v>
          </cell>
          <cell r="F175" t="str">
            <v>Identifier for the Source Entry Channel Type</v>
          </cell>
        </row>
        <row r="176">
          <cell r="A176" t="str">
            <v>SRC_ENTR_CNL_TP_NM</v>
          </cell>
          <cell r="B176" t="str">
            <v>VARCHAR2(200 BYTE)</v>
          </cell>
          <cell r="C176" t="str">
            <v>Yes</v>
          </cell>
          <cell r="E176">
            <v>127</v>
          </cell>
          <cell r="F176" t="e">
            <v>#VALUE!</v>
          </cell>
        </row>
        <row r="177">
          <cell r="A177" t="str">
            <v>SRC_ENTR_DTM</v>
          </cell>
          <cell r="B177" t="str">
            <v>TIMESTAMP(6)</v>
          </cell>
          <cell r="C177" t="str">
            <v>Yes</v>
          </cell>
          <cell r="E177">
            <v>92</v>
          </cell>
          <cell r="F177" t="str">
            <v>Time stamp of first occurrence of the transaction in the order entry system.</v>
          </cell>
        </row>
        <row r="178">
          <cell r="A178" t="str">
            <v>SRC_OPT_CLSS_CD</v>
          </cell>
          <cell r="B178" t="str">
            <v>VARCHAR2(50 BYTE)</v>
          </cell>
          <cell r="C178" t="str">
            <v>Yes</v>
          </cell>
          <cell r="E178">
            <v>177</v>
          </cell>
          <cell r="F178" t="str">
            <v>The code that determines what type of transaction the record contains. For SIS activity the values depend on the record type.</v>
          </cell>
        </row>
        <row r="179">
          <cell r="A179" t="str">
            <v>SRC_PCS_TP_CD</v>
          </cell>
          <cell r="B179" t="str">
            <v>VARCHAR2(20 BYTE)</v>
          </cell>
          <cell r="C179" t="str">
            <v>Yes</v>
          </cell>
          <cell r="E179">
            <v>102</v>
          </cell>
          <cell r="F179" t="str">
            <v>A code for the source processing type, values include backdated, initial, cancel, correction or reversal.</v>
          </cell>
        </row>
        <row r="180">
          <cell r="A180" t="str">
            <v>SRC_PCS_TP_DIM_ID</v>
          </cell>
          <cell r="B180" t="str">
            <v>NUMBER(38,0)</v>
          </cell>
          <cell r="C180" t="str">
            <v>No</v>
          </cell>
          <cell r="E180">
            <v>13</v>
          </cell>
          <cell r="F180" t="str">
            <v>Surrogate key for Source Processing Type Dimension.</v>
          </cell>
        </row>
        <row r="181">
          <cell r="A181" t="str">
            <v>SRC_PCS_TP_ID</v>
          </cell>
          <cell r="B181" t="str">
            <v>NUMBER(38,0)</v>
          </cell>
          <cell r="C181" t="str">
            <v>Yes</v>
          </cell>
          <cell r="E181">
            <v>186</v>
          </cell>
          <cell r="F181" t="str">
            <v>Identifier for the Source Processing Type</v>
          </cell>
        </row>
        <row r="182">
          <cell r="A182" t="str">
            <v>SRC_PCS_TP_NM</v>
          </cell>
          <cell r="B182" t="str">
            <v>VARCHAR2(200 BYTE)</v>
          </cell>
          <cell r="C182" t="str">
            <v>Yes</v>
          </cell>
          <cell r="E182">
            <v>103</v>
          </cell>
          <cell r="F182" t="str">
            <v>Name of the source processing type, values include backdated, initial, cancel, correction or reversal.</v>
          </cell>
        </row>
        <row r="183">
          <cell r="A183" t="str">
            <v>SRC_STM_CD</v>
          </cell>
          <cell r="B183" t="str">
            <v>VARCHAR2(20 BYTE)</v>
          </cell>
          <cell r="C183" t="str">
            <v>Yes</v>
          </cell>
          <cell r="E183">
            <v>133</v>
          </cell>
          <cell r="F183" t="str">
            <v>Code for the source system information coming from Transaction. e.g., BKRBO1, BKRBO2, RJBNK1, ISO</v>
          </cell>
        </row>
        <row r="184">
          <cell r="A184" t="str">
            <v>SRC_STM_ID</v>
          </cell>
          <cell r="B184" t="str">
            <v>NUMBER(38,0)</v>
          </cell>
          <cell r="C184" t="str">
            <v>Yes</v>
          </cell>
          <cell r="E184">
            <v>175</v>
          </cell>
          <cell r="F184" t="str">
            <v>Source system Id coming from Transaction. This could be different from Source system Id coming from Arrangement information.</v>
          </cell>
        </row>
        <row r="185">
          <cell r="A185" t="str">
            <v>SRC_STM_NM</v>
          </cell>
          <cell r="B185" t="str">
            <v>VARCHAR2(60 BYTE)</v>
          </cell>
          <cell r="C185" t="str">
            <v>Yes</v>
          </cell>
          <cell r="E185">
            <v>201</v>
          </cell>
          <cell r="F185" t="str">
            <v>Name of the source system information coming from Transaction. e.g., SIS - Securities Industry Software, Raymond James, Raymond James Bank, Shadow Suite</v>
          </cell>
        </row>
        <row r="186">
          <cell r="A186" t="str">
            <v>SRC_TXN_CODE</v>
          </cell>
          <cell r="B186" t="str">
            <v>NUMBER(38,0)</v>
          </cell>
          <cell r="C186" t="str">
            <v>Yes</v>
          </cell>
          <cell r="E186">
            <v>138</v>
          </cell>
          <cell r="F186" t="str">
            <v>A code that represents the source of the transaction.  Possible values of transaction code include CD Adjustment, Interest Adjustment, and Withdrawal/Redemption.</v>
          </cell>
        </row>
        <row r="187">
          <cell r="A187" t="str">
            <v>SRC_TXN_SEQ_NUM</v>
          </cell>
          <cell r="B187" t="str">
            <v>NUMBER(38,0)</v>
          </cell>
          <cell r="C187" t="str">
            <v>Yes</v>
          </cell>
          <cell r="E187">
            <v>169</v>
          </cell>
          <cell r="F187" t="str">
            <v>Transaction number assigned to the transaction in the source system.</v>
          </cell>
        </row>
        <row r="188">
          <cell r="A188" t="str">
            <v>TD</v>
          </cell>
          <cell r="B188" t="str">
            <v>DATE</v>
          </cell>
          <cell r="C188" t="str">
            <v>No</v>
          </cell>
          <cell r="E188">
            <v>20</v>
          </cell>
          <cell r="F188" t="str">
            <v>Trade date of the transaction</v>
          </cell>
        </row>
        <row r="189">
          <cell r="A189" t="str">
            <v>TD_DIM_ID</v>
          </cell>
          <cell r="B189" t="str">
            <v>NUMBER(38,0)</v>
          </cell>
          <cell r="C189" t="str">
            <v>No</v>
          </cell>
          <cell r="E189">
            <v>19</v>
          </cell>
          <cell r="F189" t="str">
            <v>Synthetic Key identifying a single date in the DATE Dimension, based on Trade date</v>
          </cell>
        </row>
        <row r="190">
          <cell r="A190" t="str">
            <v>TRD_NUM</v>
          </cell>
          <cell r="B190" t="str">
            <v>VARCHAR2(15 BYTE)</v>
          </cell>
          <cell r="C190" t="str">
            <v>Yes</v>
          </cell>
          <cell r="E190">
            <v>28</v>
          </cell>
          <cell r="F190" t="str">
            <v>An identification number of the trade (transaction number) that represents an executed FMI trade transaction.</v>
          </cell>
        </row>
        <row r="191">
          <cell r="A191" t="str">
            <v>TRD_SLCT_TP_CD</v>
          </cell>
          <cell r="B191" t="str">
            <v>VARCHAR2(20 BYTE)</v>
          </cell>
          <cell r="C191" t="str">
            <v>Yes</v>
          </cell>
          <cell r="E191">
            <v>128</v>
          </cell>
          <cell r="F191" t="str">
            <v>A code for the solicitation method in which the trade was executed.  A trade can be initiated by the broker, the client, or done at discretion of broker in discretionary accounts.</v>
          </cell>
        </row>
        <row r="192">
          <cell r="A192" t="str">
            <v>TRD_SLCT_TP_DIM_ID</v>
          </cell>
          <cell r="B192" t="str">
            <v>NUMBER(38,0)</v>
          </cell>
          <cell r="C192" t="str">
            <v>No</v>
          </cell>
          <cell r="E192">
            <v>15</v>
          </cell>
          <cell r="F192" t="str">
            <v>Surrogate key for the Trade Solicitation Type Dimension</v>
          </cell>
        </row>
        <row r="193">
          <cell r="A193" t="str">
            <v>TRD_SLCT_TP_ID</v>
          </cell>
          <cell r="B193" t="str">
            <v>NUMBER(38,0)</v>
          </cell>
          <cell r="C193" t="str">
            <v>Yes</v>
          </cell>
          <cell r="E193">
            <v>187</v>
          </cell>
          <cell r="F193" t="str">
            <v>Identifier for the Trade Solicitation Type</v>
          </cell>
        </row>
        <row r="194">
          <cell r="A194" t="str">
            <v>TRD_SLCT_TP_NM</v>
          </cell>
          <cell r="B194" t="str">
            <v>VARCHAR2(200 BYTE)</v>
          </cell>
          <cell r="C194" t="str">
            <v>Yes</v>
          </cell>
          <cell r="E194">
            <v>129</v>
          </cell>
          <cell r="F194" t="str">
            <v>Tname of the solicitation method in which the trade was executed.  A trade can be initiated by the broker, the client, or done at discretion of broker in discretionary accounts.</v>
          </cell>
        </row>
        <row r="195">
          <cell r="A195" t="str">
            <v>TXN_CL_F</v>
          </cell>
          <cell r="B195" t="str">
            <v>VARCHAR2(2 BYTE)</v>
          </cell>
          <cell r="C195" t="str">
            <v>Yes</v>
          </cell>
          <cell r="E195">
            <v>53</v>
          </cell>
          <cell r="F195" t="str">
            <v>Transaction Classification Flag</v>
          </cell>
        </row>
        <row r="196">
          <cell r="A196" t="str">
            <v>TXN_ID</v>
          </cell>
          <cell r="B196" t="str">
            <v>NUMBER(38,0)</v>
          </cell>
          <cell r="C196" t="str">
            <v>No</v>
          </cell>
          <cell r="E196">
            <v>26</v>
          </cell>
          <cell r="F196" t="str">
            <v>CDS assigned numeric identfier of the transaction</v>
          </cell>
        </row>
        <row r="197">
          <cell r="A197" t="str">
            <v>TXN_RCNCL_REPL_CNT</v>
          </cell>
          <cell r="B197" t="str">
            <v>NUMBER(38,0)</v>
          </cell>
          <cell r="C197" t="str">
            <v>Yes</v>
          </cell>
          <cell r="E197">
            <v>178</v>
          </cell>
          <cell r="F197" t="str">
            <v>Numeric counter to show how many attempts were done to reconcile transactions on this account/product/type with the corresponding EOD positions. The default value load is '0' and counter is incremented by '1' as transaction is replayed.</v>
          </cell>
        </row>
        <row r="198">
          <cell r="A198" t="str">
            <v>TXN_RCNCL_ST_CD</v>
          </cell>
          <cell r="B198" t="str">
            <v>VARCHAR2(20 BYTE)</v>
          </cell>
          <cell r="C198" t="str">
            <v>Yes</v>
          </cell>
          <cell r="E198">
            <v>197</v>
          </cell>
          <cell r="F198" t="e">
            <v>#VALUE!</v>
          </cell>
        </row>
        <row r="199">
          <cell r="A199" t="str">
            <v>TXN_RCNCL_ST_ID</v>
          </cell>
          <cell r="B199" t="str">
            <v>NUMBER(38,0)</v>
          </cell>
          <cell r="C199" t="str">
            <v>Yes</v>
          </cell>
          <cell r="E199">
            <v>179</v>
          </cell>
          <cell r="F199" t="e">
            <v>#VALUE!</v>
          </cell>
        </row>
        <row r="200">
          <cell r="A200" t="str">
            <v>TXN_RCNCL_ST_NM</v>
          </cell>
          <cell r="B200" t="str">
            <v>VARCHAR2(200 BYTE)</v>
          </cell>
          <cell r="C200" t="str">
            <v>Yes</v>
          </cell>
          <cell r="E200">
            <v>198</v>
          </cell>
          <cell r="F200" t="e">
            <v>#VALUE!</v>
          </cell>
        </row>
        <row r="201">
          <cell r="A201" t="str">
            <v>TXN_SBTP_ID</v>
          </cell>
          <cell r="B201" t="str">
            <v>NUMBER(38,0)</v>
          </cell>
          <cell r="C201" t="str">
            <v>Yes</v>
          </cell>
          <cell r="E201">
            <v>63</v>
          </cell>
          <cell r="F201" t="str">
            <v>CDS assigned Identifier for the transaction subtype  - used for data lineage</v>
          </cell>
        </row>
        <row r="202">
          <cell r="A202" t="str">
            <v>TXN_SRC_KEY</v>
          </cell>
          <cell r="B202" t="str">
            <v>VARCHAR2(200 BYTE)</v>
          </cell>
          <cell r="C202" t="str">
            <v>Yes</v>
          </cell>
          <cell r="E202">
            <v>30</v>
          </cell>
          <cell r="F202" t="str">
            <v>A unique key which will help tie a CCAL transaction to the original source system transaction for research purposes.</v>
          </cell>
        </row>
        <row r="203">
          <cell r="A203" t="str">
            <v>TXN_SRC_STM_DIM_ID</v>
          </cell>
          <cell r="B203" t="str">
            <v>NUMBER(38,0)</v>
          </cell>
          <cell r="C203" t="str">
            <v>No</v>
          </cell>
          <cell r="E203">
            <v>16</v>
          </cell>
          <cell r="F203" t="str">
            <v>Surrogate Key for Source system dimension based on source system information coming from Transaction.</v>
          </cell>
        </row>
        <row r="204">
          <cell r="A204" t="str">
            <v>TXN_SUB_TP_CD</v>
          </cell>
          <cell r="B204" t="str">
            <v>VARCHAR2(20 BYTE)</v>
          </cell>
          <cell r="C204" t="str">
            <v>Yes</v>
          </cell>
          <cell r="E204">
            <v>65</v>
          </cell>
          <cell r="F204" t="e">
            <v>#VALUE!</v>
          </cell>
        </row>
        <row r="205">
          <cell r="A205" t="str">
            <v>TXN_SUB_TP_DSC</v>
          </cell>
          <cell r="B205" t="str">
            <v>VARCHAR2(1000 BYTE)</v>
          </cell>
          <cell r="C205" t="str">
            <v>Yes</v>
          </cell>
          <cell r="E205">
            <v>66</v>
          </cell>
          <cell r="F205" t="str">
            <v>Description for the Transaction Subtype code</v>
          </cell>
        </row>
        <row r="206">
          <cell r="A206" t="str">
            <v>TXN_SUB_TP_NM</v>
          </cell>
          <cell r="B206" t="str">
            <v>VARCHAR2(200 BYTE)</v>
          </cell>
          <cell r="C206" t="str">
            <v>Yes</v>
          </cell>
          <cell r="E206">
            <v>64</v>
          </cell>
          <cell r="F206" t="e">
            <v>#VALUE!</v>
          </cell>
        </row>
        <row r="207">
          <cell r="A207" t="str">
            <v>TXN_TP_CD</v>
          </cell>
          <cell r="B207" t="str">
            <v>VARCHAR2(20 BYTE)</v>
          </cell>
          <cell r="C207" t="str">
            <v>Yes</v>
          </cell>
          <cell r="E207">
            <v>60</v>
          </cell>
          <cell r="F207" t="e">
            <v>#VALUE!</v>
          </cell>
        </row>
        <row r="208">
          <cell r="A208" t="str">
            <v>TXN_TP_DSC</v>
          </cell>
          <cell r="B208" t="str">
            <v>VARCHAR2(1000 BYTE)</v>
          </cell>
          <cell r="C208" t="str">
            <v>Yes</v>
          </cell>
          <cell r="E208">
            <v>62</v>
          </cell>
          <cell r="F208" t="str">
            <v>Description for the Transaction type</v>
          </cell>
        </row>
        <row r="209">
          <cell r="A209" t="str">
            <v>TXN_TP_ID</v>
          </cell>
          <cell r="B209" t="str">
            <v>NUMBER(38,0)</v>
          </cell>
          <cell r="C209" t="str">
            <v>Yes</v>
          </cell>
          <cell r="E209">
            <v>59</v>
          </cell>
          <cell r="F209" t="str">
            <v>Identifier for the Transaction type</v>
          </cell>
        </row>
        <row r="210">
          <cell r="A210" t="str">
            <v>TXN_TP_NM</v>
          </cell>
          <cell r="B210" t="str">
            <v>VARCHAR2(200 BYTE)</v>
          </cell>
          <cell r="C210" t="str">
            <v>Yes</v>
          </cell>
          <cell r="E210">
            <v>61</v>
          </cell>
          <cell r="F210" t="str">
            <v>Name that represents transactions from different source systems of different types of trades.</v>
          </cell>
        </row>
      </sheetData>
      <sheetData sheetId="3"/>
      <sheetData sheetId="4"/>
      <sheetData sheetId="5"/>
      <sheetData sheetId="6"/>
      <sheetData sheetId="7"/>
      <sheetData sheetId="8">
        <row r="2">
          <cell r="C2" t="str">
            <v>ACAT Contra Firm Clearing Id Type Code</v>
          </cell>
          <cell r="D2" t="str">
            <v>ACAT_CNTRA_FIRM_CLRG_ID_TP_CD</v>
          </cell>
          <cell r="E2" t="str">
            <v>ACAT Broker ID Type</v>
          </cell>
          <cell r="F2" t="str">
            <v>Code_01</v>
          </cell>
          <cell r="G2" t="str">
            <v>VARCHAR2(1)</v>
          </cell>
          <cell r="H2" t="str">
            <v>NULL</v>
          </cell>
          <cell r="I2"/>
          <cell r="J2">
            <v>161</v>
          </cell>
        </row>
        <row r="3">
          <cell r="C3" t="str">
            <v>ACAT Contra Firm Clearing Number</v>
          </cell>
          <cell r="D3" t="str">
            <v>ACAT_CNTRA_FIRM_CLRG_NUM</v>
          </cell>
          <cell r="E3" t="e">
            <v>#VALUE!</v>
          </cell>
          <cell r="F3" t="str">
            <v>Code_04</v>
          </cell>
          <cell r="G3" t="str">
            <v>VARCHAR2(4)</v>
          </cell>
          <cell r="H3" t="str">
            <v>NULL</v>
          </cell>
          <cell r="I3"/>
          <cell r="J3">
            <v>158</v>
          </cell>
        </row>
        <row r="4">
          <cell r="C4" t="str">
            <v>ACAT Contra Firm Name</v>
          </cell>
          <cell r="D4" t="str">
            <v>ACAT_CNTRA_FIRM_NM</v>
          </cell>
          <cell r="E4" t="str">
            <v>ACAT Contra Firm Clearing Name</v>
          </cell>
          <cell r="F4" t="str">
            <v>Code_50</v>
          </cell>
          <cell r="G4" t="str">
            <v>VARCHAR2(50)</v>
          </cell>
          <cell r="H4" t="str">
            <v>NULL</v>
          </cell>
          <cell r="I4"/>
          <cell r="J4">
            <v>159</v>
          </cell>
        </row>
        <row r="5">
          <cell r="C5" t="str">
            <v>ACAT Contra Firm Short Name</v>
          </cell>
          <cell r="D5" t="str">
            <v>ACAT_CNTRA_FIRM_SHRT_NM</v>
          </cell>
          <cell r="E5" t="str">
            <v>ACAT Contra Firm Clearing Short Name</v>
          </cell>
          <cell r="F5" t="str">
            <v>Name_15</v>
          </cell>
          <cell r="G5" t="str">
            <v>VARCHAR2(15)</v>
          </cell>
          <cell r="H5" t="str">
            <v>NULL</v>
          </cell>
          <cell r="I5"/>
          <cell r="J5">
            <v>160</v>
          </cell>
        </row>
        <row r="6">
          <cell r="C6" t="str">
            <v>Account Category</v>
          </cell>
          <cell r="D6" t="str">
            <v>AC_CGY</v>
          </cell>
          <cell r="E6" t="str">
            <v>The classification group under which an Arrangement Product falls. In brokerage, this category is closely related to how fees are applied to the arrangement.</v>
          </cell>
          <cell r="F6"/>
          <cell r="G6" t="str">
            <v>VARCHAR2(100)</v>
          </cell>
          <cell r="H6" t="str">
            <v>NULL</v>
          </cell>
          <cell r="I6"/>
          <cell r="J6">
            <v>254</v>
          </cell>
        </row>
        <row r="7">
          <cell r="C7" t="str">
            <v>Account Category Code</v>
          </cell>
          <cell r="D7" t="str">
            <v>AC_CGY_CD</v>
          </cell>
          <cell r="E7" t="str">
            <v>A code representing the group under which an Arrangement Product falls. In brokerage, this code is closely related to how fees are applied to the arrangement.</v>
          </cell>
          <cell r="F7"/>
          <cell r="G7" t="str">
            <v>VARCHAR2(20)</v>
          </cell>
          <cell r="H7" t="str">
            <v>NULL</v>
          </cell>
          <cell r="I7"/>
          <cell r="J7">
            <v>252</v>
          </cell>
        </row>
        <row r="8">
          <cell r="C8" t="str">
            <v>Account Ownership Type</v>
          </cell>
          <cell r="D8" t="str">
            <v>AC_OWNSHP_TP</v>
          </cell>
          <cell r="E8" t="e">
            <v>#VALUE!</v>
          </cell>
          <cell r="F8"/>
          <cell r="G8" t="str">
            <v>VARCHAR2(100)</v>
          </cell>
          <cell r="H8" t="str">
            <v>NULL</v>
          </cell>
          <cell r="I8"/>
          <cell r="J8">
            <v>271</v>
          </cell>
        </row>
        <row r="9">
          <cell r="C9" t="str">
            <v>Account Ownership Type Code</v>
          </cell>
          <cell r="D9" t="str">
            <v>AC_OWNSHP_TP_CD</v>
          </cell>
          <cell r="E9" t="e">
            <v>#VALUE!</v>
          </cell>
          <cell r="F9"/>
          <cell r="G9" t="str">
            <v>VARCHAR2(20)</v>
          </cell>
          <cell r="H9" t="str">
            <v>NULL</v>
          </cell>
          <cell r="I9"/>
          <cell r="J9">
            <v>269</v>
          </cell>
        </row>
        <row r="10">
          <cell r="C10" t="str">
            <v>Accounting Type Code</v>
          </cell>
          <cell r="D10" t="str">
            <v>ACG_TP_CD</v>
          </cell>
          <cell r="E10" t="str">
            <v>Accounting type code from SIS (e.g., 1,2)</v>
          </cell>
          <cell r="F10" t="str">
            <v>Code_01</v>
          </cell>
          <cell r="G10" t="str">
            <v>VARCHAR2(1)</v>
          </cell>
          <cell r="H10" t="str">
            <v>NULL</v>
          </cell>
          <cell r="I10"/>
          <cell r="J10">
            <v>102</v>
          </cell>
        </row>
        <row r="11">
          <cell r="C11" t="str">
            <v>Accounting Type Dimension Id</v>
          </cell>
          <cell r="D11" t="str">
            <v>ACG_TP_DIM_ID</v>
          </cell>
          <cell r="E11" t="str">
            <v>Surrogate key for SIS Accounting Dimension</v>
          </cell>
          <cell r="F11" t="str">
            <v>NINI_NOT_NULL</v>
          </cell>
          <cell r="G11" t="str">
            <v>NUMBER(38,0)</v>
          </cell>
          <cell r="H11" t="str">
            <v>NOT NULL</v>
          </cell>
          <cell r="I11"/>
          <cell r="J11">
            <v>41</v>
          </cell>
        </row>
        <row r="12">
          <cell r="C12" t="str">
            <v>Accounting Type Id</v>
          </cell>
          <cell r="D12" t="str">
            <v>ACG_TP_ID</v>
          </cell>
          <cell r="E12" t="str">
            <v>Numeric identifier of the accounting type ID (e.g., 1006, 1001)</v>
          </cell>
          <cell r="F12" t="str">
            <v>NINI</v>
          </cell>
          <cell r="G12" t="str">
            <v>NUMBER(38,0)</v>
          </cell>
          <cell r="H12" t="str">
            <v>NULL</v>
          </cell>
          <cell r="I12"/>
          <cell r="J12">
            <v>192</v>
          </cell>
        </row>
        <row r="13">
          <cell r="C13" t="str">
            <v>Accounting Type Name</v>
          </cell>
          <cell r="D13" t="str">
            <v>ACG_TP_NM</v>
          </cell>
          <cell r="E13" t="str">
            <v>It is the Sub Account associated with the position identifying the regulatory needs of the position. (e.g., cash account,margin account)</v>
          </cell>
          <cell r="F13" t="str">
            <v>Name_30</v>
          </cell>
          <cell r="G13" t="str">
            <v>VARCHAR2(30)</v>
          </cell>
          <cell r="H13" t="str">
            <v>NULL</v>
          </cell>
          <cell r="I13"/>
          <cell r="J13">
            <v>101</v>
          </cell>
        </row>
        <row r="14">
          <cell r="C14" t="str">
            <v>Accrued Interest Amount</v>
          </cell>
          <cell r="D14" t="str">
            <v>ACR_INT_AMT</v>
          </cell>
          <cell r="E14" t="str">
            <v>The amount of fixed income security interest that has accumulated between the most recent interest payment and the trade</v>
          </cell>
          <cell r="F14" t="str">
            <v>A38d6</v>
          </cell>
          <cell r="G14" t="str">
            <v>NUMBER(38,6)</v>
          </cell>
          <cell r="H14" t="str">
            <v>NULL</v>
          </cell>
          <cell r="I14"/>
          <cell r="J14">
            <v>221</v>
          </cell>
        </row>
        <row r="15">
          <cell r="C15" t="str">
            <v>Active Flag</v>
          </cell>
          <cell r="D15" t="str">
            <v>ACTV_F</v>
          </cell>
          <cell r="E15" t="str">
            <v>Indicates that the row is active</v>
          </cell>
          <cell r="F15" t="str">
            <v>Flag</v>
          </cell>
          <cell r="G15" t="str">
            <v>VARCHAR2(1)</v>
          </cell>
          <cell r="H15" t="str">
            <v>NOT NULL</v>
          </cell>
          <cell r="I15"/>
          <cell r="J15">
            <v>95</v>
          </cell>
        </row>
        <row r="16">
          <cell r="C16" t="str">
            <v>Actual Commission Amount</v>
          </cell>
          <cell r="D16" t="str">
            <v>ACT_CMSN_AMT</v>
          </cell>
          <cell r="E16" t="str">
            <v>Actual amount charged by broker or intermediary for a trade execution.</v>
          </cell>
          <cell r="F16" t="str">
            <v>A38d6</v>
          </cell>
          <cell r="G16" t="str">
            <v>NUMBER(38,6)</v>
          </cell>
          <cell r="H16" t="str">
            <v>NULL</v>
          </cell>
          <cell r="I16"/>
          <cell r="J16">
            <v>218</v>
          </cell>
        </row>
        <row r="17">
          <cell r="C17" t="str">
            <v>Additional Trade Instruction</v>
          </cell>
          <cell r="D17" t="str">
            <v>ADL_TRD_INSR</v>
          </cell>
          <cell r="E17" t="str">
            <v>Five character code used to override an Edit Message to give the system special handling instructions for the trade.</v>
          </cell>
          <cell r="F17"/>
          <cell r="G17" t="str">
            <v>VARCHAR2(5)</v>
          </cell>
          <cell r="H17" t="str">
            <v>NULL</v>
          </cell>
          <cell r="I17"/>
          <cell r="J17">
            <v>214</v>
          </cell>
        </row>
        <row r="18">
          <cell r="C18" t="str">
            <v>Aggregate Original Fees</v>
          </cell>
          <cell r="D18" t="str">
            <v>AGRT_ORIG_FEES</v>
          </cell>
          <cell r="E18" t="str">
            <v>**Deprecated field. Not supported anymore.**</v>
          </cell>
          <cell r="F18" t="str">
            <v>Number Number</v>
          </cell>
          <cell r="G18" t="str">
            <v>NUMBER(0,0)</v>
          </cell>
          <cell r="H18" t="str">
            <v>NULL</v>
          </cell>
          <cell r="I18"/>
          <cell r="J18">
            <v>87</v>
          </cell>
        </row>
        <row r="19">
          <cell r="C19" t="str">
            <v>Aggregate Statement Fees</v>
          </cell>
          <cell r="D19" t="str">
            <v>AGRT_STMT_FEES</v>
          </cell>
          <cell r="E19" t="str">
            <v>**Deprecated field. Not supported anymore.**</v>
          </cell>
          <cell r="F19" t="str">
            <v>Number Number</v>
          </cell>
          <cell r="G19" t="str">
            <v>NUMBER(0,0)</v>
          </cell>
          <cell r="H19" t="str">
            <v>NULL</v>
          </cell>
          <cell r="I19"/>
          <cell r="J19">
            <v>88</v>
          </cell>
        </row>
        <row r="20">
          <cell r="C20" t="str">
            <v>Arrangement Dimension Id</v>
          </cell>
          <cell r="D20" t="str">
            <v>AR_DIM_ID</v>
          </cell>
          <cell r="E20" t="str">
            <v>Surrogate Key for Arrangement Dimension corresponding to AR_ID</v>
          </cell>
          <cell r="F20" t="str">
            <v>NINI</v>
          </cell>
          <cell r="G20" t="str">
            <v>NUMBER(38,0)</v>
          </cell>
          <cell r="H20" t="str">
            <v>NOT NULL</v>
          </cell>
          <cell r="I20"/>
          <cell r="J20">
            <v>3</v>
          </cell>
        </row>
        <row r="21">
          <cell r="C21" t="str">
            <v>Arrangement Id</v>
          </cell>
          <cell r="D21" t="str">
            <v>AR_ID</v>
          </cell>
          <cell r="E21" t="str">
            <v>Arrangement Id of the Arrangement this APA belongs to.</v>
          </cell>
          <cell r="F21" t="str">
            <v>NINI</v>
          </cell>
          <cell r="G21" t="str">
            <v>NUMBER(38,0)</v>
          </cell>
          <cell r="H21" t="str">
            <v>NULL</v>
          </cell>
          <cell r="I21"/>
          <cell r="J21">
            <v>103</v>
          </cell>
        </row>
        <row r="22">
          <cell r="C22" t="str">
            <v>Arrangement Originating Source System Code</v>
          </cell>
          <cell r="D22" t="str">
            <v>AR_ORIG_SRC_STM_CD</v>
          </cell>
          <cell r="E22" t="str">
            <v>Code that represents the source system from which CDS database receives/obtains the underlying Arrangement from.</v>
          </cell>
          <cell r="F22" t="str">
            <v>Code_20</v>
          </cell>
          <cell r="G22" t="str">
            <v>VARCHAR2(20)</v>
          </cell>
          <cell r="H22" t="str">
            <v>NULL</v>
          </cell>
          <cell r="I22"/>
          <cell r="J22">
            <v>185</v>
          </cell>
        </row>
        <row r="23">
          <cell r="C23" t="str">
            <v>Arrangement Settlement Type Code</v>
          </cell>
          <cell r="D23" t="str">
            <v>AR_SETL_TP_CD</v>
          </cell>
          <cell r="E23" t="str">
            <v>A code that identifies how an arrangement settles its security transactions.</v>
          </cell>
          <cell r="F23" t="str">
            <v>Code_20</v>
          </cell>
          <cell r="G23" t="str">
            <v>VARCHAR2(20)</v>
          </cell>
          <cell r="H23" t="str">
            <v>NULL</v>
          </cell>
          <cell r="I23"/>
          <cell r="J23">
            <v>190</v>
          </cell>
        </row>
        <row r="24">
          <cell r="C24" t="str">
            <v>Arrangement Settlement Type Description</v>
          </cell>
          <cell r="D24" t="str">
            <v>AR_SETL_TP_DSC</v>
          </cell>
          <cell r="E24" t="str">
            <v>A description that identifies how an arrangement settles its security transactions.</v>
          </cell>
          <cell r="F24" t="str">
            <v>Name_100</v>
          </cell>
          <cell r="G24" t="str">
            <v>VARCHAR2(100)</v>
          </cell>
          <cell r="H24" t="str">
            <v>NULL</v>
          </cell>
          <cell r="I24"/>
          <cell r="J24">
            <v>191</v>
          </cell>
        </row>
        <row r="25">
          <cell r="C25" t="str">
            <v>Batch Date</v>
          </cell>
          <cell r="D25" t="str">
            <v>BATCH_DT</v>
          </cell>
          <cell r="E25" t="str">
            <v>Business Date for the Load run of the Activity Asset Packager row IBM Unique ID:BDW03041</v>
          </cell>
          <cell r="F25" t="str">
            <v>Date</v>
          </cell>
          <cell r="G25" t="str">
            <v>DATE</v>
          </cell>
          <cell r="H25" t="str">
            <v>NULL</v>
          </cell>
          <cell r="I25"/>
          <cell r="J25">
            <v>104</v>
          </cell>
        </row>
        <row r="26">
          <cell r="C26" t="str">
            <v>Booking Date</v>
          </cell>
          <cell r="D26" t="str">
            <v>BKG_DT</v>
          </cell>
          <cell r="E26" t="str">
            <v>System generated Date Time stamp when the record was created.  In SIS would be represented by Effective Date.</v>
          </cell>
          <cell r="F26" t="str">
            <v>Date</v>
          </cell>
          <cell r="G26" t="str">
            <v>DATE</v>
          </cell>
          <cell r="H26" t="str">
            <v>NULL</v>
          </cell>
          <cell r="I26"/>
          <cell r="J26">
            <v>21</v>
          </cell>
        </row>
        <row r="27">
          <cell r="C27" t="str">
            <v>Branch Code</v>
          </cell>
          <cell r="D27" t="str">
            <v>BR_CD</v>
          </cell>
          <cell r="E27" t="str">
            <v>Entity Code of the Financial Advisor that is executing the trade.</v>
          </cell>
          <cell r="F27" t="str">
            <v>Code_20</v>
          </cell>
          <cell r="G27" t="str">
            <v>VARCHAR2(20)</v>
          </cell>
          <cell r="H27" t="str">
            <v>NULL</v>
          </cell>
          <cell r="I27"/>
          <cell r="J27">
            <v>92</v>
          </cell>
        </row>
        <row r="28">
          <cell r="C28" t="str">
            <v>Brokerage ABC Class</v>
          </cell>
          <cell r="D28" t="str">
            <v>BKR_ABC_CLSS</v>
          </cell>
          <cell r="E28" t="e">
            <v>#VALUE!</v>
          </cell>
          <cell r="F28"/>
          <cell r="G28" t="str">
            <v>VARCHAR2(500)</v>
          </cell>
          <cell r="H28" t="str">
            <v>NULL</v>
          </cell>
          <cell r="I28"/>
          <cell r="J28">
            <v>251</v>
          </cell>
        </row>
        <row r="29">
          <cell r="C29" t="str">
            <v>Brokerage ABC Class Code</v>
          </cell>
          <cell r="D29" t="str">
            <v>BKR_ABC_CLSS_CD</v>
          </cell>
          <cell r="E29" t="e">
            <v>#VALUE!</v>
          </cell>
          <cell r="F29"/>
          <cell r="G29" t="str">
            <v>VARCHAR2(50)</v>
          </cell>
          <cell r="H29" t="str">
            <v>NULL</v>
          </cell>
          <cell r="I29"/>
          <cell r="J29">
            <v>250</v>
          </cell>
        </row>
        <row r="30">
          <cell r="C30" t="str">
            <v>Brokerage Account Category</v>
          </cell>
          <cell r="D30" t="str">
            <v>BKR_AC_CGY</v>
          </cell>
          <cell r="E30" t="str">
            <v>The classification group under which an Arrangement Product falls. In brokerage, this category is closely related to how fees are applied to the arrangement.</v>
          </cell>
          <cell r="F30"/>
          <cell r="G30" t="str">
            <v>VARCHAR2(100)</v>
          </cell>
          <cell r="H30" t="str">
            <v>NULL</v>
          </cell>
          <cell r="I30"/>
          <cell r="J30">
            <v>255</v>
          </cell>
        </row>
        <row r="31">
          <cell r="C31" t="str">
            <v>Brokerage Account Category Code</v>
          </cell>
          <cell r="D31" t="str">
            <v>BKR_AC_CGY_CD</v>
          </cell>
          <cell r="E31" t="str">
            <v>A code representing the group under which an Arrangement Product falls. In brokerage, this code is closely related to how fees are applied to the arrangement.</v>
          </cell>
          <cell r="F31"/>
          <cell r="G31" t="str">
            <v>VARCHAR2(20)</v>
          </cell>
          <cell r="H31" t="str">
            <v>NULL</v>
          </cell>
          <cell r="I31"/>
          <cell r="J31">
            <v>253</v>
          </cell>
        </row>
        <row r="32">
          <cell r="C32" t="str">
            <v>Brokerage Account Number</v>
          </cell>
          <cell r="D32" t="str">
            <v>BKR_AC_NUM</v>
          </cell>
          <cell r="E32" t="str">
            <v>A unique identifier assigned to the brokerage account that serves as the primary reference point within an arrangement or account group.</v>
          </cell>
          <cell r="F32"/>
          <cell r="G32" t="str">
            <v>VARCHAR2(50)</v>
          </cell>
          <cell r="H32" t="str">
            <v>NULL</v>
          </cell>
          <cell r="I32"/>
          <cell r="J32">
            <v>238</v>
          </cell>
        </row>
        <row r="33">
          <cell r="C33" t="str">
            <v>Brokerage Account Ownership Type</v>
          </cell>
          <cell r="D33" t="str">
            <v>BKR_AC_OWNSHP_TP</v>
          </cell>
          <cell r="E33" t="e">
            <v>#VALUE!</v>
          </cell>
          <cell r="F33"/>
          <cell r="G33" t="str">
            <v>VARCHAR2(100)</v>
          </cell>
          <cell r="H33" t="str">
            <v>NULL</v>
          </cell>
          <cell r="I33"/>
          <cell r="J33">
            <v>272</v>
          </cell>
        </row>
        <row r="34">
          <cell r="C34" t="str">
            <v>Brokerage Account Ownership Type Code</v>
          </cell>
          <cell r="D34" t="str">
            <v>BKR_AC_OWNSHP_TP_CD</v>
          </cell>
          <cell r="E34" t="e">
            <v>#VALUE!</v>
          </cell>
          <cell r="F34"/>
          <cell r="G34" t="str">
            <v>VARCHAR2(20)</v>
          </cell>
          <cell r="H34" t="str">
            <v>NULL</v>
          </cell>
          <cell r="I34"/>
          <cell r="J34">
            <v>270</v>
          </cell>
        </row>
        <row r="35">
          <cell r="C35" t="str">
            <v>Brokerage Arrangement Dim Id</v>
          </cell>
          <cell r="D35" t="str">
            <v>BKR_AR_DIM_ID</v>
          </cell>
          <cell r="E35" t="str">
            <v>Surrogate Key for Brokerage Arrangement Dimension</v>
          </cell>
          <cell r="F35" t="str">
            <v>NINI</v>
          </cell>
          <cell r="G35" t="str">
            <v>NUMBER(38,0)</v>
          </cell>
          <cell r="H35" t="str">
            <v>NOT NULL</v>
          </cell>
          <cell r="I35"/>
          <cell r="J35">
            <v>4</v>
          </cell>
        </row>
        <row r="36">
          <cell r="C36" t="str">
            <v>Brokerage Arrangement Id</v>
          </cell>
          <cell r="D36" t="str">
            <v>BKR_AR_ID</v>
          </cell>
          <cell r="E36" t="str">
            <v>Brokerage arrangement associated with the Arrangement id. If the transaction is for a brokerage arrangement than both will have same value.</v>
          </cell>
          <cell r="F36" t="str">
            <v>NINI</v>
          </cell>
          <cell r="G36" t="str">
            <v>NUMBER(38,0)</v>
          </cell>
          <cell r="H36" t="str">
            <v>NULL</v>
          </cell>
          <cell r="I36"/>
          <cell r="J36">
            <v>105</v>
          </cell>
        </row>
        <row r="37">
          <cell r="C37" t="str">
            <v>Brokerage Business Line Affiliation</v>
          </cell>
          <cell r="D37" t="str">
            <v>BKR_BSN_LINE_AFFLT</v>
          </cell>
          <cell r="E37" t="e">
            <v>#VALUE!</v>
          </cell>
          <cell r="F37"/>
          <cell r="G37" t="str">
            <v>VARCHAR2(100)</v>
          </cell>
          <cell r="H37" t="str">
            <v>NULL</v>
          </cell>
          <cell r="I37"/>
          <cell r="J37">
            <v>256</v>
          </cell>
        </row>
        <row r="38">
          <cell r="C38" t="str">
            <v>Brokerage Business Line Affiliation Code</v>
          </cell>
          <cell r="D38" t="str">
            <v>BKR_BSN_LINE_AFFLT_CD</v>
          </cell>
          <cell r="E38" t="e">
            <v>#VALUE!</v>
          </cell>
          <cell r="F38"/>
          <cell r="G38" t="str">
            <v>VARCHAR2(20)</v>
          </cell>
          <cell r="H38" t="str">
            <v>NULL</v>
          </cell>
          <cell r="I38"/>
          <cell r="J38">
            <v>257</v>
          </cell>
        </row>
        <row r="39">
          <cell r="C39" t="str">
            <v>Brokerage ERISA Flag</v>
          </cell>
          <cell r="D39" t="str">
            <v>BKR_ERISA_F</v>
          </cell>
          <cell r="E39" t="e">
            <v>#VALUE!</v>
          </cell>
          <cell r="F39"/>
          <cell r="G39" t="str">
            <v>VARCHAR2(1)</v>
          </cell>
          <cell r="H39" t="str">
            <v>NULL</v>
          </cell>
          <cell r="I39"/>
          <cell r="J39">
            <v>248</v>
          </cell>
        </row>
        <row r="40">
          <cell r="C40" t="str">
            <v>Brokerage Fee Based Account Flag</v>
          </cell>
          <cell r="D40" t="str">
            <v>BKR_FEE_BASE_AC_F</v>
          </cell>
          <cell r="E40" t="str">
            <v>Indicates if an account is fee based or not.</v>
          </cell>
          <cell r="F40"/>
          <cell r="G40" t="str">
            <v>VARCHAR2(1)</v>
          </cell>
          <cell r="H40" t="str">
            <v>NULL</v>
          </cell>
          <cell r="I40"/>
          <cell r="J40">
            <v>274</v>
          </cell>
        </row>
        <row r="41">
          <cell r="C41" t="str">
            <v>Brokerage Firm Account Flag</v>
          </cell>
          <cell r="D41" t="str">
            <v>BKR_FIRM_AC_F</v>
          </cell>
          <cell r="E41" t="str">
            <v>Indicates that this arrangement is owned by RJ</v>
          </cell>
          <cell r="F41"/>
          <cell r="G41" t="str">
            <v>VARCHAR2(1)</v>
          </cell>
          <cell r="H41" t="str">
            <v>NULL</v>
          </cell>
          <cell r="I41"/>
          <cell r="J41">
            <v>273</v>
          </cell>
        </row>
        <row r="42">
          <cell r="C42" t="str">
            <v>Brokerage IRA Flag</v>
          </cell>
          <cell r="D42" t="str">
            <v>BKR_IRA_F</v>
          </cell>
          <cell r="E42" t="str">
            <v>This identifies if an account is an individual retirement account.</v>
          </cell>
          <cell r="F42"/>
          <cell r="G42" t="str">
            <v>VARCHAR2(1)</v>
          </cell>
          <cell r="H42" t="str">
            <v>NULL</v>
          </cell>
          <cell r="I42"/>
          <cell r="J42">
            <v>247</v>
          </cell>
        </row>
        <row r="43">
          <cell r="C43" t="str">
            <v>Brokerage Originating Source System Code</v>
          </cell>
          <cell r="D43" t="str">
            <v>BKR_ORIG_SRC_STM_CD</v>
          </cell>
          <cell r="E43" t="str">
            <v>A code that defines the source system associated with a specific arrangement identifier value (e.g. account number) where the arrangement identifier value was originally generated and maintained.</v>
          </cell>
          <cell r="F43"/>
          <cell r="G43" t="str">
            <v>VARCHAR2(20)</v>
          </cell>
          <cell r="H43" t="str">
            <v>NULL</v>
          </cell>
          <cell r="I43"/>
          <cell r="J43">
            <v>249</v>
          </cell>
        </row>
        <row r="44">
          <cell r="C44" t="str">
            <v>Brokerage RJ Business Unit</v>
          </cell>
          <cell r="D44" t="str">
            <v>BKR_RJ_BSN_UNIT</v>
          </cell>
          <cell r="E44" t="str">
            <v>Business unit of Raymond James this arrangement belongs to.</v>
          </cell>
          <cell r="F44"/>
          <cell r="G44" t="str">
            <v>VARCHAR2(500)</v>
          </cell>
          <cell r="H44" t="str">
            <v>NULL</v>
          </cell>
          <cell r="I44"/>
          <cell r="J44">
            <v>268</v>
          </cell>
        </row>
        <row r="45">
          <cell r="C45" t="str">
            <v>Brokerage RJ Business Unit Code</v>
          </cell>
          <cell r="D45" t="str">
            <v>BKR_RJ_BSN_UNIT_CD</v>
          </cell>
          <cell r="E45" t="str">
            <v>A code that indicates a business unit of Raymond James this arrangement belongs to.</v>
          </cell>
          <cell r="F45"/>
          <cell r="G45" t="str">
            <v>VARCHAR2(40)</v>
          </cell>
          <cell r="H45" t="str">
            <v>NULL</v>
          </cell>
          <cell r="I45"/>
          <cell r="J45">
            <v>266</v>
          </cell>
        </row>
        <row r="46">
          <cell r="C46" t="str">
            <v>Brokerage RJ Tax Reporting Responsibility Flag</v>
          </cell>
          <cell r="D46" t="str">
            <v>BKR_RJ_TAX_RPT_RSPL_F</v>
          </cell>
          <cell r="E46" t="str">
            <v>Identifies whether RJ is responsible for the tax reporting on an arrangement. (Y = RJ is responsible, N=RJ is not responsible)</v>
          </cell>
          <cell r="F46"/>
          <cell r="G46" t="str">
            <v>VARCHAR2(1)</v>
          </cell>
          <cell r="H46" t="str">
            <v>NULL</v>
          </cell>
          <cell r="I46"/>
          <cell r="J46">
            <v>264</v>
          </cell>
        </row>
        <row r="47">
          <cell r="C47" t="str">
            <v>Brokerage RJ Trust Flag</v>
          </cell>
          <cell r="D47" t="str">
            <v>BKR_RJ_TRUST_F</v>
          </cell>
          <cell r="E47" t="str">
            <v>Indicates whether the linked brokerage account is associated with an RJ Trust arrangement. This flag is used to identify accounts managed under trust services for compliance, reporting, and operational purposes.</v>
          </cell>
          <cell r="F47"/>
          <cell r="G47" t="str">
            <v>VARCHAR2(1)</v>
          </cell>
          <cell r="H47" t="str">
            <v>NULL</v>
          </cell>
          <cell r="I47"/>
          <cell r="J47">
            <v>275</v>
          </cell>
        </row>
        <row r="48">
          <cell r="C48" t="str">
            <v>Brokerage Tax Reporting Client Id</v>
          </cell>
          <cell r="D48" t="str">
            <v>BKR_TAX_RPT_CLNT_ID</v>
          </cell>
          <cell r="E48" t="str">
            <v>The unique, enterprise-wide, identifier for a party for the party responsible for the tax liability for an arrangement.</v>
          </cell>
          <cell r="F48"/>
          <cell r="G48" t="str">
            <v>NUMBER(38,0)</v>
          </cell>
          <cell r="H48" t="str">
            <v>NULL</v>
          </cell>
          <cell r="I48"/>
          <cell r="J48">
            <v>261</v>
          </cell>
        </row>
        <row r="49">
          <cell r="C49" t="str">
            <v>Brokerage Taxable Account Flag</v>
          </cell>
          <cell r="D49" t="str">
            <v>BKR_TAX_AC_F</v>
          </cell>
          <cell r="E49" t="e">
            <v>#VALUE!</v>
          </cell>
          <cell r="F49"/>
          <cell r="G49" t="str">
            <v>VARCHAR2(1)</v>
          </cell>
          <cell r="H49" t="str">
            <v>NULL</v>
          </cell>
          <cell r="I49"/>
          <cell r="J49">
            <v>263</v>
          </cell>
        </row>
        <row r="50">
          <cell r="C50" t="str">
            <v>Brokerage Test Account Flag</v>
          </cell>
          <cell r="D50" t="str">
            <v>BKR_TST_AC_F</v>
          </cell>
          <cell r="E50" t="str">
            <v>Data Element is used to filter in/out test data (and test entity records).</v>
          </cell>
          <cell r="F50"/>
          <cell r="G50" t="str">
            <v>VARCHAR2(1)</v>
          </cell>
          <cell r="H50" t="str">
            <v>NULL</v>
          </cell>
          <cell r="I50"/>
          <cell r="J50">
            <v>259</v>
          </cell>
        </row>
        <row r="51">
          <cell r="C51" t="str">
            <v>Buy Sell Indicator</v>
          </cell>
          <cell r="D51" t="str">
            <v>BUY_SELL_IND</v>
          </cell>
          <cell r="E51" t="str">
            <v>Indicator to determine whether the transaction is a sale or a purchase</v>
          </cell>
          <cell r="F51" t="str">
            <v>Code_10</v>
          </cell>
          <cell r="G51" t="str">
            <v>VARCHAR2(10)</v>
          </cell>
          <cell r="H51" t="str">
            <v>NULL</v>
          </cell>
          <cell r="I51"/>
          <cell r="J51">
            <v>52</v>
          </cell>
        </row>
        <row r="52">
          <cell r="C52" t="str">
            <v>Cash Activity Category</v>
          </cell>
          <cell r="D52" t="str">
            <v>CASH_AVY_CGY</v>
          </cell>
          <cell r="E52" t="str">
            <v>Represents the specific Category of activity such as a 'Purchase' or 'Income'. Further refinement of the categories are captured under Activity Type.
This field will be populated only if the transaction has a Cash leg.</v>
          </cell>
          <cell r="F52" t="str">
            <v>Name_25</v>
          </cell>
          <cell r="G52" t="str">
            <v>VARCHAR2(25)</v>
          </cell>
          <cell r="H52" t="str">
            <v>NULL</v>
          </cell>
          <cell r="I52"/>
          <cell r="J52">
            <v>85</v>
          </cell>
        </row>
        <row r="53">
          <cell r="C53" t="str">
            <v>Cash Activity Classification Id</v>
          </cell>
          <cell r="D53" t="str">
            <v>CSH_AVY_CL_ID</v>
          </cell>
          <cell r="E53" t="str">
            <v>CDS assigned identifier for the activity class.
This field will be populated only if the transaction has a Cash leg.</v>
          </cell>
          <cell r="F53" t="str">
            <v>NINI</v>
          </cell>
          <cell r="G53" t="str">
            <v>NUMBER(38,0)</v>
          </cell>
          <cell r="H53" t="str">
            <v>NULL</v>
          </cell>
          <cell r="I53"/>
          <cell r="J53">
            <v>84</v>
          </cell>
        </row>
        <row r="54">
          <cell r="C54" t="str">
            <v>Cash Activity Type</v>
          </cell>
          <cell r="D54" t="str">
            <v>CASH_AVY_TP</v>
          </cell>
          <cell r="E54" t="str">
            <v>Represents a more refined view of the Activity Category.
This field will be populated only if the transaction has a Cash leg.</v>
          </cell>
          <cell r="F54" t="str">
            <v>Name_100</v>
          </cell>
          <cell r="G54" t="str">
            <v>VARCHAR2(100)</v>
          </cell>
          <cell r="H54" t="str">
            <v>NULL</v>
          </cell>
          <cell r="I54"/>
          <cell r="J54">
            <v>86</v>
          </cell>
        </row>
        <row r="55">
          <cell r="C55" t="str">
            <v>Cash Alternate Description Trailer 2</v>
          </cell>
          <cell r="D55" t="str">
            <v>CASH_ALT_DSC_TRAILER_2</v>
          </cell>
          <cell r="E55" t="str">
            <v>Second line of unformatted, monolingual narrative booking information. SIS trailer field 2. 
This field will be populated only if the transaction has a Cash leg.</v>
          </cell>
          <cell r="F55" t="str">
            <v>Name_256</v>
          </cell>
          <cell r="G55" t="str">
            <v>VARCHAR2(256)</v>
          </cell>
          <cell r="H55" t="str">
            <v>NULL</v>
          </cell>
          <cell r="I55"/>
          <cell r="J55">
            <v>50</v>
          </cell>
        </row>
        <row r="56">
          <cell r="C56" t="str">
            <v>Cash Asset Package External Qualifier</v>
          </cell>
          <cell r="D56" t="str">
            <v>CASH_APA_EXT_QUALFR</v>
          </cell>
          <cell r="E56" t="str">
            <v>Qualifier code from the external source system.
This field will be populated only if the transaction has a Cash leg.</v>
          </cell>
          <cell r="F56" t="str">
            <v>Code_50</v>
          </cell>
          <cell r="G56" t="str">
            <v>VARCHAR2(50)</v>
          </cell>
          <cell r="H56" t="str">
            <v>NULL</v>
          </cell>
          <cell r="I56"/>
          <cell r="J56">
            <v>51</v>
          </cell>
        </row>
        <row r="57">
          <cell r="C57" t="str">
            <v>Cash Asset Package Id</v>
          </cell>
          <cell r="D57" t="str">
            <v>CSH_APA_ID</v>
          </cell>
          <cell r="E57" t="str">
            <v>APA_ID from CCAL APA table. It is recorded here for the purpose of maintaining a link with the source. 
This field will be populated only if the transaction has a Cash leg.</v>
          </cell>
          <cell r="F57" t="str">
            <v>NINI</v>
          </cell>
          <cell r="G57" t="str">
            <v>NUMBER(38,0)</v>
          </cell>
          <cell r="H57" t="str">
            <v>NULL</v>
          </cell>
          <cell r="I57"/>
          <cell r="J57">
            <v>24</v>
          </cell>
        </row>
        <row r="58">
          <cell r="C58" t="str">
            <v>Cash Asset Package Type Code</v>
          </cell>
          <cell r="D58" t="str">
            <v>CASH_APA_TP_CD</v>
          </cell>
          <cell r="E58" t="str">
            <v>Code associated with Asset Package Type Id.
This field will be populated only if the transaction has a Cash leg.</v>
          </cell>
          <cell r="F58" t="str">
            <v>Code_20</v>
          </cell>
          <cell r="G58" t="str">
            <v>VARCHAR2(20)</v>
          </cell>
          <cell r="H58" t="str">
            <v>NULL</v>
          </cell>
          <cell r="I58"/>
          <cell r="J58">
            <v>81</v>
          </cell>
        </row>
        <row r="59">
          <cell r="C59" t="str">
            <v>Cash Asset Package Type Description</v>
          </cell>
          <cell r="D59" t="str">
            <v>CASH_APA_TP_DSC</v>
          </cell>
          <cell r="E59" t="str">
            <v>Description associated with Asset Package Type Id.
This field will be populated only if the transaction has a Cash leg.</v>
          </cell>
          <cell r="F59" t="str">
            <v>Description_1000</v>
          </cell>
          <cell r="G59" t="str">
            <v>VARCHAR2(1000)</v>
          </cell>
          <cell r="H59" t="str">
            <v>NULL</v>
          </cell>
          <cell r="I59"/>
          <cell r="J59">
            <v>83</v>
          </cell>
        </row>
        <row r="60">
          <cell r="C60" t="str">
            <v>Cash Asset Package Type Id</v>
          </cell>
          <cell r="D60" t="str">
            <v>CSH_APA_TP_ID</v>
          </cell>
          <cell r="E60" t="str">
            <v>Asset Pacakge type Id from CCAL core.
This field will be populated only if the transaction has a Cash leg.</v>
          </cell>
          <cell r="F60" t="str">
            <v>NINI</v>
          </cell>
          <cell r="G60" t="str">
            <v>NUMBER(38,0)</v>
          </cell>
          <cell r="H60" t="str">
            <v>NULL</v>
          </cell>
          <cell r="I60"/>
          <cell r="J60">
            <v>80</v>
          </cell>
        </row>
        <row r="61">
          <cell r="C61" t="str">
            <v>Cash asset Package Type Name</v>
          </cell>
          <cell r="D61" t="str">
            <v>CASH_APA_TP_NM</v>
          </cell>
          <cell r="E61" t="str">
            <v>Name of Asset Package Type Id.
This field will be populated only if the transaction has a Cash leg.</v>
          </cell>
          <cell r="F61" t="str">
            <v>Name_200</v>
          </cell>
          <cell r="G61" t="str">
            <v>VARCHAR2(200)</v>
          </cell>
          <cell r="H61" t="str">
            <v>NULL</v>
          </cell>
          <cell r="I61"/>
          <cell r="J61">
            <v>82</v>
          </cell>
        </row>
        <row r="62">
          <cell r="C62" t="str">
            <v>Cash CCAL Product Id</v>
          </cell>
          <cell r="D62" t="str">
            <v>CASH_PD_ID</v>
          </cell>
          <cell r="E62" t="str">
            <v>Product Identifier from Cash Asset package</v>
          </cell>
          <cell r="F62" t="str">
            <v>NINI</v>
          </cell>
          <cell r="G62" t="str">
            <v>NUMBER(38,0)</v>
          </cell>
          <cell r="H62" t="str">
            <v>NULL</v>
          </cell>
          <cell r="I62"/>
          <cell r="J62">
            <v>109</v>
          </cell>
        </row>
        <row r="63">
          <cell r="C63" t="str">
            <v>Cash Cird Product Id</v>
          </cell>
          <cell r="D63" t="str">
            <v>CASH_CIRD_PD_ID</v>
          </cell>
          <cell r="E63" t="str">
            <v>CIRD identifier for product.
This field will be populated only if the transaction has a Cash leg.</v>
          </cell>
          <cell r="F63" t="str">
            <v>NINI</v>
          </cell>
          <cell r="G63" t="str">
            <v>NUMBER(38,0)</v>
          </cell>
          <cell r="H63" t="str">
            <v>NULL</v>
          </cell>
          <cell r="I63"/>
          <cell r="J63">
            <v>106</v>
          </cell>
        </row>
        <row r="64">
          <cell r="C64" t="str">
            <v>Cash Debit Credit Code</v>
          </cell>
          <cell r="D64" t="str">
            <v>CASH_DB_CR_CD</v>
          </cell>
          <cell r="E64" t="str">
            <v>A code representing Debit / Credit (e.g. D / C)
This field will be populated only if the transaction has a Cash leg.</v>
          </cell>
          <cell r="F64" t="str">
            <v>Code_20</v>
          </cell>
          <cell r="G64" t="str">
            <v>VARCHAR2(20)</v>
          </cell>
          <cell r="H64" t="str">
            <v>NULL</v>
          </cell>
          <cell r="I64"/>
          <cell r="J64">
            <v>107</v>
          </cell>
        </row>
        <row r="65">
          <cell r="C65" t="str">
            <v>Cash Debit Credit Name</v>
          </cell>
          <cell r="D65" t="str">
            <v>CASH_DB_CR_NM</v>
          </cell>
          <cell r="E65" t="str">
            <v>A Name representing Debit / Credit (e.g. Debit / Credit)
This field will be populated only if the transaction has a Cash leg.</v>
          </cell>
          <cell r="F65" t="str">
            <v>Name_100</v>
          </cell>
          <cell r="G65" t="str">
            <v>VARCHAR2(100)</v>
          </cell>
          <cell r="H65" t="str">
            <v>NULL</v>
          </cell>
          <cell r="I65"/>
          <cell r="J65">
            <v>108</v>
          </cell>
        </row>
        <row r="66">
          <cell r="C66" t="str">
            <v>Cash Description Trailer 1</v>
          </cell>
          <cell r="D66" t="str">
            <v>CASH_DSC_TRAILER_1</v>
          </cell>
          <cell r="E66" t="str">
            <v>First line of unformatted, monolingual narrative booking information. SIS Trailer field 1.
This field will be populated only if the transaction has a Cash leg.</v>
          </cell>
          <cell r="F66" t="str">
            <v>Name_256</v>
          </cell>
          <cell r="G66" t="str">
            <v>VARCHAR2(256)</v>
          </cell>
          <cell r="H66" t="str">
            <v>NULL</v>
          </cell>
          <cell r="I66"/>
          <cell r="J66">
            <v>49</v>
          </cell>
        </row>
        <row r="67">
          <cell r="C67" t="str">
            <v>Cash Flow Generation Flag</v>
          </cell>
          <cell r="D67" t="str">
            <v>CF_GEN_F</v>
          </cell>
          <cell r="E67" t="str">
            <v>Cash Flow Generation Flag</v>
          </cell>
          <cell r="F67"/>
          <cell r="G67" t="str">
            <v>VARCHAR2(2)</v>
          </cell>
          <cell r="H67" t="str">
            <v>NULL</v>
          </cell>
          <cell r="I67"/>
          <cell r="J67">
            <v>53</v>
          </cell>
        </row>
        <row r="68">
          <cell r="C68" t="str">
            <v>Cash Investment Product Dim Id</v>
          </cell>
          <cell r="D68" t="str">
            <v>CASH_PD_DIM_ID</v>
          </cell>
          <cell r="E68" t="str">
            <v>Surrogate key for Instrument Product Dim.
This field will be populated only if the transaction has a Cash leg.</v>
          </cell>
          <cell r="F68" t="str">
            <v>NINI</v>
          </cell>
          <cell r="G68" t="str">
            <v>NUMBER(38,0)</v>
          </cell>
          <cell r="H68" t="str">
            <v>NOT NULL</v>
          </cell>
          <cell r="I68"/>
          <cell r="J68">
            <v>2</v>
          </cell>
        </row>
        <row r="69">
          <cell r="C69" t="str">
            <v>Cash Net New Asset Category ID</v>
          </cell>
          <cell r="D69" t="str">
            <v>CASH_NNA_CGY_ID</v>
          </cell>
          <cell r="E69" t="str">
            <v>Net New Asset Category Identifier for Cash Asset Package of the transaction</v>
          </cell>
          <cell r="F69" t="str">
            <v>NINI</v>
          </cell>
          <cell r="G69" t="str">
            <v>NUMBER(38,0)</v>
          </cell>
          <cell r="H69" t="str">
            <v>NULL</v>
          </cell>
          <cell r="I69"/>
          <cell r="J69">
            <v>231</v>
          </cell>
        </row>
        <row r="70">
          <cell r="C70" t="str">
            <v>Cash Net New Asset Category Name</v>
          </cell>
          <cell r="D70" t="str">
            <v>CASH_NNA_CGY_NM</v>
          </cell>
          <cell r="E70" t="str">
            <v>Net New Asset Category Name for Cash Asset Package of the transaction</v>
          </cell>
          <cell r="F70" t="str">
            <v>Name_50</v>
          </cell>
          <cell r="G70" t="str">
            <v>VARCHAR2(50)</v>
          </cell>
          <cell r="H70" t="str">
            <v>NULL</v>
          </cell>
          <cell r="I70"/>
          <cell r="J70">
            <v>232</v>
          </cell>
        </row>
        <row r="71">
          <cell r="C71" t="str">
            <v>Cash Position Type Code</v>
          </cell>
          <cell r="D71" t="str">
            <v>CASH_POS_TP_CD</v>
          </cell>
          <cell r="E71" t="str">
            <v>Coded name for the Cash Postion Type e.g., rjtgs2i, rtc</v>
          </cell>
          <cell r="F71" t="str">
            <v>Code_10</v>
          </cell>
          <cell r="G71" t="str">
            <v>VARCHAR2(10)</v>
          </cell>
          <cell r="H71" t="str">
            <v>NULL</v>
          </cell>
          <cell r="I71"/>
          <cell r="J71">
            <v>110</v>
          </cell>
        </row>
        <row r="72">
          <cell r="C72" t="str">
            <v>cash Position Type Dimension Id</v>
          </cell>
          <cell r="D72" t="str">
            <v>CASH_POS_TP_DIM_ID</v>
          </cell>
          <cell r="E72" t="str">
            <v>Surrogate Key for Cash Position Type</v>
          </cell>
          <cell r="F72" t="str">
            <v>NINI</v>
          </cell>
          <cell r="G72" t="str">
            <v>NUMBER(38,0)</v>
          </cell>
          <cell r="H72" t="str">
            <v>NULL</v>
          </cell>
          <cell r="I72"/>
          <cell r="J72">
            <v>6</v>
          </cell>
        </row>
        <row r="73">
          <cell r="C73" t="str">
            <v>Cash Position Type Id</v>
          </cell>
          <cell r="D73" t="str">
            <v>CASH_POS_TP_ID</v>
          </cell>
          <cell r="E73" t="str">
            <v>An Id representing Cash position type</v>
          </cell>
          <cell r="F73" t="str">
            <v>NINI</v>
          </cell>
          <cell r="G73" t="str">
            <v>NUMBER(38,0)</v>
          </cell>
          <cell r="H73" t="str">
            <v>NULL</v>
          </cell>
          <cell r="I73"/>
          <cell r="J73">
            <v>196</v>
          </cell>
        </row>
        <row r="74">
          <cell r="C74" t="str">
            <v>Cash Position Type Name</v>
          </cell>
          <cell r="D74" t="str">
            <v>CASH_POS_TP_NM</v>
          </cell>
          <cell r="E74" t="str">
            <v>Identifying how the cash position is treated at the end of the day for purposes of cash segregation and sweeps. e.g., Goldman Sachs Federal Fund - Income, Real Time Cash</v>
          </cell>
          <cell r="F74" t="str">
            <v>Name_75</v>
          </cell>
          <cell r="G74" t="str">
            <v>VARCHAR2(75)</v>
          </cell>
          <cell r="H74" t="str">
            <v>NULL</v>
          </cell>
          <cell r="I74"/>
          <cell r="J74">
            <v>111</v>
          </cell>
        </row>
        <row r="75">
          <cell r="C75" t="str">
            <v>Cash Simplified Display Activity Category</v>
          </cell>
          <cell r="D75" t="str">
            <v>CASH_SIMP_DSPL_AVY_CGY</v>
          </cell>
          <cell r="E75" t="str">
            <v>Simplified Display activity category shown to advisor in applications like client center.
This field will be populated only if the transaction has a Cash leg.</v>
          </cell>
          <cell r="F75" t="str">
            <v>Name_25</v>
          </cell>
          <cell r="G75" t="str">
            <v>VARCHAR2(25)</v>
          </cell>
          <cell r="H75" t="str">
            <v>NULL</v>
          </cell>
          <cell r="I75"/>
          <cell r="J75">
            <v>174</v>
          </cell>
        </row>
        <row r="76">
          <cell r="C76" t="str">
            <v>Cash Simplified Display Activity Type</v>
          </cell>
          <cell r="D76" t="str">
            <v>CASH_SIMP_DSPL_AVY_TP</v>
          </cell>
          <cell r="E76" t="str">
            <v>Simplified Display activity type shown to advisor in applications like client center.
This field will be populated only if the transaction has a Cash leg.</v>
          </cell>
          <cell r="F76" t="str">
            <v>Name_100</v>
          </cell>
          <cell r="G76" t="str">
            <v>VARCHAR2(100)</v>
          </cell>
          <cell r="H76" t="str">
            <v>NULL</v>
          </cell>
          <cell r="I76"/>
          <cell r="J76">
            <v>175</v>
          </cell>
        </row>
        <row r="77">
          <cell r="C77" t="str">
            <v>Cash Source Sequence Number</v>
          </cell>
          <cell r="D77" t="str">
            <v>CASH_SRC_SEQ_NUM</v>
          </cell>
          <cell r="E77" t="str">
            <v>Sequence Number assigned by source system.
This field will be populated only if the transaction has a Cash leg.</v>
          </cell>
          <cell r="F77" t="str">
            <v>NINI</v>
          </cell>
          <cell r="G77" t="str">
            <v>NUMBER(38,0)</v>
          </cell>
          <cell r="H77" t="str">
            <v>NULL</v>
          </cell>
          <cell r="I77"/>
          <cell r="J77">
            <v>45</v>
          </cell>
        </row>
        <row r="78">
          <cell r="C78" t="str">
            <v>Cash System Base Currency Amount</v>
          </cell>
          <cell r="D78" t="str">
            <v>CASH_SBC_AMT</v>
          </cell>
          <cell r="E78" t="str">
            <v>Transaction Amount expressed in System Base Currency.
This field will be populated only if the transaction has a Cash leg.</v>
          </cell>
          <cell r="F78" t="str">
            <v>A38d6</v>
          </cell>
          <cell r="G78" t="str">
            <v>NUMBER(38,6)</v>
          </cell>
          <cell r="H78" t="str">
            <v>NULL</v>
          </cell>
          <cell r="I78"/>
          <cell r="J78">
            <v>40</v>
          </cell>
        </row>
        <row r="79">
          <cell r="C79" t="str">
            <v>Cash Transaction Amount</v>
          </cell>
          <cell r="D79" t="str">
            <v>CASH_TXN_AMT</v>
          </cell>
          <cell r="E79" t="str">
            <v>Transaction amount applicable to the Asset package in transaction currency.
This field will be populated only if the transaction has a Cash leg.</v>
          </cell>
          <cell r="F79" t="str">
            <v>A38d6</v>
          </cell>
          <cell r="G79" t="str">
            <v>NUMBER(38,6)</v>
          </cell>
          <cell r="H79" t="str">
            <v>NULL</v>
          </cell>
          <cell r="I79"/>
          <cell r="J79">
            <v>30</v>
          </cell>
        </row>
        <row r="80">
          <cell r="C80" t="str">
            <v>Client Friendly Description</v>
          </cell>
          <cell r="D80" t="str">
            <v>CLNT_FRIENDLY_DSC</v>
          </cell>
          <cell r="E80" t="str">
            <v>Client friendly description of the Asset package.</v>
          </cell>
          <cell r="F80" t="str">
            <v>Name_256</v>
          </cell>
          <cell r="G80" t="str">
            <v>VARCHAR2(256)</v>
          </cell>
          <cell r="H80" t="str">
            <v>NULL</v>
          </cell>
          <cell r="I80"/>
          <cell r="J80">
            <v>100</v>
          </cell>
        </row>
        <row r="81">
          <cell r="C81" t="str">
            <v>Concession Amount</v>
          </cell>
          <cell r="D81" t="str">
            <v>CNCSN_AMT</v>
          </cell>
          <cell r="E81" t="str">
            <v>Amount paid to the broker or firm that facilitates the sale of the mutual fund shares</v>
          </cell>
          <cell r="F81" t="str">
            <v>A38d6</v>
          </cell>
          <cell r="G81" t="str">
            <v>NUMBER(38,6)</v>
          </cell>
          <cell r="H81" t="str">
            <v>NULL</v>
          </cell>
          <cell r="I81"/>
          <cell r="J81">
            <v>222</v>
          </cell>
        </row>
        <row r="82">
          <cell r="C82" t="str">
            <v>Contingent Deferred Sales Charge Amount</v>
          </cell>
          <cell r="D82" t="str">
            <v>CDSC_AMT</v>
          </cell>
          <cell r="E82" t="str">
            <v>Back-end sales charge paid for Class B mutual fund shares within a specified period from the original purchase date. This fee is also known as Exit Fee.</v>
          </cell>
          <cell r="F82" t="str">
            <v>A38d6</v>
          </cell>
          <cell r="G82" t="str">
            <v>NUMBER(38,6)</v>
          </cell>
          <cell r="H82" t="str">
            <v>NULL</v>
          </cell>
          <cell r="I82"/>
          <cell r="J82">
            <v>223</v>
          </cell>
        </row>
        <row r="83">
          <cell r="C83" t="str">
            <v>Create Datetime</v>
          </cell>
          <cell r="D83" t="str">
            <v>CRT_DTM</v>
          </cell>
          <cell r="E83" t="str">
            <v>The exact date when a record was first created.</v>
          </cell>
          <cell r="F83" t="str">
            <v>Create Datetime</v>
          </cell>
          <cell r="G83" t="str">
            <v>DATE</v>
          </cell>
          <cell r="H83" t="str">
            <v>NOT NULL</v>
          </cell>
          <cell r="I83"/>
          <cell r="J83">
            <v>91</v>
          </cell>
        </row>
        <row r="84">
          <cell r="C84" t="str">
            <v>Create User Name</v>
          </cell>
          <cell r="D84" t="str">
            <v>CRT_USR_NM</v>
          </cell>
          <cell r="E84" t="str">
            <v>The name that represents the user who created an occurrence of a record.</v>
          </cell>
          <cell r="F84" t="str">
            <v>Name_256</v>
          </cell>
          <cell r="G84" t="str">
            <v>VARCHAR2(256)</v>
          </cell>
          <cell r="H84" t="str">
            <v>NOT NULL</v>
          </cell>
          <cell r="I84"/>
          <cell r="J84">
            <v>90</v>
          </cell>
        </row>
        <row r="85">
          <cell r="C85" t="str">
            <v>Currency Code</v>
          </cell>
          <cell r="D85" t="str">
            <v>CCY_CD</v>
          </cell>
          <cell r="E85" t="str">
            <v>ISO Currency Code for transaction amount</v>
          </cell>
          <cell r="F85" t="str">
            <v>Code_03</v>
          </cell>
          <cell r="G85" t="str">
            <v>VARCHAR2(3)</v>
          </cell>
          <cell r="H85" t="str">
            <v>NULL</v>
          </cell>
          <cell r="I85"/>
          <cell r="J85">
            <v>112</v>
          </cell>
        </row>
        <row r="86">
          <cell r="C86" t="str">
            <v>Currency Dimension Id</v>
          </cell>
          <cell r="D86" t="str">
            <v>CCY_DIM_ID</v>
          </cell>
          <cell r="E86" t="str">
            <v>Surrogate key for Currency dimension based on Currency Code.</v>
          </cell>
          <cell r="F86" t="str">
            <v>NINI</v>
          </cell>
          <cell r="G86" t="str">
            <v>NUMBER(38,0)</v>
          </cell>
          <cell r="H86" t="str">
            <v>NULL</v>
          </cell>
          <cell r="I86"/>
          <cell r="J86">
            <v>18</v>
          </cell>
        </row>
        <row r="87">
          <cell r="C87" t="str">
            <v>Debit Card Original Currency</v>
          </cell>
          <cell r="D87" t="str">
            <v>DB_CARD_ORIG_CCY</v>
          </cell>
          <cell r="E87"/>
          <cell r="F87"/>
          <cell r="G87" t="str">
            <v>VARCHAR2(250)</v>
          </cell>
          <cell r="H87" t="str">
            <v>NULL</v>
          </cell>
          <cell r="I87"/>
          <cell r="J87">
            <v>242</v>
          </cell>
        </row>
        <row r="88">
          <cell r="C88" t="str">
            <v>Debit Card Original Currency Code</v>
          </cell>
          <cell r="D88" t="str">
            <v>DB_CARD_ORIG_CCY_CD</v>
          </cell>
          <cell r="E88"/>
          <cell r="F88"/>
          <cell r="G88" t="str">
            <v>VARCHAR2(3)</v>
          </cell>
          <cell r="H88" t="str">
            <v>NULL</v>
          </cell>
          <cell r="I88"/>
          <cell r="J88">
            <v>241</v>
          </cell>
        </row>
        <row r="89">
          <cell r="C89" t="str">
            <v>Debit Card Transaction Date</v>
          </cell>
          <cell r="D89" t="str">
            <v>DB_CARD_TXN_DT</v>
          </cell>
          <cell r="E89"/>
          <cell r="F89"/>
          <cell r="G89" t="str">
            <v>DATE</v>
          </cell>
          <cell r="H89" t="str">
            <v>NULL</v>
          </cell>
          <cell r="I89"/>
          <cell r="J89">
            <v>240</v>
          </cell>
        </row>
        <row r="90">
          <cell r="C90" t="str">
            <v>Department Of Labor Indicator Code</v>
          </cell>
          <cell r="D90" t="str">
            <v>DOL_IND_CD</v>
          </cell>
          <cell r="E90" t="str">
            <v>A code that identifies whether or not an account is deemed eligible in accordance with the DOL fiduciary rule.</v>
          </cell>
          <cell r="F90" t="str">
            <v>Code_20</v>
          </cell>
          <cell r="G90" t="str">
            <v>VARCHAR2(20)</v>
          </cell>
          <cell r="H90" t="str">
            <v>NULL</v>
          </cell>
          <cell r="I90"/>
          <cell r="J90">
            <v>113</v>
          </cell>
        </row>
        <row r="91">
          <cell r="C91" t="str">
            <v>Department Of Labor Indicator Id</v>
          </cell>
          <cell r="D91" t="str">
            <v>DOL_IND_ID</v>
          </cell>
          <cell r="E91" t="str">
            <v>Identifier of whether or not an account is deemed eligible in accordance with the DOL fiduciary rule.</v>
          </cell>
          <cell r="F91" t="str">
            <v>NINI</v>
          </cell>
          <cell r="G91" t="str">
            <v>NUMBER(38,0)</v>
          </cell>
          <cell r="H91" t="str">
            <v>NULL</v>
          </cell>
          <cell r="I91"/>
          <cell r="J91">
            <v>114</v>
          </cell>
        </row>
        <row r="92">
          <cell r="C92" t="str">
            <v>Department Of Labor Indicator Name</v>
          </cell>
          <cell r="D92" t="str">
            <v>DOL_IND_NM</v>
          </cell>
          <cell r="E92" t="str">
            <v>Name that identifies whether or not an account is deemed eligible in accordance with the DOL fiduciary rule.</v>
          </cell>
          <cell r="F92" t="str">
            <v>Name_200</v>
          </cell>
          <cell r="G92" t="str">
            <v>VARCHAR2(200)</v>
          </cell>
          <cell r="H92" t="str">
            <v>NULL</v>
          </cell>
          <cell r="I92"/>
          <cell r="J92">
            <v>115</v>
          </cell>
        </row>
        <row r="93">
          <cell r="C93" t="str">
            <v>Derived Trade Capacity Code</v>
          </cell>
          <cell r="D93" t="str">
            <v>DRVD_TRD_CPCTY_CD</v>
          </cell>
          <cell r="E93" t="str">
            <v>Unique Code derived to show type of capacity based on combination of legacy trade capacity and OMS execution type. Eg. acting as principal or agency.</v>
          </cell>
          <cell r="F93" t="str">
            <v>Code_20</v>
          </cell>
          <cell r="G93" t="str">
            <v>VARCHAR2(20)</v>
          </cell>
          <cell r="H93" t="str">
            <v>NULL</v>
          </cell>
          <cell r="I93"/>
          <cell r="J93">
            <v>178</v>
          </cell>
        </row>
        <row r="94">
          <cell r="C94" t="str">
            <v>Derived Trade Capacity Id</v>
          </cell>
          <cell r="D94" t="str">
            <v>DRVD_TRD_CPCTY_ID</v>
          </cell>
          <cell r="E94" t="str">
            <v>Unique Identifier derived to show type of capacity based on combination of legacy trade capacity and OMS execution type. Eg. acting as principal or agency.</v>
          </cell>
          <cell r="F94" t="str">
            <v>NINI</v>
          </cell>
          <cell r="G94" t="str">
            <v>NUMBER(38,0)</v>
          </cell>
          <cell r="H94" t="str">
            <v>NULL</v>
          </cell>
          <cell r="I94"/>
          <cell r="J94">
            <v>182</v>
          </cell>
        </row>
        <row r="95">
          <cell r="C95" t="str">
            <v>Derived Trade Capacity Name</v>
          </cell>
          <cell r="D95" t="str">
            <v>DRVD_TRD_CPCTY_NM</v>
          </cell>
          <cell r="E95" t="str">
            <v>Derived Unique Name that represents what type of capacity based on combination of legacy trade capacity and OMS execution type the trade was executed in. Eg. acting as principal or agency.</v>
          </cell>
          <cell r="F95" t="str">
            <v>Name_200</v>
          </cell>
          <cell r="G95" t="str">
            <v>VARCHAR2(200)</v>
          </cell>
          <cell r="H95" t="str">
            <v>NULL</v>
          </cell>
          <cell r="I95"/>
          <cell r="J95">
            <v>180</v>
          </cell>
        </row>
        <row r="96">
          <cell r="C96" t="str">
            <v>Dividend Record Date</v>
          </cell>
          <cell r="D96" t="str">
            <v>DVDN_RCRD_DT</v>
          </cell>
          <cell r="E96" t="str">
            <v>The cut-off date that an organization is expected to use to determine which shareholders are eligible to receive a dividend or income distribution.</v>
          </cell>
          <cell r="F96" t="str">
            <v>Date</v>
          </cell>
          <cell r="G96" t="str">
            <v>DATE</v>
          </cell>
          <cell r="H96" t="str">
            <v>NULL</v>
          </cell>
          <cell r="I96"/>
          <cell r="J96">
            <v>152</v>
          </cell>
        </row>
        <row r="97">
          <cell r="C97" t="str">
            <v>Equity Industry</v>
          </cell>
          <cell r="D97" t="str">
            <v>EQTY_IDY</v>
          </cell>
          <cell r="E97" t="str">
            <v>Industry Level - The grouping or classification of companies into the business sectors in which they operate. The Equity Sector Classification schema has 4 levels: Super Sector -&gt; Sector-&gt; Industry Group-&gt; Industry</v>
          </cell>
          <cell r="F97"/>
          <cell r="G97" t="str">
            <v>VARCHAR2(100)</v>
          </cell>
          <cell r="H97" t="str">
            <v>NULL</v>
          </cell>
          <cell r="I97"/>
          <cell r="J97">
            <v>323</v>
          </cell>
        </row>
        <row r="98">
          <cell r="C98" t="str">
            <v>Equity Industry Code</v>
          </cell>
          <cell r="D98" t="str">
            <v>EQTY_IDY_CD</v>
          </cell>
          <cell r="E98" t="str">
            <v>Industry Level - The grouping or classification of companies into the business sectors in which they operate. The Equity Sector Classification schema has 4 levels: Super Sector -&gt; Sector-&gt; Industry Group-&gt; Industry</v>
          </cell>
          <cell r="F98"/>
          <cell r="G98" t="str">
            <v>VARCHAR2(40)</v>
          </cell>
          <cell r="H98" t="str">
            <v>NULL</v>
          </cell>
          <cell r="I98"/>
          <cell r="J98">
            <v>324</v>
          </cell>
        </row>
        <row r="99">
          <cell r="C99" t="str">
            <v>Equity Industry Group</v>
          </cell>
          <cell r="D99" t="str">
            <v>EQTY_IDY_GRP</v>
          </cell>
          <cell r="E99" t="str">
            <v>Industry Group Level - The grouping or classification of companies into the business sectors in which they operate. The Equity Sector Classification schema has 4 levels: Super Sector -&gt; Sector-&gt; Industry Group-&gt; Industry</v>
          </cell>
          <cell r="F99"/>
          <cell r="G99" t="str">
            <v>VARCHAR2(100)</v>
          </cell>
          <cell r="H99" t="str">
            <v>NULL</v>
          </cell>
          <cell r="I99"/>
          <cell r="J99">
            <v>325</v>
          </cell>
        </row>
        <row r="100">
          <cell r="C100" t="str">
            <v>Equity Industry Group Code</v>
          </cell>
          <cell r="D100" t="str">
            <v>EQTY_IDY_GRP_CD</v>
          </cell>
          <cell r="E100" t="str">
            <v>Industry Group Level - The grouping or classification of companies into the business sectors in which they operate. The Equity Sector Classification schema has 4 levels: Super Sector -&gt; Sector-&gt; Industry Group-&gt; Industry</v>
          </cell>
          <cell r="F100"/>
          <cell r="G100" t="str">
            <v>VARCHAR2(40)</v>
          </cell>
          <cell r="H100" t="str">
            <v>NULL</v>
          </cell>
          <cell r="I100"/>
          <cell r="J100">
            <v>326</v>
          </cell>
        </row>
        <row r="101">
          <cell r="C101" t="str">
            <v>Equity Sector</v>
          </cell>
          <cell r="D101" t="str">
            <v>EQTY_SECT</v>
          </cell>
          <cell r="E101" t="str">
            <v>Sector Level - The grouping or classification of companies into the business sectors in which they operate. The Equity Sector Classification schema has 4 levels: Super Sector -&gt; Sector-&gt; Industry Group-&gt; Industry</v>
          </cell>
          <cell r="F101"/>
          <cell r="G101" t="str">
            <v>VARCHAR2(100)</v>
          </cell>
          <cell r="H101" t="str">
            <v>NULL</v>
          </cell>
          <cell r="I101"/>
          <cell r="J101">
            <v>327</v>
          </cell>
        </row>
        <row r="102">
          <cell r="C102" t="str">
            <v>Equity Sector Code</v>
          </cell>
          <cell r="D102" t="str">
            <v>EQTY_SECT_CD</v>
          </cell>
          <cell r="E102" t="str">
            <v>Sector Level - The grouping or classification of companies into the business sectors in which they operate. The Equity Sector Classification schema has 4 levels: Super Sector -&gt; Sector-&gt; Industry Group-&gt; Industry</v>
          </cell>
          <cell r="F102"/>
          <cell r="G102" t="str">
            <v>VARCHAR2(40)</v>
          </cell>
          <cell r="H102" t="str">
            <v>NULL</v>
          </cell>
          <cell r="I102"/>
          <cell r="J102">
            <v>328</v>
          </cell>
        </row>
        <row r="103">
          <cell r="C103" t="str">
            <v>Equity Super Sector</v>
          </cell>
          <cell r="D103" t="str">
            <v>EQTY_SUP_SECT</v>
          </cell>
          <cell r="E103" t="str">
            <v>Super Sector Level - The grouping or classification of companies into the business sectors in which they operate. The Equity Sector Classification schema has 4 levels: Super Sector -&gt; Sector-&gt; Industry Group-&gt; Industry</v>
          </cell>
          <cell r="F103"/>
          <cell r="G103" t="str">
            <v>VARCHAR2(100)</v>
          </cell>
          <cell r="H103" t="str">
            <v>NULL</v>
          </cell>
          <cell r="I103"/>
          <cell r="J103">
            <v>329</v>
          </cell>
        </row>
        <row r="104">
          <cell r="C104" t="str">
            <v>Equity Super Sector Code</v>
          </cell>
          <cell r="D104" t="str">
            <v>EQTY_SUP_SECT_CD</v>
          </cell>
          <cell r="E104" t="str">
            <v>Super Sector Level - The grouping or classification of companies into the business sectors in which they operate. The Equity Sector Classification schema has 4 levels: Super Sector -&gt; Sector-&gt; Industry Group-&gt; Industry</v>
          </cell>
          <cell r="F104"/>
          <cell r="G104" t="str">
            <v>VARCHAR2(40)</v>
          </cell>
          <cell r="H104" t="str">
            <v>NULL</v>
          </cell>
          <cell r="I104"/>
          <cell r="J104">
            <v>330</v>
          </cell>
        </row>
        <row r="105">
          <cell r="C105" t="str">
            <v>Exchange Code</v>
          </cell>
          <cell r="D105" t="str">
            <v>EXG_CD</v>
          </cell>
          <cell r="E105" t="str">
            <v>Code to indicate an exchange where a given trade was executed.  CIRD uses the MIC code where available/provided.</v>
          </cell>
          <cell r="F105" t="str">
            <v>Code_30</v>
          </cell>
          <cell r="G105" t="str">
            <v>VARCHAR2(30)</v>
          </cell>
          <cell r="H105" t="str">
            <v>NULL</v>
          </cell>
          <cell r="I105"/>
          <cell r="J105">
            <v>116</v>
          </cell>
        </row>
        <row r="106">
          <cell r="C106" t="str">
            <v>Exchange Dimension Id</v>
          </cell>
          <cell r="D106" t="str">
            <v>EXG_DIM_ID</v>
          </cell>
          <cell r="E106" t="str">
            <v>Surrogate key for Exchange Dim - The exchange that the transaction was conducted on</v>
          </cell>
          <cell r="F106" t="str">
            <v>NINI_NOT_NULL</v>
          </cell>
          <cell r="G106" t="str">
            <v>NUMBER(38,0)</v>
          </cell>
          <cell r="H106" t="str">
            <v>NOT NULL</v>
          </cell>
          <cell r="I106"/>
          <cell r="J106">
            <v>38</v>
          </cell>
        </row>
        <row r="107">
          <cell r="C107" t="str">
            <v>Exchange Name</v>
          </cell>
          <cell r="D107" t="str">
            <v>EXG_NM</v>
          </cell>
          <cell r="E107" t="str">
            <v>Name that represents an exchange where a given trade was executed.  CIRD uses the MIC code where available/provided.</v>
          </cell>
          <cell r="F107" t="str">
            <v>Name500</v>
          </cell>
          <cell r="G107" t="str">
            <v>VARCHAR2(500)</v>
          </cell>
          <cell r="H107" t="str">
            <v>NULL</v>
          </cell>
          <cell r="I107"/>
          <cell r="J107">
            <v>117</v>
          </cell>
        </row>
        <row r="108">
          <cell r="C108" t="str">
            <v>Execution Date</v>
          </cell>
          <cell r="D108" t="str">
            <v>EXEC_DTM</v>
          </cell>
          <cell r="E108" t="str">
            <v>System generated date time stamp when the order manager determined the information as binding and liable against 3rd parties. That is when an order is executed in the marketplace. This field holds timestamp at microsec level.</v>
          </cell>
          <cell r="F108" t="str">
            <v>Timestamp</v>
          </cell>
          <cell r="G108" t="str">
            <v>TIMESTAMP(6)</v>
          </cell>
          <cell r="H108" t="str">
            <v>NULL</v>
          </cell>
          <cell r="I108"/>
          <cell r="J108">
            <v>197</v>
          </cell>
        </row>
        <row r="109">
          <cell r="C109" t="str">
            <v>Execution Subtype Code</v>
          </cell>
          <cell r="D109" t="str">
            <v>EXEC_SBTP_CD</v>
          </cell>
          <cell r="E109" t="str">
            <v>A code for the execution sub-types allow the refinement of execution types for an order manager?s internal diversification only such as strategy level type, e.g.. Bullish Vertical spread, stop limit order.</v>
          </cell>
          <cell r="F109" t="str">
            <v>Code_20</v>
          </cell>
          <cell r="G109" t="str">
            <v>VARCHAR2(20)</v>
          </cell>
          <cell r="H109" t="str">
            <v>NULL</v>
          </cell>
          <cell r="I109"/>
          <cell r="J109">
            <v>70</v>
          </cell>
        </row>
        <row r="110">
          <cell r="C110" t="str">
            <v>Execution Subtype Description</v>
          </cell>
          <cell r="D110" t="str">
            <v>EXEC_SBTP_DSC</v>
          </cell>
          <cell r="E110" t="str">
            <v>A description for the execution sub-types allow the refinement of execution types for an order manager?s internal diversification only such as strategy level type, e.g.. Bullish Vertical spread, stop limit order.</v>
          </cell>
          <cell r="F110" t="str">
            <v>Description_1000</v>
          </cell>
          <cell r="G110" t="str">
            <v>VARCHAR2(1000)</v>
          </cell>
          <cell r="H110" t="str">
            <v>NULL</v>
          </cell>
          <cell r="I110"/>
          <cell r="J110">
            <v>72</v>
          </cell>
        </row>
        <row r="111">
          <cell r="C111" t="str">
            <v>Execution Subtype Id</v>
          </cell>
          <cell r="D111" t="str">
            <v>EXEC_SBTP_ID</v>
          </cell>
          <cell r="E111" t="e">
            <v>#VALUE!</v>
          </cell>
          <cell r="F111" t="str">
            <v>NINI</v>
          </cell>
          <cell r="G111" t="str">
            <v>NUMBER(38,0)</v>
          </cell>
          <cell r="H111" t="str">
            <v>NULL</v>
          </cell>
          <cell r="I111"/>
          <cell r="J111">
            <v>69</v>
          </cell>
        </row>
        <row r="112">
          <cell r="C112" t="str">
            <v>Execution Subtype Name</v>
          </cell>
          <cell r="D112" t="str">
            <v>EXEC_SBTP_NM</v>
          </cell>
          <cell r="E112" t="str">
            <v>Name for the execution sub-types allow the refinement of execution types for an order manager?s internal diversification only such as strategy level type, e.g.. Bullish Vertical spread, stop limit order.</v>
          </cell>
          <cell r="F112" t="str">
            <v>Name_200</v>
          </cell>
          <cell r="G112" t="str">
            <v>VARCHAR2(200)</v>
          </cell>
          <cell r="H112" t="str">
            <v>NULL</v>
          </cell>
          <cell r="I112"/>
          <cell r="J112">
            <v>71</v>
          </cell>
        </row>
        <row r="113">
          <cell r="C113" t="str">
            <v>Execution Type Code</v>
          </cell>
          <cell r="D113" t="str">
            <v>EXEC_TP_CD</v>
          </cell>
          <cell r="E113" t="e">
            <v>#VALUE!</v>
          </cell>
          <cell r="F113" t="str">
            <v>Code_20</v>
          </cell>
          <cell r="G113" t="str">
            <v>VARCHAR2(20)</v>
          </cell>
          <cell r="H113" t="str">
            <v>NULL</v>
          </cell>
          <cell r="I113"/>
          <cell r="J113">
            <v>66</v>
          </cell>
        </row>
        <row r="114">
          <cell r="C114" t="str">
            <v>Execution Type Description</v>
          </cell>
          <cell r="D114" t="str">
            <v>EXEC_TP_DSC</v>
          </cell>
          <cell r="E114" t="e">
            <v>#VALUE!</v>
          </cell>
          <cell r="F114" t="str">
            <v>Description_1000</v>
          </cell>
          <cell r="G114" t="str">
            <v>VARCHAR2(1000)</v>
          </cell>
          <cell r="H114" t="str">
            <v>NULL</v>
          </cell>
          <cell r="I114"/>
          <cell r="J114">
            <v>68</v>
          </cell>
        </row>
        <row r="115">
          <cell r="C115" t="str">
            <v>Execution Type Id</v>
          </cell>
          <cell r="D115" t="str">
            <v>EXEC_TP_ID</v>
          </cell>
          <cell r="E115" t="e">
            <v>#VALUE!</v>
          </cell>
          <cell r="F115" t="str">
            <v>NINI</v>
          </cell>
          <cell r="G115" t="str">
            <v>NUMBER(38,0)</v>
          </cell>
          <cell r="H115" t="str">
            <v>NULL</v>
          </cell>
          <cell r="I115"/>
          <cell r="J115">
            <v>65</v>
          </cell>
        </row>
        <row r="116">
          <cell r="C116" t="str">
            <v>Execution Type Name</v>
          </cell>
          <cell r="D116" t="str">
            <v>EXEC_TP_NM</v>
          </cell>
          <cell r="E116" t="e">
            <v>#VALUE!</v>
          </cell>
          <cell r="F116" t="str">
            <v>Name_200</v>
          </cell>
          <cell r="G116" t="str">
            <v>VARCHAR2(200)</v>
          </cell>
          <cell r="H116" t="str">
            <v>NULL</v>
          </cell>
          <cell r="I116"/>
          <cell r="J116">
            <v>67</v>
          </cell>
        </row>
        <row r="117">
          <cell r="C117" t="str">
            <v>FA Number</v>
          </cell>
          <cell r="D117" t="str">
            <v>FA_NUM</v>
          </cell>
          <cell r="E117" t="str">
            <v>A 4 character value assigned to one or more FAs for purposes of paying commissions. Accounts are assigned one FA Number. The FA Number is used to relate Advisors to client accounts.</v>
          </cell>
          <cell r="F117" t="str">
            <v>Code_20</v>
          </cell>
          <cell r="G117" t="str">
            <v>VARCHAR2(20)</v>
          </cell>
          <cell r="H117" t="str">
            <v>NULL</v>
          </cell>
          <cell r="I117"/>
          <cell r="J117">
            <v>93</v>
          </cell>
        </row>
        <row r="118">
          <cell r="C118" t="str">
            <v>Fund Family</v>
          </cell>
          <cell r="D118" t="str">
            <v>FND_FAM</v>
          </cell>
          <cell r="E118" t="str">
            <v>Internal identifier of the fund family to which a given fund belongs</v>
          </cell>
          <cell r="F118"/>
          <cell r="G118" t="str">
            <v>VARCHAR2(500)</v>
          </cell>
          <cell r="H118" t="str">
            <v>NULL</v>
          </cell>
          <cell r="I118"/>
          <cell r="J118">
            <v>344</v>
          </cell>
        </row>
        <row r="119">
          <cell r="C119" t="str">
            <v>IMPACT Source Action Code</v>
          </cell>
          <cell r="D119" t="str">
            <v>IMP_SRC_ACTN_CD</v>
          </cell>
          <cell r="E119" t="str">
            <v>Code representing Action Type in IMPACT source system</v>
          </cell>
          <cell r="F119" t="str">
            <v>Code_01</v>
          </cell>
          <cell r="G119" t="str">
            <v>VARCHAR2(1)</v>
          </cell>
          <cell r="H119" t="str">
            <v>NULL</v>
          </cell>
          <cell r="I119"/>
          <cell r="J119">
            <v>181</v>
          </cell>
        </row>
        <row r="120">
          <cell r="C120" t="str">
            <v>IMPACT Source Action Name</v>
          </cell>
          <cell r="D120" t="str">
            <v>IMP_SRC_ACTN_NM</v>
          </cell>
          <cell r="E120" t="str">
            <v>Name representing Action Type in IMPACT source system</v>
          </cell>
          <cell r="F120" t="str">
            <v>Name_100</v>
          </cell>
          <cell r="G120" t="str">
            <v>VARCHAR2(100)</v>
          </cell>
          <cell r="H120" t="str">
            <v>NULL</v>
          </cell>
          <cell r="I120"/>
          <cell r="J120">
            <v>183</v>
          </cell>
        </row>
        <row r="121">
          <cell r="C121" t="str">
            <v>instrument classification level 1</v>
          </cell>
          <cell r="D121" t="str">
            <v>IMT_CL_LVL_1</v>
          </cell>
          <cell r="E121" t="e">
            <v>#VALUE!</v>
          </cell>
          <cell r="F121"/>
          <cell r="G121" t="str">
            <v>VARCHAR2(100)</v>
          </cell>
          <cell r="H121" t="str">
            <v>NULL</v>
          </cell>
          <cell r="I121"/>
          <cell r="J121">
            <v>347</v>
          </cell>
        </row>
        <row r="122">
          <cell r="C122" t="str">
            <v>instrument classification level 1 code</v>
          </cell>
          <cell r="D122" t="str">
            <v>IMT_CL_LVL_1_CD</v>
          </cell>
          <cell r="E122" t="str">
            <v>The code for the Instrument Classification Level 1.</v>
          </cell>
          <cell r="F122"/>
          <cell r="G122" t="str">
            <v>VARCHAR2(40)</v>
          </cell>
          <cell r="H122" t="str">
            <v>NULL</v>
          </cell>
          <cell r="I122"/>
          <cell r="J122">
            <v>348</v>
          </cell>
        </row>
        <row r="123">
          <cell r="C123" t="str">
            <v>instrument classification level 2</v>
          </cell>
          <cell r="D123" t="str">
            <v>IMT_CL_LVL_2</v>
          </cell>
          <cell r="E123" t="e">
            <v>#VALUE!</v>
          </cell>
          <cell r="F123"/>
          <cell r="G123" t="str">
            <v>VARCHAR2(100)</v>
          </cell>
          <cell r="H123" t="str">
            <v>NULL</v>
          </cell>
          <cell r="I123"/>
          <cell r="J123">
            <v>349</v>
          </cell>
        </row>
        <row r="124">
          <cell r="C124" t="str">
            <v>instrument classification level 2 code</v>
          </cell>
          <cell r="D124" t="str">
            <v>IMT_CL_LVL_2_CD</v>
          </cell>
          <cell r="E124" t="str">
            <v>The code for the Instrument Classification Level 2.</v>
          </cell>
          <cell r="F124"/>
          <cell r="G124" t="str">
            <v>VARCHAR2(40)</v>
          </cell>
          <cell r="H124" t="str">
            <v>NULL</v>
          </cell>
          <cell r="I124"/>
          <cell r="J124">
            <v>350</v>
          </cell>
        </row>
        <row r="125">
          <cell r="C125" t="str">
            <v>instrument classification level 3</v>
          </cell>
          <cell r="D125" t="str">
            <v>IMT_CL_LVL_3</v>
          </cell>
          <cell r="E125" t="e">
            <v>#VALUE!</v>
          </cell>
          <cell r="F125"/>
          <cell r="G125" t="str">
            <v>VARCHAR2(100)</v>
          </cell>
          <cell r="H125" t="str">
            <v>NULL</v>
          </cell>
          <cell r="I125"/>
          <cell r="J125">
            <v>351</v>
          </cell>
        </row>
        <row r="126">
          <cell r="C126" t="str">
            <v>instrument classification level 3 code</v>
          </cell>
          <cell r="D126" t="str">
            <v>IMT_CL_LVL_3_CD</v>
          </cell>
          <cell r="E126" t="str">
            <v>The code for the Instrument Classification Level 3.</v>
          </cell>
          <cell r="F126"/>
          <cell r="G126" t="str">
            <v>VARCHAR2(40)</v>
          </cell>
          <cell r="H126" t="str">
            <v>NULL</v>
          </cell>
          <cell r="I126"/>
          <cell r="J126">
            <v>352</v>
          </cell>
        </row>
        <row r="127">
          <cell r="C127" t="str">
            <v>instrument classification level 4</v>
          </cell>
          <cell r="D127" t="str">
            <v>IMT_CL_LVL_4</v>
          </cell>
          <cell r="E127" t="e">
            <v>#VALUE!</v>
          </cell>
          <cell r="F127"/>
          <cell r="G127" t="str">
            <v>VARCHAR2(100)</v>
          </cell>
          <cell r="H127" t="str">
            <v>NULL</v>
          </cell>
          <cell r="I127"/>
          <cell r="J127">
            <v>353</v>
          </cell>
        </row>
        <row r="128">
          <cell r="C128" t="str">
            <v>instrument classification level 4 code</v>
          </cell>
          <cell r="D128" t="str">
            <v>IMT_CL_LVL_4_CD</v>
          </cell>
          <cell r="E128" t="str">
            <v>The code for the Instrument Classification Level 4.</v>
          </cell>
          <cell r="F128"/>
          <cell r="G128" t="str">
            <v>VARCHAR2(40)</v>
          </cell>
          <cell r="H128" t="str">
            <v>NULL</v>
          </cell>
          <cell r="I128"/>
          <cell r="J128">
            <v>354</v>
          </cell>
        </row>
        <row r="129">
          <cell r="C129" t="str">
            <v>instrument classification level 5</v>
          </cell>
          <cell r="D129" t="str">
            <v>IMT_CL_LVL_5</v>
          </cell>
          <cell r="E129" t="e">
            <v>#VALUE!</v>
          </cell>
          <cell r="F129"/>
          <cell r="G129" t="str">
            <v>VARCHAR2(100)</v>
          </cell>
          <cell r="H129" t="str">
            <v>NULL</v>
          </cell>
          <cell r="I129"/>
          <cell r="J129">
            <v>355</v>
          </cell>
        </row>
        <row r="130">
          <cell r="C130" t="str">
            <v>instrument classification level 5 code</v>
          </cell>
          <cell r="D130" t="str">
            <v>IMT_CL_LVL_5_CD</v>
          </cell>
          <cell r="E130" t="str">
            <v>The code for the Instrument Classification Level 5.</v>
          </cell>
          <cell r="F130"/>
          <cell r="G130" t="str">
            <v>VARCHAR2(40)</v>
          </cell>
          <cell r="H130" t="str">
            <v>NULL</v>
          </cell>
          <cell r="I130"/>
          <cell r="J130">
            <v>356</v>
          </cell>
        </row>
        <row r="131">
          <cell r="C131" t="str">
            <v>ISIN</v>
          </cell>
          <cell r="D131" t="str">
            <v>ISIN</v>
          </cell>
          <cell r="E131" t="str">
            <v>ISIN stands for International Securities Identification Number. These numbers are unique codes used to identify and track securities worldwide</v>
          </cell>
          <cell r="F131"/>
          <cell r="G131" t="str">
            <v>VARCHAR2(200)</v>
          </cell>
          <cell r="H131" t="str">
            <v>NULL</v>
          </cell>
          <cell r="I131"/>
          <cell r="J131">
            <v>227</v>
          </cell>
        </row>
        <row r="132">
          <cell r="C132" t="str">
            <v>Last Update Datetime</v>
          </cell>
          <cell r="D132" t="str">
            <v>LAST_UDT_DTM</v>
          </cell>
          <cell r="E132" t="str">
            <v>The exact date and time when an occurrence is inserted, updated, or deleted a row</v>
          </cell>
          <cell r="F132" t="str">
            <v>Last Update Datetime</v>
          </cell>
          <cell r="G132" t="str">
            <v>DATE</v>
          </cell>
          <cell r="H132" t="str">
            <v>NOT NULL</v>
          </cell>
          <cell r="I132"/>
          <cell r="J132">
            <v>212</v>
          </cell>
        </row>
        <row r="133">
          <cell r="C133" t="str">
            <v>Last Update User Name</v>
          </cell>
          <cell r="D133" t="str">
            <v>LAST_UDT_USR_NM</v>
          </cell>
          <cell r="E133" t="str">
            <v>The name that represents the user or application who inserted, updated, or deleted each occurrence of row</v>
          </cell>
          <cell r="F133" t="str">
            <v>Name_256</v>
          </cell>
          <cell r="G133" t="str">
            <v>VARCHAR2(256)</v>
          </cell>
          <cell r="H133" t="str">
            <v>NOT NULL</v>
          </cell>
          <cell r="I133"/>
          <cell r="J133">
            <v>211</v>
          </cell>
        </row>
        <row r="134">
          <cell r="C134" t="str">
            <v>Legacy Cancellation Compliance Reason Type Code</v>
          </cell>
          <cell r="D134" t="str">
            <v>LGCY_CNCL_CMPLN_RSN_TP_CD</v>
          </cell>
          <cell r="E134" t="str">
            <v>A code that indicates the Legacy Cancellation Compliance Reason Type.</v>
          </cell>
          <cell r="F134" t="str">
            <v>Code_20</v>
          </cell>
          <cell r="G134" t="str">
            <v>VARCHAR2(20)</v>
          </cell>
          <cell r="H134" t="str">
            <v>NULL</v>
          </cell>
          <cell r="I134"/>
          <cell r="J134">
            <v>118</v>
          </cell>
        </row>
        <row r="135">
          <cell r="C135" t="str">
            <v>Legacy Cancellation Compliance Reason Type dimension ID</v>
          </cell>
          <cell r="D135" t="str">
            <v>LGCY_CNCL_CMPLN_RSN_DIM_ID</v>
          </cell>
          <cell r="E135" t="str">
            <v>Surrogate key for Legacy Cancellation Compliance Reason Type dimension.</v>
          </cell>
          <cell r="F135" t="str">
            <v>NINI</v>
          </cell>
          <cell r="G135" t="str">
            <v>NUMBER(38,0)</v>
          </cell>
          <cell r="H135" t="str">
            <v>NOT NULL</v>
          </cell>
          <cell r="I135"/>
          <cell r="J135">
            <v>7</v>
          </cell>
        </row>
        <row r="136">
          <cell r="C136" t="str">
            <v>Legacy Cancellation Compliance Reason Type Id</v>
          </cell>
          <cell r="D136" t="str">
            <v>LGCY_CNCL_CMPLN_RSN_TP_ID</v>
          </cell>
          <cell r="E136" t="str">
            <v>Identifier for the Legacy Cancellation Compliance Reason Type.</v>
          </cell>
          <cell r="F136" t="str">
            <v>NINI</v>
          </cell>
          <cell r="G136" t="str">
            <v>NUMBER(38,0)</v>
          </cell>
          <cell r="H136" t="str">
            <v>NULL</v>
          </cell>
          <cell r="I136"/>
          <cell r="J136">
            <v>199</v>
          </cell>
        </row>
        <row r="137">
          <cell r="C137" t="str">
            <v>Legacy Cancellation Compliance Reason Type Name</v>
          </cell>
          <cell r="D137" t="str">
            <v>LGCY_CNCL_CMPLN_RSN_TP_NM</v>
          </cell>
          <cell r="E137" t="str">
            <v>Name of the Legacy Cancellation Compliance Reason Type.
This will provide specific reason as to why a trade was cancelled, such as due to a price correction.</v>
          </cell>
          <cell r="F137" t="str">
            <v>Name_200</v>
          </cell>
          <cell r="G137" t="str">
            <v>VARCHAR2(200)</v>
          </cell>
          <cell r="H137" t="str">
            <v>NULL</v>
          </cell>
          <cell r="I137"/>
          <cell r="J137">
            <v>119</v>
          </cell>
        </row>
        <row r="138">
          <cell r="C138" t="str">
            <v>Legacy Cancellation Compliance Source Type Code</v>
          </cell>
          <cell r="D138" t="str">
            <v>LGCY_CNCL_CMPLN_SRC_TP_CD</v>
          </cell>
          <cell r="E138" t="str">
            <v>A code that indicates the Legacy Cancellation Compliance Source Type.</v>
          </cell>
          <cell r="F138" t="str">
            <v>Code_20</v>
          </cell>
          <cell r="G138" t="str">
            <v>VARCHAR2(20)</v>
          </cell>
          <cell r="H138" t="str">
            <v>NULL</v>
          </cell>
          <cell r="I138"/>
          <cell r="J138">
            <v>120</v>
          </cell>
        </row>
        <row r="139">
          <cell r="C139" t="str">
            <v>Legacy Cancellation Compliance Source Type Dimension ID</v>
          </cell>
          <cell r="D139" t="str">
            <v>LGCY_CNCL_CMPLN_SRC_DIM_ID</v>
          </cell>
          <cell r="E139" t="str">
            <v>Surrogate key for Legacy Cancellation Compliance Source Type Dimension.</v>
          </cell>
          <cell r="F139" t="str">
            <v>NINI</v>
          </cell>
          <cell r="G139" t="str">
            <v>NUMBER(38,0)</v>
          </cell>
          <cell r="H139" t="str">
            <v>NOT NULL</v>
          </cell>
          <cell r="I139"/>
          <cell r="J139">
            <v>8</v>
          </cell>
        </row>
        <row r="140">
          <cell r="C140" t="str">
            <v>Legacy Cancellation Compliance Source Type Id</v>
          </cell>
          <cell r="D140" t="str">
            <v>LGCY_CNCL_CMPLN_SRC_TP_ID</v>
          </cell>
          <cell r="E140" t="str">
            <v>Identifier for the Legacy Cancellation Compliance Source Type.</v>
          </cell>
          <cell r="F140" t="str">
            <v>NINI</v>
          </cell>
          <cell r="G140" t="str">
            <v>NUMBER(38,0)</v>
          </cell>
          <cell r="H140" t="str">
            <v>NULL</v>
          </cell>
          <cell r="I140"/>
          <cell r="J140">
            <v>198</v>
          </cell>
        </row>
        <row r="141">
          <cell r="C141" t="str">
            <v>Legacy Cancellation Compliance Source Type Name</v>
          </cell>
          <cell r="D141" t="str">
            <v>LGCY_CNCL_CMPLN_SRC_TP_NM</v>
          </cell>
          <cell r="E141" t="str">
            <v>Name of the Legacy Cancellation Compliance Source Type.
This will provide which internal or external source executed the trade cancellation, such as Purchase &amp; Sales department.</v>
          </cell>
          <cell r="F141" t="str">
            <v>Name_200</v>
          </cell>
          <cell r="G141" t="str">
            <v>VARCHAR2(200)</v>
          </cell>
          <cell r="H141" t="str">
            <v>NULL</v>
          </cell>
          <cell r="I141"/>
          <cell r="J141">
            <v>121</v>
          </cell>
        </row>
        <row r="142">
          <cell r="C142" t="str">
            <v>Legacy Market Type Code</v>
          </cell>
          <cell r="D142" t="str">
            <v>LGCY_MKT_TP_CD</v>
          </cell>
          <cell r="E142" t="str">
            <v>Code to indicate what type of market the trade was executed in. Eg. NYSE, OTC, CBOE, etc</v>
          </cell>
          <cell r="F142" t="str">
            <v>Code_20</v>
          </cell>
          <cell r="G142" t="str">
            <v>VARCHAR2(20)</v>
          </cell>
          <cell r="H142" t="str">
            <v>NULL</v>
          </cell>
          <cell r="I142"/>
          <cell r="J142">
            <v>122</v>
          </cell>
        </row>
        <row r="143">
          <cell r="C143" t="str">
            <v>Legacy Market Type Dimension Id</v>
          </cell>
          <cell r="D143" t="str">
            <v>LGCY_MKT_TP_DIM_ID</v>
          </cell>
          <cell r="E143" t="str">
            <v>Surrogate key for Legacy Market Type Dimension.</v>
          </cell>
          <cell r="F143" t="str">
            <v>NINI</v>
          </cell>
          <cell r="G143" t="str">
            <v>NUMBER(38,0)</v>
          </cell>
          <cell r="H143" t="str">
            <v>NOT NULL</v>
          </cell>
          <cell r="I143"/>
          <cell r="J143">
            <v>9</v>
          </cell>
        </row>
        <row r="144">
          <cell r="C144" t="str">
            <v>Legacy Market Type Id</v>
          </cell>
          <cell r="D144" t="str">
            <v>LGCY_MKT_TP_ID</v>
          </cell>
          <cell r="E144" t="str">
            <v>Identifier that represents what type of market the trade was executed in.</v>
          </cell>
          <cell r="F144" t="str">
            <v>NINI</v>
          </cell>
          <cell r="G144" t="str">
            <v>NUMBER(38,0)</v>
          </cell>
          <cell r="H144" t="str">
            <v>NULL</v>
          </cell>
          <cell r="I144"/>
          <cell r="J144">
            <v>200</v>
          </cell>
        </row>
        <row r="145">
          <cell r="C145" t="str">
            <v>Legacy Market Type Name</v>
          </cell>
          <cell r="D145" t="str">
            <v>LGCY_MKT_TP_NM</v>
          </cell>
          <cell r="E145" t="str">
            <v>Name that represents what type of market the trade was executed in. Eg. NYSE, OTC, CBOE, etc</v>
          </cell>
          <cell r="F145" t="str">
            <v>Name_200</v>
          </cell>
          <cell r="G145" t="str">
            <v>VARCHAR2(200)</v>
          </cell>
          <cell r="H145" t="str">
            <v>NULL</v>
          </cell>
          <cell r="I145"/>
          <cell r="J145">
            <v>123</v>
          </cell>
        </row>
        <row r="146">
          <cell r="C146" t="str">
            <v>Legacy Trade Capacity Type Code</v>
          </cell>
          <cell r="D146" t="str">
            <v>LGCY_TRD_CPCTY_TP_CD</v>
          </cell>
          <cell r="E146" t="str">
            <v>Code to show what type of capacity the trade was executed in. Eg. acting as principal or agency.</v>
          </cell>
          <cell r="F146" t="str">
            <v>Code_20</v>
          </cell>
          <cell r="G146" t="str">
            <v>VARCHAR2(20)</v>
          </cell>
          <cell r="H146" t="str">
            <v>NULL</v>
          </cell>
          <cell r="I146"/>
          <cell r="J146">
            <v>124</v>
          </cell>
        </row>
        <row r="147">
          <cell r="C147" t="str">
            <v>Legacy trade Capacity Type Dimension ID</v>
          </cell>
          <cell r="D147" t="str">
            <v>LGCY_TRD_CPCTY_TP_DIM_ID</v>
          </cell>
          <cell r="E147" t="str">
            <v>Surrogate key for Legacy trade Capacity Type Dimension.</v>
          </cell>
          <cell r="F147" t="str">
            <v>NINI</v>
          </cell>
          <cell r="G147" t="str">
            <v>NUMBER(38,0)</v>
          </cell>
          <cell r="H147" t="str">
            <v>NOT NULL</v>
          </cell>
          <cell r="I147"/>
          <cell r="J147">
            <v>10</v>
          </cell>
        </row>
        <row r="148">
          <cell r="C148" t="str">
            <v>Legacy Trade Capacity Type Id</v>
          </cell>
          <cell r="D148" t="str">
            <v>LGCY_TRD_CPCTY_TP_ID</v>
          </cell>
          <cell r="E148" t="str">
            <v>Identifier that represents what type of capacity the trade was executed in.</v>
          </cell>
          <cell r="F148" t="str">
            <v>NINI</v>
          </cell>
          <cell r="G148" t="str">
            <v>NUMBER(38,0)</v>
          </cell>
          <cell r="H148" t="str">
            <v>NULL</v>
          </cell>
          <cell r="I148"/>
          <cell r="J148">
            <v>201</v>
          </cell>
        </row>
        <row r="149">
          <cell r="C149" t="str">
            <v>Legacy Trade Capacity Type Name</v>
          </cell>
          <cell r="D149" t="str">
            <v>LGCY_TRD_CPCTY_TP_NM</v>
          </cell>
          <cell r="E149" t="str">
            <v>Name that represents what type of capacity the trade was executed in. Eg. acting as principal or agency.</v>
          </cell>
          <cell r="F149" t="str">
            <v>Name_200</v>
          </cell>
          <cell r="G149" t="str">
            <v>VARCHAR2(200)</v>
          </cell>
          <cell r="H149" t="str">
            <v>NULL</v>
          </cell>
          <cell r="I149"/>
          <cell r="J149">
            <v>125</v>
          </cell>
        </row>
        <row r="150">
          <cell r="C150" t="str">
            <v>Markup Rate</v>
          </cell>
          <cell r="D150" t="str">
            <v>MRKUP_RATE</v>
          </cell>
          <cell r="E150" t="str">
            <v>Percentage added to a product cost to determine its final price.</v>
          </cell>
          <cell r="F150" t="str">
            <v>AMOUNT_22d6</v>
          </cell>
          <cell r="G150" t="str">
            <v>NUMBER(22,6)</v>
          </cell>
          <cell r="H150" t="str">
            <v>NULL</v>
          </cell>
          <cell r="I150"/>
          <cell r="J150">
            <v>216</v>
          </cell>
        </row>
        <row r="151">
          <cell r="C151" t="str">
            <v>MF Account Number</v>
          </cell>
          <cell r="D151" t="str">
            <v>MF_AC_NUM</v>
          </cell>
          <cell r="E151" t="str">
            <v>Account number of the mutual fund, if the transaction is on mutual fund.</v>
          </cell>
          <cell r="F151" t="str">
            <v>Code_30</v>
          </cell>
          <cell r="G151" t="str">
            <v>VARCHAR2(30)</v>
          </cell>
          <cell r="H151" t="str">
            <v>NULL</v>
          </cell>
          <cell r="I151"/>
          <cell r="J151">
            <v>195</v>
          </cell>
        </row>
        <row r="152">
          <cell r="C152" t="str">
            <v>Model Strategy Detail Asset Class</v>
          </cell>
          <cell r="D152" t="str">
            <v>MODL_STRTG_DTL_AST_CLSS</v>
          </cell>
          <cell r="E152" t="str">
            <v>Alternate hierarchy Firm Model Hierarchy Classification Level 2.</v>
          </cell>
          <cell r="F152"/>
          <cell r="G152" t="str">
            <v>VARCHAR2(100)</v>
          </cell>
          <cell r="H152" t="str">
            <v>NULL</v>
          </cell>
          <cell r="I152"/>
          <cell r="J152">
            <v>331</v>
          </cell>
        </row>
        <row r="153">
          <cell r="C153" t="str">
            <v>Model Strategy Detail Asset Class Code</v>
          </cell>
          <cell r="D153" t="str">
            <v>MODL_STRTG_DTL_AST_CLSS_CD</v>
          </cell>
          <cell r="E153" t="str">
            <v>Alternate hierarchy Firm Model Hierarchy Classification Level 2.</v>
          </cell>
          <cell r="F153"/>
          <cell r="G153" t="str">
            <v>VARCHAR2(40)</v>
          </cell>
          <cell r="H153" t="str">
            <v>NULL</v>
          </cell>
          <cell r="I153"/>
          <cell r="J153">
            <v>332</v>
          </cell>
        </row>
        <row r="154">
          <cell r="C154" t="str">
            <v>Model Strategy Summary Asset Class</v>
          </cell>
          <cell r="D154" t="str">
            <v>MODL_STRTG_SMY_AST_CLSS</v>
          </cell>
          <cell r="E154" t="str">
            <v>Alternate hierarchy Firm Model Hierarchy Classification Level 1 - Top Level.</v>
          </cell>
          <cell r="F154"/>
          <cell r="G154" t="str">
            <v>VARCHAR2(100)</v>
          </cell>
          <cell r="H154" t="str">
            <v>NULL</v>
          </cell>
          <cell r="I154"/>
          <cell r="J154">
            <v>333</v>
          </cell>
        </row>
        <row r="155">
          <cell r="C155" t="str">
            <v>Model Strategy Summary Asset Class Code</v>
          </cell>
          <cell r="D155" t="str">
            <v>MODL_STRTG_SMY_AST_CLSS_CD</v>
          </cell>
          <cell r="E155" t="str">
            <v>Alternate hierarchy Firm Model Hierarchy Classification Level 1 - Top Level.</v>
          </cell>
          <cell r="F155"/>
          <cell r="G155" t="str">
            <v>VARCHAR2(40)</v>
          </cell>
          <cell r="H155" t="str">
            <v>NULL</v>
          </cell>
          <cell r="I155"/>
          <cell r="J155">
            <v>334</v>
          </cell>
        </row>
        <row r="156">
          <cell r="C156" t="str">
            <v>Money Movement Alternate Id</v>
          </cell>
          <cell r="D156" t="str">
            <v>MM_ALT_ID</v>
          </cell>
          <cell r="E156" t="str">
            <v>Identifier on all Money movement transactions</v>
          </cell>
          <cell r="F156" t="str">
            <v>Code_50</v>
          </cell>
          <cell r="G156" t="str">
            <v>VARCHAR2(50)</v>
          </cell>
          <cell r="H156" t="str">
            <v>NULL</v>
          </cell>
          <cell r="I156"/>
          <cell r="J156">
            <v>162</v>
          </cell>
        </row>
        <row r="157">
          <cell r="C157" t="str">
            <v>Offset Arrangement Dimension Id</v>
          </cell>
          <cell r="D157" t="str">
            <v>OFST_AR_DIM_ID</v>
          </cell>
          <cell r="E157" t="str">
            <v>Surrogate Key for offset Arrangement Dimension</v>
          </cell>
          <cell r="F157" t="str">
            <v>NINI</v>
          </cell>
          <cell r="G157" t="str">
            <v>NUMBER(38,0)</v>
          </cell>
          <cell r="H157" t="str">
            <v>NOT NULL</v>
          </cell>
          <cell r="I157"/>
          <cell r="J157">
            <v>5</v>
          </cell>
        </row>
        <row r="158">
          <cell r="C158" t="str">
            <v>Offset Arrangement Id</v>
          </cell>
          <cell r="D158" t="str">
            <v>OFST_AR_ID</v>
          </cell>
          <cell r="E158" t="str">
            <v>If the APA was satisfied by offsetting with another RJ arrangement then, this column will contain the offsetted arrangement.</v>
          </cell>
          <cell r="F158" t="str">
            <v>NINI</v>
          </cell>
          <cell r="G158" t="str">
            <v>NUMBER(38,0)</v>
          </cell>
          <cell r="H158" t="str">
            <v>NULL</v>
          </cell>
          <cell r="I158"/>
          <cell r="J158">
            <v>126</v>
          </cell>
        </row>
        <row r="159">
          <cell r="C159" t="str">
            <v>Offset Arrangement Originating Source System Code</v>
          </cell>
          <cell r="D159" t="str">
            <v>OFST_AR_ORIG_SRC_STM_CD</v>
          </cell>
          <cell r="E159" t="e">
            <v>#VALUE!</v>
          </cell>
          <cell r="F159" t="str">
            <v>Code_20</v>
          </cell>
          <cell r="G159" t="str">
            <v>VARCHAR2(20)</v>
          </cell>
          <cell r="H159" t="str">
            <v>NULL</v>
          </cell>
          <cell r="I159"/>
          <cell r="J159">
            <v>187</v>
          </cell>
        </row>
        <row r="160">
          <cell r="C160" t="str">
            <v>Offset Arrangement Settlement Type Code</v>
          </cell>
          <cell r="D160" t="str">
            <v>OFST_AR_SETL_TP_CD</v>
          </cell>
          <cell r="E160" t="e">
            <v>#VALUE!</v>
          </cell>
          <cell r="F160" t="str">
            <v>Code_20</v>
          </cell>
          <cell r="G160" t="str">
            <v>VARCHAR2(20)</v>
          </cell>
          <cell r="H160" t="str">
            <v>NULL</v>
          </cell>
          <cell r="I160"/>
          <cell r="J160">
            <v>188</v>
          </cell>
        </row>
        <row r="161">
          <cell r="C161" t="str">
            <v>Offset Arrangement Settlement Type Description</v>
          </cell>
          <cell r="D161" t="str">
            <v>OFST_AR_SETL_TP_DSC</v>
          </cell>
          <cell r="E161" t="e">
            <v>#VALUE!</v>
          </cell>
          <cell r="F161" t="str">
            <v>Name_100</v>
          </cell>
          <cell r="G161" t="str">
            <v>VARCHAR2(100)</v>
          </cell>
          <cell r="H161" t="str">
            <v>NULL</v>
          </cell>
          <cell r="I161"/>
          <cell r="J161">
            <v>189</v>
          </cell>
        </row>
        <row r="162">
          <cell r="C162" t="str">
            <v>Offset Originating Source System Arrangement Id</v>
          </cell>
          <cell r="D162" t="str">
            <v>OFST_ORIG_SRC_STM_AR_ID</v>
          </cell>
          <cell r="E162" t="e">
            <v>#VALUE!</v>
          </cell>
          <cell r="F162" t="str">
            <v>Code_50</v>
          </cell>
          <cell r="G162" t="str">
            <v>VARCHAR2(50)</v>
          </cell>
          <cell r="H162" t="str">
            <v>NULL</v>
          </cell>
          <cell r="I162"/>
          <cell r="J162">
            <v>186</v>
          </cell>
        </row>
        <row r="163">
          <cell r="C163" t="str">
            <v>Option Class Code</v>
          </cell>
          <cell r="D163" t="str">
            <v>OPT_CLSS_CD</v>
          </cell>
          <cell r="E163" t="e">
            <v>#VALUE!</v>
          </cell>
          <cell r="F163" t="str">
            <v>Code_10</v>
          </cell>
          <cell r="G163" t="str">
            <v>VARCHAR2(10)</v>
          </cell>
          <cell r="H163" t="str">
            <v>NULL</v>
          </cell>
          <cell r="I163"/>
          <cell r="J163">
            <v>55</v>
          </cell>
        </row>
        <row r="164">
          <cell r="C164" t="str">
            <v>Order Management System Executing Type Code</v>
          </cell>
          <cell r="D164" t="str">
            <v>OMS_EXEC_TP_CD</v>
          </cell>
          <cell r="E164" t="str">
            <v>A code for the type of trade executions used in the Order Management System in a code format.</v>
          </cell>
          <cell r="F164" t="str">
            <v>Code_20</v>
          </cell>
          <cell r="G164" t="str">
            <v>VARCHAR2(20)</v>
          </cell>
          <cell r="H164" t="str">
            <v>NULL</v>
          </cell>
          <cell r="I164"/>
          <cell r="J164">
            <v>97</v>
          </cell>
        </row>
        <row r="165">
          <cell r="C165" t="str">
            <v>Order Management System Executing Type Description</v>
          </cell>
          <cell r="D165" t="str">
            <v>OMS_EXEC_TP_DSC</v>
          </cell>
          <cell r="E165" t="str">
            <v>A description for the type of trade executions used in the Order Management System in a code format.</v>
          </cell>
          <cell r="F165" t="str">
            <v>Description_1000</v>
          </cell>
          <cell r="G165" t="str">
            <v>VARCHAR2(1000)</v>
          </cell>
          <cell r="H165" t="str">
            <v>NULL</v>
          </cell>
          <cell r="I165"/>
          <cell r="J165">
            <v>99</v>
          </cell>
        </row>
        <row r="166">
          <cell r="C166" t="str">
            <v>Order Management System Executing Type Id</v>
          </cell>
          <cell r="D166" t="str">
            <v>OMS_EXEC_TP_ID</v>
          </cell>
          <cell r="E166" t="str">
            <v>Identifier for the type of trade executions used in the Order Management System in a code format.</v>
          </cell>
          <cell r="F166" t="str">
            <v>NINI</v>
          </cell>
          <cell r="G166" t="str">
            <v>NUMBER(38,0)</v>
          </cell>
          <cell r="H166" t="str">
            <v>NULL</v>
          </cell>
          <cell r="I166"/>
          <cell r="J166">
            <v>96</v>
          </cell>
        </row>
        <row r="167">
          <cell r="C167" t="str">
            <v>Order Management System Executing Type Name</v>
          </cell>
          <cell r="D167" t="str">
            <v>OMS_EXEC_TP_NM</v>
          </cell>
          <cell r="E167" t="str">
            <v>Name of the type of trade executions used in the Order Management System. Examples of OMS execution types would be 'Agency', 'Principal', 'Open Repo', 'Close Repo' etc.</v>
          </cell>
          <cell r="F167" t="str">
            <v>Name_200</v>
          </cell>
          <cell r="G167" t="str">
            <v>VARCHAR2(200)</v>
          </cell>
          <cell r="H167" t="str">
            <v>NULL</v>
          </cell>
          <cell r="I167"/>
          <cell r="J167">
            <v>98</v>
          </cell>
        </row>
        <row r="168">
          <cell r="C168" t="str">
            <v>Order Management System Order Key</v>
          </cell>
          <cell r="D168" t="str">
            <v>OMS_ORDR_KEY</v>
          </cell>
          <cell r="E168" t="str">
            <v>Unique system generated key from OMS system. This field is required in the CAT extracts and will be used to find the newOrderFDID, a field required on Allocation events (MEPA events).</v>
          </cell>
          <cell r="F168" t="str">
            <v>Code_20</v>
          </cell>
          <cell r="G168" t="str">
            <v>VARCHAR2(20)</v>
          </cell>
          <cell r="H168" t="str">
            <v>NULL</v>
          </cell>
          <cell r="I168"/>
          <cell r="J168">
            <v>127</v>
          </cell>
        </row>
        <row r="169">
          <cell r="C169" t="str">
            <v>Original Booking Date</v>
          </cell>
          <cell r="D169" t="str">
            <v>ORIG_BKG_DT</v>
          </cell>
          <cell r="E169" t="str">
            <v>This represents the business day date when the quantity has been ?booked? in the system.</v>
          </cell>
          <cell r="F169" t="str">
            <v>Date</v>
          </cell>
          <cell r="G169" t="str">
            <v>DATE</v>
          </cell>
          <cell r="H169" t="str">
            <v>NULL</v>
          </cell>
          <cell r="I169"/>
          <cell r="J169">
            <v>22</v>
          </cell>
        </row>
        <row r="170">
          <cell r="C170" t="str">
            <v>Original Source System Code</v>
          </cell>
          <cell r="D170" t="str">
            <v>ORIG_SRC_STM_CD</v>
          </cell>
          <cell r="E170" t="str">
            <v>Code that represents the source system from which CDS database receives/obtains the underlying record.</v>
          </cell>
          <cell r="F170" t="str">
            <v>Code_10</v>
          </cell>
          <cell r="G170" t="str">
            <v>VARCHAR2(10)</v>
          </cell>
          <cell r="H170" t="str">
            <v>NULL</v>
          </cell>
          <cell r="I170"/>
          <cell r="J170">
            <v>169</v>
          </cell>
        </row>
        <row r="171">
          <cell r="C171" t="str">
            <v>Original Source System Id</v>
          </cell>
          <cell r="D171" t="str">
            <v>ORIG_SRC_STM_ID</v>
          </cell>
          <cell r="E171" t="str">
            <v>Identifier of the source system from which CDS database receives/obtains the underlying record.</v>
          </cell>
          <cell r="F171" t="str">
            <v>NINI</v>
          </cell>
          <cell r="G171" t="str">
            <v>NUMBER(38,0)</v>
          </cell>
          <cell r="H171" t="str">
            <v>NULL</v>
          </cell>
          <cell r="I171"/>
          <cell r="J171">
            <v>170</v>
          </cell>
        </row>
        <row r="172">
          <cell r="C172" t="str">
            <v>Original Trade Number</v>
          </cell>
          <cell r="D172" t="str">
            <v>ORIG_TRD_NUM</v>
          </cell>
          <cell r="E172" t="str">
            <v>Original trade number when a trade is being cancelled, corrected, reversed (if available).</v>
          </cell>
          <cell r="F172" t="str">
            <v>Trade Number</v>
          </cell>
          <cell r="G172" t="str">
            <v>VARCHAR2(15)</v>
          </cell>
          <cell r="H172" t="str">
            <v>NULL</v>
          </cell>
          <cell r="I172"/>
          <cell r="J172">
            <v>26</v>
          </cell>
        </row>
        <row r="173">
          <cell r="C173" t="str">
            <v>Originating Source System Arrangement Id</v>
          </cell>
          <cell r="D173" t="str">
            <v>ORIG_SRC_STM_AR_ID</v>
          </cell>
          <cell r="E173" t="str">
            <v>Contains the account number/contract number from the original source system provider - e.g., SIS Account number for brokerage accounts</v>
          </cell>
          <cell r="F173" t="str">
            <v>Code_50</v>
          </cell>
          <cell r="G173" t="str">
            <v>VARCHAR2(50)</v>
          </cell>
          <cell r="H173" t="str">
            <v>NULL</v>
          </cell>
          <cell r="I173"/>
          <cell r="J173">
            <v>184</v>
          </cell>
        </row>
        <row r="174">
          <cell r="C174" t="str">
            <v>Orignal Trade Date</v>
          </cell>
          <cell r="D174" t="str">
            <v>ORIG_TD</v>
          </cell>
          <cell r="E174" t="str">
            <v>The date trade took place at fund company (specific to level 4 mutual funds).</v>
          </cell>
          <cell r="F174" t="str">
            <v>Date</v>
          </cell>
          <cell r="G174" t="str">
            <v>DATE</v>
          </cell>
          <cell r="H174" t="str">
            <v>NULL</v>
          </cell>
          <cell r="I174"/>
          <cell r="J174">
            <v>128</v>
          </cell>
        </row>
        <row r="175">
          <cell r="C175" t="str">
            <v>Other Fee Amount</v>
          </cell>
          <cell r="D175" t="str">
            <v>OTHR_FEE_AMT</v>
          </cell>
          <cell r="E175" t="str">
            <v>Aggregation of miscellaneous fees associated with the trade. It includes trade schedule charges, Mutual Fund transaction fees, taxes.</v>
          </cell>
          <cell r="F175" t="str">
            <v>A38d6</v>
          </cell>
          <cell r="G175" t="str">
            <v>NUMBER(38,6)</v>
          </cell>
          <cell r="H175" t="str">
            <v>NULL</v>
          </cell>
          <cell r="I175"/>
          <cell r="J175">
            <v>224</v>
          </cell>
        </row>
        <row r="176">
          <cell r="C176" t="str">
            <v>Owner FA CSS Person Id</v>
          </cell>
          <cell r="D176" t="str">
            <v>OWN_FA_CSS_PSN_ID</v>
          </cell>
          <cell r="E176" t="str">
            <v>A unique numeric or alphanumeric code assigned by the Client Service System (CSS) to identify the Financial Advisor who owns or is responsible for a specific account or arrangement.</v>
          </cell>
          <cell r="F176"/>
          <cell r="G176" t="str">
            <v>VARCHAR2(30)</v>
          </cell>
          <cell r="H176" t="str">
            <v>NULL</v>
          </cell>
          <cell r="I176"/>
          <cell r="J176">
            <v>277</v>
          </cell>
        </row>
        <row r="177">
          <cell r="C177" t="str">
            <v>Owner FA Current Advisor Flag</v>
          </cell>
          <cell r="D177" t="str">
            <v>OWN_FA_CRN_ADV_F</v>
          </cell>
          <cell r="E177" t="e">
            <v>#VALUE!</v>
          </cell>
          <cell r="F177"/>
          <cell r="G177" t="str">
            <v>VARCHAR2(1)</v>
          </cell>
          <cell r="H177" t="str">
            <v>NOT NULL</v>
          </cell>
          <cell r="I177"/>
          <cell r="J177">
            <v>278</v>
          </cell>
        </row>
        <row r="178">
          <cell r="C178" t="str">
            <v>Owner FA Department Branch Code</v>
          </cell>
          <cell r="D178" t="str">
            <v>OWN_FA_DEPT_BR_CD</v>
          </cell>
          <cell r="E178" t="e">
            <v>#VALUE!</v>
          </cell>
          <cell r="F178"/>
          <cell r="G178" t="str">
            <v>VARCHAR2(10)</v>
          </cell>
          <cell r="H178" t="str">
            <v>NULL</v>
          </cell>
          <cell r="I178"/>
          <cell r="J178">
            <v>279</v>
          </cell>
        </row>
        <row r="179">
          <cell r="C179" t="str">
            <v>Owner FA Discretionary Flag</v>
          </cell>
          <cell r="D179" t="str">
            <v>OWN_FA_DSCR_F</v>
          </cell>
          <cell r="E179" t="e">
            <v>#VALUE!</v>
          </cell>
          <cell r="F179"/>
          <cell r="G179" t="str">
            <v>VARCHAR2(1)</v>
          </cell>
          <cell r="H179" t="str">
            <v>NULL</v>
          </cell>
          <cell r="I179"/>
          <cell r="J179">
            <v>280</v>
          </cell>
        </row>
        <row r="180">
          <cell r="C180" t="str">
            <v>Owner FA Discretionary Status</v>
          </cell>
          <cell r="D180" t="str">
            <v>OWN_FA_DSCR_ST</v>
          </cell>
          <cell r="E180" t="e">
            <v>#VALUE!</v>
          </cell>
          <cell r="F180"/>
          <cell r="G180" t="str">
            <v>VARCHAR2(50)</v>
          </cell>
          <cell r="H180" t="str">
            <v>NULL</v>
          </cell>
          <cell r="I180"/>
          <cell r="J180">
            <v>281</v>
          </cell>
        </row>
        <row r="181">
          <cell r="C181" t="str">
            <v>Owner FA Discretionary Status Code</v>
          </cell>
          <cell r="D181" t="str">
            <v>OWN_FA_DSCR_ST_CD</v>
          </cell>
          <cell r="E181" t="e">
            <v>#VALUE!</v>
          </cell>
          <cell r="F181"/>
          <cell r="G181" t="str">
            <v>VARCHAR2(50)</v>
          </cell>
          <cell r="H181" t="str">
            <v>NULL</v>
          </cell>
          <cell r="I181"/>
          <cell r="J181">
            <v>282</v>
          </cell>
        </row>
        <row r="182">
          <cell r="C182" t="str">
            <v>Owner FA Employee Id</v>
          </cell>
          <cell r="D182" t="str">
            <v>FA_OWN_EMPE_ID</v>
          </cell>
          <cell r="E182" t="str">
            <v>PeopleWorks Identifier for the Responsible Party for an FA Number</v>
          </cell>
          <cell r="F182"/>
          <cell r="G182" t="str">
            <v>VARCHAR2(44)</v>
          </cell>
          <cell r="H182" t="str">
            <v>NULL</v>
          </cell>
          <cell r="I182"/>
          <cell r="J182">
            <v>156</v>
          </cell>
        </row>
        <row r="183">
          <cell r="C183" t="str">
            <v>Owner FA Entity Branch Code</v>
          </cell>
          <cell r="D183" t="str">
            <v>OWN_FA_ENT_BR_CD</v>
          </cell>
          <cell r="E183" t="e">
            <v>#VALUE!</v>
          </cell>
          <cell r="F183"/>
          <cell r="G183" t="str">
            <v>VARCHAR2(20)</v>
          </cell>
          <cell r="H183" t="str">
            <v>NULL</v>
          </cell>
          <cell r="I183"/>
          <cell r="J183">
            <v>287</v>
          </cell>
        </row>
        <row r="184">
          <cell r="C184" t="str">
            <v>Owner FA Entity Business Open Date</v>
          </cell>
          <cell r="D184" t="str">
            <v>OWN_FA_ENT_BSN_OPN_DT</v>
          </cell>
          <cell r="E184" t="str">
            <v>The date the branch/department is available for business use, which may include the first date that an associate could be assigned/associated to a branch/department and/or when the branch became operational in  our systems.</v>
          </cell>
          <cell r="F184"/>
          <cell r="G184" t="str">
            <v>DATE</v>
          </cell>
          <cell r="H184" t="str">
            <v>NULL</v>
          </cell>
          <cell r="I184"/>
          <cell r="J184">
            <v>318</v>
          </cell>
        </row>
        <row r="185">
          <cell r="C185" t="str">
            <v>Owner FA Entity Business Status</v>
          </cell>
          <cell r="D185" t="str">
            <v>OWN_FA_ENT_BSN_ST</v>
          </cell>
          <cell r="E185" t="str">
            <v>Identifies business status of the entity. If Pending Flag is checked, then "Pending Branch", otherwise, if "Date Closed" is populated, then Closed; otherwise, Opened.</v>
          </cell>
          <cell r="F185"/>
          <cell r="G185" t="str">
            <v>VARCHAR2(20)</v>
          </cell>
          <cell r="H185" t="str">
            <v>NULL</v>
          </cell>
          <cell r="I185"/>
          <cell r="J185">
            <v>288</v>
          </cell>
        </row>
        <row r="186">
          <cell r="C186" t="str">
            <v>Owner FA Entity CSS Id</v>
          </cell>
          <cell r="D186" t="str">
            <v>OWN_FA_ENT_CSS_ID</v>
          </cell>
          <cell r="E186" t="e">
            <v>#VALUE!</v>
          </cell>
          <cell r="F186"/>
          <cell r="G186" t="str">
            <v>VARCHAR2(255)</v>
          </cell>
          <cell r="H186" t="str">
            <v>NULL</v>
          </cell>
          <cell r="I186"/>
          <cell r="J186">
            <v>321</v>
          </cell>
        </row>
        <row r="187">
          <cell r="C187" t="str">
            <v>Owner FA Entity Division Code</v>
          </cell>
          <cell r="D187" t="str">
            <v>OWN_FA_ENT_DIV_CD</v>
          </cell>
          <cell r="E187" t="str">
            <v>The unique identifier that is derived from the MGT_D (Division limb) node in DRM.</v>
          </cell>
          <cell r="F187"/>
          <cell r="G187" t="str">
            <v>VARCHAR2(255)</v>
          </cell>
          <cell r="H187" t="str">
            <v>NULL</v>
          </cell>
          <cell r="I187"/>
          <cell r="J187">
            <v>289</v>
          </cell>
        </row>
        <row r="188">
          <cell r="C188" t="str">
            <v>Owner FA Entity Division Description</v>
          </cell>
          <cell r="D188" t="str">
            <v>OWN_FA_ENT_DIV_DSC</v>
          </cell>
          <cell r="E188" t="str">
            <v>A description that is derived from the short description of the Division limb, if the latter exists in the ancestry of the record.</v>
          </cell>
          <cell r="F188"/>
          <cell r="G188" t="str">
            <v>VARCHAR2(255)</v>
          </cell>
          <cell r="H188" t="str">
            <v>NULL</v>
          </cell>
          <cell r="I188"/>
          <cell r="J188">
            <v>290</v>
          </cell>
        </row>
        <row r="189">
          <cell r="C189" t="str">
            <v>Owner FA Entity Division Node</v>
          </cell>
          <cell r="D189" t="str">
            <v>OWN_FA_ENT_DIV_NODE</v>
          </cell>
          <cell r="E189" t="str">
            <v>The node identifier representing the division within the organizational hierarchy for the entity branch of the Financial Advisor (FA) that owns the account relationship.</v>
          </cell>
          <cell r="F189"/>
          <cell r="G189" t="str">
            <v>VARCHAR2(255)</v>
          </cell>
          <cell r="H189" t="str">
            <v>NULL</v>
          </cell>
          <cell r="I189"/>
          <cell r="J189">
            <v>291</v>
          </cell>
        </row>
        <row r="190">
          <cell r="C190" t="str">
            <v>Owner FA Entity LOB Alex Brown Flag</v>
          </cell>
          <cell r="D190" t="str">
            <v>OWN_FA_ENT_LOB_AB_F</v>
          </cell>
          <cell r="E190" t="str">
            <v>A flag that indicates whether the entity branch for the Financial Advisor (FA) that owns the account relationship is associated with the Alex Brown line of business.</v>
          </cell>
          <cell r="F190"/>
          <cell r="G190" t="str">
            <v>VARCHAR2(1)</v>
          </cell>
          <cell r="H190" t="str">
            <v>NULL</v>
          </cell>
          <cell r="I190"/>
          <cell r="J190">
            <v>315</v>
          </cell>
        </row>
        <row r="191">
          <cell r="C191" t="str">
            <v>Owner FA Entity LOB AMS Flag</v>
          </cell>
          <cell r="D191" t="str">
            <v>OWN_FA_ENT_LOB_AMS_F</v>
          </cell>
          <cell r="E191" t="e">
            <v>#VALUE!</v>
          </cell>
          <cell r="F191"/>
          <cell r="G191" t="str">
            <v>VARCHAR2(1)</v>
          </cell>
          <cell r="H191" t="str">
            <v>NULL</v>
          </cell>
          <cell r="I191"/>
          <cell r="J191">
            <v>316</v>
          </cell>
        </row>
        <row r="192">
          <cell r="C192" t="str">
            <v>Owner FA Entity LOB Business Model</v>
          </cell>
          <cell r="D192" t="str">
            <v>OWN_FA_ENT_LOB_BSN_MODL</v>
          </cell>
          <cell r="E192" t="str">
            <v>Identifies code of revenue-generating areas, allowing the individual lines of business to represent subsets of this business model.</v>
          </cell>
          <cell r="F192"/>
          <cell r="G192" t="str">
            <v>VARCHAR2(20)</v>
          </cell>
          <cell r="H192" t="str">
            <v>NULL</v>
          </cell>
          <cell r="I192"/>
          <cell r="J192">
            <v>317</v>
          </cell>
        </row>
        <row r="193">
          <cell r="C193" t="str">
            <v>Owner FA Entity Long Code</v>
          </cell>
          <cell r="D193" t="str">
            <v>OWN_FA_ENT_LONG_CD</v>
          </cell>
          <cell r="E193" t="str">
            <v>Longer name of the record. For most departments/branches (leaves), this is the unique 5-character code as it appears in PeopleSoft Financials and HR systems. For hierarchical limbs, this typically is the DRM Node Name.</v>
          </cell>
          <cell r="F193"/>
          <cell r="G193" t="str">
            <v>VARCHAR2(20)</v>
          </cell>
          <cell r="H193" t="str">
            <v>NULL</v>
          </cell>
          <cell r="I193"/>
          <cell r="J193">
            <v>319</v>
          </cell>
        </row>
        <row r="194">
          <cell r="C194" t="str">
            <v>Owner FA Entity Main Branch State</v>
          </cell>
          <cell r="D194" t="str">
            <v>OWN_FA_ENT_MAIN_BR_STE</v>
          </cell>
          <cell r="E194" t="str">
            <v>The full name of the state where the main branch associated with the Financial Advisor who owns the account is located. This value is used for geographic reporting, compliance, and operational alignment within the organization.</v>
          </cell>
          <cell r="F194"/>
          <cell r="G194" t="str">
            <v>VARCHAR2(2)</v>
          </cell>
          <cell r="H194" t="str">
            <v>NULL</v>
          </cell>
          <cell r="I194"/>
          <cell r="J194">
            <v>292</v>
          </cell>
        </row>
        <row r="195">
          <cell r="C195" t="str">
            <v>Owner FA Entity OSJ</v>
          </cell>
          <cell r="D195" t="str">
            <v>OWN_FA_ENT_OSJ</v>
          </cell>
          <cell r="E195" t="e">
            <v>#VALUE!</v>
          </cell>
          <cell r="F195"/>
          <cell r="G195" t="str">
            <v>VARCHAR2(50)</v>
          </cell>
          <cell r="H195" t="str">
            <v>NULL</v>
          </cell>
          <cell r="I195"/>
          <cell r="J195">
            <v>293</v>
          </cell>
        </row>
        <row r="196">
          <cell r="C196" t="str">
            <v>Owner FA Entity Retail Hierarchy Business Model Code</v>
          </cell>
          <cell r="D196" t="str">
            <v>OWN_FA_ENT_RTL_HIER_BSN_MODL_CD</v>
          </cell>
          <cell r="E196" t="str">
            <v>The name that a company is known as Code (sourced from source system's DRM Node Name) of this optional hierarchical limb within the retail hierarchy, identifying a collection of related entity records for a given sales business model</v>
          </cell>
          <cell r="F196"/>
          <cell r="G196" t="str">
            <v>VARCHAR2(255)</v>
          </cell>
          <cell r="H196" t="str">
            <v>NULL</v>
          </cell>
          <cell r="I196"/>
          <cell r="J196">
            <v>294</v>
          </cell>
        </row>
        <row r="197">
          <cell r="C197" t="str">
            <v>Owner FA Entity Retail Hierarchy Business Model Description</v>
          </cell>
          <cell r="D197" t="str">
            <v>OWN_FA_ENT_RTL_HIER_BSN_MODL_DSC</v>
          </cell>
          <cell r="E197" t="str">
            <v>The name that a company is known as Short Description (sourced from source system's DRM Node Name) of this optional hierarchical limb within the retail hierarchy, identifying a collection of related entity records for a given sales business model</v>
          </cell>
          <cell r="F197"/>
          <cell r="G197" t="str">
            <v>VARCHAR2(255)</v>
          </cell>
          <cell r="H197" t="str">
            <v>NULL</v>
          </cell>
          <cell r="I197"/>
          <cell r="J197">
            <v>295</v>
          </cell>
        </row>
        <row r="198">
          <cell r="C198" t="str">
            <v>Owner FA Entity Retail Hierarchy Reporting Unit Code</v>
          </cell>
          <cell r="D198" t="str">
            <v>OWN_FA_ENT_RTL_HIER_RPT_UNIT_CD</v>
          </cell>
          <cell r="E198" t="str">
            <v>Code (sourced from source system's DRM Node Name) of this optional hierarchical limb within the retail hierarchy, identifying a collection of related entity records for a given sales reporting unit</v>
          </cell>
          <cell r="F198"/>
          <cell r="G198" t="str">
            <v>VARCHAR2(255)</v>
          </cell>
          <cell r="H198" t="str">
            <v>NULL</v>
          </cell>
          <cell r="I198"/>
          <cell r="J198">
            <v>298</v>
          </cell>
        </row>
        <row r="199">
          <cell r="C199" t="str">
            <v>Owner FA Entity Retail Hierarchy Reporting Unit Description</v>
          </cell>
          <cell r="D199" t="str">
            <v>OWN_FA_ENT_RTL_HIER_RPT_UNIT_DSC</v>
          </cell>
          <cell r="E199" t="str">
            <v>Short Description (sourced from source system's DRM Node Name) of this optional hierarchical limb within the retail hierarchy, identifying a collection of related entity records for a given sales reporting unit</v>
          </cell>
          <cell r="F199"/>
          <cell r="G199" t="str">
            <v>VARCHAR2(255)</v>
          </cell>
          <cell r="H199" t="str">
            <v>NULL</v>
          </cell>
          <cell r="I199"/>
          <cell r="J199">
            <v>299</v>
          </cell>
        </row>
        <row r="200">
          <cell r="C200" t="str">
            <v>Owner FA Entity Retail Hierarchy Territory Code</v>
          </cell>
          <cell r="D200" t="str">
            <v>OWN_FA_ENT_RTL_HIER_TERR_CD</v>
          </cell>
          <cell r="E200" t="str">
            <v>Code (sourced from source system's DRM Node Name) of this optional hierarchical limb within the Retail hierarchy, identifying a collection of related entity records for a given sales territory</v>
          </cell>
          <cell r="F200"/>
          <cell r="G200" t="str">
            <v>VARCHAR2(255)</v>
          </cell>
          <cell r="H200" t="str">
            <v>NULL</v>
          </cell>
          <cell r="I200"/>
          <cell r="J200">
            <v>303</v>
          </cell>
        </row>
        <row r="201">
          <cell r="C201" t="str">
            <v>Owner FA Entity Retail Hierarchy Territory Description</v>
          </cell>
          <cell r="D201" t="str">
            <v>OWN_FA_ENT_RTL_HIER_TERR_DSC</v>
          </cell>
          <cell r="E201" t="str">
            <v>Short Description (sourced from source system's DRM Node Name) of this optional hierarchical limb within the Retail hierarchy, identifying a collection of related entity records for a given sales territory</v>
          </cell>
          <cell r="F201"/>
          <cell r="G201" t="str">
            <v>VARCHAR2(255)</v>
          </cell>
          <cell r="H201" t="str">
            <v>NULL</v>
          </cell>
          <cell r="I201"/>
          <cell r="J201">
            <v>304</v>
          </cell>
        </row>
        <row r="202">
          <cell r="C202" t="str">
            <v>Owner FA Entity Retail Sales Complex Code</v>
          </cell>
          <cell r="D202" t="str">
            <v>OWN_FA_ENT_RTL_SALE_CPX_CD</v>
          </cell>
          <cell r="E202" t="str">
            <v>Code (sourced from source system's DRM Node Name) of this optional hierarchical limb within the retail hierarchy, identifying a collection of related entity records for a given sales complex</v>
          </cell>
          <cell r="F202"/>
          <cell r="G202" t="str">
            <v>VARCHAR2(255)</v>
          </cell>
          <cell r="H202" t="str">
            <v>NULL</v>
          </cell>
          <cell r="I202"/>
          <cell r="J202">
            <v>322</v>
          </cell>
        </row>
        <row r="203">
          <cell r="C203" t="str">
            <v>Owner FA Entity Retail Sales Division Code</v>
          </cell>
          <cell r="D203" t="str">
            <v>OWN_FA_ENT_RTL_SALE_DIV_CD</v>
          </cell>
          <cell r="E203" t="e">
            <v>#VALUE!</v>
          </cell>
          <cell r="F203"/>
          <cell r="G203" t="str">
            <v>VARCHAR2(255)</v>
          </cell>
          <cell r="H203" t="str">
            <v>NULL</v>
          </cell>
          <cell r="I203"/>
          <cell r="J203">
            <v>300</v>
          </cell>
        </row>
        <row r="204">
          <cell r="C204" t="str">
            <v>Owner FA Entity Retail Sales Hierarchy LOB Code</v>
          </cell>
          <cell r="D204" t="str">
            <v>OWN_FA_ENT_RTL_SALE_HIER_LOB_CD</v>
          </cell>
          <cell r="E204" t="e">
            <v>#VALUE!</v>
          </cell>
          <cell r="F204"/>
          <cell r="G204" t="str">
            <v>VARCHAR2(255)</v>
          </cell>
          <cell r="H204" t="str">
            <v>NULL</v>
          </cell>
          <cell r="I204"/>
          <cell r="J204">
            <v>296</v>
          </cell>
        </row>
        <row r="205">
          <cell r="C205" t="str">
            <v>Owner FA Entity Retail Sales Hierarchy LOB Description</v>
          </cell>
          <cell r="D205" t="str">
            <v>OWN_FA_ENT_RTL_SALE_HIER_LOB_DSC</v>
          </cell>
          <cell r="E205" t="e">
            <v>#VALUE!</v>
          </cell>
          <cell r="F205"/>
          <cell r="G205" t="str">
            <v>VARCHAR2(255)</v>
          </cell>
          <cell r="H205" t="str">
            <v>NULL</v>
          </cell>
          <cell r="I205"/>
          <cell r="J205">
            <v>297</v>
          </cell>
        </row>
        <row r="206">
          <cell r="C206" t="str">
            <v>Owner FA Entity Retail Sales Hierarchy Region Code</v>
          </cell>
          <cell r="D206" t="str">
            <v>OWN_FA_ENT_RTL_SALE_HIER_RGON_CD</v>
          </cell>
          <cell r="E206" t="str">
            <v>Code (sourced from source system's DRM Node Name) of this optional hierarchical limb within the Retail hierarchy, identifying a collection of related entity records for a given sales region</v>
          </cell>
          <cell r="F206"/>
          <cell r="G206" t="str">
            <v>VARCHAR2(255)</v>
          </cell>
          <cell r="H206" t="str">
            <v>NULL</v>
          </cell>
          <cell r="I206"/>
          <cell r="J206">
            <v>301</v>
          </cell>
        </row>
        <row r="207">
          <cell r="C207" t="str">
            <v>Owner FA Entity Retail Sales Hierarchy Region Description</v>
          </cell>
          <cell r="D207" t="str">
            <v>OWN_FA_ENT_RTL_SALE_HIER_RGON_DSC</v>
          </cell>
          <cell r="E207" t="str">
            <v>Short Description (sourced from source system's DRM Node Name) of this optional hierarchical limb within the Retail hierarchy, identifying a collection of related entity records for a given sales region</v>
          </cell>
          <cell r="F207"/>
          <cell r="G207" t="str">
            <v>VARCHAR2(255)</v>
          </cell>
          <cell r="H207" t="str">
            <v>NULL</v>
          </cell>
          <cell r="I207"/>
          <cell r="J207">
            <v>302</v>
          </cell>
        </row>
        <row r="208">
          <cell r="C208" t="str">
            <v>Owner FA Entity Risk Hierarchy Business Unit Code</v>
          </cell>
          <cell r="D208" t="str">
            <v>OWN_FA_ENT_RSK_HIER_BSN_UNIT_CD</v>
          </cell>
          <cell r="E208" t="str">
            <v>The name that a company is known as Code (sourced from source system's DRM Node Name) of the hierarchical limb within the Risk hierarchy, identifying a collection of related entity records for a given business unit</v>
          </cell>
          <cell r="F208"/>
          <cell r="G208" t="str">
            <v>VARCHAR2(255)</v>
          </cell>
          <cell r="H208" t="str">
            <v>NULL</v>
          </cell>
          <cell r="I208"/>
          <cell r="J208">
            <v>305</v>
          </cell>
        </row>
        <row r="209">
          <cell r="C209" t="str">
            <v>Owner FA Entity Risk Hierarchy Business Unit Description</v>
          </cell>
          <cell r="D209" t="str">
            <v>OWN_FA_ENT_RSK_HIER_BSN_UNIT_DSC</v>
          </cell>
          <cell r="E209" t="str">
            <v>The name that a company is known as Short Description (sourced from source system's DRM Node Name) of the hierarchical limb within the Risk hierarchy, identifying a collection of related entity records for a given business unit</v>
          </cell>
          <cell r="F209"/>
          <cell r="G209" t="str">
            <v>VARCHAR2(255)</v>
          </cell>
          <cell r="H209" t="str">
            <v>NULL</v>
          </cell>
          <cell r="I209"/>
          <cell r="J209">
            <v>306</v>
          </cell>
        </row>
        <row r="210">
          <cell r="C210" t="str">
            <v>Owner FA Entity RJAS Id Flag</v>
          </cell>
          <cell r="D210" t="str">
            <v>OWN_FA_ENT_RJAS_ID_F</v>
          </cell>
          <cell r="E210" t="e">
            <v>#VALUE!</v>
          </cell>
          <cell r="F210"/>
          <cell r="G210" t="str">
            <v>VARCHAR2(1)</v>
          </cell>
          <cell r="H210" t="str">
            <v>NULL</v>
          </cell>
          <cell r="I210"/>
          <cell r="J210">
            <v>307</v>
          </cell>
        </row>
        <row r="211">
          <cell r="C211" t="str">
            <v>Owner FA Entity Short Code</v>
          </cell>
          <cell r="D211" t="str">
            <v>OWN_FA_ENT_SHRT_CD</v>
          </cell>
          <cell r="E211" t="e">
            <v>#VALUE!</v>
          </cell>
          <cell r="F211"/>
          <cell r="G211" t="str">
            <v>VARCHAR2(20)</v>
          </cell>
          <cell r="H211" t="str">
            <v>NULL</v>
          </cell>
          <cell r="I211"/>
          <cell r="J211">
            <v>320</v>
          </cell>
        </row>
        <row r="212">
          <cell r="C212" t="str">
            <v>Owner FA Entity Subdivision Code</v>
          </cell>
          <cell r="D212" t="str">
            <v>OWN_FA_ENT_SUBDIV_CD</v>
          </cell>
          <cell r="E212" t="str">
            <v>The unique identifier that is derived from the MGT_SD (Subdivision limb) node in DRM.</v>
          </cell>
          <cell r="F212"/>
          <cell r="G212" t="str">
            <v>VARCHAR2(255)</v>
          </cell>
          <cell r="H212" t="str">
            <v>NULL</v>
          </cell>
          <cell r="I212"/>
          <cell r="J212">
            <v>308</v>
          </cell>
        </row>
        <row r="213">
          <cell r="C213" t="str">
            <v>Owner FA Entity Subdivision Description</v>
          </cell>
          <cell r="D213" t="str">
            <v>OWN_FA_ENT_SUBDIV_DSC</v>
          </cell>
          <cell r="E213" t="str">
            <v>A description that is derived from the short description of the Subdivision limb, if the latter exists in the ancestry of the record.</v>
          </cell>
          <cell r="F213"/>
          <cell r="G213" t="str">
            <v>VARCHAR2(255)</v>
          </cell>
          <cell r="H213" t="str">
            <v>NULL</v>
          </cell>
          <cell r="I213"/>
          <cell r="J213">
            <v>309</v>
          </cell>
        </row>
        <row r="214">
          <cell r="C214" t="str">
            <v>Owner FA Entity Subsidiary</v>
          </cell>
          <cell r="D214" t="str">
            <v>OWN_FA_ENT_SUBS</v>
          </cell>
          <cell r="E214" t="e">
            <v>#VALUE!</v>
          </cell>
          <cell r="F214"/>
          <cell r="G214" t="str">
            <v>VARCHAR2(40)</v>
          </cell>
          <cell r="H214" t="str">
            <v>NULL</v>
          </cell>
          <cell r="I214"/>
          <cell r="J214">
            <v>310</v>
          </cell>
        </row>
        <row r="215">
          <cell r="C215" t="str">
            <v>Owner FA Entity Subtype</v>
          </cell>
          <cell r="D215" t="str">
            <v>OWN_FA_ENT_SBTP</v>
          </cell>
          <cell r="E215" t="e">
            <v>#VALUE!</v>
          </cell>
          <cell r="F215"/>
          <cell r="G215" t="str">
            <v>VARCHAR2(255)</v>
          </cell>
          <cell r="H215" t="str">
            <v>NULL</v>
          </cell>
          <cell r="I215"/>
          <cell r="J215">
            <v>311</v>
          </cell>
        </row>
        <row r="216">
          <cell r="C216" t="str">
            <v>Owner FA Entity Subtype Code</v>
          </cell>
          <cell r="D216" t="str">
            <v>OWN_FA_ENT_SBTP_CD</v>
          </cell>
          <cell r="E216" t="str">
            <v>A code related that defines the subtype.</v>
          </cell>
          <cell r="F216"/>
          <cell r="G216" t="str">
            <v>VARCHAR2(255)</v>
          </cell>
          <cell r="H216" t="str">
            <v>NULL</v>
          </cell>
          <cell r="I216"/>
          <cell r="J216">
            <v>312</v>
          </cell>
        </row>
        <row r="217">
          <cell r="C217" t="str">
            <v>Owner FA Entity Type</v>
          </cell>
          <cell r="D217" t="str">
            <v>OWN_FA_ENT_TP</v>
          </cell>
          <cell r="E217" t="e">
            <v>#VALUE!</v>
          </cell>
          <cell r="F217"/>
          <cell r="G217" t="str">
            <v>VARCHAR2(255)</v>
          </cell>
          <cell r="H217" t="str">
            <v>NULL</v>
          </cell>
          <cell r="I217"/>
          <cell r="J217">
            <v>313</v>
          </cell>
        </row>
        <row r="218">
          <cell r="C218" t="str">
            <v>Owner FA Entity Type Code</v>
          </cell>
          <cell r="D218" t="str">
            <v>OWN_FA_ENT_TP_CD</v>
          </cell>
          <cell r="E218" t="e">
            <v>#VALUE!</v>
          </cell>
          <cell r="F218"/>
          <cell r="G218" t="str">
            <v>VARCHAR2(255)</v>
          </cell>
          <cell r="H218" t="str">
            <v>NULL</v>
          </cell>
          <cell r="I218"/>
          <cell r="J218">
            <v>314</v>
          </cell>
        </row>
        <row r="219">
          <cell r="C219" t="str">
            <v>Owner FA FINRA CRD Class Code</v>
          </cell>
          <cell r="D219" t="str">
            <v>OWN_FA_FINRA_CRD_CLSS_CD</v>
          </cell>
          <cell r="E219" t="e">
            <v>#VALUE!</v>
          </cell>
          <cell r="F219"/>
          <cell r="G219" t="str">
            <v>VARCHAR2(12)</v>
          </cell>
          <cell r="H219" t="str">
            <v>NULL</v>
          </cell>
          <cell r="I219"/>
          <cell r="J219">
            <v>283</v>
          </cell>
        </row>
        <row r="220">
          <cell r="C220" t="str">
            <v>Owner FA HR Status Code</v>
          </cell>
          <cell r="D220" t="str">
            <v>OWN_FA_HR_ST_CD</v>
          </cell>
          <cell r="E220" t="e">
            <v>#VALUE!</v>
          </cell>
          <cell r="F220"/>
          <cell r="G220" t="str">
            <v>VARCHAR2(1)</v>
          </cell>
          <cell r="H220" t="str">
            <v>NULL</v>
          </cell>
          <cell r="I220"/>
          <cell r="J220">
            <v>284</v>
          </cell>
        </row>
        <row r="221">
          <cell r="C221" t="str">
            <v>Owner FA Number</v>
          </cell>
          <cell r="D221" t="str">
            <v>OWN_FA_NUM</v>
          </cell>
          <cell r="E221" t="str">
            <v>Owner FA Number is a FA Number that owns the Arrangement for which activity is recorded</v>
          </cell>
          <cell r="F221" t="str">
            <v>FA Number</v>
          </cell>
          <cell r="G221" t="str">
            <v>VARCHAR2(6)</v>
          </cell>
          <cell r="H221" t="str">
            <v>NULL</v>
          </cell>
          <cell r="I221"/>
          <cell r="J221">
            <v>154</v>
          </cell>
        </row>
        <row r="222">
          <cell r="C222" t="str">
            <v>Owner FA Number Entity Code</v>
          </cell>
          <cell r="D222" t="str">
            <v>OWN_FA_NUM_ENT_CD</v>
          </cell>
          <cell r="E222" t="str">
            <v>Entity Code that owns the Owner FA Number</v>
          </cell>
          <cell r="F222" t="str">
            <v>Code_20</v>
          </cell>
          <cell r="G222" t="str">
            <v>VARCHAR2(20)</v>
          </cell>
          <cell r="H222" t="str">
            <v>NULL</v>
          </cell>
          <cell r="I222"/>
          <cell r="J222">
            <v>155</v>
          </cell>
        </row>
        <row r="223">
          <cell r="C223" t="str">
            <v>Owner FA Number Entity Enterprise Id</v>
          </cell>
          <cell r="D223" t="str">
            <v>OWN_FA_NUM_ENT_ENTP_ID</v>
          </cell>
          <cell r="E223" t="str">
            <v>Enterprise Id of the Entity that owns the Owner FA Number</v>
          </cell>
          <cell r="F223" t="str">
            <v>Number_22</v>
          </cell>
          <cell r="G223" t="str">
            <v>NUMBER(22,0)</v>
          </cell>
          <cell r="H223" t="str">
            <v>NULL</v>
          </cell>
          <cell r="I223"/>
          <cell r="J223">
            <v>157</v>
          </cell>
        </row>
        <row r="224">
          <cell r="C224" t="str">
            <v>Owner FA Number Type</v>
          </cell>
          <cell r="D224" t="str">
            <v>OWN_FA_NUM_TP</v>
          </cell>
          <cell r="E224" t="str">
            <v>FA Number Type represents the type of Financial Advisor (FA) number.</v>
          </cell>
          <cell r="F224"/>
          <cell r="G224" t="str">
            <v>VARCHAR2(256)</v>
          </cell>
          <cell r="H224" t="str">
            <v>NULL</v>
          </cell>
          <cell r="I224"/>
          <cell r="J224">
            <v>358</v>
          </cell>
        </row>
        <row r="225">
          <cell r="C225" t="str">
            <v>Owner FA Number Type Code</v>
          </cell>
          <cell r="D225" t="str">
            <v>OWN_FA_NUM_TP_CD</v>
          </cell>
          <cell r="E225" t="str">
            <v>FA Number Type Code is a three-character code representing the type of Financial Advisor (FA) number. Examples include 'pri' for primary and 'spl' for split.</v>
          </cell>
          <cell r="F225"/>
          <cell r="G225" t="str">
            <v>VARCHAR2(3)</v>
          </cell>
          <cell r="H225" t="str">
            <v>NULL</v>
          </cell>
          <cell r="I225"/>
          <cell r="J225">
            <v>357</v>
          </cell>
        </row>
        <row r="226">
          <cell r="C226" t="str">
            <v>Owner FA Producer Flag</v>
          </cell>
          <cell r="D226" t="str">
            <v>OWN_FA_PRODUCER_F</v>
          </cell>
          <cell r="E226" t="str">
            <v>A flag that indicates whether the Financial Advisor who owns the account or relationship is designated as a producer. It is used to identify advisors who actively generate revenue through client accounts for reporting and compensation purposes.</v>
          </cell>
          <cell r="F226"/>
          <cell r="G226" t="str">
            <v>VARCHAR2(1)</v>
          </cell>
          <cell r="H226" t="str">
            <v>NULL</v>
          </cell>
          <cell r="I226"/>
          <cell r="J226">
            <v>285</v>
          </cell>
        </row>
        <row r="227">
          <cell r="C227" t="str">
            <v>Owner FA Qualified Advisor Flag</v>
          </cell>
          <cell r="D227" t="str">
            <v>OWN_FA_QUALF_ADV_F</v>
          </cell>
          <cell r="E227" t="e">
            <v>#VALUE!</v>
          </cell>
          <cell r="F227"/>
          <cell r="G227" t="str">
            <v>VARCHAR2(1)</v>
          </cell>
          <cell r="H227" t="str">
            <v>NOT NULL</v>
          </cell>
          <cell r="I227"/>
          <cell r="J227">
            <v>286</v>
          </cell>
        </row>
        <row r="228">
          <cell r="C228" t="str">
            <v>Owner IMPACT FA Number</v>
          </cell>
          <cell r="D228" t="str">
            <v>OWN_IMP_FA_NUM</v>
          </cell>
          <cell r="E228" t="str">
            <v>FA Number as given in Impact system</v>
          </cell>
          <cell r="F228" t="str">
            <v>Code_20</v>
          </cell>
          <cell r="G228" t="str">
            <v>VARCHAR2(20)</v>
          </cell>
          <cell r="H228" t="str">
            <v>NULL</v>
          </cell>
          <cell r="I228"/>
          <cell r="J228">
            <v>153</v>
          </cell>
        </row>
        <row r="229">
          <cell r="C229" t="str">
            <v>Owner Primary FA Number</v>
          </cell>
          <cell r="D229" t="str">
            <v>OWN_PRIM_FA_NUM</v>
          </cell>
          <cell r="E229" t="str">
            <v>The unique identifier assigned to the primary Financial Advisor who owns the account or relationship. It is used to distinguish the advisor in client records, reporting, and operational systems.</v>
          </cell>
          <cell r="F229"/>
          <cell r="G229" t="str">
            <v>VARCHAR2(6)</v>
          </cell>
          <cell r="H229" t="str">
            <v>NULL</v>
          </cell>
          <cell r="I229"/>
          <cell r="J229">
            <v>276</v>
          </cell>
        </row>
        <row r="230">
          <cell r="C230" t="str">
            <v>Product Composite Description</v>
          </cell>
          <cell r="D230" t="str">
            <v>PD_CMPOS_DSC</v>
          </cell>
          <cell r="E230" t="str">
            <v>An enhanced description of a financial instrument where additional descriptors are appended to the security's general free text description.</v>
          </cell>
          <cell r="F230"/>
          <cell r="G230" t="str">
            <v>VARCHAR2(4000)</v>
          </cell>
          <cell r="H230" t="str">
            <v>NULL</v>
          </cell>
          <cell r="I230"/>
          <cell r="J230">
            <v>335</v>
          </cell>
        </row>
        <row r="231">
          <cell r="C231" t="str">
            <v>Product Description</v>
          </cell>
          <cell r="D231" t="str">
            <v>PD_DSC</v>
          </cell>
          <cell r="E231" t="str">
            <v>An enhanced description of a financial instrument where additional descriptors are appended to the security's general free text description.</v>
          </cell>
          <cell r="F231"/>
          <cell r="G231" t="str">
            <v>VARCHAR2(4000)</v>
          </cell>
          <cell r="H231" t="str">
            <v>NULL</v>
          </cell>
          <cell r="I231"/>
          <cell r="J231">
            <v>337</v>
          </cell>
        </row>
        <row r="232">
          <cell r="C232" t="str">
            <v>Product Short Name</v>
          </cell>
          <cell r="D232" t="str">
            <v>PD_SHRT_NM</v>
          </cell>
          <cell r="E232" t="str">
            <v>Abbreviated text description of the product</v>
          </cell>
          <cell r="F232"/>
          <cell r="G232" t="str">
            <v>VARCHAR2(500)</v>
          </cell>
          <cell r="H232" t="str">
            <v>NULL</v>
          </cell>
          <cell r="I232"/>
          <cell r="J232">
            <v>336</v>
          </cell>
        </row>
        <row r="233">
          <cell r="C233" t="str">
            <v>Related Transaction Relationship Type Code</v>
          </cell>
          <cell r="D233" t="str">
            <v>REL_TXN_RLTNP_TP_CD</v>
          </cell>
          <cell r="E233" t="str">
            <v>Code of Relationship type with the target transaction E.g.R01, R02, R03</v>
          </cell>
          <cell r="F233" t="str">
            <v>Code_20</v>
          </cell>
          <cell r="G233" t="str">
            <v>VARCHAR2(20)</v>
          </cell>
          <cell r="H233" t="str">
            <v>NULL</v>
          </cell>
          <cell r="I233"/>
          <cell r="J233">
            <v>206</v>
          </cell>
        </row>
        <row r="234">
          <cell r="C234" t="str">
            <v>Related Transaction Relationship Type Id</v>
          </cell>
          <cell r="D234" t="str">
            <v>REL_TXN_RLTNP_TP_ID</v>
          </cell>
          <cell r="E234" t="str">
            <v>Identifier for Relationship type with the related transaction</v>
          </cell>
          <cell r="F234" t="str">
            <v>NINI</v>
          </cell>
          <cell r="G234" t="str">
            <v>NUMBER(38,0)</v>
          </cell>
          <cell r="H234" t="str">
            <v>NULL</v>
          </cell>
          <cell r="I234"/>
          <cell r="J234">
            <v>205</v>
          </cell>
        </row>
        <row r="235">
          <cell r="C235" t="str">
            <v>Related Transaction Relationship Type Name</v>
          </cell>
          <cell r="D235" t="str">
            <v>REL_TXN_RLTNP_TP_NM</v>
          </cell>
          <cell r="E235" t="str">
            <v>Name of Relation ship with the target transaction E.g. Reversal, Cancel, Correct</v>
          </cell>
          <cell r="F235" t="str">
            <v>Name_100</v>
          </cell>
          <cell r="G235" t="str">
            <v>VARCHAR2(100)</v>
          </cell>
          <cell r="H235" t="str">
            <v>NULL</v>
          </cell>
          <cell r="I235"/>
          <cell r="J235">
            <v>207</v>
          </cell>
        </row>
        <row r="236">
          <cell r="C236" t="str">
            <v>Related Transaction Source System Code</v>
          </cell>
          <cell r="D236" t="str">
            <v>REL_TXN_SRC_STM_CD</v>
          </cell>
          <cell r="E236" t="str">
            <v>CDS assigned source system code for related transaction</v>
          </cell>
          <cell r="F236" t="str">
            <v>Code_20</v>
          </cell>
          <cell r="G236" t="str">
            <v>VARCHAR2(20)</v>
          </cell>
          <cell r="H236" t="str">
            <v>NULL</v>
          </cell>
          <cell r="I236"/>
          <cell r="J236">
            <v>203</v>
          </cell>
        </row>
        <row r="237">
          <cell r="C237" t="str">
            <v>Related Transaction Source System Dimension Id</v>
          </cell>
          <cell r="D237" t="str">
            <v>REL_TXN_SRC_STM_DIM_ID</v>
          </cell>
          <cell r="E237" t="str">
            <v>Surrogate key for Related Transaction Source System Dimension.</v>
          </cell>
          <cell r="F237" t="str">
            <v>NINI</v>
          </cell>
          <cell r="G237" t="str">
            <v>NUMBER(38,0)</v>
          </cell>
          <cell r="H237" t="str">
            <v>NOT NULL</v>
          </cell>
          <cell r="I237"/>
          <cell r="J237">
            <v>15</v>
          </cell>
        </row>
        <row r="238">
          <cell r="C238" t="str">
            <v>Related Transaction Source System Id</v>
          </cell>
          <cell r="D238" t="str">
            <v>REL_TXN_SRC_STM_ID</v>
          </cell>
          <cell r="E238" t="str">
            <v>CDS assigned source system id for related transaction</v>
          </cell>
          <cell r="F238" t="str">
            <v>NINI</v>
          </cell>
          <cell r="G238" t="str">
            <v>NUMBER(38,0)</v>
          </cell>
          <cell r="H238" t="str">
            <v>NULL</v>
          </cell>
          <cell r="I238"/>
          <cell r="J238">
            <v>202</v>
          </cell>
        </row>
        <row r="239">
          <cell r="C239" t="str">
            <v>Reporting Classification Level 1</v>
          </cell>
          <cell r="D239" t="str">
            <v>RPT_CL_LVL_1</v>
          </cell>
          <cell r="E239" t="e">
            <v>#VALUE!</v>
          </cell>
          <cell r="F239"/>
          <cell r="G239" t="str">
            <v>VARCHAR2(100)</v>
          </cell>
          <cell r="H239" t="str">
            <v>NULL</v>
          </cell>
          <cell r="I239"/>
          <cell r="J239">
            <v>338</v>
          </cell>
        </row>
        <row r="240">
          <cell r="C240" t="str">
            <v>Reporting Classification Level 2</v>
          </cell>
          <cell r="D240" t="str">
            <v>RPT_CL_LVL_2</v>
          </cell>
          <cell r="E240" t="e">
            <v>#VALUE!</v>
          </cell>
          <cell r="F240"/>
          <cell r="G240" t="str">
            <v>VARCHAR2(100)</v>
          </cell>
          <cell r="H240" t="str">
            <v>NULL</v>
          </cell>
          <cell r="I240"/>
          <cell r="J240">
            <v>339</v>
          </cell>
        </row>
        <row r="241">
          <cell r="C241" t="str">
            <v>Reporting Strategy Detail Asset Class</v>
          </cell>
          <cell r="D241" t="str">
            <v>RPT_STRTG_DTL_AST_CLSS</v>
          </cell>
          <cell r="E241" t="str">
            <v>Alternate hierarchy Firm Reporting Hierarchy Classification Level 2.</v>
          </cell>
          <cell r="F241"/>
          <cell r="G241" t="str">
            <v>VARCHAR2(100)</v>
          </cell>
          <cell r="H241" t="str">
            <v>NULL</v>
          </cell>
          <cell r="I241"/>
          <cell r="J241">
            <v>340</v>
          </cell>
        </row>
        <row r="242">
          <cell r="C242" t="str">
            <v>Reporting Strategy Detail Asset Class Code</v>
          </cell>
          <cell r="D242" t="str">
            <v>RPT_STRTG_DTL_AST_CLSS_CD</v>
          </cell>
          <cell r="E242" t="str">
            <v>Alternate hierarchy Firm Reporting Hierarchy Classification Level 2.</v>
          </cell>
          <cell r="F242"/>
          <cell r="G242" t="str">
            <v>VARCHAR2(40)</v>
          </cell>
          <cell r="H242" t="str">
            <v>NULL</v>
          </cell>
          <cell r="I242"/>
          <cell r="J242">
            <v>341</v>
          </cell>
        </row>
        <row r="243">
          <cell r="C243" t="str">
            <v>Reporting Strategy Summary Asset Class</v>
          </cell>
          <cell r="D243" t="str">
            <v>RPT_STRTG_SMY_AST_CLSS</v>
          </cell>
          <cell r="E243" t="str">
            <v>Alternate hierarchy Firm Reporting Hierarchy Classification Level 1 - Top Level.</v>
          </cell>
          <cell r="F243"/>
          <cell r="G243" t="str">
            <v>VARCHAR2(100)</v>
          </cell>
          <cell r="H243" t="str">
            <v>NULL</v>
          </cell>
          <cell r="I243"/>
          <cell r="J243">
            <v>342</v>
          </cell>
        </row>
        <row r="244">
          <cell r="C244" t="str">
            <v>Reporting Strategy Summary Asset Class Code</v>
          </cell>
          <cell r="D244" t="str">
            <v>RPT_STRTG_SMY_AST_CLSS_CD</v>
          </cell>
          <cell r="E244" t="str">
            <v>Alternate hierarchy Firm Reporting Hierarchy Classification Level 1 - Top Level.</v>
          </cell>
          <cell r="F244"/>
          <cell r="G244" t="str">
            <v>VARCHAR2(40)</v>
          </cell>
          <cell r="H244" t="str">
            <v>NULL</v>
          </cell>
          <cell r="I244"/>
          <cell r="J244">
            <v>343</v>
          </cell>
        </row>
        <row r="245">
          <cell r="C245" t="str">
            <v>RJ Business Unit</v>
          </cell>
          <cell r="D245" t="str">
            <v>RJ_BSN_UNIT</v>
          </cell>
          <cell r="E245" t="str">
            <v>Business unit of Raymond James this arrangement belongs to.</v>
          </cell>
          <cell r="F245"/>
          <cell r="G245" t="str">
            <v>VARCHAR2(500)</v>
          </cell>
          <cell r="H245" t="str">
            <v>NULL</v>
          </cell>
          <cell r="I245"/>
          <cell r="J245">
            <v>267</v>
          </cell>
        </row>
        <row r="246">
          <cell r="C246" t="str">
            <v>RJ Business Unit Code</v>
          </cell>
          <cell r="D246" t="str">
            <v>RJ_BSN_UNIT_CD</v>
          </cell>
          <cell r="E246" t="str">
            <v>A code that indicates a business unit of Raymond James this arrangement belongs to.</v>
          </cell>
          <cell r="F246"/>
          <cell r="G246" t="str">
            <v>VARCHAR2(40)</v>
          </cell>
          <cell r="H246" t="str">
            <v>NULL</v>
          </cell>
          <cell r="I246"/>
          <cell r="J246">
            <v>265</v>
          </cell>
        </row>
        <row r="247">
          <cell r="C247" t="str">
            <v>Sales Charge Rate</v>
          </cell>
          <cell r="D247" t="str">
            <v>SALE_CHRG_RATE_PCT</v>
          </cell>
          <cell r="E247" t="str">
            <v>Sales charge expressed as percent for the portion represented by the asset package. This column will have values if Sales Charge Rate Type Identifier indicates that it was recorded as a percentage in CCAL</v>
          </cell>
          <cell r="F247" t="str">
            <v>A38d6</v>
          </cell>
          <cell r="G247" t="str">
            <v>NUMBER(38,6)</v>
          </cell>
          <cell r="H247" t="str">
            <v>NULL</v>
          </cell>
          <cell r="I247"/>
          <cell r="J247">
            <v>33</v>
          </cell>
        </row>
        <row r="248">
          <cell r="C248" t="str">
            <v>Sales Charge Rate Multiplier Number</v>
          </cell>
          <cell r="D248" t="str">
            <v>SALE_CHRG_RATE_MULTI_NUM</v>
          </cell>
          <cell r="E248" t="str">
            <v>Sales charge expressed as a multiplier for the portion represented by the asset package. This column will have values if Sales Charge Rate is expressed as a multipler.</v>
          </cell>
          <cell r="F248" t="str">
            <v>A38d6</v>
          </cell>
          <cell r="G248" t="str">
            <v>NUMBER(38,6)</v>
          </cell>
          <cell r="H248" t="str">
            <v>NULL</v>
          </cell>
          <cell r="I248"/>
          <cell r="J248">
            <v>34</v>
          </cell>
        </row>
        <row r="249">
          <cell r="C249" t="str">
            <v>Sales Charge Rate Type Code</v>
          </cell>
          <cell r="D249" t="str">
            <v>SALE_CHRG_RATE_TP_CD</v>
          </cell>
          <cell r="E249" t="str">
            <v>A code representing the type of value stored for sales charge</v>
          </cell>
          <cell r="F249" t="str">
            <v>Code_20</v>
          </cell>
          <cell r="G249" t="str">
            <v>VARCHAR2(20)</v>
          </cell>
          <cell r="H249" t="str">
            <v>NULL</v>
          </cell>
          <cell r="I249"/>
          <cell r="J249">
            <v>36</v>
          </cell>
        </row>
        <row r="250">
          <cell r="C250" t="str">
            <v>Sales Charge Rate Type Id</v>
          </cell>
          <cell r="D250" t="str">
            <v>SALE_CHRG_RATE_TP_ID</v>
          </cell>
          <cell r="E250" t="str">
            <v>Identifier representing the type of value stored for sales charge</v>
          </cell>
          <cell r="F250" t="str">
            <v>NINI</v>
          </cell>
          <cell r="G250" t="str">
            <v>NUMBER(38,0)</v>
          </cell>
          <cell r="H250" t="str">
            <v>NULL</v>
          </cell>
          <cell r="I250"/>
          <cell r="J250">
            <v>35</v>
          </cell>
        </row>
        <row r="251">
          <cell r="C251" t="str">
            <v>Sales Charge Rate Type Name</v>
          </cell>
          <cell r="D251" t="str">
            <v>SALE_CHRG_RATE_TP_NM</v>
          </cell>
          <cell r="E251" t="str">
            <v>Name of Sales charge type Percentage or Multiplier.</v>
          </cell>
          <cell r="F251" t="str">
            <v>Name_200</v>
          </cell>
          <cell r="G251" t="str">
            <v>VARCHAR2(200)</v>
          </cell>
          <cell r="H251" t="str">
            <v>NULL</v>
          </cell>
          <cell r="I251"/>
          <cell r="J251">
            <v>129</v>
          </cell>
        </row>
        <row r="252">
          <cell r="C252" t="str">
            <v>SDIRA Transaction Type</v>
          </cell>
          <cell r="D252" t="str">
            <v>SDIRA_TXN_TP</v>
          </cell>
          <cell r="E252"/>
          <cell r="F252"/>
          <cell r="G252" t="str">
            <v>VARCHAR2(200)</v>
          </cell>
          <cell r="H252" t="str">
            <v>NULL</v>
          </cell>
          <cell r="I252"/>
          <cell r="J252">
            <v>244</v>
          </cell>
        </row>
        <row r="253">
          <cell r="C253" t="str">
            <v>SDIRA Transaction Type Code</v>
          </cell>
          <cell r="D253" t="str">
            <v>SDIRA_TXN_TP_CD</v>
          </cell>
          <cell r="E253"/>
          <cell r="F253"/>
          <cell r="G253" t="str">
            <v>VARCHAR2(20)</v>
          </cell>
          <cell r="H253" t="str">
            <v>NULL</v>
          </cell>
          <cell r="I253"/>
          <cell r="J253">
            <v>243</v>
          </cell>
        </row>
        <row r="254">
          <cell r="C254" t="str">
            <v>SDIRA Transaction Year</v>
          </cell>
          <cell r="D254" t="str">
            <v>SDIRA_TXN_YR</v>
          </cell>
          <cell r="E254"/>
          <cell r="F254"/>
          <cell r="G254" t="str">
            <v>VARCHAR2(15)</v>
          </cell>
          <cell r="H254" t="str">
            <v>NULL</v>
          </cell>
          <cell r="I254"/>
          <cell r="J254">
            <v>245</v>
          </cell>
        </row>
        <row r="255">
          <cell r="C255" t="str">
            <v>SEC Fee Amount</v>
          </cell>
          <cell r="D255" t="str">
            <v>SEC_FEE_AMT</v>
          </cell>
          <cell r="E255" t="str">
            <v>Regulatory fee charged on the sale of exchange-listed securities, collected under Section 31 of the Securities Exchange Act of 1934. It is designed to help fund operations of the US Securities and Exchange Commission (SEC)</v>
          </cell>
          <cell r="F255" t="str">
            <v>A38d6</v>
          </cell>
          <cell r="G255" t="str">
            <v>NUMBER(38,6)</v>
          </cell>
          <cell r="H255" t="str">
            <v>NULL</v>
          </cell>
          <cell r="I255"/>
          <cell r="J255">
            <v>220</v>
          </cell>
        </row>
        <row r="256">
          <cell r="C256" t="str">
            <v>Security Activity Category</v>
          </cell>
          <cell r="D256" t="str">
            <v>SCR_AVY_CGY</v>
          </cell>
          <cell r="E256" t="str">
            <v>Represents the specific Category of activity such as a 'Purchase' or 'Income'. Further refinement of the categories are captured under Activity Type.
This field will be populated only if the transaction has a Security leg.</v>
          </cell>
          <cell r="F256" t="str">
            <v>Name_25</v>
          </cell>
          <cell r="G256" t="str">
            <v>VARCHAR2(25)</v>
          </cell>
          <cell r="H256" t="str">
            <v>NULL</v>
          </cell>
          <cell r="I256"/>
          <cell r="J256">
            <v>78</v>
          </cell>
        </row>
        <row r="257">
          <cell r="C257" t="str">
            <v>Security Activity Classification Id</v>
          </cell>
          <cell r="D257" t="str">
            <v>SEC_AVY_CL_ID</v>
          </cell>
          <cell r="E257" t="str">
            <v>CDS assigned identifier for the activity class.
This field will be populated only if the transaction has a Security leg.</v>
          </cell>
          <cell r="F257" t="str">
            <v>NINI</v>
          </cell>
          <cell r="G257" t="str">
            <v>NUMBER(38,0)</v>
          </cell>
          <cell r="H257" t="str">
            <v>NULL</v>
          </cell>
          <cell r="I257"/>
          <cell r="J257">
            <v>77</v>
          </cell>
        </row>
        <row r="258">
          <cell r="C258" t="str">
            <v>Security Activity Type</v>
          </cell>
          <cell r="D258" t="str">
            <v>SCR_AVY_TP</v>
          </cell>
          <cell r="E258" t="str">
            <v>Represents a more refined view of the Activity Category.
This field will be populated only if the transaction has a Security leg.</v>
          </cell>
          <cell r="F258" t="str">
            <v>Name_100</v>
          </cell>
          <cell r="G258" t="str">
            <v>VARCHAR2(100)</v>
          </cell>
          <cell r="H258" t="str">
            <v>NULL</v>
          </cell>
          <cell r="I258"/>
          <cell r="J258">
            <v>79</v>
          </cell>
        </row>
        <row r="259">
          <cell r="C259" t="str">
            <v>Security Alternate Description Trailer 2</v>
          </cell>
          <cell r="D259" t="str">
            <v>SEC_ALT_DSC_TRAILER_2</v>
          </cell>
          <cell r="E259" t="str">
            <v>Second line of unformatted, monolingual narrative booking information. SIS trailer field 2. 
This field will be populated only if the transaction has a Security leg.</v>
          </cell>
          <cell r="F259" t="str">
            <v>Name_256</v>
          </cell>
          <cell r="G259" t="str">
            <v>VARCHAR2(256)</v>
          </cell>
          <cell r="H259" t="str">
            <v>NULL</v>
          </cell>
          <cell r="I259"/>
          <cell r="J259">
            <v>48</v>
          </cell>
        </row>
        <row r="260">
          <cell r="C260" t="str">
            <v>Security Asset Package External Qualifier</v>
          </cell>
          <cell r="D260" t="str">
            <v>SEC_APA_EXT_QUALFR</v>
          </cell>
          <cell r="E260" t="str">
            <v>Qualifier code from the external source system.
This field will be populated only if the transaction has a Security leg.</v>
          </cell>
          <cell r="F260" t="str">
            <v>Code_50</v>
          </cell>
          <cell r="G260" t="str">
            <v>VARCHAR2(50)</v>
          </cell>
          <cell r="H260" t="str">
            <v>NULL</v>
          </cell>
          <cell r="I260"/>
          <cell r="J260">
            <v>46</v>
          </cell>
        </row>
        <row r="261">
          <cell r="C261" t="str">
            <v>Security Asset Package Id</v>
          </cell>
          <cell r="D261" t="str">
            <v>SEC_APA_ID</v>
          </cell>
          <cell r="E261" t="str">
            <v>APA_ID from CCAL APA table. It is recorded here for the purpose of maintaining a link with the source. 
This field will be populated only if the transaction has a Security leg.</v>
          </cell>
          <cell r="F261" t="str">
            <v>NINI</v>
          </cell>
          <cell r="G261" t="str">
            <v>NUMBER(38,0)</v>
          </cell>
          <cell r="H261" t="str">
            <v>NULL</v>
          </cell>
          <cell r="I261"/>
          <cell r="J261">
            <v>176</v>
          </cell>
        </row>
        <row r="262">
          <cell r="C262" t="str">
            <v>Security Asset Package Type Code</v>
          </cell>
          <cell r="D262" t="str">
            <v>SCR_APA_TP_CD</v>
          </cell>
          <cell r="E262" t="str">
            <v>Code associated with Asset Package Type Id.
This field will be populated only if the transaction has a Security leg.</v>
          </cell>
          <cell r="F262" t="str">
            <v>Code_20</v>
          </cell>
          <cell r="G262" t="str">
            <v>VARCHAR2(20)</v>
          </cell>
          <cell r="H262" t="str">
            <v>NULL</v>
          </cell>
          <cell r="I262"/>
          <cell r="J262">
            <v>74</v>
          </cell>
        </row>
        <row r="263">
          <cell r="C263" t="str">
            <v>Security Asset Package Type Description</v>
          </cell>
          <cell r="D263" t="str">
            <v>SCR_APA_TP_DSC</v>
          </cell>
          <cell r="E263" t="str">
            <v>Description associated with Asset Package Type Id.
This field will be populated only if the transaction has a Security leg.</v>
          </cell>
          <cell r="F263" t="str">
            <v>Description_1000</v>
          </cell>
          <cell r="G263" t="str">
            <v>VARCHAR2(1000)</v>
          </cell>
          <cell r="H263" t="str">
            <v>NULL</v>
          </cell>
          <cell r="I263"/>
          <cell r="J263">
            <v>76</v>
          </cell>
        </row>
        <row r="264">
          <cell r="C264" t="str">
            <v>Security Asset Package Type Id</v>
          </cell>
          <cell r="D264" t="str">
            <v>SEC_APA_TP_ID</v>
          </cell>
          <cell r="E264" t="str">
            <v>Asset Pacakge type Id from CCAL core.
This field will be populated only if the transaction has a Security leg.</v>
          </cell>
          <cell r="F264" t="str">
            <v>NINI</v>
          </cell>
          <cell r="G264" t="str">
            <v>NUMBER(38,0)</v>
          </cell>
          <cell r="H264" t="str">
            <v>NULL</v>
          </cell>
          <cell r="I264"/>
          <cell r="J264">
            <v>73</v>
          </cell>
        </row>
        <row r="265">
          <cell r="C265" t="str">
            <v>Security Asset Package Type Name</v>
          </cell>
          <cell r="D265" t="str">
            <v>SCR_APA_TP_NM</v>
          </cell>
          <cell r="E265" t="str">
            <v>Name of Asset Package Type Id.
This field will be populated only if the transaction has a Security leg.</v>
          </cell>
          <cell r="F265" t="str">
            <v>Name_200</v>
          </cell>
          <cell r="G265" t="str">
            <v>VARCHAR2(200)</v>
          </cell>
          <cell r="H265" t="str">
            <v>NULL</v>
          </cell>
          <cell r="I265"/>
          <cell r="J265">
            <v>75</v>
          </cell>
        </row>
        <row r="266">
          <cell r="C266" t="str">
            <v>Security CIRD Product Id</v>
          </cell>
          <cell r="D266" t="str">
            <v>SEC_CIRD_PD_ID</v>
          </cell>
          <cell r="E266" t="str">
            <v>CIRD identifier for product.
This field will be populated only if the transaction has a Security leg.</v>
          </cell>
          <cell r="F266" t="str">
            <v>NINI</v>
          </cell>
          <cell r="G266" t="str">
            <v>NUMBER(38,0)</v>
          </cell>
          <cell r="H266" t="str">
            <v>NULL</v>
          </cell>
          <cell r="I266"/>
          <cell r="J266">
            <v>131</v>
          </cell>
        </row>
        <row r="267">
          <cell r="C267" t="str">
            <v>Security Debit Credit Code</v>
          </cell>
          <cell r="D267" t="str">
            <v>SEC_DB_CR_CD</v>
          </cell>
          <cell r="E267" t="str">
            <v>A code representing Debit / Credit (e.g. D / C)
This field will be populated only if the transaction has a Security leg.</v>
          </cell>
          <cell r="F267" t="str">
            <v>Code_20</v>
          </cell>
          <cell r="G267" t="str">
            <v>VARCHAR2(20)</v>
          </cell>
          <cell r="H267" t="str">
            <v>NULL</v>
          </cell>
          <cell r="I267"/>
          <cell r="J267">
            <v>132</v>
          </cell>
        </row>
        <row r="268">
          <cell r="C268" t="str">
            <v>Security Debit Credit Name</v>
          </cell>
          <cell r="D268" t="str">
            <v>SEC_DB_CR_NM</v>
          </cell>
          <cell r="E268" t="str">
            <v>A Name representing Debit / Credit (e.g. Debit / Credit)
This field will be populated only if the transaction has a Security leg.</v>
          </cell>
          <cell r="F268" t="str">
            <v>Name_100</v>
          </cell>
          <cell r="G268" t="str">
            <v>VARCHAR2(100)</v>
          </cell>
          <cell r="H268" t="str">
            <v>NULL</v>
          </cell>
          <cell r="I268"/>
          <cell r="J268">
            <v>133</v>
          </cell>
        </row>
        <row r="269">
          <cell r="C269" t="str">
            <v>Security Description Trailer 1</v>
          </cell>
          <cell r="D269" t="str">
            <v>SEC_DSC_TRAILER_1</v>
          </cell>
          <cell r="E269" t="str">
            <v>First line of unformatted, monolingual narrative booking information. SIS Trailer field 1.
This field will be populated only if the transaction has a Security leg.</v>
          </cell>
          <cell r="F269" t="str">
            <v>Name_256</v>
          </cell>
          <cell r="G269" t="str">
            <v>VARCHAR2(256)</v>
          </cell>
          <cell r="H269" t="str">
            <v>NULL</v>
          </cell>
          <cell r="I269"/>
          <cell r="J269">
            <v>47</v>
          </cell>
        </row>
        <row r="270">
          <cell r="C270" t="str">
            <v>Security Investment Product Dim Id</v>
          </cell>
          <cell r="D270" t="str">
            <v>SEC_PD_DIM_ID</v>
          </cell>
          <cell r="E270" t="str">
            <v>Surrogate key for Instrument Product Dim.
This field will be populated only if the transaction has a Security leg.</v>
          </cell>
          <cell r="F270" t="str">
            <v>NINI</v>
          </cell>
          <cell r="G270" t="str">
            <v>NUMBER(38,0)</v>
          </cell>
          <cell r="H270" t="str">
            <v>NOT NULL</v>
          </cell>
          <cell r="I270"/>
          <cell r="J270">
            <v>1</v>
          </cell>
        </row>
        <row r="271">
          <cell r="C271" t="str">
            <v>Security Net New Asset Category ID</v>
          </cell>
          <cell r="D271" t="str">
            <v>SCR_NNA_CGY_ID</v>
          </cell>
          <cell r="E271" t="str">
            <v>Net New Asset Category Identifier for Security Asset Package of the transaction</v>
          </cell>
          <cell r="F271" t="str">
            <v>NINI</v>
          </cell>
          <cell r="G271" t="str">
            <v>NUMBER(38,0)</v>
          </cell>
          <cell r="H271" t="str">
            <v>NULL</v>
          </cell>
          <cell r="I271"/>
          <cell r="J271">
            <v>233</v>
          </cell>
        </row>
        <row r="272">
          <cell r="C272" t="str">
            <v>Security Net New Asset Category Name</v>
          </cell>
          <cell r="D272" t="str">
            <v>SCR_NNA_CGY_NM</v>
          </cell>
          <cell r="E272" t="str">
            <v>Net New Asset Category Name for Security Asset Package of the transaction</v>
          </cell>
          <cell r="F272" t="str">
            <v>Name_50</v>
          </cell>
          <cell r="G272" t="str">
            <v>VARCHAR2(50)</v>
          </cell>
          <cell r="H272" t="str">
            <v>NULL</v>
          </cell>
          <cell r="I272"/>
          <cell r="J272">
            <v>234</v>
          </cell>
        </row>
        <row r="273">
          <cell r="C273" t="str">
            <v>Security Option Symbol</v>
          </cell>
          <cell r="D273" t="str">
            <v>SCR_OPT_SYMB</v>
          </cell>
          <cell r="E273" t="str">
            <v>Display form of the Option Symbol that includes underlying security symbol, expiration date, option type and strike price for the option series</v>
          </cell>
          <cell r="F273" t="str">
            <v>Name_100</v>
          </cell>
          <cell r="G273" t="str">
            <v>VARCHAR2(100)</v>
          </cell>
          <cell r="H273" t="str">
            <v>NULL</v>
          </cell>
          <cell r="I273"/>
          <cell r="J273">
            <v>213</v>
          </cell>
        </row>
        <row r="274">
          <cell r="C274" t="str">
            <v>Security Original Quantity</v>
          </cell>
          <cell r="D274" t="str">
            <v>SEC_ORIG_QTY</v>
          </cell>
          <cell r="E274" t="str">
            <v>Original Quantity of the Package.
This field will be populated only if the transaction has a Security leg.</v>
          </cell>
          <cell r="F274" t="str">
            <v>A38d6</v>
          </cell>
          <cell r="G274" t="str">
            <v>NUMBER(38,6)</v>
          </cell>
          <cell r="H274" t="str">
            <v>NULL</v>
          </cell>
          <cell r="I274"/>
          <cell r="J274">
            <v>31</v>
          </cell>
        </row>
        <row r="275">
          <cell r="C275" t="str">
            <v>Security Price In Transaction Currency</v>
          </cell>
          <cell r="D275" t="str">
            <v>SEC_PRC_IN_TXN_CCY</v>
          </cell>
          <cell r="E275" t="str">
            <v>Price of the securities instrument in transaction currency.</v>
          </cell>
          <cell r="F275" t="str">
            <v>Amount_38d8</v>
          </cell>
          <cell r="G275" t="str">
            <v>NUMBER(38,8)</v>
          </cell>
          <cell r="H275" t="str">
            <v>NULL</v>
          </cell>
          <cell r="I275"/>
          <cell r="J275">
            <v>28</v>
          </cell>
        </row>
        <row r="276">
          <cell r="C276" t="str">
            <v>Security Product Id</v>
          </cell>
          <cell r="D276" t="str">
            <v>SEC_PD_ID</v>
          </cell>
          <cell r="E276" t="str">
            <v>Product Identifier from Security Asset package</v>
          </cell>
          <cell r="F276" t="str">
            <v>NINI</v>
          </cell>
          <cell r="G276" t="str">
            <v>NUMBER(38,0)</v>
          </cell>
          <cell r="H276" t="str">
            <v>NULL</v>
          </cell>
          <cell r="I276"/>
          <cell r="J276">
            <v>143</v>
          </cell>
        </row>
        <row r="277">
          <cell r="C277" t="str">
            <v>Security Simplified Display Activity Category</v>
          </cell>
          <cell r="D277" t="str">
            <v>SCR_SIMP_DSPL_AVY_CGY</v>
          </cell>
          <cell r="E277" t="str">
            <v>Simplified Display activity category shown to advisor in applications like client center.
This field will be populated only if the transaction has a Security leg.</v>
          </cell>
          <cell r="F277" t="str">
            <v>Name_25</v>
          </cell>
          <cell r="G277" t="str">
            <v>VARCHAR2(25)</v>
          </cell>
          <cell r="H277" t="str">
            <v>NULL</v>
          </cell>
          <cell r="I277"/>
          <cell r="J277">
            <v>193</v>
          </cell>
        </row>
        <row r="278">
          <cell r="C278" t="str">
            <v>Security Simplified Display Activity Type</v>
          </cell>
          <cell r="D278" t="str">
            <v>SCR_SIMP_DSPL_AVY_TP</v>
          </cell>
          <cell r="E278" t="str">
            <v>Simplified Display activity type shown to advisor in applications like client center.
This field will be populated only if the transaction has a Security leg.</v>
          </cell>
          <cell r="F278" t="str">
            <v>Name_100</v>
          </cell>
          <cell r="G278" t="str">
            <v>VARCHAR2(100)</v>
          </cell>
          <cell r="H278" t="str">
            <v>NULL</v>
          </cell>
          <cell r="I278"/>
          <cell r="J278">
            <v>194</v>
          </cell>
        </row>
        <row r="279">
          <cell r="C279" t="str">
            <v>Security source CUSIP</v>
          </cell>
          <cell r="D279" t="str">
            <v>SEC_SRC_CUSIP</v>
          </cell>
          <cell r="E279" t="str">
            <v>CUSIP from source system.
This field will be populated only if the transaction has a Security leg.</v>
          </cell>
          <cell r="F279" t="str">
            <v>Code_20</v>
          </cell>
          <cell r="G279" t="str">
            <v>VARCHAR2(20)</v>
          </cell>
          <cell r="H279" t="str">
            <v>NULL</v>
          </cell>
          <cell r="I279"/>
          <cell r="J279">
            <v>56</v>
          </cell>
        </row>
        <row r="280">
          <cell r="C280" t="str">
            <v>Security Source Price In System Base Currency</v>
          </cell>
          <cell r="D280" t="str">
            <v>SEC_SRC_PRC_IN_SBC</v>
          </cell>
          <cell r="E280" t="str">
            <v>Principal amount of the trade execution expressed in the system base currency. This value should not include commissions or fees associated with the trade.
This field will be populated only if the transaction has a Security leg.</v>
          </cell>
          <cell r="F280" t="str">
            <v>Amount_38d8</v>
          </cell>
          <cell r="G280" t="str">
            <v>NUMBER(38,8)</v>
          </cell>
          <cell r="H280" t="str">
            <v>NULL</v>
          </cell>
          <cell r="I280"/>
          <cell r="J280">
            <v>32</v>
          </cell>
        </row>
        <row r="281">
          <cell r="C281" t="str">
            <v>Security Source Sequence Number</v>
          </cell>
          <cell r="D281" t="str">
            <v>SEC_SRC_SEQ_NUM</v>
          </cell>
          <cell r="E281" t="str">
            <v>Sequence Number assigned by source system.
This field will be populated only if the transaction has a Security leg.</v>
          </cell>
          <cell r="F281" t="str">
            <v>NINI</v>
          </cell>
          <cell r="G281" t="str">
            <v>NUMBER(38,0)</v>
          </cell>
          <cell r="H281" t="str">
            <v>NULL</v>
          </cell>
          <cell r="I281"/>
          <cell r="J281">
            <v>44</v>
          </cell>
        </row>
        <row r="282">
          <cell r="C282" t="str">
            <v>Security System Base Currency Amount</v>
          </cell>
          <cell r="D282" t="str">
            <v>SEC_SBC_AMT</v>
          </cell>
          <cell r="E282" t="str">
            <v>Transaction Amount expressed in System Base Currency.
This field will be populated only if the transaction has a Security leg.</v>
          </cell>
          <cell r="F282" t="str">
            <v>A38d6</v>
          </cell>
          <cell r="G282" t="str">
            <v>NUMBER(38,6)</v>
          </cell>
          <cell r="H282" t="str">
            <v>NULL</v>
          </cell>
          <cell r="I282"/>
          <cell r="J282">
            <v>39</v>
          </cell>
        </row>
        <row r="283">
          <cell r="C283" t="str">
            <v>Security Transaction Amount</v>
          </cell>
          <cell r="D283" t="str">
            <v>SEC_TXN_AMT</v>
          </cell>
          <cell r="E283" t="str">
            <v>Transaction amount applicable to the Asset package in transaction currency.
This field will be populated only if the transaction has a Security leg.</v>
          </cell>
          <cell r="F283" t="str">
            <v>A38d6</v>
          </cell>
          <cell r="G283" t="str">
            <v>NUMBER(38,6)</v>
          </cell>
          <cell r="H283" t="str">
            <v>NULL</v>
          </cell>
          <cell r="I283"/>
          <cell r="J283">
            <v>29</v>
          </cell>
        </row>
        <row r="284">
          <cell r="C284" t="str">
            <v>Session Number</v>
          </cell>
          <cell r="D284" t="str">
            <v>SESS_NO</v>
          </cell>
          <cell r="E284" t="str">
            <v>ODI Session Number which created this record</v>
          </cell>
          <cell r="F284" t="str">
            <v>NINI</v>
          </cell>
          <cell r="G284" t="str">
            <v>NUMBER(38,0)</v>
          </cell>
          <cell r="H284" t="str">
            <v>NULL</v>
          </cell>
          <cell r="I284"/>
          <cell r="J284">
            <v>89</v>
          </cell>
        </row>
        <row r="285">
          <cell r="C285" t="str">
            <v>Settlement Date</v>
          </cell>
          <cell r="D285" t="str">
            <v>SD</v>
          </cell>
          <cell r="E285" t="str">
            <v>Settlement date is a securities industry term describing the date on which a trade settles. That is, the actual day on which transfer of cash or assets is completed and is usually a few days after the trade was done.</v>
          </cell>
          <cell r="F285" t="str">
            <v>Date</v>
          </cell>
          <cell r="G285" t="str">
            <v>DATE</v>
          </cell>
          <cell r="H285" t="str">
            <v>NULL</v>
          </cell>
          <cell r="I285"/>
          <cell r="J285">
            <v>20</v>
          </cell>
        </row>
        <row r="286">
          <cell r="C286" t="str">
            <v>Settlement Date Dimension Id</v>
          </cell>
          <cell r="D286" t="str">
            <v>SD_DIM_ID</v>
          </cell>
          <cell r="E286" t="str">
            <v>Synthetic Key identifying a single date in the DATE Dimension based on Settlement date</v>
          </cell>
          <cell r="F286" t="str">
            <v>NINI</v>
          </cell>
          <cell r="G286" t="str">
            <v>NUMBER(38,0)</v>
          </cell>
          <cell r="H286" t="str">
            <v>NOT NULL</v>
          </cell>
          <cell r="I286"/>
          <cell r="J286">
            <v>17</v>
          </cell>
        </row>
        <row r="287">
          <cell r="C287" t="str">
            <v>SHADOW Transaction Type Code</v>
          </cell>
          <cell r="D287" t="str">
            <v>SHDW_TXN_TP_CD</v>
          </cell>
          <cell r="E287" t="str">
            <v>Possible values:  ORG, OLD, NEW, REV, REP.</v>
          </cell>
          <cell r="F287" t="str">
            <v>Code_50</v>
          </cell>
          <cell r="G287" t="str">
            <v>VARCHAR2(50)</v>
          </cell>
          <cell r="H287" t="str">
            <v>NULL</v>
          </cell>
          <cell r="I287"/>
          <cell r="J287">
            <v>179</v>
          </cell>
        </row>
        <row r="288">
          <cell r="C288" t="str">
            <v>SHADOW Transaction Type Name</v>
          </cell>
          <cell r="D288" t="str">
            <v>SHDW_TXN_TP_NM</v>
          </cell>
          <cell r="E288" t="str">
            <v>Name of the Shadow Transaction Type Code.</v>
          </cell>
          <cell r="F288" t="str">
            <v>Code_50</v>
          </cell>
          <cell r="G288" t="str">
            <v>VARCHAR2(50)</v>
          </cell>
          <cell r="H288" t="str">
            <v>NULL</v>
          </cell>
          <cell r="I288"/>
          <cell r="J288">
            <v>177</v>
          </cell>
        </row>
        <row r="289">
          <cell r="C289" t="str">
            <v>Share Class Type</v>
          </cell>
          <cell r="D289" t="str">
            <v>SHR_CLSS_TP</v>
          </cell>
          <cell r="E289" t="str">
            <v>A designation applied to mutual funds often determined by how the sales charge is paid. i.e., "No Load", "Mgmt. + Dist Fee"</v>
          </cell>
          <cell r="F289"/>
          <cell r="G289" t="str">
            <v>VARCHAR2(255)</v>
          </cell>
          <cell r="H289" t="str">
            <v>NULL</v>
          </cell>
          <cell r="I289"/>
          <cell r="J289">
            <v>346</v>
          </cell>
        </row>
        <row r="290">
          <cell r="C290" t="str">
            <v>Share Class Type Code</v>
          </cell>
          <cell r="D290" t="str">
            <v>SHR_CLSS_TP_CD</v>
          </cell>
          <cell r="E290" t="e">
            <v>#VALUE!</v>
          </cell>
          <cell r="F290"/>
          <cell r="G290" t="str">
            <v>VARCHAR2(30)</v>
          </cell>
          <cell r="H290" t="str">
            <v>NULL</v>
          </cell>
          <cell r="I290"/>
          <cell r="J290">
            <v>345</v>
          </cell>
        </row>
        <row r="291">
          <cell r="C291" t="str">
            <v>SIS Account Classification Code</v>
          </cell>
          <cell r="D291" t="str">
            <v>SIS_AC_CL_CD</v>
          </cell>
          <cell r="E291" t="str">
            <v>SIS account classification codes</v>
          </cell>
          <cell r="F291" t="str">
            <v>Code_50</v>
          </cell>
          <cell r="G291" t="str">
            <v>VARCHAR2(50)</v>
          </cell>
          <cell r="H291" t="str">
            <v>NULL</v>
          </cell>
          <cell r="I291"/>
          <cell r="J291">
            <v>147</v>
          </cell>
        </row>
        <row r="292">
          <cell r="C292" t="str">
            <v>SIS Detailed Events Code</v>
          </cell>
          <cell r="D292" t="str">
            <v>SIS_DLTD_EV_CD</v>
          </cell>
          <cell r="E292" t="str">
            <v>Code that determines what type of transaction the record contains. For SIS activity the values depend on the record type.</v>
          </cell>
          <cell r="F292"/>
          <cell r="G292" t="str">
            <v>VARCHAR2(20)</v>
          </cell>
          <cell r="H292" t="str">
            <v>NULL</v>
          </cell>
          <cell r="I292"/>
          <cell r="J292">
            <v>239</v>
          </cell>
        </row>
        <row r="293">
          <cell r="C293" t="str">
            <v>SIS Detailed Events Id</v>
          </cell>
          <cell r="D293" t="str">
            <v>SIS_DLTD_EV_ID</v>
          </cell>
          <cell r="E293" t="str">
            <v>Identifier that determines what type of transaction the record contains. For SIS activity the values depend on the record type.</v>
          </cell>
          <cell r="F293" t="str">
            <v>NINI</v>
          </cell>
          <cell r="G293" t="str">
            <v>NUMBER(38,0)</v>
          </cell>
          <cell r="H293" t="str">
            <v>NULL</v>
          </cell>
          <cell r="I293"/>
          <cell r="J293">
            <v>144</v>
          </cell>
        </row>
        <row r="294">
          <cell r="C294" t="str">
            <v>SIS Detailed Events Name</v>
          </cell>
          <cell r="D294" t="str">
            <v>SIS_DLTD_EV_NM</v>
          </cell>
          <cell r="E294" t="str">
            <v>Name that determines what type of transaction the record contains. For SIS activity the values depend on the record type.</v>
          </cell>
          <cell r="F294" t="str">
            <v>Name_200</v>
          </cell>
          <cell r="G294" t="str">
            <v>VARCHAR2(200)</v>
          </cell>
          <cell r="H294" t="str">
            <v>NULL</v>
          </cell>
          <cell r="I294"/>
          <cell r="J294">
            <v>145</v>
          </cell>
        </row>
        <row r="295">
          <cell r="C295" t="str">
            <v>SIS User Id</v>
          </cell>
          <cell r="D295" t="str">
            <v>SIS_USR_ID</v>
          </cell>
          <cell r="E295" t="str">
            <v>Identifier of the process or user that creates the records sourced from SIS Money Movement</v>
          </cell>
          <cell r="F295" t="str">
            <v>Name_255</v>
          </cell>
          <cell r="G295" t="str">
            <v>VARCHAR2(255)</v>
          </cell>
          <cell r="H295" t="str">
            <v>NULL</v>
          </cell>
          <cell r="I295"/>
          <cell r="J295">
            <v>146</v>
          </cell>
        </row>
        <row r="296">
          <cell r="C296" t="str">
            <v>Source Cancel / Revision Code</v>
          </cell>
          <cell r="D296" t="str">
            <v>SRC_CNCL_X_RVSN_CD</v>
          </cell>
          <cell r="E296" t="str">
            <v>Cancel or Revise Code in the source system</v>
          </cell>
          <cell r="F296" t="str">
            <v>Code_03</v>
          </cell>
          <cell r="G296" t="str">
            <v>VARCHAR2(3)</v>
          </cell>
          <cell r="H296" t="str">
            <v>NULL</v>
          </cell>
          <cell r="I296"/>
          <cell r="J296">
            <v>166</v>
          </cell>
        </row>
        <row r="297">
          <cell r="C297" t="str">
            <v>Source Cancellation Reason Code</v>
          </cell>
          <cell r="D297" t="str">
            <v>SRC_CNCL_RSN_CD</v>
          </cell>
          <cell r="E297" t="e">
            <v>#VALUE!</v>
          </cell>
          <cell r="F297" t="str">
            <v>Code_20</v>
          </cell>
          <cell r="G297" t="str">
            <v>VARCHAR2(20)</v>
          </cell>
          <cell r="H297" t="str">
            <v>NULL</v>
          </cell>
          <cell r="I297"/>
          <cell r="J297">
            <v>149</v>
          </cell>
        </row>
        <row r="298">
          <cell r="C298" t="str">
            <v>Source Cancellation Reason Id</v>
          </cell>
          <cell r="D298" t="str">
            <v>SRC_CNCL_RSN_ID</v>
          </cell>
          <cell r="E298" t="str">
            <v>Id representing Reason for cancellation in source system</v>
          </cell>
          <cell r="F298" t="str">
            <v>NINI</v>
          </cell>
          <cell r="G298" t="str">
            <v>NUMBER(38,0)</v>
          </cell>
          <cell r="H298" t="str">
            <v>NULL</v>
          </cell>
          <cell r="I298"/>
          <cell r="J298">
            <v>148</v>
          </cell>
        </row>
        <row r="299">
          <cell r="C299" t="str">
            <v>Source Cancellation Reason Name</v>
          </cell>
          <cell r="D299" t="str">
            <v>SRC_CNCL_RSN_NM</v>
          </cell>
          <cell r="E299" t="str">
            <v>Name representing Reason for cancellation in source system</v>
          </cell>
          <cell r="F299" t="str">
            <v>Name_200</v>
          </cell>
          <cell r="G299" t="str">
            <v>VARCHAR2(200)</v>
          </cell>
          <cell r="H299" t="str">
            <v>NULL</v>
          </cell>
          <cell r="I299"/>
          <cell r="J299">
            <v>150</v>
          </cell>
        </row>
        <row r="300">
          <cell r="C300" t="str">
            <v>Source Create User Name</v>
          </cell>
          <cell r="D300" t="str">
            <v>SRC_CRT_USRNM</v>
          </cell>
          <cell r="E300" t="str">
            <v>The name that represents the user/process that created row in the primary source table</v>
          </cell>
          <cell r="F300" t="str">
            <v>Code_50</v>
          </cell>
          <cell r="G300" t="str">
            <v>VARCHAR2(50)</v>
          </cell>
          <cell r="H300" t="str">
            <v>NULL</v>
          </cell>
          <cell r="I300"/>
          <cell r="J300">
            <v>134</v>
          </cell>
        </row>
        <row r="301">
          <cell r="C301" t="str">
            <v>Source Effective Date</v>
          </cell>
          <cell r="D301" t="str">
            <v>SRC_EFF_DT</v>
          </cell>
          <cell r="E301" t="str">
            <v>Effective date of the APA in the source system</v>
          </cell>
          <cell r="F301" t="str">
            <v>Date</v>
          </cell>
          <cell r="G301" t="str">
            <v>DATE</v>
          </cell>
          <cell r="H301" t="str">
            <v>NULL</v>
          </cell>
          <cell r="I301"/>
          <cell r="J301">
            <v>135</v>
          </cell>
        </row>
        <row r="302">
          <cell r="C302" t="str">
            <v>Source Entry Channel Type Code</v>
          </cell>
          <cell r="D302" t="str">
            <v>SRC_ENTR_CNL_TP_CD</v>
          </cell>
          <cell r="E302" t="e">
            <v>#VALUE!</v>
          </cell>
          <cell r="F302" t="str">
            <v>Code_20</v>
          </cell>
          <cell r="G302" t="str">
            <v>VARCHAR2(20)</v>
          </cell>
          <cell r="H302" t="str">
            <v>NULL</v>
          </cell>
          <cell r="I302"/>
          <cell r="J302">
            <v>136</v>
          </cell>
        </row>
        <row r="303">
          <cell r="C303" t="str">
            <v>Source Entry Channel Type Dimension Id</v>
          </cell>
          <cell r="D303" t="str">
            <v>SRC_ENTR_CNL_TP_DIM_ID</v>
          </cell>
          <cell r="E303" t="str">
            <v>Surrogate key for the Source Entry Channel Type Dimension</v>
          </cell>
          <cell r="F303" t="str">
            <v>NINI</v>
          </cell>
          <cell r="G303" t="str">
            <v>NUMBER(38,0)</v>
          </cell>
          <cell r="H303" t="str">
            <v>NOT NULL</v>
          </cell>
          <cell r="I303"/>
          <cell r="J303">
            <v>12</v>
          </cell>
        </row>
        <row r="304">
          <cell r="C304" t="str">
            <v>Source Entry Channel Type Id</v>
          </cell>
          <cell r="D304" t="str">
            <v>SRC_ENTR_CNL_TP_ID</v>
          </cell>
          <cell r="E304" t="str">
            <v>Identifier for the Source Entry Channel Type</v>
          </cell>
          <cell r="F304" t="str">
            <v>NINI</v>
          </cell>
          <cell r="G304" t="str">
            <v>NUMBER(38,0)</v>
          </cell>
          <cell r="H304" t="str">
            <v>NULL</v>
          </cell>
          <cell r="I304"/>
          <cell r="J304">
            <v>208</v>
          </cell>
        </row>
        <row r="305">
          <cell r="C305" t="str">
            <v>Source Entry Channel Type Name</v>
          </cell>
          <cell r="D305" t="str">
            <v>SRC_ENTR_CNL_TP_NM</v>
          </cell>
          <cell r="E305" t="e">
            <v>#VALUE!</v>
          </cell>
          <cell r="F305" t="str">
            <v>Name_200</v>
          </cell>
          <cell r="G305" t="str">
            <v>VARCHAR2(200)</v>
          </cell>
          <cell r="H305" t="str">
            <v>NULL</v>
          </cell>
          <cell r="I305"/>
          <cell r="J305">
            <v>137</v>
          </cell>
        </row>
        <row r="306">
          <cell r="C306" t="str">
            <v>Source Entry Datetime</v>
          </cell>
          <cell r="D306" t="str">
            <v>SRC_ENTR_DTM</v>
          </cell>
          <cell r="E306" t="str">
            <v>Time stamp of first occurrence of the transaction in the order entry system.</v>
          </cell>
          <cell r="F306" t="str">
            <v>Timestamp</v>
          </cell>
          <cell r="G306" t="str">
            <v>TIMESTAMP(6)</v>
          </cell>
          <cell r="H306" t="str">
            <v>NULL</v>
          </cell>
          <cell r="I306"/>
          <cell r="J306">
            <v>138</v>
          </cell>
        </row>
        <row r="307">
          <cell r="C307" t="str">
            <v>Source Option Class Code</v>
          </cell>
          <cell r="D307" t="str">
            <v>SRC_OPT_CLSS_CD</v>
          </cell>
          <cell r="E307" t="str">
            <v>The code that determines what type of transaction the record contains. For SIS activity the values depend on the record type.</v>
          </cell>
          <cell r="F307" t="str">
            <v>Code_50</v>
          </cell>
          <cell r="G307" t="str">
            <v>VARCHAR2(50)</v>
          </cell>
          <cell r="H307" t="str">
            <v>NULL</v>
          </cell>
          <cell r="I307"/>
          <cell r="J307">
            <v>167</v>
          </cell>
        </row>
        <row r="308">
          <cell r="C308" t="str">
            <v>Source Processing Type Code</v>
          </cell>
          <cell r="D308" t="str">
            <v>SRC_PCS_TP_CD</v>
          </cell>
          <cell r="E308" t="str">
            <v>A code for the source processing type, values include backdated, initial, cancel, correction or reversal.</v>
          </cell>
          <cell r="F308" t="str">
            <v>Code_20</v>
          </cell>
          <cell r="G308" t="str">
            <v>VARCHAR2(20)</v>
          </cell>
          <cell r="H308" t="str">
            <v>NULL</v>
          </cell>
          <cell r="I308"/>
          <cell r="J308">
            <v>139</v>
          </cell>
        </row>
        <row r="309">
          <cell r="C309" t="str">
            <v>Source Processing Type Dimension Id</v>
          </cell>
          <cell r="D309" t="str">
            <v>SRC_PCS_TP_DIM_ID</v>
          </cell>
          <cell r="E309" t="str">
            <v>Surrogate key for Source Processing Type Dimension.</v>
          </cell>
          <cell r="F309" t="str">
            <v>NINI</v>
          </cell>
          <cell r="G309" t="str">
            <v>NUMBER(38,0)</v>
          </cell>
          <cell r="H309" t="str">
            <v>NOT NULL</v>
          </cell>
          <cell r="I309"/>
          <cell r="J309">
            <v>11</v>
          </cell>
        </row>
        <row r="310">
          <cell r="C310" t="str">
            <v>Source Processing Type Id</v>
          </cell>
          <cell r="D310" t="str">
            <v>SRC_PCS_TP_ID</v>
          </cell>
          <cell r="E310" t="str">
            <v>Identifier for the Source Processing Type</v>
          </cell>
          <cell r="F310" t="str">
            <v>NINI</v>
          </cell>
          <cell r="G310" t="str">
            <v>NUMBER(38,0)</v>
          </cell>
          <cell r="H310" t="str">
            <v>NULL</v>
          </cell>
          <cell r="I310"/>
          <cell r="J310">
            <v>209</v>
          </cell>
        </row>
        <row r="311">
          <cell r="C311" t="str">
            <v>Source Processing Type Name</v>
          </cell>
          <cell r="D311" t="str">
            <v>SRC_PCS_TP_NM</v>
          </cell>
          <cell r="E311" t="str">
            <v>Name of the source processing type, values include backdated, initial, cancel, correction or reversal.</v>
          </cell>
          <cell r="F311" t="str">
            <v>Name_200</v>
          </cell>
          <cell r="G311" t="str">
            <v>VARCHAR2(200)</v>
          </cell>
          <cell r="H311" t="str">
            <v>NULL</v>
          </cell>
          <cell r="I311"/>
          <cell r="J311">
            <v>140</v>
          </cell>
        </row>
        <row r="312">
          <cell r="C312" t="str">
            <v>Source System Code</v>
          </cell>
          <cell r="D312" t="str">
            <v>SRC_STM_CD</v>
          </cell>
          <cell r="E312" t="str">
            <v>Code for the source system information coming from Transaction. e.g., BKRBO1, BKRBO2, RJBNK1, ISO</v>
          </cell>
          <cell r="F312" t="str">
            <v>Code_20</v>
          </cell>
          <cell r="G312" t="str">
            <v>VARCHAR2(20)</v>
          </cell>
          <cell r="H312" t="str">
            <v>NULL</v>
          </cell>
          <cell r="I312"/>
          <cell r="J312">
            <v>164</v>
          </cell>
        </row>
        <row r="313">
          <cell r="C313" t="str">
            <v>Source System Id</v>
          </cell>
          <cell r="D313" t="str">
            <v>SRC_STM_ID</v>
          </cell>
          <cell r="E313" t="str">
            <v>Source system Id coming from Transaction. This could be different from Source system Id coming from Arrangement information.</v>
          </cell>
          <cell r="F313" t="str">
            <v>NINI</v>
          </cell>
          <cell r="G313" t="str">
            <v>NUMBER(38,0)</v>
          </cell>
          <cell r="H313" t="str">
            <v>NULL</v>
          </cell>
          <cell r="I313"/>
          <cell r="J313">
            <v>163</v>
          </cell>
        </row>
        <row r="314">
          <cell r="C314" t="str">
            <v>Source System Name</v>
          </cell>
          <cell r="D314" t="str">
            <v>SRC_STM_NM</v>
          </cell>
          <cell r="E314" t="str">
            <v>Name of the source system information coming from Transaction. e.g., SIS - Securities Industry Software, Raymond James, Raymond James Bank, Shadow Suite</v>
          </cell>
          <cell r="F314" t="str">
            <v>Name_60</v>
          </cell>
          <cell r="G314" t="str">
            <v>VARCHAR2(60)</v>
          </cell>
          <cell r="H314" t="str">
            <v>NULL</v>
          </cell>
          <cell r="I314"/>
          <cell r="J314">
            <v>165</v>
          </cell>
        </row>
        <row r="315">
          <cell r="C315" t="str">
            <v>Source Transaction Code</v>
          </cell>
          <cell r="D315" t="str">
            <v>SRC_TXN_CODE</v>
          </cell>
          <cell r="E315" t="str">
            <v>A code that represents the source of the transaction.  Possible values of transaction code include CD Adjustment, Interest Adjustment, and Withdrawal/Redemption.</v>
          </cell>
          <cell r="F315" t="str">
            <v>NINI</v>
          </cell>
          <cell r="G315" t="str">
            <v>NUMBER(38,0)</v>
          </cell>
          <cell r="H315" t="str">
            <v>NULL</v>
          </cell>
          <cell r="I315"/>
          <cell r="J315">
            <v>94</v>
          </cell>
        </row>
        <row r="316">
          <cell r="C316" t="str">
            <v>Source Transaction Sequence Number</v>
          </cell>
          <cell r="D316" t="str">
            <v>SRC_TXN_SEQ_NUM</v>
          </cell>
          <cell r="E316" t="str">
            <v>Transaction number assigned to the transaction in the source system.</v>
          </cell>
          <cell r="F316" t="str">
            <v>NINI</v>
          </cell>
          <cell r="G316" t="str">
            <v>NUMBER(38,0)</v>
          </cell>
          <cell r="H316" t="str">
            <v>NULL</v>
          </cell>
          <cell r="I316"/>
          <cell r="J316">
            <v>151</v>
          </cell>
        </row>
        <row r="317">
          <cell r="C317" t="str">
            <v>Standard Commission Amount</v>
          </cell>
          <cell r="D317" t="str">
            <v>STD_CMSN_AMT</v>
          </cell>
          <cell r="E317" t="str">
            <v>Standard amount to be charged by broker or intermediary for trade execution.</v>
          </cell>
          <cell r="F317" t="str">
            <v>AMOUNT_22d6</v>
          </cell>
          <cell r="G317" t="str">
            <v>NUMBER(22,6)</v>
          </cell>
          <cell r="H317" t="str">
            <v>NULL</v>
          </cell>
          <cell r="I317"/>
          <cell r="J317">
            <v>217</v>
          </cell>
        </row>
        <row r="318">
          <cell r="C318" t="str">
            <v>Symbol</v>
          </cell>
          <cell r="D318" t="str">
            <v>SYMB</v>
          </cell>
          <cell r="E318" t="e">
            <v>#VALUE!</v>
          </cell>
          <cell r="F318"/>
          <cell r="G318" t="str">
            <v>VARCHAR2(200)</v>
          </cell>
          <cell r="H318" t="str">
            <v>NULL</v>
          </cell>
          <cell r="I318"/>
          <cell r="J318">
            <v>226</v>
          </cell>
        </row>
        <row r="319">
          <cell r="C319" t="str">
            <v>System Base Currency Calculation Date</v>
          </cell>
          <cell r="D319" t="str">
            <v>SBC_CCY_CALC_DT</v>
          </cell>
          <cell r="E319" t="str">
            <v>Date and time  when transaction amount was converted to system base currency</v>
          </cell>
          <cell r="F319" t="str">
            <v>Date</v>
          </cell>
          <cell r="G319" t="str">
            <v>DATE</v>
          </cell>
          <cell r="H319" t="str">
            <v>NULL</v>
          </cell>
          <cell r="I319"/>
          <cell r="J319">
            <v>42</v>
          </cell>
        </row>
        <row r="320">
          <cell r="C320" t="str">
            <v>System Base Currency Code</v>
          </cell>
          <cell r="D320" t="str">
            <v>SBC_CCY_CD</v>
          </cell>
          <cell r="E320" t="str">
            <v>Product identifier of the system base currency. This is USD for data coming from CDS currently..</v>
          </cell>
          <cell r="F320" t="str">
            <v>Code_03</v>
          </cell>
          <cell r="G320" t="str">
            <v>VARCHAR2(3)</v>
          </cell>
          <cell r="H320" t="str">
            <v>NULL</v>
          </cell>
          <cell r="I320"/>
          <cell r="J320">
            <v>130</v>
          </cell>
        </row>
        <row r="321">
          <cell r="C321" t="str">
            <v>System Base Currency Dimension Id</v>
          </cell>
          <cell r="D321" t="str">
            <v>SBC_CCY_DIM_ID</v>
          </cell>
          <cell r="E321" t="str">
            <v>Surrogate key for Currency dimension</v>
          </cell>
          <cell r="F321" t="str">
            <v>NINI</v>
          </cell>
          <cell r="G321" t="str">
            <v>NUMBER(38,0)</v>
          </cell>
          <cell r="H321" t="str">
            <v>NOT NULL</v>
          </cell>
          <cell r="I321"/>
          <cell r="J321">
            <v>16</v>
          </cell>
        </row>
        <row r="322">
          <cell r="C322" t="str">
            <v>System Base Currency Exchange Rate</v>
          </cell>
          <cell r="D322" t="str">
            <v>SBC_EXG_RATE</v>
          </cell>
          <cell r="E322" t="str">
            <v>Exchange rate used to calculate transaction amount in system base currency</v>
          </cell>
          <cell r="F322" t="str">
            <v>A38d6</v>
          </cell>
          <cell r="G322" t="str">
            <v>NUMBER(38,6)</v>
          </cell>
          <cell r="H322" t="str">
            <v>NULL</v>
          </cell>
          <cell r="I322"/>
          <cell r="J322">
            <v>43</v>
          </cell>
        </row>
        <row r="323">
          <cell r="C323" t="str">
            <v>Target Transaction Id</v>
          </cell>
          <cell r="D323" t="str">
            <v>REL_TXN_ID</v>
          </cell>
          <cell r="E323" t="str">
            <v>The CDS assigned numeric identfier of the related (target) transaction that this current transaction is cancelling/correcting/reversing.</v>
          </cell>
          <cell r="F323" t="str">
            <v>NINI</v>
          </cell>
          <cell r="G323" t="str">
            <v>NUMBER(38,0)</v>
          </cell>
          <cell r="H323" t="str">
            <v>NULL</v>
          </cell>
          <cell r="I323"/>
          <cell r="J323">
            <v>204</v>
          </cell>
        </row>
        <row r="324">
          <cell r="C324" t="str">
            <v>Tax Reporting Client Id</v>
          </cell>
          <cell r="D324" t="str">
            <v>TAX_RPT_CLNT_ID</v>
          </cell>
          <cell r="E324" t="str">
            <v>The unique, enterprise-wide, identifier for a party for the party responsible for the tax liability for an arrangement.</v>
          </cell>
          <cell r="F324"/>
          <cell r="G324" t="str">
            <v>NUMBER(38,0)</v>
          </cell>
          <cell r="H324" t="str">
            <v>NULL</v>
          </cell>
          <cell r="I324"/>
          <cell r="J324">
            <v>260</v>
          </cell>
        </row>
        <row r="325">
          <cell r="C325" t="str">
            <v>Taxable Account Flag</v>
          </cell>
          <cell r="D325" t="str">
            <v>TAX_AC_F</v>
          </cell>
          <cell r="E325" t="e">
            <v>#VALUE!</v>
          </cell>
          <cell r="F325"/>
          <cell r="G325" t="str">
            <v>VARCHAR2(1)</v>
          </cell>
          <cell r="H325" t="str">
            <v>NULL</v>
          </cell>
          <cell r="I325"/>
          <cell r="J325">
            <v>262</v>
          </cell>
        </row>
        <row r="326">
          <cell r="C326" t="str">
            <v>Test Account Flag</v>
          </cell>
          <cell r="D326" t="str">
            <v>TST_AC_F</v>
          </cell>
          <cell r="E326" t="str">
            <v>Data Element is used to filter in/out test data (and test entity records).</v>
          </cell>
          <cell r="F326"/>
          <cell r="G326" t="str">
            <v>VARCHAR2(1)</v>
          </cell>
          <cell r="H326" t="str">
            <v>NULL</v>
          </cell>
          <cell r="I326"/>
          <cell r="J326">
            <v>258</v>
          </cell>
        </row>
        <row r="327">
          <cell r="C327" t="str">
            <v>Time Price Discretion Flag</v>
          </cell>
          <cell r="D327" t="str">
            <v>TM_PRC_DISCRETION_F</v>
          </cell>
          <cell r="E327" t="str">
            <v>A flag that determines whether a trade has been executed with Time &amp; Price Discretion or not. Excpected value- Y or N</v>
          </cell>
          <cell r="F327" t="str">
            <v>Flag</v>
          </cell>
          <cell r="G327" t="str">
            <v>VARCHAR2(1)</v>
          </cell>
          <cell r="H327" t="str">
            <v>NULL</v>
          </cell>
          <cell r="I327"/>
          <cell r="J327">
            <v>230</v>
          </cell>
        </row>
        <row r="328">
          <cell r="C328" t="str">
            <v>Trade Cancelled Flag</v>
          </cell>
          <cell r="D328" t="str">
            <v>TRD_CNCLD_F</v>
          </cell>
          <cell r="E328" t="str">
            <v>The flag that indicates that the trade has been cancelled</v>
          </cell>
          <cell r="F328"/>
          <cell r="G328" t="str">
            <v>VARCHAR2(1)</v>
          </cell>
          <cell r="H328" t="str">
            <v>NULL</v>
          </cell>
          <cell r="I328"/>
          <cell r="J328">
            <v>225</v>
          </cell>
        </row>
        <row r="329">
          <cell r="C329" t="str">
            <v>Trade Date</v>
          </cell>
          <cell r="D329" t="str">
            <v>TD</v>
          </cell>
          <cell r="E329" t="str">
            <v>Trade date of the transaction</v>
          </cell>
          <cell r="F329" t="str">
            <v>Date</v>
          </cell>
          <cell r="G329" t="str">
            <v>DATE</v>
          </cell>
          <cell r="H329" t="str">
            <v>NOT NULL</v>
          </cell>
          <cell r="I329"/>
          <cell r="J329">
            <v>19</v>
          </cell>
        </row>
        <row r="330">
          <cell r="C330" t="str">
            <v>Trade Date Dimension Id</v>
          </cell>
          <cell r="D330" t="str">
            <v>TD_DIM_ID</v>
          </cell>
          <cell r="E330" t="str">
            <v>Synthetic Key identifying a single date in the DATE Dimension, based on Trade date</v>
          </cell>
          <cell r="F330" t="str">
            <v>NINI_NOT_NULL</v>
          </cell>
          <cell r="G330" t="str">
            <v>NUMBER(38,0)</v>
          </cell>
          <cell r="H330" t="str">
            <v>NOT NULL</v>
          </cell>
          <cell r="I330"/>
          <cell r="J330">
            <v>37</v>
          </cell>
        </row>
        <row r="331">
          <cell r="C331" t="str">
            <v>Trade Factor Rate</v>
          </cell>
          <cell r="D331" t="str">
            <v>TRD_FCTR_RATE</v>
          </cell>
          <cell r="E331" t="e">
            <v>#VALUE!</v>
          </cell>
          <cell r="F331"/>
          <cell r="G331" t="str">
            <v>NUMBER(22,8)</v>
          </cell>
          <cell r="H331" t="str">
            <v>NULL</v>
          </cell>
          <cell r="I331"/>
          <cell r="J331">
            <v>215</v>
          </cell>
        </row>
        <row r="332">
          <cell r="C332" t="str">
            <v>Trade Number</v>
          </cell>
          <cell r="D332" t="str">
            <v>TRD_NUM</v>
          </cell>
          <cell r="E332" t="str">
            <v>An identification number of the trade (transaction number) that represents an executed FMI trade transaction.</v>
          </cell>
          <cell r="F332" t="str">
            <v>Trade Number</v>
          </cell>
          <cell r="G332" t="str">
            <v>VARCHAR2(15)</v>
          </cell>
          <cell r="H332" t="str">
            <v>NULL</v>
          </cell>
          <cell r="I332"/>
          <cell r="J332">
            <v>25</v>
          </cell>
        </row>
        <row r="333">
          <cell r="C333" t="str">
            <v>Trade Processing Fee Amount</v>
          </cell>
          <cell r="D333" t="str">
            <v>TRD_PCS_FEE_AMT</v>
          </cell>
          <cell r="E333" t="str">
            <v>Amount charged to cover the operational costs associated with the post-execution processing of a trade</v>
          </cell>
          <cell r="F333" t="str">
            <v>A38d6</v>
          </cell>
          <cell r="G333" t="str">
            <v>NUMBER(38,6)</v>
          </cell>
          <cell r="H333" t="str">
            <v>NULL</v>
          </cell>
          <cell r="I333"/>
          <cell r="J333">
            <v>219</v>
          </cell>
        </row>
        <row r="334">
          <cell r="C334" t="str">
            <v>Trade Solicitation Type Code</v>
          </cell>
          <cell r="D334" t="str">
            <v>TRD_SLCT_TP_CD</v>
          </cell>
          <cell r="E334" t="str">
            <v>A code for the solicitation method in which the trade was executed.  A trade can be initiated by the broker, the client, or done at discretion of broker in discretionary accounts.</v>
          </cell>
          <cell r="F334" t="str">
            <v>Code_20</v>
          </cell>
          <cell r="G334" t="str">
            <v>VARCHAR2(20)</v>
          </cell>
          <cell r="H334" t="str">
            <v>NULL</v>
          </cell>
          <cell r="I334"/>
          <cell r="J334">
            <v>141</v>
          </cell>
        </row>
        <row r="335">
          <cell r="C335" t="str">
            <v>Trade Solicitation Type Dimension Id</v>
          </cell>
          <cell r="D335" t="str">
            <v>TRD_SLCT_TP_DIM_ID</v>
          </cell>
          <cell r="E335" t="str">
            <v>Surrogate key for the Trade Solicitation Type Dimension</v>
          </cell>
          <cell r="F335" t="str">
            <v>NINI</v>
          </cell>
          <cell r="G335" t="str">
            <v>NUMBER(38,0)</v>
          </cell>
          <cell r="H335" t="str">
            <v>NOT NULL</v>
          </cell>
          <cell r="I335"/>
          <cell r="J335">
            <v>13</v>
          </cell>
        </row>
        <row r="336">
          <cell r="C336" t="str">
            <v>Trade Solicitation Type Id</v>
          </cell>
          <cell r="D336" t="str">
            <v>TRD_SLCT_TP_ID</v>
          </cell>
          <cell r="E336" t="str">
            <v>Identifier for the Trade Solicitation Type</v>
          </cell>
          <cell r="F336" t="str">
            <v>NINI</v>
          </cell>
          <cell r="G336" t="str">
            <v>NUMBER(38,0)</v>
          </cell>
          <cell r="H336" t="str">
            <v>NULL</v>
          </cell>
          <cell r="I336"/>
          <cell r="J336">
            <v>210</v>
          </cell>
        </row>
        <row r="337">
          <cell r="C337" t="str">
            <v>Trade Solicitation Type Name</v>
          </cell>
          <cell r="D337" t="str">
            <v>TRD_SLCT_TP_NM</v>
          </cell>
          <cell r="E337" t="str">
            <v>Tname of the solicitation method in which the trade was executed.  A trade can be initiated by the broker, the client, or done at discretion of broker in discretionary accounts.</v>
          </cell>
          <cell r="F337" t="str">
            <v>Name_200</v>
          </cell>
          <cell r="G337" t="str">
            <v>VARCHAR2(200)</v>
          </cell>
          <cell r="H337" t="str">
            <v>NULL</v>
          </cell>
          <cell r="I337"/>
          <cell r="J337">
            <v>142</v>
          </cell>
        </row>
        <row r="338">
          <cell r="C338" t="str">
            <v>Transaction Classification Flag</v>
          </cell>
          <cell r="D338" t="str">
            <v>TXN_CL_F</v>
          </cell>
          <cell r="E338" t="str">
            <v>Transaction Classification Flag</v>
          </cell>
          <cell r="F338"/>
          <cell r="G338" t="str">
            <v>VARCHAR2(2)</v>
          </cell>
          <cell r="H338" t="str">
            <v>NULL</v>
          </cell>
          <cell r="I338"/>
          <cell r="J338">
            <v>54</v>
          </cell>
        </row>
        <row r="339">
          <cell r="C339" t="str">
            <v>Transaction Currency</v>
          </cell>
          <cell r="D339" t="str">
            <v>TXN_CCY</v>
          </cell>
          <cell r="E339" t="str">
            <v>Currency is a medium of exchange for goods and services. In short, it's money, in the form of paper or coins, usually issued by a government and generally accepted at its face value as a method of payment.</v>
          </cell>
          <cell r="F339"/>
          <cell r="G339" t="str">
            <v>VARCHAR2(250)</v>
          </cell>
          <cell r="H339" t="str">
            <v>NULL</v>
          </cell>
          <cell r="I339"/>
          <cell r="J339">
            <v>246</v>
          </cell>
        </row>
        <row r="340">
          <cell r="C340" t="str">
            <v>Transaction Id</v>
          </cell>
          <cell r="D340" t="str">
            <v>TXN_ID</v>
          </cell>
          <cell r="E340" t="str">
            <v>CDS assigned numeric identfier of the transaction</v>
          </cell>
          <cell r="F340" t="str">
            <v>NINI_NOT_NULL</v>
          </cell>
          <cell r="G340" t="str">
            <v>NUMBER(38,0)</v>
          </cell>
          <cell r="H340" t="str">
            <v>NOT NULL</v>
          </cell>
          <cell r="I340"/>
          <cell r="J340">
            <v>23</v>
          </cell>
        </row>
        <row r="341">
          <cell r="C341" t="str">
            <v>Transaction Reconciliation Replay Count</v>
          </cell>
          <cell r="D341" t="str">
            <v>TXN_RCNCL_REPL_CNT</v>
          </cell>
          <cell r="E341" t="str">
            <v>Numeric counter to show how many attempts were done to reconcile transactions on this account/product/type with the corresponding EOD positions. _x000D_
The default value load is '0' and counter is incremented by '1' as transaction is replayed.</v>
          </cell>
          <cell r="F341" t="str">
            <v>NINI</v>
          </cell>
          <cell r="G341" t="str">
            <v>NUMBER(38,0)</v>
          </cell>
          <cell r="H341" t="str">
            <v>NULL</v>
          </cell>
          <cell r="I341"/>
          <cell r="J341">
            <v>168</v>
          </cell>
        </row>
        <row r="342">
          <cell r="C342" t="str">
            <v>Transaction Reconciliation Status Code</v>
          </cell>
          <cell r="D342" t="str">
            <v>TXN_RCNCL_ST_CD</v>
          </cell>
          <cell r="E342" t="e">
            <v>#VALUE!</v>
          </cell>
          <cell r="F342" t="str">
            <v>Code_20</v>
          </cell>
          <cell r="G342" t="str">
            <v>VARCHAR2(20)</v>
          </cell>
          <cell r="H342" t="str">
            <v>NULL</v>
          </cell>
          <cell r="I342"/>
          <cell r="J342">
            <v>172</v>
          </cell>
        </row>
        <row r="343">
          <cell r="C343" t="str">
            <v>Transaction Reconciliation Status Id</v>
          </cell>
          <cell r="D343" t="str">
            <v>TXN_RCNCL_ST_ID</v>
          </cell>
          <cell r="E343" t="e">
            <v>#VALUE!</v>
          </cell>
          <cell r="F343" t="str">
            <v>NINI</v>
          </cell>
          <cell r="G343" t="str">
            <v>NUMBER(38,0)</v>
          </cell>
          <cell r="H343" t="str">
            <v>NULL</v>
          </cell>
          <cell r="I343"/>
          <cell r="J343">
            <v>171</v>
          </cell>
        </row>
        <row r="344">
          <cell r="C344" t="str">
            <v>Transaction Reconciliation Status Name</v>
          </cell>
          <cell r="D344" t="str">
            <v>TXN_RCNCL_ST_NM</v>
          </cell>
          <cell r="E344" t="e">
            <v>#VALUE!</v>
          </cell>
          <cell r="F344" t="str">
            <v>Name_200</v>
          </cell>
          <cell r="G344" t="str">
            <v>VARCHAR2(200)</v>
          </cell>
          <cell r="H344" t="str">
            <v>NULL</v>
          </cell>
          <cell r="I344"/>
          <cell r="J344">
            <v>173</v>
          </cell>
        </row>
        <row r="345">
          <cell r="C345" t="str">
            <v>Transaction Source Key</v>
          </cell>
          <cell r="D345" t="str">
            <v>TXN_SRC_KEY</v>
          </cell>
          <cell r="E345" t="str">
            <v>A unique key which will help tie a CCAL transaction to the original source system transaction for research purposes.</v>
          </cell>
          <cell r="F345" t="str">
            <v>Name_200</v>
          </cell>
          <cell r="G345" t="str">
            <v>VARCHAR2(200)</v>
          </cell>
          <cell r="H345" t="str">
            <v>NULL</v>
          </cell>
          <cell r="I345"/>
          <cell r="J345">
            <v>27</v>
          </cell>
        </row>
        <row r="346">
          <cell r="C346" t="str">
            <v>Transaction Source System Dimension Id</v>
          </cell>
          <cell r="D346" t="str">
            <v>TXN_SRC_STM_DIM_ID</v>
          </cell>
          <cell r="E346" t="str">
            <v>Surrogate Key for Source system dimension based on source system information coming from Transaction.</v>
          </cell>
          <cell r="F346" t="str">
            <v>NINI</v>
          </cell>
          <cell r="G346" t="str">
            <v>NUMBER(38,0)</v>
          </cell>
          <cell r="H346" t="str">
            <v>NOT NULL</v>
          </cell>
          <cell r="I346"/>
          <cell r="J346">
            <v>14</v>
          </cell>
        </row>
        <row r="347">
          <cell r="C347" t="str">
            <v>Transaction Source Tax Code</v>
          </cell>
          <cell r="D347" t="str">
            <v>TXN_SRC_TAX_CD</v>
          </cell>
          <cell r="E347" t="str">
            <v>Code value representing Tax Code in transaction source system used for tax reporting purposes._x000D_
Currently populated for RJ Trust transactions only.</v>
          </cell>
          <cell r="F347" t="str">
            <v>Code_20</v>
          </cell>
          <cell r="G347" t="str">
            <v>VARCHAR2(20)</v>
          </cell>
          <cell r="H347" t="str">
            <v>NULL</v>
          </cell>
          <cell r="I347"/>
          <cell r="J347">
            <v>228</v>
          </cell>
        </row>
        <row r="348">
          <cell r="C348" t="str">
            <v>Transaction Source Tax Code Description</v>
          </cell>
          <cell r="D348" t="str">
            <v>TXN_SRC_TAX_CD_DSC</v>
          </cell>
          <cell r="E348" t="str">
            <v>Description of the Tax Code in transaction source system used for tax reporting purposes._x000D_
Currently populated for RJ Trust transactions only.</v>
          </cell>
          <cell r="F348" t="str">
            <v>Name_100</v>
          </cell>
          <cell r="G348" t="str">
            <v>VARCHAR2(100)</v>
          </cell>
          <cell r="H348" t="str">
            <v>NULL</v>
          </cell>
          <cell r="I348"/>
          <cell r="J348">
            <v>229</v>
          </cell>
        </row>
        <row r="349">
          <cell r="C349" t="str">
            <v>Transaction Subtype Code</v>
          </cell>
          <cell r="D349" t="str">
            <v>TXN_SUB_TP_CD</v>
          </cell>
          <cell r="E349" t="e">
            <v>#VALUE!</v>
          </cell>
          <cell r="F349" t="str">
            <v>Code_20</v>
          </cell>
          <cell r="G349" t="str">
            <v>VARCHAR2(20)</v>
          </cell>
          <cell r="H349" t="str">
            <v>NULL</v>
          </cell>
          <cell r="I349"/>
          <cell r="J349">
            <v>62</v>
          </cell>
        </row>
        <row r="350">
          <cell r="C350" t="str">
            <v>Transaction Subtype Description</v>
          </cell>
          <cell r="D350" t="str">
            <v>TXN_SUB_TP_DSC</v>
          </cell>
          <cell r="E350" t="str">
            <v>Description for the Transaction Subtype code</v>
          </cell>
          <cell r="F350" t="str">
            <v>Description_1000</v>
          </cell>
          <cell r="G350" t="str">
            <v>VARCHAR2(1000)</v>
          </cell>
          <cell r="H350" t="str">
            <v>NULL</v>
          </cell>
          <cell r="I350"/>
          <cell r="J350">
            <v>64</v>
          </cell>
        </row>
        <row r="351">
          <cell r="C351" t="str">
            <v>Transaction Subtype Id</v>
          </cell>
          <cell r="D351" t="str">
            <v>TXN_SBTP_ID</v>
          </cell>
          <cell r="E351" t="str">
            <v>CDS assigned Identifier for the transaction subtype  - used for data lineage</v>
          </cell>
          <cell r="F351" t="str">
            <v>NINI</v>
          </cell>
          <cell r="G351" t="str">
            <v>NUMBER(38,0)</v>
          </cell>
          <cell r="H351" t="str">
            <v>NULL</v>
          </cell>
          <cell r="I351"/>
          <cell r="J351">
            <v>61</v>
          </cell>
        </row>
        <row r="352">
          <cell r="C352" t="str">
            <v>Transaction Subtype Name</v>
          </cell>
          <cell r="D352" t="str">
            <v>TXN_SUB_TP_NM</v>
          </cell>
          <cell r="E352" t="e">
            <v>#VALUE!</v>
          </cell>
          <cell r="F352" t="str">
            <v>Name_200</v>
          </cell>
          <cell r="G352" t="str">
            <v>VARCHAR2(200)</v>
          </cell>
          <cell r="H352" t="str">
            <v>NULL</v>
          </cell>
          <cell r="I352"/>
          <cell r="J352">
            <v>63</v>
          </cell>
        </row>
        <row r="353">
          <cell r="C353" t="str">
            <v>Transaction Type Code</v>
          </cell>
          <cell r="D353" t="str">
            <v>TXN_TP_CD</v>
          </cell>
          <cell r="E353" t="e">
            <v>#VALUE!</v>
          </cell>
          <cell r="F353" t="str">
            <v>Code_20</v>
          </cell>
          <cell r="G353" t="str">
            <v>VARCHAR2(20)</v>
          </cell>
          <cell r="H353" t="str">
            <v>NULL</v>
          </cell>
          <cell r="I353"/>
          <cell r="J353">
            <v>58</v>
          </cell>
        </row>
        <row r="354">
          <cell r="C354" t="str">
            <v>Transaction Type Description</v>
          </cell>
          <cell r="D354" t="str">
            <v>TXN_TP_DSC</v>
          </cell>
          <cell r="E354" t="str">
            <v>Description for the Transaction type</v>
          </cell>
          <cell r="F354" t="str">
            <v>Description_1000</v>
          </cell>
          <cell r="G354" t="str">
            <v>VARCHAR2(1000)</v>
          </cell>
          <cell r="H354" t="str">
            <v>NULL</v>
          </cell>
          <cell r="I354"/>
          <cell r="J354">
            <v>60</v>
          </cell>
        </row>
        <row r="355">
          <cell r="C355" t="str">
            <v>Transaction Type Id</v>
          </cell>
          <cell r="D355" t="str">
            <v>TXN_TP_ID</v>
          </cell>
          <cell r="E355" t="str">
            <v>Identifier for the Transaction type</v>
          </cell>
          <cell r="F355" t="str">
            <v>NINI</v>
          </cell>
          <cell r="G355" t="str">
            <v>NUMBER(38,0)</v>
          </cell>
          <cell r="H355" t="str">
            <v>NULL</v>
          </cell>
          <cell r="I355"/>
          <cell r="J355">
            <v>57</v>
          </cell>
        </row>
        <row r="356">
          <cell r="C356" t="str">
            <v>Transaction Type Name</v>
          </cell>
          <cell r="D356" t="str">
            <v>TXN_TP_NM</v>
          </cell>
          <cell r="E356" t="str">
            <v>Name that represents transactions from different source systems of different types of trades.</v>
          </cell>
          <cell r="F356" t="str">
            <v>Name_200</v>
          </cell>
          <cell r="G356" t="str">
            <v>VARCHAR2(200)</v>
          </cell>
          <cell r="H356" t="str">
            <v>NULL</v>
          </cell>
          <cell r="I356"/>
          <cell r="J356">
            <v>59</v>
          </cell>
        </row>
        <row r="357">
          <cell r="C357" t="str">
            <v>Yield</v>
          </cell>
          <cell r="D357" t="str">
            <v>YLD</v>
          </cell>
          <cell r="E357" t="str">
            <v>Return or earnings generated from the trade.</v>
          </cell>
          <cell r="F357" t="str">
            <v>A38d6</v>
          </cell>
          <cell r="G357" t="str">
            <v>NUMBER(38,6)</v>
          </cell>
          <cell r="H357" t="str">
            <v>NULL</v>
          </cell>
          <cell r="I357"/>
          <cell r="J357">
            <v>235</v>
          </cell>
        </row>
        <row r="358">
          <cell r="C358" t="str">
            <v>Yield To Worst</v>
          </cell>
          <cell r="D358" t="str">
            <v>YTW</v>
          </cell>
          <cell r="E358" t="str">
            <v>The lowest potential yield that can be received on a bond without the issuer actually defaulting.</v>
          </cell>
          <cell r="F358" t="str">
            <v>A38d6</v>
          </cell>
          <cell r="G358" t="str">
            <v>NUMBER(38,6)</v>
          </cell>
          <cell r="H358" t="str">
            <v>NULL</v>
          </cell>
          <cell r="I358"/>
          <cell r="J358">
            <v>236</v>
          </cell>
        </row>
        <row r="359">
          <cell r="C359" t="str">
            <v>Yield To Worst Code</v>
          </cell>
          <cell r="D359" t="str">
            <v>YTW_CD</v>
          </cell>
          <cell r="E359" t="str">
            <v>This code indicates till when a bond is being held or when being redeemed.</v>
          </cell>
          <cell r="F359" t="str">
            <v>Code_01</v>
          </cell>
          <cell r="G359" t="str">
            <v>VARCHAR2(1)</v>
          </cell>
          <cell r="H359" t="str">
            <v>NULL</v>
          </cell>
          <cell r="I359"/>
          <cell r="J359">
            <v>237</v>
          </cell>
        </row>
        <row r="360">
          <cell r="C360"/>
          <cell r="D360"/>
          <cell r="E360"/>
          <cell r="F360"/>
          <cell r="G360"/>
          <cell r="H360"/>
          <cell r="I360"/>
          <cell r="J360"/>
        </row>
        <row r="361">
          <cell r="C361"/>
          <cell r="D361"/>
          <cell r="E361"/>
          <cell r="F361"/>
          <cell r="G361"/>
          <cell r="H361"/>
          <cell r="I361"/>
          <cell r="J361"/>
        </row>
        <row r="362">
          <cell r="C362"/>
          <cell r="D362"/>
          <cell r="E362"/>
          <cell r="F362"/>
          <cell r="G362"/>
          <cell r="H362"/>
          <cell r="I362"/>
          <cell r="J362"/>
        </row>
        <row r="363">
          <cell r="C363"/>
          <cell r="D363"/>
          <cell r="E363"/>
          <cell r="F363"/>
          <cell r="G363"/>
          <cell r="H363"/>
          <cell r="I363"/>
          <cell r="J363"/>
        </row>
        <row r="364">
          <cell r="C364"/>
          <cell r="D364"/>
          <cell r="E364"/>
          <cell r="F364"/>
          <cell r="G364"/>
          <cell r="H364"/>
          <cell r="I364"/>
          <cell r="J364"/>
        </row>
        <row r="365">
          <cell r="C365"/>
          <cell r="D365"/>
          <cell r="E365"/>
          <cell r="F365"/>
          <cell r="G365"/>
          <cell r="H365"/>
          <cell r="I365"/>
          <cell r="J365"/>
        </row>
        <row r="366">
          <cell r="C366"/>
          <cell r="D366"/>
          <cell r="E366"/>
          <cell r="F366"/>
          <cell r="G366"/>
          <cell r="H366"/>
          <cell r="I366"/>
          <cell r="J366"/>
        </row>
        <row r="367">
          <cell r="C367"/>
          <cell r="D367"/>
          <cell r="E367"/>
          <cell r="F367"/>
          <cell r="G367"/>
          <cell r="H367"/>
          <cell r="I367"/>
          <cell r="J367"/>
        </row>
        <row r="368">
          <cell r="C368"/>
          <cell r="D368"/>
          <cell r="E368"/>
          <cell r="F368"/>
          <cell r="G368"/>
          <cell r="H368"/>
          <cell r="I368"/>
          <cell r="J368"/>
        </row>
        <row r="369">
          <cell r="C369"/>
          <cell r="D369"/>
          <cell r="E369"/>
          <cell r="F369"/>
          <cell r="G369"/>
          <cell r="H369"/>
          <cell r="I369"/>
          <cell r="J369"/>
        </row>
        <row r="370">
          <cell r="C370"/>
          <cell r="D370"/>
          <cell r="E370"/>
          <cell r="F370"/>
          <cell r="G370"/>
          <cell r="H370"/>
          <cell r="I370"/>
          <cell r="J370"/>
        </row>
        <row r="371">
          <cell r="C371"/>
          <cell r="D371"/>
          <cell r="E371"/>
          <cell r="F371"/>
          <cell r="G371"/>
          <cell r="H371"/>
          <cell r="I371"/>
          <cell r="J371"/>
        </row>
        <row r="372">
          <cell r="C372"/>
          <cell r="D372"/>
          <cell r="E372"/>
          <cell r="F372"/>
          <cell r="G372"/>
          <cell r="H372"/>
          <cell r="I372"/>
          <cell r="J372"/>
        </row>
        <row r="373">
          <cell r="C373"/>
          <cell r="D373"/>
          <cell r="E373"/>
          <cell r="F373"/>
          <cell r="G373"/>
          <cell r="H373"/>
          <cell r="I373"/>
          <cell r="J373"/>
        </row>
        <row r="374">
          <cell r="C374"/>
          <cell r="D374"/>
          <cell r="E374"/>
          <cell r="F374"/>
          <cell r="G374"/>
          <cell r="H374"/>
          <cell r="I374"/>
          <cell r="J374"/>
        </row>
        <row r="375">
          <cell r="C375"/>
          <cell r="D375"/>
          <cell r="E375"/>
          <cell r="F375"/>
          <cell r="G375"/>
          <cell r="H375"/>
          <cell r="I375"/>
          <cell r="J375"/>
        </row>
        <row r="376">
          <cell r="C376"/>
          <cell r="D376"/>
          <cell r="E376"/>
          <cell r="F376"/>
          <cell r="G376"/>
          <cell r="H376"/>
          <cell r="I376"/>
          <cell r="J376"/>
        </row>
        <row r="377">
          <cell r="C377"/>
          <cell r="D377"/>
          <cell r="E377"/>
          <cell r="F377"/>
          <cell r="G377"/>
          <cell r="H377"/>
          <cell r="I377"/>
          <cell r="J377"/>
        </row>
        <row r="378">
          <cell r="C378"/>
          <cell r="D378"/>
          <cell r="E378"/>
          <cell r="F378"/>
          <cell r="G378"/>
          <cell r="H378"/>
          <cell r="I378"/>
          <cell r="J378"/>
        </row>
        <row r="379">
          <cell r="C379"/>
          <cell r="D379"/>
          <cell r="E379"/>
          <cell r="F379"/>
          <cell r="G379"/>
          <cell r="H379"/>
          <cell r="I379"/>
          <cell r="J379"/>
        </row>
        <row r="380">
          <cell r="C380"/>
          <cell r="D380"/>
          <cell r="E380"/>
          <cell r="F380"/>
          <cell r="G380"/>
          <cell r="H380"/>
          <cell r="I380"/>
          <cell r="J380"/>
        </row>
        <row r="381">
          <cell r="C381"/>
          <cell r="D381"/>
          <cell r="E381"/>
          <cell r="F381"/>
          <cell r="G381"/>
          <cell r="H381"/>
          <cell r="I381"/>
          <cell r="J381"/>
        </row>
        <row r="382">
          <cell r="C382"/>
          <cell r="D382"/>
          <cell r="E382"/>
          <cell r="F382"/>
          <cell r="G382"/>
          <cell r="H382"/>
          <cell r="I382"/>
          <cell r="J382"/>
        </row>
        <row r="383">
          <cell r="C383"/>
          <cell r="D383"/>
          <cell r="E383"/>
          <cell r="F383"/>
          <cell r="G383"/>
          <cell r="H383"/>
          <cell r="I383"/>
          <cell r="J383"/>
        </row>
        <row r="384">
          <cell r="C384"/>
          <cell r="D384"/>
          <cell r="E384"/>
          <cell r="F384"/>
          <cell r="G384"/>
          <cell r="H384"/>
          <cell r="I384"/>
          <cell r="J384"/>
        </row>
        <row r="385">
          <cell r="C385"/>
          <cell r="D385"/>
          <cell r="E385"/>
          <cell r="F385"/>
          <cell r="G385"/>
          <cell r="H385"/>
          <cell r="I385"/>
          <cell r="J385"/>
        </row>
        <row r="386">
          <cell r="C386"/>
          <cell r="D386"/>
          <cell r="E386"/>
          <cell r="F386"/>
          <cell r="G386"/>
          <cell r="H386"/>
          <cell r="I386"/>
          <cell r="J386"/>
        </row>
        <row r="387">
          <cell r="C387"/>
          <cell r="D387"/>
          <cell r="E387"/>
          <cell r="F387"/>
          <cell r="G387"/>
          <cell r="H387"/>
          <cell r="I387"/>
          <cell r="J387"/>
        </row>
        <row r="388">
          <cell r="C388"/>
          <cell r="D388"/>
          <cell r="E388"/>
          <cell r="F388"/>
          <cell r="G388"/>
          <cell r="H388"/>
          <cell r="I388"/>
          <cell r="J388"/>
        </row>
        <row r="389">
          <cell r="C389"/>
          <cell r="D389"/>
          <cell r="E389"/>
          <cell r="F389"/>
          <cell r="G389"/>
          <cell r="H389"/>
          <cell r="I389"/>
          <cell r="J389"/>
        </row>
        <row r="390">
          <cell r="C390"/>
          <cell r="D390"/>
          <cell r="E390"/>
          <cell r="F390"/>
          <cell r="G390"/>
          <cell r="H390"/>
          <cell r="I390"/>
          <cell r="J390"/>
        </row>
        <row r="391">
          <cell r="C391"/>
          <cell r="D391"/>
          <cell r="E391"/>
          <cell r="F391"/>
          <cell r="G391"/>
          <cell r="H391"/>
          <cell r="I391"/>
          <cell r="J391"/>
        </row>
        <row r="392">
          <cell r="C392"/>
          <cell r="D392"/>
          <cell r="E392"/>
          <cell r="F392"/>
          <cell r="G392"/>
          <cell r="H392"/>
          <cell r="I392"/>
          <cell r="J392"/>
        </row>
        <row r="393">
          <cell r="C393"/>
          <cell r="D393"/>
          <cell r="E393"/>
          <cell r="F393"/>
          <cell r="G393"/>
          <cell r="H393"/>
          <cell r="I393"/>
          <cell r="J393"/>
        </row>
        <row r="394">
          <cell r="C394"/>
          <cell r="D394"/>
          <cell r="E394"/>
          <cell r="F394"/>
          <cell r="G394"/>
          <cell r="H394"/>
          <cell r="I394"/>
          <cell r="J394"/>
        </row>
        <row r="395">
          <cell r="C395"/>
          <cell r="D395"/>
          <cell r="E395"/>
          <cell r="F395"/>
          <cell r="G395"/>
          <cell r="H395"/>
          <cell r="I395"/>
          <cell r="J395"/>
        </row>
        <row r="396">
          <cell r="C396"/>
          <cell r="D396"/>
          <cell r="E396"/>
          <cell r="F396"/>
          <cell r="G396"/>
          <cell r="H396"/>
          <cell r="I396"/>
          <cell r="J396"/>
        </row>
        <row r="397">
          <cell r="C397"/>
          <cell r="D397"/>
          <cell r="E397"/>
          <cell r="F397"/>
          <cell r="G397"/>
          <cell r="H397"/>
          <cell r="I397"/>
          <cell r="J397"/>
        </row>
        <row r="398">
          <cell r="C398"/>
          <cell r="D398"/>
          <cell r="E398"/>
          <cell r="F398"/>
          <cell r="G398"/>
          <cell r="H398"/>
          <cell r="I398"/>
          <cell r="J398"/>
        </row>
        <row r="399">
          <cell r="C399"/>
          <cell r="D399"/>
          <cell r="E399"/>
          <cell r="F399"/>
          <cell r="G399"/>
          <cell r="H399"/>
          <cell r="I399"/>
          <cell r="J399"/>
        </row>
        <row r="400">
          <cell r="C400"/>
          <cell r="D400"/>
          <cell r="E400"/>
          <cell r="F400"/>
          <cell r="G400"/>
          <cell r="H400"/>
          <cell r="I400"/>
          <cell r="J400"/>
        </row>
        <row r="401">
          <cell r="C401"/>
          <cell r="D401"/>
          <cell r="E401"/>
          <cell r="F401"/>
          <cell r="G401"/>
          <cell r="H401"/>
          <cell r="I401"/>
          <cell r="J401"/>
        </row>
        <row r="402">
          <cell r="C402"/>
          <cell r="D402"/>
          <cell r="E402"/>
          <cell r="F402"/>
          <cell r="G402"/>
          <cell r="H402"/>
          <cell r="I402"/>
          <cell r="J402"/>
        </row>
        <row r="403">
          <cell r="C403"/>
          <cell r="D403"/>
          <cell r="E403"/>
          <cell r="F403"/>
          <cell r="G403"/>
          <cell r="H403"/>
          <cell r="I403"/>
          <cell r="J403"/>
        </row>
        <row r="404">
          <cell r="C404"/>
          <cell r="D404"/>
          <cell r="E404"/>
          <cell r="F404"/>
          <cell r="G404"/>
          <cell r="H404"/>
          <cell r="I404"/>
          <cell r="J404"/>
        </row>
        <row r="405">
          <cell r="C405"/>
          <cell r="D405"/>
          <cell r="E405"/>
          <cell r="F405"/>
          <cell r="G405"/>
          <cell r="H405"/>
          <cell r="I405"/>
          <cell r="J405"/>
        </row>
        <row r="406">
          <cell r="C406"/>
          <cell r="D406"/>
          <cell r="E406"/>
          <cell r="F406"/>
          <cell r="G406"/>
          <cell r="H406"/>
          <cell r="I406"/>
          <cell r="J406"/>
        </row>
        <row r="407">
          <cell r="C407"/>
          <cell r="D407"/>
          <cell r="E407"/>
          <cell r="F407"/>
          <cell r="G407"/>
          <cell r="H407"/>
          <cell r="I407"/>
          <cell r="J407"/>
        </row>
        <row r="408">
          <cell r="C408"/>
          <cell r="D408"/>
          <cell r="E408"/>
          <cell r="F408"/>
          <cell r="G408"/>
          <cell r="H408"/>
          <cell r="I408"/>
          <cell r="J408"/>
        </row>
        <row r="409">
          <cell r="C409"/>
          <cell r="D409"/>
          <cell r="E409"/>
          <cell r="F409"/>
          <cell r="G409"/>
          <cell r="H409"/>
          <cell r="I409"/>
          <cell r="J409"/>
        </row>
        <row r="410">
          <cell r="C410"/>
          <cell r="D410"/>
          <cell r="E410"/>
          <cell r="F410"/>
          <cell r="G410"/>
          <cell r="H410"/>
          <cell r="I410"/>
          <cell r="J410"/>
        </row>
        <row r="411">
          <cell r="C411"/>
          <cell r="D411"/>
          <cell r="E411"/>
          <cell r="F411"/>
          <cell r="G411"/>
          <cell r="H411"/>
          <cell r="I411"/>
          <cell r="J411"/>
        </row>
        <row r="412">
          <cell r="C412"/>
          <cell r="D412"/>
          <cell r="E412"/>
          <cell r="F412"/>
          <cell r="G412"/>
          <cell r="H412"/>
          <cell r="I412"/>
          <cell r="J412"/>
        </row>
        <row r="413">
          <cell r="C413"/>
          <cell r="D413"/>
          <cell r="E413"/>
          <cell r="F413"/>
          <cell r="G413"/>
          <cell r="H413"/>
          <cell r="I413"/>
          <cell r="J413"/>
        </row>
        <row r="414">
          <cell r="C414"/>
          <cell r="D414"/>
          <cell r="E414"/>
          <cell r="F414"/>
          <cell r="G414"/>
          <cell r="H414"/>
          <cell r="I414"/>
          <cell r="J414"/>
        </row>
        <row r="415">
          <cell r="C415"/>
          <cell r="D415"/>
          <cell r="E415"/>
          <cell r="F415"/>
          <cell r="G415"/>
          <cell r="H415"/>
          <cell r="I415"/>
          <cell r="J415"/>
        </row>
        <row r="416">
          <cell r="C416"/>
          <cell r="D416"/>
          <cell r="E416"/>
          <cell r="F416"/>
          <cell r="G416"/>
          <cell r="H416"/>
          <cell r="I416"/>
          <cell r="J416"/>
        </row>
        <row r="417">
          <cell r="C417"/>
          <cell r="D417"/>
          <cell r="E417"/>
          <cell r="F417"/>
          <cell r="G417"/>
          <cell r="H417"/>
          <cell r="I417"/>
          <cell r="J417"/>
        </row>
        <row r="418">
          <cell r="C418"/>
          <cell r="D418"/>
          <cell r="E418"/>
          <cell r="F418"/>
          <cell r="G418"/>
          <cell r="H418"/>
          <cell r="I418"/>
          <cell r="J418"/>
        </row>
        <row r="419">
          <cell r="C419"/>
          <cell r="D419"/>
          <cell r="E419"/>
          <cell r="F419"/>
          <cell r="G419"/>
          <cell r="H419"/>
          <cell r="I419"/>
          <cell r="J419"/>
        </row>
        <row r="420">
          <cell r="C420"/>
          <cell r="D420"/>
          <cell r="E420"/>
          <cell r="F420"/>
          <cell r="G420"/>
          <cell r="H420"/>
          <cell r="I420"/>
          <cell r="J420"/>
        </row>
        <row r="421">
          <cell r="C421"/>
          <cell r="D421"/>
          <cell r="E421"/>
          <cell r="F421"/>
          <cell r="G421"/>
          <cell r="H421"/>
          <cell r="I421"/>
          <cell r="J421"/>
        </row>
        <row r="422">
          <cell r="C422"/>
          <cell r="D422"/>
          <cell r="E422"/>
          <cell r="F422"/>
          <cell r="G422"/>
          <cell r="H422"/>
          <cell r="I422"/>
          <cell r="J422"/>
        </row>
        <row r="423">
          <cell r="C423"/>
          <cell r="D423"/>
          <cell r="E423"/>
          <cell r="F423"/>
          <cell r="G423"/>
          <cell r="H423"/>
          <cell r="I423"/>
          <cell r="J423"/>
        </row>
        <row r="424">
          <cell r="C424"/>
          <cell r="D424"/>
          <cell r="E424"/>
          <cell r="F424"/>
          <cell r="G424"/>
          <cell r="H424"/>
          <cell r="I424"/>
          <cell r="J424"/>
        </row>
        <row r="425">
          <cell r="C425"/>
          <cell r="D425"/>
          <cell r="E425"/>
          <cell r="F425"/>
          <cell r="G425"/>
          <cell r="H425"/>
          <cell r="I425"/>
          <cell r="J425"/>
        </row>
        <row r="426">
          <cell r="C426"/>
          <cell r="D426"/>
          <cell r="E426"/>
          <cell r="F426"/>
          <cell r="G426"/>
          <cell r="H426"/>
          <cell r="I426"/>
          <cell r="J426"/>
        </row>
        <row r="427">
          <cell r="C427"/>
          <cell r="D427"/>
          <cell r="E427"/>
          <cell r="F427"/>
          <cell r="G427"/>
          <cell r="H427"/>
          <cell r="I427"/>
          <cell r="J427"/>
        </row>
        <row r="428">
          <cell r="C428"/>
          <cell r="D428"/>
          <cell r="E428"/>
          <cell r="F428"/>
          <cell r="G428"/>
          <cell r="H428"/>
          <cell r="I428"/>
          <cell r="J428"/>
        </row>
        <row r="429">
          <cell r="C429"/>
          <cell r="D429"/>
          <cell r="E429"/>
          <cell r="F429"/>
          <cell r="G429"/>
          <cell r="H429"/>
          <cell r="I429"/>
          <cell r="J429"/>
        </row>
        <row r="430">
          <cell r="C430"/>
          <cell r="D430"/>
          <cell r="E430"/>
          <cell r="F430"/>
          <cell r="G430"/>
          <cell r="H430"/>
          <cell r="I430"/>
          <cell r="J430"/>
        </row>
        <row r="431">
          <cell r="C431"/>
          <cell r="D431"/>
          <cell r="E431"/>
          <cell r="F431"/>
          <cell r="G431"/>
          <cell r="H431"/>
          <cell r="I431"/>
          <cell r="J431"/>
        </row>
        <row r="432">
          <cell r="C432"/>
          <cell r="D432"/>
          <cell r="E432"/>
          <cell r="F432"/>
          <cell r="G432"/>
          <cell r="H432"/>
          <cell r="I432"/>
          <cell r="J432"/>
        </row>
        <row r="433">
          <cell r="C433"/>
          <cell r="D433"/>
          <cell r="E433"/>
          <cell r="F433"/>
          <cell r="G433"/>
          <cell r="H433"/>
          <cell r="I433"/>
          <cell r="J433"/>
        </row>
        <row r="434">
          <cell r="C434"/>
          <cell r="D434"/>
          <cell r="E434"/>
          <cell r="F434"/>
          <cell r="G434"/>
          <cell r="H434"/>
          <cell r="I434"/>
          <cell r="J434"/>
        </row>
        <row r="435">
          <cell r="C435"/>
          <cell r="D435"/>
          <cell r="E435"/>
          <cell r="F435"/>
          <cell r="G435"/>
          <cell r="H435"/>
          <cell r="I435"/>
          <cell r="J435"/>
        </row>
        <row r="436">
          <cell r="C436"/>
          <cell r="D436"/>
          <cell r="E436"/>
          <cell r="F436"/>
          <cell r="G436"/>
          <cell r="H436"/>
          <cell r="I436"/>
          <cell r="J436"/>
        </row>
        <row r="437">
          <cell r="C437"/>
          <cell r="D437"/>
          <cell r="E437"/>
          <cell r="F437"/>
          <cell r="G437"/>
          <cell r="H437"/>
          <cell r="I437"/>
          <cell r="J437"/>
        </row>
        <row r="438">
          <cell r="C438"/>
          <cell r="D438"/>
          <cell r="E438"/>
          <cell r="F438"/>
          <cell r="G438"/>
          <cell r="H438"/>
          <cell r="I438"/>
          <cell r="J438"/>
        </row>
        <row r="439">
          <cell r="C439"/>
          <cell r="D439"/>
          <cell r="E439"/>
          <cell r="F439"/>
          <cell r="G439"/>
          <cell r="H439"/>
          <cell r="I439"/>
          <cell r="J439"/>
        </row>
        <row r="440">
          <cell r="C440"/>
          <cell r="D440"/>
          <cell r="E440"/>
          <cell r="F440"/>
          <cell r="G440"/>
          <cell r="H440"/>
          <cell r="I440"/>
          <cell r="J440"/>
        </row>
        <row r="441">
          <cell r="C441"/>
          <cell r="D441"/>
          <cell r="E441"/>
          <cell r="F441"/>
          <cell r="G441"/>
          <cell r="H441"/>
          <cell r="I441"/>
          <cell r="J441"/>
        </row>
        <row r="442">
          <cell r="C442"/>
          <cell r="D442"/>
          <cell r="E442"/>
          <cell r="F442"/>
          <cell r="G442"/>
          <cell r="H442"/>
          <cell r="I442"/>
          <cell r="J442"/>
        </row>
        <row r="443">
          <cell r="C443"/>
          <cell r="D443"/>
          <cell r="E443"/>
          <cell r="F443"/>
          <cell r="G443"/>
          <cell r="H443"/>
          <cell r="I443"/>
          <cell r="J443"/>
        </row>
        <row r="444">
          <cell r="C444"/>
          <cell r="D444"/>
          <cell r="E444"/>
          <cell r="F444"/>
          <cell r="G444"/>
          <cell r="H444"/>
          <cell r="I444"/>
          <cell r="J444"/>
        </row>
        <row r="445">
          <cell r="C445"/>
          <cell r="D445"/>
          <cell r="E445"/>
          <cell r="F445"/>
          <cell r="G445"/>
          <cell r="H445"/>
          <cell r="I445"/>
          <cell r="J445"/>
        </row>
        <row r="446">
          <cell r="C446"/>
          <cell r="D446"/>
          <cell r="E446"/>
          <cell r="F446"/>
          <cell r="G446"/>
          <cell r="H446"/>
          <cell r="I446"/>
          <cell r="J446"/>
        </row>
        <row r="447">
          <cell r="C447"/>
          <cell r="D447"/>
          <cell r="E447"/>
          <cell r="F447"/>
          <cell r="G447"/>
          <cell r="H447"/>
          <cell r="I447"/>
          <cell r="J447"/>
        </row>
        <row r="448">
          <cell r="C448"/>
          <cell r="D448"/>
          <cell r="E448"/>
          <cell r="F448"/>
          <cell r="G448"/>
          <cell r="H448"/>
          <cell r="I448"/>
          <cell r="J448"/>
        </row>
        <row r="449">
          <cell r="C449"/>
          <cell r="D449"/>
          <cell r="E449"/>
          <cell r="F449"/>
          <cell r="G449"/>
          <cell r="H449"/>
          <cell r="I449"/>
          <cell r="J449"/>
        </row>
        <row r="450">
          <cell r="C450"/>
          <cell r="D450"/>
          <cell r="E450"/>
          <cell r="F450"/>
          <cell r="G450"/>
          <cell r="H450"/>
          <cell r="I450"/>
          <cell r="J450"/>
        </row>
        <row r="451">
          <cell r="C451"/>
          <cell r="D451"/>
          <cell r="E451"/>
          <cell r="F451"/>
          <cell r="G451"/>
          <cell r="H451"/>
          <cell r="I451"/>
          <cell r="J451"/>
        </row>
        <row r="452">
          <cell r="C452"/>
          <cell r="D452"/>
          <cell r="E452"/>
          <cell r="F452"/>
          <cell r="G452"/>
          <cell r="H452"/>
          <cell r="I452"/>
          <cell r="J452"/>
        </row>
        <row r="453">
          <cell r="C453"/>
          <cell r="D453"/>
          <cell r="E453"/>
          <cell r="F453"/>
          <cell r="G453"/>
          <cell r="H453"/>
          <cell r="I453"/>
          <cell r="J453"/>
        </row>
        <row r="454">
          <cell r="C454"/>
          <cell r="D454"/>
          <cell r="E454"/>
          <cell r="F454"/>
          <cell r="G454"/>
          <cell r="H454"/>
          <cell r="I454"/>
          <cell r="J454"/>
        </row>
        <row r="455">
          <cell r="C455"/>
          <cell r="D455"/>
          <cell r="E455"/>
          <cell r="F455"/>
          <cell r="G455"/>
          <cell r="H455"/>
          <cell r="I455"/>
          <cell r="J455"/>
        </row>
        <row r="456">
          <cell r="C456"/>
          <cell r="D456"/>
          <cell r="E456"/>
          <cell r="F456"/>
          <cell r="G456"/>
          <cell r="H456"/>
          <cell r="I456"/>
          <cell r="J456"/>
        </row>
        <row r="457">
          <cell r="C457"/>
          <cell r="D457"/>
          <cell r="E457"/>
          <cell r="F457"/>
          <cell r="G457"/>
          <cell r="H457"/>
          <cell r="I457"/>
          <cell r="J457"/>
        </row>
        <row r="458">
          <cell r="C458"/>
          <cell r="D458"/>
          <cell r="E458"/>
          <cell r="F458"/>
          <cell r="G458"/>
          <cell r="H458"/>
          <cell r="I458"/>
          <cell r="J458"/>
        </row>
        <row r="459">
          <cell r="C459"/>
          <cell r="D459"/>
          <cell r="E459"/>
          <cell r="F459"/>
          <cell r="G459"/>
          <cell r="H459"/>
          <cell r="I459"/>
          <cell r="J459"/>
        </row>
        <row r="460">
          <cell r="C460"/>
          <cell r="D460"/>
          <cell r="E460"/>
          <cell r="F460"/>
          <cell r="G460"/>
          <cell r="H460"/>
          <cell r="I460"/>
          <cell r="J460"/>
        </row>
        <row r="461">
          <cell r="C461"/>
          <cell r="D461"/>
          <cell r="E461"/>
          <cell r="F461"/>
          <cell r="G461"/>
          <cell r="H461"/>
          <cell r="I461"/>
          <cell r="J461"/>
        </row>
        <row r="462">
          <cell r="C462"/>
          <cell r="D462"/>
          <cell r="E462"/>
          <cell r="F462"/>
          <cell r="G462"/>
          <cell r="H462"/>
          <cell r="I462"/>
          <cell r="J462"/>
        </row>
        <row r="463">
          <cell r="C463"/>
          <cell r="D463"/>
          <cell r="E463"/>
          <cell r="F463"/>
          <cell r="G463"/>
          <cell r="H463"/>
          <cell r="I463"/>
          <cell r="J463"/>
        </row>
        <row r="464">
          <cell r="C464"/>
          <cell r="D464"/>
          <cell r="E464"/>
          <cell r="F464"/>
          <cell r="G464"/>
          <cell r="H464"/>
          <cell r="I464"/>
          <cell r="J464"/>
        </row>
        <row r="465">
          <cell r="C465"/>
          <cell r="D465"/>
          <cell r="E465"/>
          <cell r="F465"/>
          <cell r="G465"/>
          <cell r="H465"/>
          <cell r="I465"/>
          <cell r="J465"/>
        </row>
        <row r="466">
          <cell r="C466"/>
          <cell r="D466"/>
          <cell r="E466"/>
          <cell r="F466"/>
          <cell r="G466"/>
          <cell r="H466"/>
          <cell r="I466"/>
          <cell r="J466"/>
        </row>
        <row r="467">
          <cell r="C467"/>
          <cell r="D467"/>
          <cell r="E467"/>
          <cell r="F467"/>
          <cell r="G467"/>
          <cell r="H467"/>
          <cell r="I467"/>
          <cell r="J467"/>
        </row>
        <row r="468">
          <cell r="C468"/>
          <cell r="D468"/>
          <cell r="E468"/>
          <cell r="F468"/>
          <cell r="G468"/>
          <cell r="H468"/>
          <cell r="I468"/>
          <cell r="J468"/>
        </row>
        <row r="469">
          <cell r="C469"/>
          <cell r="D469"/>
          <cell r="E469"/>
          <cell r="F469"/>
          <cell r="G469"/>
          <cell r="H469"/>
          <cell r="I469"/>
          <cell r="J469"/>
        </row>
        <row r="470">
          <cell r="C470"/>
          <cell r="D470"/>
          <cell r="E470"/>
          <cell r="F470"/>
          <cell r="G470"/>
          <cell r="H470"/>
          <cell r="I470"/>
          <cell r="J470"/>
        </row>
        <row r="471">
          <cell r="C471"/>
          <cell r="D471"/>
          <cell r="E471"/>
          <cell r="F471"/>
          <cell r="G471"/>
          <cell r="H471"/>
          <cell r="I471"/>
          <cell r="J471"/>
        </row>
        <row r="472">
          <cell r="C472"/>
          <cell r="D472"/>
          <cell r="E472"/>
          <cell r="F472"/>
          <cell r="G472"/>
          <cell r="H472"/>
          <cell r="I472"/>
          <cell r="J472"/>
        </row>
        <row r="473">
          <cell r="C473"/>
          <cell r="D473"/>
          <cell r="E473"/>
          <cell r="F473"/>
          <cell r="G473"/>
          <cell r="H473"/>
          <cell r="I473"/>
          <cell r="J473"/>
        </row>
        <row r="474">
          <cell r="C474"/>
          <cell r="D474"/>
          <cell r="E474"/>
          <cell r="F474"/>
          <cell r="G474"/>
          <cell r="H474"/>
          <cell r="I474"/>
          <cell r="J474"/>
        </row>
        <row r="475">
          <cell r="C475"/>
          <cell r="D475"/>
          <cell r="E475"/>
          <cell r="F475"/>
          <cell r="G475"/>
          <cell r="H475"/>
          <cell r="I475"/>
          <cell r="J475"/>
        </row>
        <row r="476">
          <cell r="C476"/>
          <cell r="D476"/>
          <cell r="E476"/>
          <cell r="F476"/>
          <cell r="G476"/>
          <cell r="H476"/>
          <cell r="I476"/>
          <cell r="J476"/>
        </row>
        <row r="477">
          <cell r="C477"/>
          <cell r="D477"/>
          <cell r="E477"/>
          <cell r="F477"/>
          <cell r="G477"/>
          <cell r="H477"/>
          <cell r="I477"/>
          <cell r="J477"/>
        </row>
        <row r="478">
          <cell r="C478"/>
          <cell r="D478"/>
          <cell r="E478"/>
          <cell r="F478"/>
          <cell r="G478"/>
          <cell r="H478"/>
          <cell r="I478"/>
          <cell r="J478"/>
        </row>
        <row r="479">
          <cell r="C479"/>
          <cell r="D479"/>
          <cell r="E479"/>
          <cell r="F479"/>
          <cell r="G479"/>
          <cell r="H479"/>
          <cell r="I479"/>
          <cell r="J479"/>
        </row>
        <row r="480">
          <cell r="C480"/>
          <cell r="D480"/>
          <cell r="E480"/>
          <cell r="F480"/>
          <cell r="G480"/>
          <cell r="H480"/>
          <cell r="I480"/>
          <cell r="J480"/>
        </row>
        <row r="481">
          <cell r="C481"/>
          <cell r="D481"/>
          <cell r="E481"/>
          <cell r="F481"/>
          <cell r="G481"/>
          <cell r="H481"/>
          <cell r="I481"/>
          <cell r="J481"/>
        </row>
        <row r="482">
          <cell r="C482"/>
          <cell r="D482"/>
          <cell r="E482"/>
          <cell r="F482"/>
          <cell r="G482"/>
          <cell r="H482"/>
          <cell r="I482"/>
          <cell r="J482"/>
        </row>
        <row r="483">
          <cell r="C483"/>
          <cell r="D483"/>
          <cell r="E483"/>
          <cell r="F483"/>
          <cell r="G483"/>
          <cell r="H483"/>
          <cell r="I483"/>
          <cell r="J483"/>
        </row>
        <row r="484">
          <cell r="C484"/>
          <cell r="D484"/>
          <cell r="E484"/>
          <cell r="F484"/>
          <cell r="G484"/>
          <cell r="H484"/>
          <cell r="I484"/>
          <cell r="J484"/>
        </row>
        <row r="485">
          <cell r="C485"/>
          <cell r="D485"/>
          <cell r="E485"/>
          <cell r="F485"/>
          <cell r="G485"/>
          <cell r="H485"/>
          <cell r="I485"/>
          <cell r="J485"/>
        </row>
        <row r="486">
          <cell r="C486"/>
          <cell r="D486"/>
          <cell r="E486"/>
          <cell r="F486"/>
          <cell r="G486"/>
          <cell r="H486"/>
          <cell r="I486"/>
          <cell r="J486"/>
        </row>
        <row r="487">
          <cell r="C487"/>
          <cell r="D487"/>
          <cell r="E487"/>
          <cell r="F487"/>
          <cell r="G487"/>
          <cell r="H487"/>
          <cell r="I487"/>
          <cell r="J487"/>
        </row>
        <row r="488">
          <cell r="C488"/>
          <cell r="D488"/>
          <cell r="E488"/>
          <cell r="F488"/>
          <cell r="G488"/>
          <cell r="H488"/>
          <cell r="I488"/>
          <cell r="J488"/>
        </row>
        <row r="489">
          <cell r="C489"/>
          <cell r="D489"/>
          <cell r="E489"/>
          <cell r="F489"/>
          <cell r="G489"/>
          <cell r="H489"/>
          <cell r="I489"/>
          <cell r="J489"/>
        </row>
        <row r="490">
          <cell r="C490"/>
          <cell r="D490"/>
          <cell r="E490"/>
          <cell r="F490"/>
          <cell r="G490"/>
          <cell r="H490"/>
          <cell r="I490"/>
          <cell r="J490"/>
        </row>
        <row r="491">
          <cell r="C491"/>
          <cell r="D491"/>
          <cell r="E491"/>
          <cell r="F491"/>
          <cell r="G491"/>
          <cell r="H491"/>
          <cell r="I491"/>
          <cell r="J491"/>
        </row>
        <row r="492">
          <cell r="C492"/>
          <cell r="D492"/>
          <cell r="E492"/>
          <cell r="F492"/>
          <cell r="G492"/>
          <cell r="H492"/>
          <cell r="I492"/>
          <cell r="J492"/>
        </row>
        <row r="493">
          <cell r="C493"/>
          <cell r="D493"/>
          <cell r="E493"/>
          <cell r="F493"/>
          <cell r="G493"/>
          <cell r="H493"/>
          <cell r="I493"/>
          <cell r="J493"/>
        </row>
        <row r="494">
          <cell r="C494"/>
          <cell r="D494"/>
          <cell r="E494"/>
          <cell r="F494"/>
          <cell r="G494"/>
          <cell r="H494"/>
          <cell r="I494"/>
          <cell r="J494"/>
        </row>
        <row r="495">
          <cell r="C495"/>
          <cell r="D495"/>
          <cell r="E495"/>
          <cell r="F495"/>
          <cell r="G495"/>
          <cell r="H495"/>
          <cell r="I495"/>
          <cell r="J495"/>
        </row>
        <row r="496">
          <cell r="C496"/>
          <cell r="D496"/>
          <cell r="E496"/>
          <cell r="F496"/>
          <cell r="G496"/>
          <cell r="H496"/>
          <cell r="I496"/>
          <cell r="J496"/>
        </row>
        <row r="497">
          <cell r="C497"/>
          <cell r="D497"/>
          <cell r="E497"/>
          <cell r="F497"/>
          <cell r="G497"/>
          <cell r="H497"/>
          <cell r="I497"/>
          <cell r="J497"/>
        </row>
        <row r="498">
          <cell r="C498"/>
          <cell r="D498"/>
          <cell r="E498"/>
          <cell r="F498"/>
          <cell r="G498"/>
          <cell r="H498"/>
          <cell r="I498"/>
          <cell r="J498"/>
        </row>
        <row r="499">
          <cell r="C499"/>
          <cell r="D499"/>
          <cell r="E499"/>
          <cell r="F499"/>
          <cell r="G499"/>
          <cell r="H499"/>
          <cell r="I499"/>
          <cell r="J499"/>
        </row>
        <row r="500">
          <cell r="C500"/>
          <cell r="D500"/>
          <cell r="E500"/>
          <cell r="F500"/>
          <cell r="G500"/>
          <cell r="H500"/>
          <cell r="I500"/>
          <cell r="J500"/>
        </row>
        <row r="501">
          <cell r="C501"/>
          <cell r="D501"/>
          <cell r="E501"/>
          <cell r="F501"/>
          <cell r="G501"/>
          <cell r="H501"/>
          <cell r="I501"/>
          <cell r="J501"/>
        </row>
        <row r="502">
          <cell r="C502"/>
          <cell r="D502"/>
          <cell r="E502"/>
          <cell r="F502"/>
          <cell r="G502"/>
          <cell r="H502"/>
          <cell r="I502"/>
          <cell r="J502"/>
        </row>
        <row r="503">
          <cell r="C503"/>
          <cell r="D503"/>
          <cell r="E503"/>
          <cell r="F503"/>
          <cell r="G503"/>
          <cell r="H503"/>
          <cell r="I503"/>
          <cell r="J503"/>
        </row>
        <row r="504">
          <cell r="C504"/>
          <cell r="D504"/>
          <cell r="E504"/>
          <cell r="F504"/>
          <cell r="G504"/>
          <cell r="H504"/>
          <cell r="I504"/>
          <cell r="J504"/>
        </row>
        <row r="505">
          <cell r="C505"/>
          <cell r="D505"/>
          <cell r="E505"/>
          <cell r="F505"/>
          <cell r="G505"/>
          <cell r="H505"/>
          <cell r="I505"/>
          <cell r="J505"/>
        </row>
        <row r="506">
          <cell r="C506"/>
          <cell r="D506"/>
          <cell r="E506"/>
          <cell r="F506"/>
          <cell r="G506"/>
          <cell r="H506"/>
          <cell r="I506"/>
          <cell r="J506"/>
        </row>
        <row r="507">
          <cell r="C507"/>
          <cell r="D507"/>
          <cell r="E507"/>
          <cell r="F507"/>
          <cell r="G507"/>
          <cell r="H507"/>
          <cell r="I507"/>
          <cell r="J507"/>
        </row>
        <row r="508">
          <cell r="C508"/>
          <cell r="D508"/>
          <cell r="E508"/>
          <cell r="F508"/>
          <cell r="G508"/>
          <cell r="H508"/>
          <cell r="I508"/>
          <cell r="J508"/>
        </row>
        <row r="509">
          <cell r="C509"/>
          <cell r="D509"/>
          <cell r="E509"/>
          <cell r="F509"/>
          <cell r="G509"/>
          <cell r="H509"/>
          <cell r="I509"/>
          <cell r="J509"/>
        </row>
        <row r="510">
          <cell r="C510"/>
          <cell r="D510"/>
          <cell r="E510"/>
          <cell r="F510"/>
          <cell r="G510"/>
          <cell r="H510"/>
          <cell r="I510"/>
          <cell r="J510"/>
        </row>
        <row r="511">
          <cell r="C511"/>
          <cell r="D511"/>
          <cell r="E511"/>
          <cell r="F511"/>
          <cell r="G511"/>
          <cell r="H511"/>
          <cell r="I511"/>
          <cell r="J511"/>
        </row>
        <row r="512">
          <cell r="C512"/>
          <cell r="D512"/>
          <cell r="E512"/>
          <cell r="F512"/>
          <cell r="G512"/>
          <cell r="H512"/>
          <cell r="I512"/>
          <cell r="J512"/>
        </row>
        <row r="513">
          <cell r="C513"/>
          <cell r="D513"/>
          <cell r="E513"/>
          <cell r="F513"/>
          <cell r="G513"/>
          <cell r="H513"/>
          <cell r="I513"/>
          <cell r="J513"/>
        </row>
        <row r="514">
          <cell r="C514"/>
          <cell r="D514"/>
          <cell r="E514"/>
          <cell r="F514"/>
          <cell r="G514"/>
          <cell r="H514"/>
          <cell r="I514"/>
          <cell r="J514"/>
        </row>
        <row r="515">
          <cell r="C515"/>
          <cell r="D515"/>
          <cell r="E515"/>
          <cell r="F515"/>
          <cell r="G515"/>
          <cell r="H515"/>
          <cell r="I515"/>
          <cell r="J515"/>
        </row>
        <row r="516">
          <cell r="C516"/>
          <cell r="D516"/>
          <cell r="E516"/>
          <cell r="F516"/>
          <cell r="G516"/>
          <cell r="H516"/>
          <cell r="I516"/>
          <cell r="J516"/>
        </row>
        <row r="517">
          <cell r="C517"/>
          <cell r="D517"/>
          <cell r="E517"/>
          <cell r="F517"/>
          <cell r="G517"/>
          <cell r="H517"/>
          <cell r="I517"/>
          <cell r="J517"/>
        </row>
        <row r="518">
          <cell r="C518"/>
          <cell r="D518"/>
          <cell r="E518"/>
          <cell r="F518"/>
          <cell r="G518"/>
          <cell r="H518"/>
          <cell r="I518"/>
          <cell r="J518"/>
        </row>
        <row r="519">
          <cell r="C519"/>
          <cell r="D519"/>
          <cell r="E519"/>
          <cell r="F519"/>
          <cell r="G519"/>
          <cell r="H519"/>
          <cell r="I519"/>
          <cell r="J519"/>
        </row>
        <row r="520">
          <cell r="C520"/>
          <cell r="D520"/>
          <cell r="E520"/>
          <cell r="F520"/>
          <cell r="G520"/>
          <cell r="H520"/>
          <cell r="I520"/>
          <cell r="J520"/>
        </row>
        <row r="521">
          <cell r="C521"/>
          <cell r="D521"/>
          <cell r="E521"/>
          <cell r="F521"/>
          <cell r="G521"/>
          <cell r="H521"/>
          <cell r="I521"/>
          <cell r="J521"/>
        </row>
        <row r="522">
          <cell r="C522"/>
          <cell r="D522"/>
          <cell r="E522"/>
          <cell r="F522"/>
          <cell r="G522"/>
          <cell r="H522"/>
          <cell r="I522"/>
          <cell r="J522"/>
        </row>
        <row r="523">
          <cell r="C523"/>
          <cell r="D523"/>
          <cell r="E523"/>
          <cell r="F523"/>
          <cell r="G523"/>
          <cell r="H523"/>
          <cell r="I523"/>
          <cell r="J523"/>
        </row>
        <row r="524">
          <cell r="C524"/>
          <cell r="D524"/>
          <cell r="E524"/>
          <cell r="F524"/>
          <cell r="G524"/>
          <cell r="H524"/>
          <cell r="I524"/>
          <cell r="J524"/>
        </row>
        <row r="525">
          <cell r="C525"/>
          <cell r="D525"/>
          <cell r="E525"/>
          <cell r="F525"/>
          <cell r="G525"/>
          <cell r="H525"/>
          <cell r="I525"/>
          <cell r="J525"/>
        </row>
        <row r="526">
          <cell r="C526"/>
          <cell r="D526"/>
          <cell r="E526"/>
          <cell r="F526"/>
          <cell r="G526"/>
          <cell r="H526"/>
          <cell r="I526"/>
          <cell r="J526"/>
        </row>
        <row r="527">
          <cell r="C527"/>
          <cell r="D527"/>
          <cell r="E527"/>
          <cell r="F527"/>
          <cell r="G527"/>
          <cell r="H527"/>
          <cell r="I527"/>
          <cell r="J527"/>
        </row>
        <row r="528">
          <cell r="C528"/>
          <cell r="D528"/>
          <cell r="E528"/>
          <cell r="F528"/>
          <cell r="G528"/>
          <cell r="H528"/>
          <cell r="I528"/>
          <cell r="J528"/>
        </row>
        <row r="529">
          <cell r="C529"/>
          <cell r="D529"/>
          <cell r="E529"/>
          <cell r="F529"/>
          <cell r="G529"/>
          <cell r="H529"/>
          <cell r="I529"/>
          <cell r="J529"/>
        </row>
        <row r="530">
          <cell r="C530"/>
          <cell r="D530"/>
          <cell r="E530"/>
          <cell r="F530"/>
          <cell r="G530"/>
          <cell r="H530"/>
          <cell r="I530"/>
          <cell r="J530"/>
        </row>
        <row r="531">
          <cell r="C531"/>
          <cell r="D531"/>
          <cell r="E531"/>
          <cell r="F531"/>
          <cell r="G531"/>
          <cell r="H531"/>
          <cell r="I531"/>
          <cell r="J531"/>
        </row>
        <row r="532">
          <cell r="C532"/>
          <cell r="D532"/>
          <cell r="E532"/>
          <cell r="F532"/>
          <cell r="G532"/>
          <cell r="H532"/>
          <cell r="I532"/>
          <cell r="J532"/>
        </row>
        <row r="533">
          <cell r="C533"/>
          <cell r="D533"/>
          <cell r="E533"/>
          <cell r="F533"/>
          <cell r="G533"/>
          <cell r="H533"/>
          <cell r="I533"/>
          <cell r="J533"/>
        </row>
        <row r="534">
          <cell r="C534"/>
          <cell r="D534"/>
          <cell r="E534"/>
          <cell r="F534"/>
          <cell r="G534"/>
          <cell r="H534"/>
          <cell r="I534"/>
          <cell r="J534"/>
        </row>
        <row r="535">
          <cell r="C535"/>
          <cell r="D535"/>
          <cell r="E535"/>
          <cell r="F535"/>
          <cell r="G535"/>
          <cell r="H535"/>
          <cell r="I535"/>
          <cell r="J535"/>
        </row>
        <row r="536">
          <cell r="C536"/>
          <cell r="D536"/>
          <cell r="E536"/>
          <cell r="F536"/>
          <cell r="G536"/>
          <cell r="H536"/>
          <cell r="I536"/>
          <cell r="J536"/>
        </row>
        <row r="537">
          <cell r="C537"/>
          <cell r="D537"/>
          <cell r="E537"/>
          <cell r="F537"/>
          <cell r="G537"/>
          <cell r="H537"/>
          <cell r="I537"/>
          <cell r="J537"/>
        </row>
        <row r="538">
          <cell r="C538"/>
          <cell r="D538"/>
          <cell r="E538"/>
          <cell r="F538"/>
          <cell r="G538"/>
          <cell r="H538"/>
          <cell r="I538"/>
          <cell r="J538"/>
        </row>
        <row r="539">
          <cell r="C539"/>
          <cell r="D539"/>
          <cell r="E539"/>
          <cell r="F539"/>
          <cell r="G539"/>
          <cell r="H539"/>
          <cell r="I539"/>
          <cell r="J539"/>
        </row>
        <row r="540">
          <cell r="C540"/>
          <cell r="D540"/>
          <cell r="E540"/>
          <cell r="F540"/>
          <cell r="G540"/>
          <cell r="H540"/>
          <cell r="I540"/>
          <cell r="J540"/>
        </row>
        <row r="541">
          <cell r="C541"/>
          <cell r="D541"/>
          <cell r="E541"/>
          <cell r="F541"/>
          <cell r="G541"/>
          <cell r="H541"/>
          <cell r="I541"/>
          <cell r="J541"/>
        </row>
        <row r="542">
          <cell r="C542"/>
          <cell r="D542"/>
          <cell r="E542"/>
          <cell r="F542"/>
          <cell r="G542"/>
          <cell r="H542"/>
          <cell r="I542"/>
          <cell r="J542"/>
        </row>
        <row r="543">
          <cell r="C543"/>
          <cell r="D543"/>
          <cell r="E543"/>
          <cell r="F543"/>
          <cell r="G543"/>
          <cell r="H543"/>
          <cell r="I543"/>
          <cell r="J543"/>
        </row>
        <row r="544">
          <cell r="C544"/>
          <cell r="D544"/>
          <cell r="E544"/>
          <cell r="F544"/>
          <cell r="G544"/>
          <cell r="H544"/>
          <cell r="I544"/>
          <cell r="J544"/>
        </row>
        <row r="545">
          <cell r="C545"/>
          <cell r="D545"/>
          <cell r="E545"/>
          <cell r="F545"/>
          <cell r="G545"/>
          <cell r="H545"/>
          <cell r="I545"/>
          <cell r="J545"/>
        </row>
        <row r="546">
          <cell r="C546"/>
          <cell r="D546"/>
          <cell r="E546"/>
          <cell r="F546"/>
          <cell r="G546"/>
          <cell r="H546"/>
          <cell r="I546"/>
          <cell r="J546"/>
        </row>
        <row r="547">
          <cell r="C547"/>
          <cell r="D547"/>
          <cell r="E547"/>
          <cell r="F547"/>
          <cell r="G547"/>
          <cell r="H547"/>
          <cell r="I547"/>
          <cell r="J547"/>
        </row>
        <row r="548">
          <cell r="C548"/>
          <cell r="D548"/>
          <cell r="E548"/>
          <cell r="F548"/>
          <cell r="G548"/>
          <cell r="H548"/>
          <cell r="I548"/>
          <cell r="J548"/>
        </row>
        <row r="549">
          <cell r="C549"/>
          <cell r="D549"/>
          <cell r="E549"/>
          <cell r="F549"/>
          <cell r="G549"/>
          <cell r="H549"/>
          <cell r="I549"/>
          <cell r="J549"/>
        </row>
        <row r="550">
          <cell r="C550"/>
          <cell r="D550"/>
          <cell r="E550"/>
          <cell r="F550"/>
          <cell r="G550"/>
          <cell r="H550"/>
          <cell r="I550"/>
          <cell r="J550"/>
        </row>
        <row r="551">
          <cell r="C551"/>
          <cell r="D551"/>
          <cell r="E551"/>
          <cell r="F551"/>
          <cell r="G551"/>
          <cell r="H551"/>
          <cell r="I551"/>
          <cell r="J551"/>
        </row>
        <row r="552">
          <cell r="C552"/>
          <cell r="D552"/>
          <cell r="E552"/>
          <cell r="F552"/>
          <cell r="G552"/>
          <cell r="H552"/>
          <cell r="I552"/>
          <cell r="J552"/>
        </row>
        <row r="553">
          <cell r="C553"/>
          <cell r="D553"/>
          <cell r="E553"/>
          <cell r="F553"/>
          <cell r="G553"/>
          <cell r="H553"/>
          <cell r="I553"/>
          <cell r="J553"/>
        </row>
        <row r="554">
          <cell r="C554"/>
          <cell r="D554"/>
          <cell r="E554"/>
          <cell r="F554"/>
          <cell r="G554"/>
          <cell r="H554"/>
          <cell r="I554"/>
          <cell r="J554"/>
        </row>
        <row r="555">
          <cell r="C555"/>
          <cell r="D555"/>
          <cell r="E555"/>
          <cell r="F555"/>
          <cell r="G555"/>
          <cell r="H555"/>
          <cell r="I555"/>
          <cell r="J555"/>
        </row>
        <row r="556">
          <cell r="C556"/>
          <cell r="D556"/>
          <cell r="E556"/>
          <cell r="F556"/>
          <cell r="G556"/>
          <cell r="H556"/>
          <cell r="I556"/>
          <cell r="J556"/>
        </row>
        <row r="557">
          <cell r="C557"/>
          <cell r="D557"/>
          <cell r="E557"/>
          <cell r="F557"/>
          <cell r="G557"/>
          <cell r="H557"/>
          <cell r="I557"/>
          <cell r="J557"/>
        </row>
        <row r="558">
          <cell r="C558"/>
          <cell r="D558"/>
          <cell r="E558"/>
          <cell r="F558"/>
          <cell r="G558"/>
          <cell r="H558"/>
          <cell r="I558"/>
          <cell r="J558"/>
        </row>
        <row r="559">
          <cell r="C559"/>
          <cell r="D559"/>
          <cell r="E559"/>
          <cell r="F559"/>
          <cell r="G559"/>
          <cell r="H559"/>
          <cell r="I559"/>
          <cell r="J559"/>
        </row>
      </sheetData>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View"/>
      <sheetName val="Semantic"/>
      <sheetName val="Consumer View"/>
      <sheetName val="Table"/>
      <sheetName val="RJM Activity Fact View"/>
      <sheetName val="RJBank Activity Fact View"/>
      <sheetName val="ETL Notes"/>
      <sheetName val="attributes"/>
      <sheetName val="Attribute"/>
      <sheetName val="Model"/>
      <sheetName val="AVY_FACT"/>
      <sheetName val="Table_view_sorted"/>
    </sheetNames>
    <sheetDataSet>
      <sheetData sheetId="0"/>
      <sheetData sheetId="1"/>
      <sheetData sheetId="2">
        <row r="2">
          <cell r="A2" t="str">
            <v>ACAT_CONTRA_FIRM_CLEARING_ID_TYPE_CODE</v>
          </cell>
          <cell r="B2" t="str">
            <v>VARCHAR2(1)</v>
          </cell>
          <cell r="C2" t="str">
            <v>Yes</v>
          </cell>
          <cell r="E2">
            <v>142</v>
          </cell>
          <cell r="F2" t="str">
            <v>ACAT Broker ID Type</v>
          </cell>
          <cell r="G2" t="str">
            <v>YES</v>
          </cell>
          <cell r="H2" t="str">
            <v>YES</v>
          </cell>
          <cell r="I2" t="str">
            <v>YES</v>
          </cell>
        </row>
        <row r="3">
          <cell r="A3" t="str">
            <v>ACAT_CONTRA_FIRM_CLEARING_NUMBER</v>
          </cell>
          <cell r="B3" t="str">
            <v>VARCHAR2(4)</v>
          </cell>
          <cell r="C3" t="str">
            <v>Yes</v>
          </cell>
          <cell r="E3">
            <v>143</v>
          </cell>
          <cell r="F3" t="e">
            <v>#VALUE!</v>
          </cell>
          <cell r="G3" t="str">
            <v>YES</v>
          </cell>
          <cell r="H3" t="str">
            <v>YES</v>
          </cell>
          <cell r="I3" t="str">
            <v>YES</v>
          </cell>
        </row>
        <row r="4">
          <cell r="A4" t="str">
            <v>ACAT_CONTRA_FIRM_NAME</v>
          </cell>
          <cell r="B4" t="str">
            <v>VARCHAR2(50)</v>
          </cell>
          <cell r="C4" t="str">
            <v>Yes</v>
          </cell>
          <cell r="E4">
            <v>144</v>
          </cell>
          <cell r="F4" t="str">
            <v>ACAT Contra Firm Clearing Name</v>
          </cell>
          <cell r="G4" t="str">
            <v>YES</v>
          </cell>
          <cell r="H4" t="str">
            <v>YES</v>
          </cell>
          <cell r="I4" t="str">
            <v>YES</v>
          </cell>
        </row>
        <row r="5">
          <cell r="A5" t="str">
            <v>ACAT_CONTRA_FIRM_SHORT_NAME</v>
          </cell>
          <cell r="B5" t="str">
            <v>VARCHAR2(15)</v>
          </cell>
          <cell r="C5" t="str">
            <v>Yes</v>
          </cell>
          <cell r="E5">
            <v>145</v>
          </cell>
          <cell r="F5" t="str">
            <v>ACAT Contra Firm Clearing Short Name</v>
          </cell>
          <cell r="G5" t="str">
            <v>YES</v>
          </cell>
          <cell r="H5" t="str">
            <v>YES</v>
          </cell>
          <cell r="I5" t="str">
            <v>YES</v>
          </cell>
        </row>
        <row r="6">
          <cell r="A6" t="str">
            <v>ACCOUNTING_TYPE_CODE</v>
          </cell>
          <cell r="B6" t="str">
            <v>VARCHAR2(1)</v>
          </cell>
          <cell r="C6" t="str">
            <v>Yes</v>
          </cell>
          <cell r="E6">
            <v>110</v>
          </cell>
          <cell r="F6" t="str">
            <v>Accounting type code from SIS (e.g., 1,2)</v>
          </cell>
          <cell r="G6" t="str">
            <v>YES</v>
          </cell>
          <cell r="H6" t="str">
            <v>YES</v>
          </cell>
          <cell r="I6" t="str">
            <v>YES</v>
          </cell>
        </row>
        <row r="7">
          <cell r="A7" t="str">
            <v>ACCOUNTING_TYPE_DIMENSION_ID</v>
          </cell>
          <cell r="B7" t="str">
            <v>NUMBER(38)</v>
          </cell>
          <cell r="C7" t="str">
            <v>No</v>
          </cell>
          <cell r="E7">
            <v>1</v>
          </cell>
          <cell r="F7" t="str">
            <v>Surrogate key for SIS Accounting Dimension</v>
          </cell>
          <cell r="G7" t="str">
            <v>YES</v>
          </cell>
          <cell r="H7" t="str">
            <v>YES</v>
          </cell>
          <cell r="I7" t="str">
            <v>YES</v>
          </cell>
        </row>
        <row r="8">
          <cell r="A8" t="str">
            <v>ACCOUNTING_TYPE_ID</v>
          </cell>
          <cell r="B8" t="str">
            <v>NUMBER(38)</v>
          </cell>
          <cell r="C8" t="str">
            <v>Yes</v>
          </cell>
          <cell r="E8">
            <v>146</v>
          </cell>
          <cell r="F8" t="str">
            <v>Numeric identifier of the accounting type ID (e.g., 1006, 1001)</v>
          </cell>
          <cell r="G8" t="str">
            <v>YES</v>
          </cell>
          <cell r="H8" t="str">
            <v>YES</v>
          </cell>
          <cell r="I8" t="str">
            <v>YES</v>
          </cell>
        </row>
        <row r="9">
          <cell r="A9" t="str">
            <v>ACCOUNTING_TYPE_NAME</v>
          </cell>
          <cell r="B9" t="str">
            <v>VARCHAR2(30)</v>
          </cell>
          <cell r="C9" t="str">
            <v>Yes</v>
          </cell>
          <cell r="E9">
            <v>111</v>
          </cell>
          <cell r="F9" t="str">
            <v>It is the Sub Account associated with the position identifying the regulatory needs of the position. (e.g., cash account,margin account)</v>
          </cell>
          <cell r="G9" t="str">
            <v>YES</v>
          </cell>
          <cell r="H9" t="str">
            <v>YES</v>
          </cell>
          <cell r="I9" t="str">
            <v>YES</v>
          </cell>
        </row>
        <row r="10">
          <cell r="A10" t="str">
            <v>ACTIVE_FLAG</v>
          </cell>
          <cell r="B10" t="str">
            <v>CHAR(1)</v>
          </cell>
          <cell r="C10" t="str">
            <v>No</v>
          </cell>
          <cell r="E10">
            <v>133</v>
          </cell>
          <cell r="F10" t="str">
            <v>Indicates that the row is active</v>
          </cell>
          <cell r="G10" t="str">
            <v>YES</v>
          </cell>
          <cell r="H10" t="str">
            <v>YES</v>
          </cell>
          <cell r="I10" t="str">
            <v>YES</v>
          </cell>
        </row>
        <row r="11">
          <cell r="A11" t="str">
            <v>AGGREGATE_ORIGINAL_FEES</v>
          </cell>
          <cell r="B11" t="str">
            <v>NUMBER</v>
          </cell>
          <cell r="C11" t="str">
            <v>Yes</v>
          </cell>
          <cell r="E11">
            <v>2</v>
          </cell>
          <cell r="G11" t="str">
            <v>YES</v>
          </cell>
          <cell r="H11" t="str">
            <v>YES</v>
          </cell>
          <cell r="I11" t="str">
            <v>YES</v>
          </cell>
        </row>
        <row r="12">
          <cell r="A12" t="str">
            <v>AGGREGATE_STATEMENT_FEES</v>
          </cell>
          <cell r="B12" t="str">
            <v>NUMBER</v>
          </cell>
          <cell r="C12" t="str">
            <v>Yes</v>
          </cell>
          <cell r="E12">
            <v>3</v>
          </cell>
          <cell r="G12" t="str">
            <v>YES</v>
          </cell>
          <cell r="H12" t="str">
            <v>YES</v>
          </cell>
          <cell r="I12" t="str">
            <v>YES</v>
          </cell>
        </row>
        <row r="13">
          <cell r="A13" t="str">
            <v>ARRANGEMENT_ID</v>
          </cell>
          <cell r="B13" t="str">
            <v>NUMBER(38)</v>
          </cell>
          <cell r="C13" t="str">
            <v>Yes</v>
          </cell>
          <cell r="E13">
            <v>4</v>
          </cell>
          <cell r="F13" t="str">
            <v>Arrangement Id of the Arrangement this APA belongs to.</v>
          </cell>
          <cell r="G13" t="str">
            <v>YES</v>
          </cell>
          <cell r="H13" t="str">
            <v>YES</v>
          </cell>
          <cell r="I13" t="str">
            <v>YES</v>
          </cell>
        </row>
        <row r="14">
          <cell r="A14" t="str">
            <v>ARRANGEMENT_ORIGINATING_SOURCE_SYSTEM_CODE</v>
          </cell>
          <cell r="B14" t="str">
            <v>VARCHAR2(20)</v>
          </cell>
          <cell r="C14" t="str">
            <v>Yes</v>
          </cell>
          <cell r="E14">
            <v>147</v>
          </cell>
          <cell r="F14" t="str">
            <v>Code that represents the source system from which CDS database receives/obtains the underlying Arrangement from.</v>
          </cell>
          <cell r="G14" t="str">
            <v>YES</v>
          </cell>
          <cell r="H14" t="str">
            <v>YES</v>
          </cell>
          <cell r="I14" t="str">
            <v>YES</v>
          </cell>
        </row>
        <row r="15">
          <cell r="A15" t="str">
            <v>ARRANGEMENT_SETTLEMENT_TYPE_CODE</v>
          </cell>
          <cell r="B15" t="str">
            <v>VARCHAR2(20)</v>
          </cell>
          <cell r="C15" t="str">
            <v>Yes</v>
          </cell>
          <cell r="E15">
            <v>148</v>
          </cell>
          <cell r="F15" t="str">
            <v>A code that identifies how an arrangement settles its security transactions.</v>
          </cell>
          <cell r="G15" t="str">
            <v>YES</v>
          </cell>
          <cell r="H15" t="str">
            <v>YES</v>
          </cell>
          <cell r="I15" t="str">
            <v>YES</v>
          </cell>
        </row>
        <row r="16">
          <cell r="A16" t="str">
            <v>ARRANGEMENT_SETTLEMENT_TYPE_DESCRIPTION</v>
          </cell>
          <cell r="B16" t="str">
            <v>VARCHAR2(100)</v>
          </cell>
          <cell r="C16" t="str">
            <v>Yes</v>
          </cell>
          <cell r="E16">
            <v>149</v>
          </cell>
          <cell r="F16" t="str">
            <v>A description that identifies how an arrangement settles its security transactions.</v>
          </cell>
          <cell r="G16" t="str">
            <v>YES</v>
          </cell>
          <cell r="H16" t="str">
            <v>YES</v>
          </cell>
          <cell r="I16" t="str">
            <v>YES</v>
          </cell>
        </row>
        <row r="17">
          <cell r="A17" t="str">
            <v>BATCH_DATE</v>
          </cell>
          <cell r="B17" t="str">
            <v>DATE</v>
          </cell>
          <cell r="C17" t="str">
            <v>Yes</v>
          </cell>
          <cell r="E17">
            <v>130</v>
          </cell>
          <cell r="F17" t="str">
            <v>Business Date for the Load run of the Activity Asset Packager row IBM Unique ID:BDW03041</v>
          </cell>
          <cell r="G17" t="str">
            <v>YES</v>
          </cell>
          <cell r="H17" t="str">
            <v>YES</v>
          </cell>
          <cell r="I17" t="str">
            <v>YES</v>
          </cell>
        </row>
        <row r="18">
          <cell r="A18" t="str">
            <v>BOOKING_DATE</v>
          </cell>
          <cell r="B18" t="str">
            <v>DATE</v>
          </cell>
          <cell r="C18" t="str">
            <v>Yes</v>
          </cell>
          <cell r="E18">
            <v>5</v>
          </cell>
          <cell r="F18" t="str">
            <v>System generated Date Time stamp when the record was created.  In SIS would be represented by Effective Date.</v>
          </cell>
          <cell r="G18" t="str">
            <v>YES</v>
          </cell>
          <cell r="H18" t="str">
            <v>YES</v>
          </cell>
          <cell r="I18" t="str">
            <v>YES</v>
          </cell>
        </row>
        <row r="19">
          <cell r="A19" t="str">
            <v>BRANCH_CODE</v>
          </cell>
          <cell r="B19" t="str">
            <v>VARCHAR2(20)</v>
          </cell>
          <cell r="C19" t="str">
            <v>Yes</v>
          </cell>
          <cell r="E19">
            <v>94</v>
          </cell>
          <cell r="F19" t="str">
            <v>Entity Code of the Financial Advisor that is executing the trade.</v>
          </cell>
          <cell r="G19" t="str">
            <v>YES</v>
          </cell>
          <cell r="H19" t="str">
            <v>YES</v>
          </cell>
          <cell r="I19" t="str">
            <v>YES</v>
          </cell>
        </row>
        <row r="20">
          <cell r="A20" t="str">
            <v>BROKERAGE_ARRANGEMENT_ID</v>
          </cell>
          <cell r="B20" t="str">
            <v>NUMBER(38)</v>
          </cell>
          <cell r="C20" t="str">
            <v>Yes</v>
          </cell>
          <cell r="E20">
            <v>6</v>
          </cell>
          <cell r="F20" t="str">
            <v>Brokerage arrangement associated with the Arrangement id. If the transaction is for a brokerage arrangement than both will have same value.</v>
          </cell>
          <cell r="G20" t="str">
            <v>YES</v>
          </cell>
          <cell r="H20" t="str">
            <v>YES</v>
          </cell>
          <cell r="I20" t="str">
            <v>YES</v>
          </cell>
        </row>
        <row r="21">
          <cell r="A21" t="str">
            <v>BUY_SELL_INDICATOR</v>
          </cell>
          <cell r="B21" t="str">
            <v>VARCHAR2(20)</v>
          </cell>
          <cell r="C21" t="str">
            <v>Yes</v>
          </cell>
          <cell r="E21">
            <v>7</v>
          </cell>
          <cell r="F21" t="str">
            <v>Indicator to determine whether the transaction is a sale or a purchase</v>
          </cell>
          <cell r="G21" t="str">
            <v>YES</v>
          </cell>
          <cell r="H21" t="str">
            <v>YES</v>
          </cell>
          <cell r="I21" t="str">
            <v>YES</v>
          </cell>
        </row>
        <row r="22">
          <cell r="A22" t="str">
            <v>CASH_ACTIVITY_CATEGORY</v>
          </cell>
          <cell r="B22" t="str">
            <v>VARCHAR2(20)</v>
          </cell>
          <cell r="C22" t="str">
            <v>Yes</v>
          </cell>
          <cell r="E22">
            <v>12</v>
          </cell>
          <cell r="F22" t="str">
            <v>Represents the specific Category of activity such as a 'Purchase' or 'Income'. Further refinement of the categories are captured under Activity Type.This field will be populated only if the transaction has a Cash leg.</v>
          </cell>
          <cell r="G22" t="str">
            <v>YES</v>
          </cell>
          <cell r="H22" t="str">
            <v>YES</v>
          </cell>
          <cell r="I22" t="str">
            <v>YES</v>
          </cell>
        </row>
        <row r="23">
          <cell r="A23" t="str">
            <v>CASH_ACTIVITY_CLASSIFICATION_ID</v>
          </cell>
          <cell r="B23" t="str">
            <v>NUMBER(38)</v>
          </cell>
          <cell r="C23" t="str">
            <v>Yes</v>
          </cell>
          <cell r="E23">
            <v>26</v>
          </cell>
          <cell r="F23" t="str">
            <v>CDS assigned identifier for the activity class.This field will be populated only if the transaction has a Cash leg.</v>
          </cell>
          <cell r="G23" t="str">
            <v>YES</v>
          </cell>
          <cell r="H23" t="str">
            <v>YES</v>
          </cell>
          <cell r="I23" t="str">
            <v>YES</v>
          </cell>
        </row>
        <row r="24">
          <cell r="A24" t="str">
            <v>CASH_ACTIVITY_TYPE</v>
          </cell>
          <cell r="B24" t="str">
            <v>VARCHAR2(100)</v>
          </cell>
          <cell r="C24" t="str">
            <v>Yes</v>
          </cell>
          <cell r="E24">
            <v>13</v>
          </cell>
          <cell r="F24" t="str">
            <v>Represents a more refined view of the Activity Category.This field will be populated only if the transaction has a Cash leg.</v>
          </cell>
          <cell r="G24" t="str">
            <v>YES</v>
          </cell>
          <cell r="H24" t="str">
            <v>YES</v>
          </cell>
          <cell r="I24" t="str">
            <v>YES</v>
          </cell>
        </row>
        <row r="25">
          <cell r="A25" t="str">
            <v>CASH_ALTERNATE_DESCRIPTION_TRAILER_2</v>
          </cell>
          <cell r="B25" t="str">
            <v>VARCHAR2(256)</v>
          </cell>
          <cell r="C25" t="str">
            <v>Yes</v>
          </cell>
          <cell r="E25">
            <v>8</v>
          </cell>
          <cell r="F25" t="str">
            <v>Second line of unformatted, monolingual narrative booking information. SIS trailer field 2. This field will be populated only if the transaction has a Cash leg.</v>
          </cell>
          <cell r="G25" t="str">
            <v>YES</v>
          </cell>
          <cell r="H25" t="str">
            <v>YES</v>
          </cell>
          <cell r="I25" t="str">
            <v>YES</v>
          </cell>
        </row>
        <row r="26">
          <cell r="A26" t="str">
            <v>CASH_ASSET_PACKAGE_EXTERNAL_QUALIFIER</v>
          </cell>
          <cell r="B26" t="str">
            <v>VARCHAR2(50)</v>
          </cell>
          <cell r="C26" t="str">
            <v>Yes</v>
          </cell>
          <cell r="E26">
            <v>150</v>
          </cell>
          <cell r="F26" t="str">
            <v>Qualifier code from the external source system._x000D_
This field will be populated only if the transaction has a Cash leg.</v>
          </cell>
          <cell r="G26" t="str">
            <v>YES</v>
          </cell>
          <cell r="H26" t="str">
            <v>YES</v>
          </cell>
          <cell r="I26" t="str">
            <v>YES</v>
          </cell>
        </row>
        <row r="27">
          <cell r="A27" t="str">
            <v>CASH_ASSET_PACKAGE_ID</v>
          </cell>
          <cell r="B27" t="str">
            <v>NUMBER(38)</v>
          </cell>
          <cell r="C27" t="str">
            <v>Yes</v>
          </cell>
          <cell r="E27">
            <v>24</v>
          </cell>
          <cell r="F27" t="str">
            <v>APA_ID from CCAL APA table. It is recorded here for the purpose of maintaining a link with the source.This field will be populated only if the transaction has a Cash leg.</v>
          </cell>
          <cell r="G27" t="str">
            <v>YES</v>
          </cell>
          <cell r="H27" t="str">
            <v>YES</v>
          </cell>
          <cell r="I27" t="str">
            <v>YES</v>
          </cell>
        </row>
        <row r="28">
          <cell r="A28" t="str">
            <v>CASH_ASSET_PACKAGE_TYPE_CODE</v>
          </cell>
          <cell r="B28" t="str">
            <v>VARCHAR2(20)</v>
          </cell>
          <cell r="C28" t="str">
            <v>Yes</v>
          </cell>
          <cell r="E28">
            <v>9</v>
          </cell>
          <cell r="F28" t="str">
            <v>Code associated with Asset Package Type Id.This field will be populated only if the transaction has a Cash leg.</v>
          </cell>
          <cell r="G28" t="str">
            <v>YES</v>
          </cell>
          <cell r="H28" t="str">
            <v>YES</v>
          </cell>
          <cell r="I28" t="str">
            <v>YES</v>
          </cell>
        </row>
        <row r="29">
          <cell r="A29" t="str">
            <v>CASH_ASSET_PACKAGE_TYPE_DESCRIPTION</v>
          </cell>
          <cell r="B29" t="str">
            <v>VARCHAR2(1000)</v>
          </cell>
          <cell r="C29" t="str">
            <v>Yes</v>
          </cell>
          <cell r="E29">
            <v>10</v>
          </cell>
          <cell r="F29" t="str">
            <v>Description associated with Asset Package Type Id.This field will be populated only if the transaction has a Cash leg.</v>
          </cell>
          <cell r="G29" t="str">
            <v>YES</v>
          </cell>
          <cell r="H29" t="str">
            <v>YES</v>
          </cell>
          <cell r="I29" t="str">
            <v>YES</v>
          </cell>
        </row>
        <row r="30">
          <cell r="A30" t="str">
            <v>CASH_ASSET_PACKAGE_TYPE_ID</v>
          </cell>
          <cell r="B30" t="str">
            <v>NUMBER(38)</v>
          </cell>
          <cell r="C30" t="str">
            <v>Yes</v>
          </cell>
          <cell r="E30">
            <v>25</v>
          </cell>
          <cell r="F30" t="str">
            <v>Asset Pacakge type Id from CCAL core.This field will be populated only if the transaction has a Cash leg.</v>
          </cell>
          <cell r="G30" t="str">
            <v>YES</v>
          </cell>
          <cell r="H30" t="str">
            <v>YES</v>
          </cell>
          <cell r="I30" t="str">
            <v>YES</v>
          </cell>
        </row>
        <row r="31">
          <cell r="A31" t="str">
            <v>CASH_ASSET_PACKAGE_TYPE_NAME</v>
          </cell>
          <cell r="B31" t="str">
            <v>VARCHAR2(500)</v>
          </cell>
          <cell r="C31" t="str">
            <v>Yes</v>
          </cell>
          <cell r="E31">
            <v>11</v>
          </cell>
          <cell r="F31" t="str">
            <v>Name of Asset Package Type Id.This field will be populated only if the transaction has a Cash leg.</v>
          </cell>
          <cell r="G31" t="str">
            <v>YES</v>
          </cell>
          <cell r="H31" t="str">
            <v>YES</v>
          </cell>
          <cell r="I31" t="str">
            <v>YES</v>
          </cell>
        </row>
        <row r="32">
          <cell r="A32" t="str">
            <v>CASH_CIRD_PRODUCT_ID</v>
          </cell>
          <cell r="B32" t="str">
            <v>NUMBER(38)</v>
          </cell>
          <cell r="C32" t="str">
            <v>Yes</v>
          </cell>
          <cell r="E32">
            <v>132</v>
          </cell>
          <cell r="F32" t="str">
            <v>CIRD identifier for product.This field will be populated only if the transaction has a Cash leg.</v>
          </cell>
          <cell r="G32" t="str">
            <v>YES</v>
          </cell>
          <cell r="H32" t="str">
            <v>YES</v>
          </cell>
          <cell r="I32" t="str">
            <v>YES</v>
          </cell>
        </row>
        <row r="33">
          <cell r="A33" t="str">
            <v>CASH_DEBIT_CREDIT_CODE</v>
          </cell>
          <cell r="B33" t="str">
            <v>VARCHAR2(1)</v>
          </cell>
          <cell r="C33" t="str">
            <v>Yes</v>
          </cell>
          <cell r="E33">
            <v>14</v>
          </cell>
          <cell r="F33" t="str">
            <v>A code representing Debit / Credit (e.g. D / C). This field will be populated only if the transaction has a Cash leg.</v>
          </cell>
          <cell r="G33" t="str">
            <v>YES</v>
          </cell>
          <cell r="H33" t="str">
            <v>YES</v>
          </cell>
          <cell r="I33" t="str">
            <v>YES</v>
          </cell>
        </row>
        <row r="34">
          <cell r="A34" t="str">
            <v>CASH_DEBIT_CREDIT_NAME</v>
          </cell>
          <cell r="B34" t="str">
            <v>VARCHAR2(200)</v>
          </cell>
          <cell r="C34" t="str">
            <v>Yes</v>
          </cell>
          <cell r="E34">
            <v>127</v>
          </cell>
          <cell r="F34" t="str">
            <v>A Name representing Debit / Credit (e.g. Debit / Credit).This field will be populated only if the transaction has a Cash leg.</v>
          </cell>
          <cell r="G34" t="str">
            <v>YES</v>
          </cell>
          <cell r="H34" t="str">
            <v>YES</v>
          </cell>
          <cell r="I34" t="str">
            <v>YES</v>
          </cell>
        </row>
        <row r="35">
          <cell r="A35" t="str">
            <v>CASH_DESCRIPTION_TRAILER_1</v>
          </cell>
          <cell r="B35" t="str">
            <v>VARCHAR2(256)</v>
          </cell>
          <cell r="C35" t="str">
            <v>Yes</v>
          </cell>
          <cell r="E35">
            <v>15</v>
          </cell>
          <cell r="F35" t="str">
            <v>First line of unformatted, monolingual narrative booking information. SIS Trailer field 1.This field will be populated only if the transaction has a Cash leg.</v>
          </cell>
          <cell r="G35" t="str">
            <v>YES</v>
          </cell>
          <cell r="H35" t="str">
            <v>YES</v>
          </cell>
          <cell r="I35" t="str">
            <v>YES</v>
          </cell>
        </row>
        <row r="36">
          <cell r="A36" t="str">
            <v>CASH_FLOW_GENERATION_FLAG</v>
          </cell>
          <cell r="B36" t="str">
            <v>VARCHAR2(2)</v>
          </cell>
          <cell r="C36" t="str">
            <v>Yes</v>
          </cell>
          <cell r="E36">
            <v>21</v>
          </cell>
          <cell r="F36" t="str">
            <v>Cash Flow Generation Flag</v>
          </cell>
          <cell r="G36" t="str">
            <v>YES</v>
          </cell>
          <cell r="H36" t="str">
            <v>YES</v>
          </cell>
          <cell r="I36" t="str">
            <v>YES</v>
          </cell>
        </row>
        <row r="37">
          <cell r="A37" t="str">
            <v>CASH_POSITION_TYPE_CODE</v>
          </cell>
          <cell r="B37" t="str">
            <v>VARCHAR2(10)</v>
          </cell>
          <cell r="C37" t="str">
            <v>Yes</v>
          </cell>
          <cell r="E37">
            <v>112</v>
          </cell>
          <cell r="F37" t="str">
            <v>Coded name for the Cash Postion Type e.g., rjtgs2i, rtc</v>
          </cell>
          <cell r="G37" t="str">
            <v>YES</v>
          </cell>
          <cell r="H37" t="str">
            <v>YES</v>
          </cell>
          <cell r="I37" t="str">
            <v>YES</v>
          </cell>
        </row>
        <row r="38">
          <cell r="A38" t="str">
            <v>CASH_POSITION_TYPE_DIMENSION_ID</v>
          </cell>
          <cell r="B38" t="str">
            <v>NUMBER(38)</v>
          </cell>
          <cell r="C38" t="str">
            <v>No</v>
          </cell>
          <cell r="E38">
            <v>17</v>
          </cell>
          <cell r="F38" t="str">
            <v>Surrogate Key for Cash Position Type</v>
          </cell>
          <cell r="G38" t="str">
            <v>YES</v>
          </cell>
          <cell r="H38" t="str">
            <v>YES</v>
          </cell>
          <cell r="I38" t="str">
            <v>YES</v>
          </cell>
        </row>
        <row r="39">
          <cell r="A39" t="str">
            <v>CASH_POSITION_TYPE_ID</v>
          </cell>
          <cell r="B39" t="str">
            <v>NUMBER(38)</v>
          </cell>
          <cell r="C39" t="str">
            <v>Yes</v>
          </cell>
          <cell r="E39">
            <v>151</v>
          </cell>
          <cell r="F39" t="str">
            <v>An Id representing Cash position type</v>
          </cell>
          <cell r="G39" t="str">
            <v>YES</v>
          </cell>
          <cell r="H39" t="str">
            <v>YES</v>
          </cell>
          <cell r="I39" t="str">
            <v>YES</v>
          </cell>
        </row>
        <row r="40">
          <cell r="A40" t="str">
            <v>CASH_POSITION_TYPE_NAME</v>
          </cell>
          <cell r="B40" t="str">
            <v>VARCHAR2(75)</v>
          </cell>
          <cell r="C40" t="str">
            <v>Yes</v>
          </cell>
          <cell r="E40">
            <v>113</v>
          </cell>
          <cell r="F40" t="str">
            <v>Identifying how the cash position is treated at the end of the day for purposes of cash segregation and sweeps. e.g., Goldman Sachs Federal Fund - Income, Real Time Cash</v>
          </cell>
          <cell r="G40" t="str">
            <v>YES</v>
          </cell>
          <cell r="H40" t="str">
            <v>YES</v>
          </cell>
          <cell r="I40" t="str">
            <v>YES</v>
          </cell>
        </row>
        <row r="41">
          <cell r="A41" t="str">
            <v>CASH_PRODUCT_ID</v>
          </cell>
          <cell r="B41" t="str">
            <v>NUMBER(38)</v>
          </cell>
          <cell r="C41" t="str">
            <v>Yes</v>
          </cell>
          <cell r="E41">
            <v>16</v>
          </cell>
          <cell r="F41" t="str">
            <v>Product Identifier from Cash Asset package</v>
          </cell>
          <cell r="G41" t="str">
            <v>YES</v>
          </cell>
          <cell r="H41" t="str">
            <v>YES</v>
          </cell>
          <cell r="I41" t="str">
            <v>YES</v>
          </cell>
        </row>
        <row r="42">
          <cell r="A42" t="str">
            <v>CASH_SIMPLIFIED_DISPLAY_ACTIVITY_CATEGORY</v>
          </cell>
          <cell r="B42" t="str">
            <v>VARCHAR2(25)</v>
          </cell>
          <cell r="C42" t="str">
            <v>Yes</v>
          </cell>
          <cell r="E42">
            <v>152</v>
          </cell>
          <cell r="F42" t="str">
            <v>Simplified Display activity category shown to advisor in applications like client center.This field will be populated only if the transaction has a Cash leg.</v>
          </cell>
          <cell r="G42" t="str">
            <v>YES</v>
          </cell>
          <cell r="H42" t="str">
            <v>YES</v>
          </cell>
          <cell r="I42" t="str">
            <v>YES</v>
          </cell>
        </row>
        <row r="43">
          <cell r="A43" t="str">
            <v>CASH_SIMPLIFIED_DISPLAY_ACTIVITY_TYPE</v>
          </cell>
          <cell r="B43" t="str">
            <v>VARCHAR2(100)</v>
          </cell>
          <cell r="C43" t="str">
            <v>Yes</v>
          </cell>
          <cell r="E43">
            <v>153</v>
          </cell>
          <cell r="F43" t="str">
            <v>Simplified Display activity type shown to advisor in applications like client center.This field will be populated only if the transaction has a Cash leg.</v>
          </cell>
          <cell r="G43" t="str">
            <v>YES</v>
          </cell>
          <cell r="H43" t="str">
            <v>YES</v>
          </cell>
          <cell r="I43" t="str">
            <v>YES</v>
          </cell>
        </row>
        <row r="44">
          <cell r="A44" t="str">
            <v>CASH_SOURCE_SEQUENCE_NUMBER</v>
          </cell>
          <cell r="B44" t="str">
            <v>NUMBER</v>
          </cell>
          <cell r="C44" t="str">
            <v>Yes</v>
          </cell>
          <cell r="E44">
            <v>19</v>
          </cell>
          <cell r="F44" t="str">
            <v>Sequence Number assigned by source system.This field will be populated only if the transaction has a Cash leg.</v>
          </cell>
          <cell r="G44" t="str">
            <v>YES</v>
          </cell>
          <cell r="H44" t="str">
            <v>YES</v>
          </cell>
          <cell r="I44" t="str">
            <v>YES</v>
          </cell>
        </row>
        <row r="45">
          <cell r="A45" t="str">
            <v>CASH_SYSTEM_BASE_CURRENCY_AMOUNT</v>
          </cell>
          <cell r="B45" t="str">
            <v>NUMBER</v>
          </cell>
          <cell r="C45" t="str">
            <v>Yes</v>
          </cell>
          <cell r="E45">
            <v>18</v>
          </cell>
          <cell r="F45" t="str">
            <v>Transaction Amount expressed in System Base Currency.This field will be populated only if the transaction has a Cash leg.</v>
          </cell>
          <cell r="G45" t="str">
            <v>YES</v>
          </cell>
          <cell r="H45" t="str">
            <v>YES</v>
          </cell>
          <cell r="I45" t="str">
            <v>YES</v>
          </cell>
        </row>
        <row r="46">
          <cell r="A46" t="str">
            <v>CASH_TRANSACTION_AMOUNT</v>
          </cell>
          <cell r="B46" t="str">
            <v>NUMBER(19,4)</v>
          </cell>
          <cell r="C46" t="str">
            <v>Yes</v>
          </cell>
          <cell r="E46">
            <v>20</v>
          </cell>
          <cell r="F46" t="str">
            <v>Transaction amount applicable to the Asset package in transaction currency.This field will be populated only if the transaction has a Cash leg.</v>
          </cell>
          <cell r="G46" t="str">
            <v>YES</v>
          </cell>
          <cell r="H46" t="str">
            <v>YES</v>
          </cell>
          <cell r="I46" t="str">
            <v>YES</v>
          </cell>
        </row>
        <row r="47">
          <cell r="A47" t="str">
            <v>CLIENT_FRIENDLY_DESCRIPTION</v>
          </cell>
          <cell r="B47" t="str">
            <v>VARCHAR2(256)</v>
          </cell>
          <cell r="C47" t="str">
            <v>Yes</v>
          </cell>
          <cell r="E47">
            <v>139</v>
          </cell>
          <cell r="F47" t="str">
            <v>Client friendly description of the Asset package.</v>
          </cell>
          <cell r="G47" t="str">
            <v>YES</v>
          </cell>
          <cell r="H47" t="str">
            <v>YES</v>
          </cell>
          <cell r="I47" t="str">
            <v>YES</v>
          </cell>
        </row>
        <row r="48">
          <cell r="A48" t="str">
            <v>CREATE_DATETIME</v>
          </cell>
          <cell r="B48" t="str">
            <v>DATE</v>
          </cell>
          <cell r="C48" t="str">
            <v>No</v>
          </cell>
          <cell r="E48">
            <v>22</v>
          </cell>
          <cell r="F48" t="str">
            <v>The exact date when a record was first created.</v>
          </cell>
          <cell r="G48" t="str">
            <v>YES</v>
          </cell>
          <cell r="H48" t="str">
            <v>YES</v>
          </cell>
          <cell r="I48" t="str">
            <v>YES</v>
          </cell>
        </row>
        <row r="49">
          <cell r="A49" t="str">
            <v>CREATE_USER_NAME</v>
          </cell>
          <cell r="B49" t="str">
            <v>VARCHAR2(255)</v>
          </cell>
          <cell r="C49" t="str">
            <v>No</v>
          </cell>
          <cell r="E49">
            <v>23</v>
          </cell>
          <cell r="F49" t="str">
            <v>The name that represents the user who created an occurrence of a record.</v>
          </cell>
          <cell r="G49" t="str">
            <v>YES</v>
          </cell>
          <cell r="H49" t="str">
            <v>YES</v>
          </cell>
          <cell r="I49" t="str">
            <v>YES</v>
          </cell>
        </row>
        <row r="50">
          <cell r="A50" t="str">
            <v>CURRENCY_CODE</v>
          </cell>
          <cell r="B50" t="str">
            <v>VARCHAR2(3)</v>
          </cell>
          <cell r="C50" t="str">
            <v>Yes</v>
          </cell>
          <cell r="E50">
            <v>101</v>
          </cell>
          <cell r="F50" t="str">
            <v>ISO Currency Code for transaction amount</v>
          </cell>
          <cell r="G50" t="str">
            <v>YES</v>
          </cell>
          <cell r="H50" t="str">
            <v>YES</v>
          </cell>
          <cell r="I50" t="str">
            <v>YES</v>
          </cell>
        </row>
        <row r="51">
          <cell r="A51" t="str">
            <v>CURRENCY_DIMENSION_ID</v>
          </cell>
          <cell r="B51" t="str">
            <v>NUMBER(38)</v>
          </cell>
          <cell r="C51" t="str">
            <v>Yes</v>
          </cell>
          <cell r="E51">
            <v>100</v>
          </cell>
          <cell r="F51" t="str">
            <v>Surrogate key for Currency dimension based on Currency Code.</v>
          </cell>
          <cell r="G51" t="str">
            <v>YES</v>
          </cell>
          <cell r="H51" t="str">
            <v>YES</v>
          </cell>
          <cell r="I51" t="str">
            <v>YES</v>
          </cell>
        </row>
        <row r="52">
          <cell r="A52" t="str">
            <v>DEPARTMENT_OF_LABOR_INDICATOR_CODE</v>
          </cell>
          <cell r="B52" t="str">
            <v>VARCHAR2(20)</v>
          </cell>
          <cell r="C52" t="str">
            <v>Yes</v>
          </cell>
          <cell r="E52">
            <v>105</v>
          </cell>
          <cell r="F52" t="str">
            <v>A code that identifies whether or not an account is deemed eligible in accordance with the DOL fiduciary rule.</v>
          </cell>
          <cell r="G52" t="str">
            <v>YES</v>
          </cell>
          <cell r="H52" t="str">
            <v>YES</v>
          </cell>
          <cell r="I52" t="str">
            <v>YES</v>
          </cell>
        </row>
        <row r="53">
          <cell r="A53" t="str">
            <v>DEPARTMENT_OF_LABOR_INDICATOR_ID</v>
          </cell>
          <cell r="B53" t="str">
            <v>NUMBER(38)</v>
          </cell>
          <cell r="C53" t="str">
            <v>Yes</v>
          </cell>
          <cell r="E53">
            <v>104</v>
          </cell>
          <cell r="F53" t="str">
            <v>Identifier of whether or not an account is deemed eligible in accordance with the DOL fiduciary rule.</v>
          </cell>
          <cell r="G53" t="str">
            <v>YES</v>
          </cell>
          <cell r="H53" t="str">
            <v>YES</v>
          </cell>
          <cell r="I53" t="str">
            <v>YES</v>
          </cell>
        </row>
        <row r="54">
          <cell r="A54" t="str">
            <v>DEPARTMENT_OF_LABOR_INDICATOR_NAME</v>
          </cell>
          <cell r="B54" t="str">
            <v>VARCHAR2(200)</v>
          </cell>
          <cell r="C54" t="str">
            <v>Yes</v>
          </cell>
          <cell r="E54">
            <v>106</v>
          </cell>
          <cell r="F54" t="str">
            <v>Name that identifies whether or not an account is deemed eligible in accordance with the DOL fiduciary rule.</v>
          </cell>
          <cell r="G54" t="str">
            <v>YES</v>
          </cell>
          <cell r="H54" t="str">
            <v>YES</v>
          </cell>
          <cell r="I54" t="str">
            <v>YES</v>
          </cell>
        </row>
        <row r="55">
          <cell r="A55" t="str">
            <v>DIVIDEND_RECORD_DATE</v>
          </cell>
          <cell r="B55" t="str">
            <v>DATE</v>
          </cell>
          <cell r="C55" t="str">
            <v>Yes</v>
          </cell>
          <cell r="E55">
            <v>154</v>
          </cell>
          <cell r="F55" t="str">
            <v>The cut-off date that an organization is expected to use to determine which shareholders are eligible to receive a dividend or income distribution.</v>
          </cell>
          <cell r="G55" t="str">
            <v>YES</v>
          </cell>
          <cell r="H55" t="str">
            <v>YES</v>
          </cell>
          <cell r="I55" t="str">
            <v>YES</v>
          </cell>
        </row>
        <row r="56">
          <cell r="A56" t="str">
            <v>EXCHANGE_CODE</v>
          </cell>
          <cell r="B56" t="str">
            <v>VARCHAR2(30)</v>
          </cell>
          <cell r="C56" t="str">
            <v>Yes</v>
          </cell>
          <cell r="E56">
            <v>108</v>
          </cell>
          <cell r="F56" t="str">
            <v>Code to indicate an exchange where a given trade was executed.  CIRD uses the MIC code where available/provided.</v>
          </cell>
          <cell r="G56" t="str">
            <v>YES</v>
          </cell>
          <cell r="H56" t="str">
            <v>YES</v>
          </cell>
          <cell r="I56" t="str">
            <v>YES</v>
          </cell>
        </row>
        <row r="57">
          <cell r="A57" t="str">
            <v>EXCHANGE_DIMENSION_ID</v>
          </cell>
          <cell r="B57" t="str">
            <v>NUMBER(38)</v>
          </cell>
          <cell r="C57" t="str">
            <v>No</v>
          </cell>
          <cell r="E57">
            <v>36</v>
          </cell>
          <cell r="F57" t="str">
            <v>Surrogate key for Exchange Dim - The exchange that the transaction was conducted on</v>
          </cell>
          <cell r="G57" t="str">
            <v>YES</v>
          </cell>
          <cell r="H57" t="str">
            <v>YES</v>
          </cell>
          <cell r="I57" t="str">
            <v>YES</v>
          </cell>
        </row>
        <row r="58">
          <cell r="A58" t="str">
            <v>EXCHANGE_NAME</v>
          </cell>
          <cell r="B58" t="str">
            <v>VARCHAR2(500)</v>
          </cell>
          <cell r="C58" t="str">
            <v>Yes</v>
          </cell>
          <cell r="E58">
            <v>109</v>
          </cell>
          <cell r="F58" t="str">
            <v>Name that represents an exchange where a given trade was executed.  CIRD uses the MIC code where available/provided.</v>
          </cell>
          <cell r="G58" t="str">
            <v>YES</v>
          </cell>
          <cell r="H58" t="str">
            <v>YES</v>
          </cell>
          <cell r="I58" t="str">
            <v>YES</v>
          </cell>
        </row>
        <row r="59">
          <cell r="A59" t="str">
            <v>EXECUTION_DATE</v>
          </cell>
          <cell r="B59" t="str">
            <v>TIMESTAMP(6)</v>
          </cell>
          <cell r="C59" t="str">
            <v>Yes</v>
          </cell>
          <cell r="E59">
            <v>27</v>
          </cell>
          <cell r="F59" t="str">
            <v>System generated date time stamp when the order manager determined the information as binding and liable against 3rd parties. That is when an order is executed in the marketplace. This field holds timestamp at microsec level.</v>
          </cell>
          <cell r="G59" t="str">
            <v>YES</v>
          </cell>
          <cell r="H59" t="str">
            <v>YES</v>
          </cell>
          <cell r="I59" t="str">
            <v>YES</v>
          </cell>
        </row>
        <row r="60">
          <cell r="A60" t="str">
            <v>EXECUTION_SUBTYPE_CODE</v>
          </cell>
          <cell r="B60" t="str">
            <v>VARCHAR2(20)</v>
          </cell>
          <cell r="C60" t="str">
            <v>Yes</v>
          </cell>
          <cell r="E60">
            <v>28</v>
          </cell>
          <cell r="F60" t="str">
            <v>A code for the execution sub-types allow the refinement of execution types for an order manager���s internal diversification only such as strategy level type, e.g.. Bullish Vertical spread, stop limit order.</v>
          </cell>
          <cell r="G60" t="str">
            <v>YES</v>
          </cell>
          <cell r="H60" t="str">
            <v>YES</v>
          </cell>
          <cell r="I60" t="str">
            <v>YES</v>
          </cell>
        </row>
        <row r="61">
          <cell r="A61" t="str">
            <v>EXECUTION_SUBTYPE_DESCRIPTION</v>
          </cell>
          <cell r="B61" t="str">
            <v>VARCHAR2(1000)</v>
          </cell>
          <cell r="C61" t="str">
            <v>Yes</v>
          </cell>
          <cell r="E61">
            <v>29</v>
          </cell>
          <cell r="F61" t="str">
            <v>A description for the execution sub-types allow the refinement of execution types for an order manager���s internal diversification only such as strategy level type, e.g.. Bullish Vertical spread, stop limit order.</v>
          </cell>
          <cell r="G61" t="str">
            <v>YES</v>
          </cell>
          <cell r="H61" t="str">
            <v>YES</v>
          </cell>
          <cell r="I61" t="str">
            <v>YES</v>
          </cell>
        </row>
        <row r="62">
          <cell r="A62" t="str">
            <v>EXECUTION_SUBTYPE_ID</v>
          </cell>
          <cell r="B62" t="str">
            <v>NUMBER(38)</v>
          </cell>
          <cell r="C62" t="str">
            <v>Yes</v>
          </cell>
          <cell r="E62">
            <v>30</v>
          </cell>
          <cell r="F62" t="e">
            <v>#VALUE!</v>
          </cell>
          <cell r="G62" t="str">
            <v>YES</v>
          </cell>
          <cell r="H62" t="str">
            <v>YES</v>
          </cell>
          <cell r="I62" t="str">
            <v>YES</v>
          </cell>
        </row>
        <row r="63">
          <cell r="A63" t="str">
            <v>EXECUTION_SUBTYPE_NAME</v>
          </cell>
          <cell r="B63" t="str">
            <v>VARCHAR2(200)</v>
          </cell>
          <cell r="C63" t="str">
            <v>Yes</v>
          </cell>
          <cell r="E63">
            <v>31</v>
          </cell>
          <cell r="F63" t="str">
            <v>Name for the execution sub-types allow the refinement of execution types for an order manager���s internal diversification only such as strategy level type, e.g.. Bullish Vertical spread, stop limit order.</v>
          </cell>
          <cell r="G63" t="str">
            <v>YES</v>
          </cell>
          <cell r="H63" t="str">
            <v>YES</v>
          </cell>
          <cell r="I63" t="str">
            <v>YES</v>
          </cell>
        </row>
        <row r="64">
          <cell r="A64" t="str">
            <v>EXECUTION_TYPE_CODE</v>
          </cell>
          <cell r="B64" t="str">
            <v>VARCHAR2(20)</v>
          </cell>
          <cell r="C64" t="str">
            <v>Yes</v>
          </cell>
          <cell r="E64">
            <v>32</v>
          </cell>
          <cell r="F64" t="e">
            <v>#VALUE!</v>
          </cell>
          <cell r="G64" t="str">
            <v>YES</v>
          </cell>
          <cell r="H64" t="str">
            <v>YES</v>
          </cell>
          <cell r="I64" t="str">
            <v>YES</v>
          </cell>
        </row>
        <row r="65">
          <cell r="A65" t="str">
            <v>EXECUTION_TYPE_DESCRIPTION</v>
          </cell>
          <cell r="B65" t="str">
            <v>VARCHAR2(1000)</v>
          </cell>
          <cell r="C65" t="str">
            <v>Yes</v>
          </cell>
          <cell r="E65">
            <v>33</v>
          </cell>
          <cell r="F65" t="e">
            <v>#VALUE!</v>
          </cell>
          <cell r="G65" t="str">
            <v>YES</v>
          </cell>
          <cell r="H65" t="str">
            <v>YES</v>
          </cell>
          <cell r="I65" t="str">
            <v>YES</v>
          </cell>
        </row>
        <row r="66">
          <cell r="A66" t="str">
            <v>EXECUTION_TYPE_ID</v>
          </cell>
          <cell r="B66" t="str">
            <v>NUMBER(38)</v>
          </cell>
          <cell r="C66" t="str">
            <v>Yes</v>
          </cell>
          <cell r="E66">
            <v>34</v>
          </cell>
          <cell r="F66" t="e">
            <v>#VALUE!</v>
          </cell>
          <cell r="G66" t="str">
            <v>YES</v>
          </cell>
          <cell r="H66" t="str">
            <v>YES</v>
          </cell>
          <cell r="I66" t="str">
            <v>YES</v>
          </cell>
        </row>
        <row r="67">
          <cell r="A67" t="str">
            <v>EXECUTION_TYPE_NAME</v>
          </cell>
          <cell r="B67" t="str">
            <v>VARCHAR2(200)</v>
          </cell>
          <cell r="C67" t="str">
            <v>Yes</v>
          </cell>
          <cell r="E67">
            <v>35</v>
          </cell>
          <cell r="F67" t="e">
            <v>#VALUE!</v>
          </cell>
          <cell r="G67" t="str">
            <v>YES</v>
          </cell>
          <cell r="H67" t="str">
            <v>YES</v>
          </cell>
          <cell r="I67" t="str">
            <v>YES</v>
          </cell>
        </row>
        <row r="68">
          <cell r="A68" t="str">
            <v>FA_NUMBER</v>
          </cell>
          <cell r="B68" t="str">
            <v>VARCHAR2(20)</v>
          </cell>
          <cell r="C68" t="str">
            <v>Yes</v>
          </cell>
          <cell r="E68">
            <v>95</v>
          </cell>
          <cell r="F68" t="str">
            <v>A 4 character value assigned to one or more FAs for purposes of paying commissions. Accounts are assigned one FA Number. The FA Number is used to relate Advisors to client accounts.</v>
          </cell>
          <cell r="G68" t="str">
            <v>YES</v>
          </cell>
          <cell r="H68" t="str">
            <v>YES</v>
          </cell>
          <cell r="I68" t="str">
            <v>YES</v>
          </cell>
        </row>
        <row r="69">
          <cell r="A69" t="str">
            <v>IMPACT_SOURCE_ACTION_CODE</v>
          </cell>
          <cell r="B69" t="str">
            <v>VARCHAR2(1)</v>
          </cell>
          <cell r="C69" t="str">
            <v>Yes</v>
          </cell>
          <cell r="E69">
            <v>156</v>
          </cell>
          <cell r="F69" t="str">
            <v>Code representing Action Type in IMPACT source system</v>
          </cell>
          <cell r="G69" t="str">
            <v>YES</v>
          </cell>
          <cell r="H69" t="str">
            <v>YES</v>
          </cell>
          <cell r="I69" t="str">
            <v>YES</v>
          </cell>
        </row>
        <row r="70">
          <cell r="A70" t="str">
            <v>IMPACT_SOURCE_ACTION_NAME</v>
          </cell>
          <cell r="B70" t="str">
            <v>VARCHAR2(100)</v>
          </cell>
          <cell r="C70" t="str">
            <v>Yes</v>
          </cell>
          <cell r="E70">
            <v>157</v>
          </cell>
          <cell r="F70" t="str">
            <v>Name representing Action Type in IMPACT source system</v>
          </cell>
          <cell r="G70" t="str">
            <v>YES</v>
          </cell>
          <cell r="H70" t="str">
            <v>YES</v>
          </cell>
          <cell r="I70" t="str">
            <v>YES</v>
          </cell>
        </row>
        <row r="71">
          <cell r="A71" t="str">
            <v>LAST_UPDATE_DATETIME</v>
          </cell>
          <cell r="B71" t="str">
            <v>DATE</v>
          </cell>
          <cell r="C71" t="str">
            <v>Yes</v>
          </cell>
          <cell r="E71">
            <v>158</v>
          </cell>
          <cell r="F71" t="str">
            <v>The exact date and time when an occurrence is inserted, updated, or deleted a row</v>
          </cell>
          <cell r="G71" t="str">
            <v>YES</v>
          </cell>
          <cell r="H71" t="str">
            <v>YES</v>
          </cell>
          <cell r="I71" t="str">
            <v>YES</v>
          </cell>
        </row>
        <row r="72">
          <cell r="A72" t="str">
            <v>LAST_UPDATE_USER_NAME</v>
          </cell>
          <cell r="B72" t="str">
            <v>VARCHAR2(256)</v>
          </cell>
          <cell r="C72" t="str">
            <v>Yes</v>
          </cell>
          <cell r="E72">
            <v>159</v>
          </cell>
          <cell r="F72" t="str">
            <v>The name that represents the user or application who inserted, updated, or deleted each occurrence of row</v>
          </cell>
          <cell r="G72" t="str">
            <v>YES</v>
          </cell>
          <cell r="H72" t="str">
            <v>YES</v>
          </cell>
          <cell r="I72" t="str">
            <v>YES</v>
          </cell>
        </row>
        <row r="73">
          <cell r="A73" t="str">
            <v>LEGACY_CANCELLATION_COMPLIANCE_REASON_TYPE_CODE</v>
          </cell>
          <cell r="B73" t="str">
            <v>VARCHAR2(20)</v>
          </cell>
          <cell r="C73" t="str">
            <v>Yes</v>
          </cell>
          <cell r="E73">
            <v>114</v>
          </cell>
          <cell r="F73" t="str">
            <v>A code that indicates the Legacy Cancellation Compliance Reason Type.</v>
          </cell>
          <cell r="G73" t="str">
            <v>YES</v>
          </cell>
          <cell r="H73" t="str">
            <v>YES</v>
          </cell>
          <cell r="I73" t="str">
            <v>YES</v>
          </cell>
        </row>
        <row r="74">
          <cell r="A74" t="str">
            <v>LEGACY_CANCELLATION_COMPLIANCE_REASON_TYPE_DIMENSION_ID</v>
          </cell>
          <cell r="B74" t="str">
            <v>NUMBER(38)</v>
          </cell>
          <cell r="C74" t="str">
            <v>No</v>
          </cell>
          <cell r="E74">
            <v>37</v>
          </cell>
          <cell r="F74" t="str">
            <v>Surrogate key for Legacy Cancellation Compliance Reason Type dimension.</v>
          </cell>
          <cell r="G74" t="str">
            <v>YES</v>
          </cell>
          <cell r="H74" t="str">
            <v>YES</v>
          </cell>
          <cell r="I74" t="str">
            <v>YES</v>
          </cell>
        </row>
        <row r="75">
          <cell r="A75" t="str">
            <v>LEGACY_CANCELLATION_COMPLIANCE_REASON_TYPE_ID</v>
          </cell>
          <cell r="B75" t="str">
            <v>NUMBER(38)</v>
          </cell>
          <cell r="C75" t="str">
            <v>Yes</v>
          </cell>
          <cell r="E75">
            <v>160</v>
          </cell>
          <cell r="F75" t="str">
            <v>Identifier for the Legacy Cancellation Compliance Reason Type.</v>
          </cell>
          <cell r="G75" t="str">
            <v>YES</v>
          </cell>
          <cell r="H75" t="str">
            <v>YES</v>
          </cell>
          <cell r="I75" t="str">
            <v>YES</v>
          </cell>
        </row>
        <row r="76">
          <cell r="A76" t="str">
            <v>LEGACY_CANCELLATION_COMPLIANCE_REASON_TYPE_NAME</v>
          </cell>
          <cell r="B76" t="str">
            <v>VARCHAR2(200)</v>
          </cell>
          <cell r="C76" t="str">
            <v>Yes</v>
          </cell>
          <cell r="E76">
            <v>115</v>
          </cell>
          <cell r="F76" t="str">
            <v>Name of the Legacy Cancellation Compliance Reason Type.This will provide specific reason as to why a trade was cancelled, such as due to a price correction.</v>
          </cell>
          <cell r="G76" t="str">
            <v>YES</v>
          </cell>
          <cell r="H76" t="str">
            <v>YES</v>
          </cell>
          <cell r="I76" t="str">
            <v>YES</v>
          </cell>
        </row>
        <row r="77">
          <cell r="A77" t="str">
            <v>LEGACY_CANCELLATION_COMPLIANCE_SOURCE_TYPE_CODE</v>
          </cell>
          <cell r="B77" t="str">
            <v>VARCHAR2(20)</v>
          </cell>
          <cell r="C77" t="str">
            <v>Yes</v>
          </cell>
          <cell r="E77">
            <v>116</v>
          </cell>
          <cell r="F77" t="str">
            <v>A code that indicates the Legacy Cancellation Compliance Source Type.</v>
          </cell>
          <cell r="G77" t="str">
            <v>YES</v>
          </cell>
          <cell r="H77" t="str">
            <v>YES</v>
          </cell>
          <cell r="I77" t="str">
            <v>YES</v>
          </cell>
        </row>
        <row r="78">
          <cell r="A78" t="str">
            <v>LEGACY_CANCELLATION_COMPLIANCE_SOURCE_TYPE_DIMENSION_ID</v>
          </cell>
          <cell r="B78" t="str">
            <v>NUMBER(38)</v>
          </cell>
          <cell r="C78" t="str">
            <v>No</v>
          </cell>
          <cell r="E78">
            <v>38</v>
          </cell>
          <cell r="F78" t="str">
            <v>Surrogate key for Legacy Cancellation Compliance Source Type Dimension.</v>
          </cell>
          <cell r="G78" t="str">
            <v>YES</v>
          </cell>
          <cell r="H78" t="str">
            <v>YES</v>
          </cell>
          <cell r="I78" t="str">
            <v>YES</v>
          </cell>
        </row>
        <row r="79">
          <cell r="A79" t="str">
            <v>LEGACY_CANCELLATION_COMPLIANCE_SOURCE_TYPE_ID</v>
          </cell>
          <cell r="B79" t="str">
            <v>NUMBER(38)</v>
          </cell>
          <cell r="C79" t="str">
            <v>Yes</v>
          </cell>
          <cell r="E79">
            <v>161</v>
          </cell>
          <cell r="F79" t="str">
            <v>Identifier for the Legacy Cancellation Compliance Source Type.</v>
          </cell>
          <cell r="G79" t="str">
            <v>YES</v>
          </cell>
          <cell r="H79" t="str">
            <v>YES</v>
          </cell>
          <cell r="I79" t="str">
            <v>YES</v>
          </cell>
        </row>
        <row r="80">
          <cell r="A80" t="str">
            <v>LEGACY_CANCELLATION_COMPLIANCE_SOURCE_TYPE_NAME</v>
          </cell>
          <cell r="B80" t="str">
            <v>VARCHAR2(200)</v>
          </cell>
          <cell r="C80" t="str">
            <v>Yes</v>
          </cell>
          <cell r="E80">
            <v>117</v>
          </cell>
          <cell r="F80" t="str">
            <v>Name of the Legacy Cancellation Compliance Source Type.This will provide which internal or external source executed the trade cancellation, such as Purchase &amp; Sales department.</v>
          </cell>
          <cell r="G80" t="str">
            <v>YES</v>
          </cell>
          <cell r="H80" t="str">
            <v>YES</v>
          </cell>
          <cell r="I80" t="str">
            <v>YES</v>
          </cell>
        </row>
        <row r="81">
          <cell r="A81" t="str">
            <v>LEGACY_MARKET_TYPE_CODE</v>
          </cell>
          <cell r="B81" t="str">
            <v>VARCHAR2(20)</v>
          </cell>
          <cell r="C81" t="str">
            <v>Yes</v>
          </cell>
          <cell r="E81">
            <v>118</v>
          </cell>
          <cell r="F81" t="str">
            <v>Code to indicate what type of market the trade was executed in. Eg. NYSE, OTC, CBOE, etc</v>
          </cell>
          <cell r="G81" t="str">
            <v>YES</v>
          </cell>
          <cell r="H81" t="str">
            <v>YES</v>
          </cell>
          <cell r="I81" t="str">
            <v>YES</v>
          </cell>
        </row>
        <row r="82">
          <cell r="A82" t="str">
            <v>LEGACY_MARKET_TYPE_DIMENSION_ID</v>
          </cell>
          <cell r="B82" t="str">
            <v>NUMBER(38)</v>
          </cell>
          <cell r="C82" t="str">
            <v>No</v>
          </cell>
          <cell r="E82">
            <v>39</v>
          </cell>
          <cell r="F82" t="str">
            <v>Surrogate key for Legacy Market Type Dimension.</v>
          </cell>
          <cell r="G82" t="str">
            <v>YES</v>
          </cell>
          <cell r="H82" t="str">
            <v>YES</v>
          </cell>
          <cell r="I82" t="str">
            <v>YES</v>
          </cell>
        </row>
        <row r="83">
          <cell r="A83" t="str">
            <v>LEGACY_MARKET_TYPE_ID</v>
          </cell>
          <cell r="B83" t="str">
            <v>NUMBER(38)</v>
          </cell>
          <cell r="C83" t="str">
            <v>Yes</v>
          </cell>
          <cell r="E83">
            <v>162</v>
          </cell>
          <cell r="F83" t="str">
            <v>Identifier that represents what type of market the trade was executed in.</v>
          </cell>
          <cell r="G83" t="str">
            <v>YES</v>
          </cell>
          <cell r="H83" t="str">
            <v>YES</v>
          </cell>
          <cell r="I83" t="str">
            <v>YES</v>
          </cell>
        </row>
        <row r="84">
          <cell r="A84" t="str">
            <v>LEGACY_MARKET_TYPE_NAME</v>
          </cell>
          <cell r="B84" t="str">
            <v>VARCHAR2(200)</v>
          </cell>
          <cell r="C84" t="str">
            <v>Yes</v>
          </cell>
          <cell r="E84">
            <v>119</v>
          </cell>
          <cell r="F84" t="str">
            <v>Name that represents what type of market the trade was executed in. Eg. NYSE, OTC, CBOE, etc</v>
          </cell>
          <cell r="G84" t="str">
            <v>YES</v>
          </cell>
          <cell r="H84" t="str">
            <v>YES</v>
          </cell>
          <cell r="I84" t="str">
            <v>YES</v>
          </cell>
        </row>
        <row r="85">
          <cell r="A85" t="str">
            <v>LEGACY_TRADE_CAPACITY_TYPE_CODE</v>
          </cell>
          <cell r="B85" t="str">
            <v>VARCHAR2(20)</v>
          </cell>
          <cell r="C85" t="str">
            <v>Yes</v>
          </cell>
          <cell r="E85">
            <v>120</v>
          </cell>
          <cell r="F85" t="str">
            <v>Code to show what type of capacity the trade was executed in. Eg. acting as principal or agency.</v>
          </cell>
          <cell r="G85" t="str">
            <v>YES</v>
          </cell>
          <cell r="H85" t="str">
            <v>YES</v>
          </cell>
          <cell r="I85" t="str">
            <v>YES</v>
          </cell>
        </row>
        <row r="86">
          <cell r="A86" t="str">
            <v>LEGACY_TRADE_CAPACITY_TYPE_DIMENSION_ID</v>
          </cell>
          <cell r="B86" t="str">
            <v>NUMBER(38)</v>
          </cell>
          <cell r="C86" t="str">
            <v>No</v>
          </cell>
          <cell r="E86">
            <v>40</v>
          </cell>
          <cell r="F86" t="str">
            <v>Surrogate key for Legacy trade Capacity Type Dimension.</v>
          </cell>
          <cell r="G86" t="str">
            <v>YES</v>
          </cell>
          <cell r="H86" t="str">
            <v>YES</v>
          </cell>
          <cell r="I86" t="str">
            <v>YES</v>
          </cell>
        </row>
        <row r="87">
          <cell r="A87" t="str">
            <v>LEGACY_TRADE_CAPACITY_TYPE_ID</v>
          </cell>
          <cell r="B87" t="str">
            <v>NUMBER(38)</v>
          </cell>
          <cell r="C87" t="str">
            <v>Yes</v>
          </cell>
          <cell r="E87">
            <v>163</v>
          </cell>
          <cell r="F87" t="str">
            <v>Identifier that represents what type of capacity the trade was executed in.</v>
          </cell>
          <cell r="G87" t="str">
            <v>YES</v>
          </cell>
          <cell r="H87" t="str">
            <v>YES</v>
          </cell>
          <cell r="I87" t="str">
            <v>YES</v>
          </cell>
        </row>
        <row r="88">
          <cell r="A88" t="str">
            <v>LEGACY_TRADE_CAPACITY_TYPE_NAME</v>
          </cell>
          <cell r="B88" t="str">
            <v>VARCHAR2(200)</v>
          </cell>
          <cell r="C88" t="str">
            <v>Yes</v>
          </cell>
          <cell r="E88">
            <v>121</v>
          </cell>
          <cell r="F88" t="str">
            <v>Name that represents what type of capacity the trade was executed in. Eg. acting as principal or agency.</v>
          </cell>
          <cell r="G88" t="str">
            <v>YES</v>
          </cell>
          <cell r="H88" t="str">
            <v>YES</v>
          </cell>
          <cell r="I88" t="str">
            <v>YES</v>
          </cell>
        </row>
        <row r="89">
          <cell r="A89" t="str">
            <v>MF_ACCOUNT_NUMBER</v>
          </cell>
          <cell r="B89" t="str">
            <v>VARCHAR2(30)</v>
          </cell>
          <cell r="C89" t="str">
            <v>Yes</v>
          </cell>
          <cell r="E89">
            <v>164</v>
          </cell>
          <cell r="F89" t="str">
            <v>Account number of the mutual fund, if the transaction is on mutual fund.</v>
          </cell>
          <cell r="G89" t="str">
            <v>YES</v>
          </cell>
          <cell r="H89" t="str">
            <v>YES</v>
          </cell>
          <cell r="I89" t="str">
            <v>YES</v>
          </cell>
        </row>
        <row r="90">
          <cell r="A90" t="str">
            <v>MONEY_MOVEMENT_ALTERNATE_ID</v>
          </cell>
          <cell r="B90" t="str">
            <v>VARCHAR2(50)</v>
          </cell>
          <cell r="C90" t="str">
            <v>Yes</v>
          </cell>
          <cell r="E90">
            <v>165</v>
          </cell>
          <cell r="F90" t="str">
            <v>Identifier on all Money movement transactions</v>
          </cell>
          <cell r="G90" t="str">
            <v>YES</v>
          </cell>
          <cell r="H90" t="str">
            <v>YES</v>
          </cell>
          <cell r="I90" t="str">
            <v>YES</v>
          </cell>
        </row>
        <row r="91">
          <cell r="A91" t="str">
            <v>OFFSET_ARRANGEMENT_ID</v>
          </cell>
          <cell r="B91" t="str">
            <v>NUMBER(38)</v>
          </cell>
          <cell r="C91" t="str">
            <v>Yes</v>
          </cell>
          <cell r="E91">
            <v>41</v>
          </cell>
          <cell r="F91" t="str">
            <v>If the APA was satisfied by offsetting with another RJ arrangement then, this column will contain the offsetted arrangement.</v>
          </cell>
          <cell r="G91" t="str">
            <v>YES</v>
          </cell>
          <cell r="H91" t="str">
            <v>YES</v>
          </cell>
          <cell r="I91" t="str">
            <v>YES</v>
          </cell>
        </row>
        <row r="92">
          <cell r="A92" t="str">
            <v>OFFSET_ARRANGEMENT_ORIGINATING_SOURCE_SYSTEM_CODE</v>
          </cell>
          <cell r="B92" t="str">
            <v>VARCHAR2(20)</v>
          </cell>
          <cell r="C92" t="str">
            <v>Yes</v>
          </cell>
          <cell r="E92">
            <v>166</v>
          </cell>
          <cell r="F92" t="e">
            <v>#VALUE!</v>
          </cell>
          <cell r="G92" t="str">
            <v>YES</v>
          </cell>
          <cell r="H92" t="str">
            <v>YES</v>
          </cell>
          <cell r="I92" t="str">
            <v>YES</v>
          </cell>
        </row>
        <row r="93">
          <cell r="A93" t="str">
            <v>OFFSET_ARRANGEMENT_SETTLEMENT_TYPE_CODE</v>
          </cell>
          <cell r="B93" t="str">
            <v>VARCHAR2(20)</v>
          </cell>
          <cell r="C93" t="str">
            <v>Yes</v>
          </cell>
          <cell r="E93">
            <v>167</v>
          </cell>
          <cell r="F93" t="e">
            <v>#VALUE!</v>
          </cell>
          <cell r="G93" t="str">
            <v>YES</v>
          </cell>
          <cell r="H93" t="str">
            <v>YES</v>
          </cell>
          <cell r="I93" t="str">
            <v>YES</v>
          </cell>
        </row>
        <row r="94">
          <cell r="A94" t="str">
            <v>OFFSET_ARRANGEMENT_SETTLEMENT_TYPE_DESCRIPTION</v>
          </cell>
          <cell r="B94" t="str">
            <v>VARCHAR2(100)</v>
          </cell>
          <cell r="C94" t="str">
            <v>Yes</v>
          </cell>
          <cell r="E94">
            <v>168</v>
          </cell>
          <cell r="F94" t="e">
            <v>#VALUE!</v>
          </cell>
          <cell r="G94" t="str">
            <v>YES</v>
          </cell>
          <cell r="H94" t="str">
            <v>YES</v>
          </cell>
          <cell r="I94" t="str">
            <v>YES</v>
          </cell>
        </row>
        <row r="95">
          <cell r="A95" t="str">
            <v>OFFSET_ORIGINATING_SOURCE_SYSTEM_ARRANGEMENT_ID</v>
          </cell>
          <cell r="B95" t="str">
            <v>VARCHAR2(50)</v>
          </cell>
          <cell r="C95" t="str">
            <v>Yes</v>
          </cell>
          <cell r="E95">
            <v>169</v>
          </cell>
          <cell r="F95" t="e">
            <v>#VALUE!</v>
          </cell>
          <cell r="G95" t="str">
            <v>YES</v>
          </cell>
          <cell r="H95" t="str">
            <v>YES</v>
          </cell>
          <cell r="I95" t="str">
            <v>YES</v>
          </cell>
        </row>
        <row r="96">
          <cell r="A96" t="str">
            <v>OPTION_CLASS_CODE</v>
          </cell>
          <cell r="B96" t="str">
            <v>VARCHAR2(20)</v>
          </cell>
          <cell r="C96" t="str">
            <v>Yes</v>
          </cell>
          <cell r="E96">
            <v>42</v>
          </cell>
          <cell r="F96" t="e">
            <v>#VALUE!</v>
          </cell>
          <cell r="G96" t="str">
            <v>YES</v>
          </cell>
          <cell r="H96" t="str">
            <v>YES</v>
          </cell>
          <cell r="I96" t="str">
            <v>YES</v>
          </cell>
        </row>
        <row r="97">
          <cell r="A97" t="str">
            <v>ORDER_MANAGEMENT_SYSTEM_EXECUTING_TYPE_CODE</v>
          </cell>
          <cell r="B97" t="str">
            <v>VARCHAR2(20)</v>
          </cell>
          <cell r="C97" t="str">
            <v>Yes</v>
          </cell>
          <cell r="E97">
            <v>136</v>
          </cell>
          <cell r="F97" t="str">
            <v>A code for the type of trade executions used in the Order Management System in a code format.</v>
          </cell>
          <cell r="G97" t="str">
            <v>YES</v>
          </cell>
          <cell r="H97" t="str">
            <v>YES</v>
          </cell>
          <cell r="I97" t="str">
            <v>YES</v>
          </cell>
        </row>
        <row r="98">
          <cell r="A98" t="str">
            <v>ORDER_MANAGEMENT_SYSTEM_EXECUTING_TYPE_DESCRIPTION</v>
          </cell>
          <cell r="B98" t="str">
            <v>VARCHAR2(1000)</v>
          </cell>
          <cell r="C98" t="str">
            <v>Yes</v>
          </cell>
          <cell r="E98">
            <v>138</v>
          </cell>
          <cell r="F98" t="str">
            <v>A description for the type of trade executions used in the Order Management System in a code format.</v>
          </cell>
          <cell r="G98" t="str">
            <v>YES</v>
          </cell>
          <cell r="H98" t="str">
            <v>YES</v>
          </cell>
          <cell r="I98" t="str">
            <v>YES</v>
          </cell>
        </row>
        <row r="99">
          <cell r="A99" t="str">
            <v>ORDER_MANAGEMENT_SYSTEM_EXECUTING_TYPE_ID</v>
          </cell>
          <cell r="B99" t="str">
            <v>NUMBER(38)</v>
          </cell>
          <cell r="C99" t="str">
            <v>Yes</v>
          </cell>
          <cell r="E99">
            <v>135</v>
          </cell>
          <cell r="F99" t="str">
            <v>Identifier for the type of trade executions used in the Order Management System in a code format.</v>
          </cell>
          <cell r="G99" t="str">
            <v>YES</v>
          </cell>
          <cell r="H99" t="str">
            <v>YES</v>
          </cell>
          <cell r="I99" t="str">
            <v>YES</v>
          </cell>
        </row>
        <row r="100">
          <cell r="A100" t="str">
            <v>ORDER_MANAGEMENT_SYSTEM_EXECUTING_TYPE_NAME</v>
          </cell>
          <cell r="B100" t="str">
            <v>VARCHAR2(500)</v>
          </cell>
          <cell r="C100" t="str">
            <v>Yes</v>
          </cell>
          <cell r="E100">
            <v>137</v>
          </cell>
          <cell r="F100" t="str">
            <v>Name of the type of trade executions used in the Order Management System. Examples of OMS execution types would be 'Agency', 'Principal', 'Open Repo', 'Close Repo' etc.</v>
          </cell>
          <cell r="G100" t="str">
            <v>YES</v>
          </cell>
          <cell r="H100" t="str">
            <v>YES</v>
          </cell>
          <cell r="I100" t="str">
            <v>YES</v>
          </cell>
        </row>
        <row r="101">
          <cell r="A101" t="str">
            <v>ORDER_MANAGEMENT_SYSTEM_ORDER_KEY</v>
          </cell>
          <cell r="B101" t="str">
            <v>VARCHAR2(20)</v>
          </cell>
          <cell r="C101" t="str">
            <v>Yes</v>
          </cell>
          <cell r="E101">
            <v>107</v>
          </cell>
          <cell r="F101" t="str">
            <v>Unique system generated key from OMS system. This field is required in the CAT extracts and will be used to find the newOrderFDID, a field required on Allocation events (MEPA events).</v>
          </cell>
          <cell r="G101" t="str">
            <v>YES</v>
          </cell>
          <cell r="H101" t="str">
            <v>YES</v>
          </cell>
          <cell r="I101" t="str">
            <v>YES</v>
          </cell>
        </row>
        <row r="102">
          <cell r="A102" t="str">
            <v>ORIGINAL_BOOKING_DATE</v>
          </cell>
          <cell r="B102" t="str">
            <v>DATE</v>
          </cell>
          <cell r="C102" t="str">
            <v>Yes</v>
          </cell>
          <cell r="E102">
            <v>43</v>
          </cell>
          <cell r="F102" t="str">
            <v>This represents the business day date when the quantity has been ���booked��� in the system.</v>
          </cell>
          <cell r="G102" t="str">
            <v>YES</v>
          </cell>
          <cell r="H102" t="str">
            <v>YES</v>
          </cell>
          <cell r="I102" t="str">
            <v>YES</v>
          </cell>
        </row>
        <row r="103">
          <cell r="A103" t="str">
            <v>ORIGINAL_SOURCE_SYSTEM_CODE</v>
          </cell>
          <cell r="B103" t="str">
            <v>VARCHAR2(20)</v>
          </cell>
          <cell r="C103" t="str">
            <v>Yes</v>
          </cell>
          <cell r="E103">
            <v>140</v>
          </cell>
          <cell r="F103" t="str">
            <v>Code that represents the source system from which CDS database receives/obtains the underlying record.</v>
          </cell>
          <cell r="G103" t="str">
            <v>YES</v>
          </cell>
          <cell r="H103" t="str">
            <v>YES</v>
          </cell>
          <cell r="I103" t="str">
            <v>YES</v>
          </cell>
        </row>
        <row r="104">
          <cell r="A104" t="str">
            <v>ORIGINAL_SOURCE_SYSTEM_ID</v>
          </cell>
          <cell r="B104" t="str">
            <v>NUMBER(38)</v>
          </cell>
          <cell r="C104" t="str">
            <v>Yes</v>
          </cell>
          <cell r="E104">
            <v>141</v>
          </cell>
          <cell r="F104" t="str">
            <v>Identifier of the source system from which CDS database receives/obtains the underlying record.</v>
          </cell>
          <cell r="G104" t="str">
            <v>YES</v>
          </cell>
          <cell r="H104" t="str">
            <v>YES</v>
          </cell>
          <cell r="I104" t="str">
            <v>YES</v>
          </cell>
        </row>
        <row r="105">
          <cell r="A105" t="str">
            <v>ORIGINAL_TRADE_NUMBER</v>
          </cell>
          <cell r="B105" t="str">
            <v>VARCHAR2(15)</v>
          </cell>
          <cell r="C105" t="str">
            <v>Yes</v>
          </cell>
          <cell r="E105">
            <v>44</v>
          </cell>
          <cell r="F105" t="str">
            <v>Original trade number when a trade is being cancelled, corrected, reversed (if available).</v>
          </cell>
          <cell r="G105" t="str">
            <v>YES</v>
          </cell>
          <cell r="H105" t="str">
            <v>YES</v>
          </cell>
          <cell r="I105" t="str">
            <v>YES</v>
          </cell>
        </row>
        <row r="106">
          <cell r="A106" t="str">
            <v>ORIGINATING_SOURCE_SYSTEM_ARRANGEMENT_ID</v>
          </cell>
          <cell r="B106" t="str">
            <v>VARCHAR2(50)</v>
          </cell>
          <cell r="C106" t="str">
            <v>Yes</v>
          </cell>
          <cell r="E106">
            <v>170</v>
          </cell>
          <cell r="F106" t="str">
            <v>Contains the account number/contract number from the original source system provider - e.g., SIS Account number for brokerage accounts</v>
          </cell>
          <cell r="G106" t="str">
            <v>YES</v>
          </cell>
          <cell r="H106" t="str">
            <v>YES</v>
          </cell>
          <cell r="I106" t="str">
            <v>YES</v>
          </cell>
        </row>
        <row r="107">
          <cell r="A107" t="str">
            <v>ORIGNAL_TRADE_DATE</v>
          </cell>
          <cell r="B107" t="str">
            <v>DATE</v>
          </cell>
          <cell r="C107" t="str">
            <v>Yes</v>
          </cell>
          <cell r="E107">
            <v>97</v>
          </cell>
          <cell r="F107" t="str">
            <v>The date trade took place at fund company (specific to level 4 mutual funds).</v>
          </cell>
          <cell r="G107" t="str">
            <v>YES</v>
          </cell>
          <cell r="H107" t="str">
            <v>YES</v>
          </cell>
          <cell r="I107" t="str">
            <v>YES</v>
          </cell>
        </row>
        <row r="108">
          <cell r="A108" t="str">
            <v>OWNER_FA_EMPLOYEE_ID</v>
          </cell>
          <cell r="B108" t="str">
            <v>VARCHAR2(44)</v>
          </cell>
          <cell r="C108" t="str">
            <v>Yes</v>
          </cell>
          <cell r="E108">
            <v>155</v>
          </cell>
          <cell r="F108" t="str">
            <v>PeopleWorks Identifier for the Responsible Party for an FA Number</v>
          </cell>
          <cell r="G108" t="str">
            <v>YES</v>
          </cell>
          <cell r="H108" t="str">
            <v>YES</v>
          </cell>
          <cell r="I108" t="str">
            <v>YES</v>
          </cell>
        </row>
        <row r="109">
          <cell r="A109" t="str">
            <v>OWNER_FA_NUMBER</v>
          </cell>
          <cell r="B109" t="str">
            <v>VARCHAR2(6)</v>
          </cell>
          <cell r="C109" t="str">
            <v>Yes</v>
          </cell>
          <cell r="E109">
            <v>171</v>
          </cell>
          <cell r="F109" t="str">
            <v>Owner FA Number is a FA Number that owns the Arrangement for which activity is recorded</v>
          </cell>
          <cell r="G109" t="str">
            <v>YES</v>
          </cell>
          <cell r="H109" t="str">
            <v>YES</v>
          </cell>
          <cell r="I109" t="str">
            <v>YES</v>
          </cell>
        </row>
        <row r="110">
          <cell r="A110" t="str">
            <v>OWNER_FA_NUMBER_ENTITY_CODE</v>
          </cell>
          <cell r="B110" t="str">
            <v>VARCHAR2(20)</v>
          </cell>
          <cell r="C110" t="str">
            <v>Yes</v>
          </cell>
          <cell r="E110">
            <v>172</v>
          </cell>
          <cell r="F110" t="str">
            <v>Entity Code that owns the Owner FA Number</v>
          </cell>
          <cell r="G110" t="str">
            <v>YES</v>
          </cell>
          <cell r="H110" t="str">
            <v>YES</v>
          </cell>
          <cell r="I110" t="str">
            <v>YES</v>
          </cell>
        </row>
        <row r="111">
          <cell r="A111" t="str">
            <v>OWNER_FA_NUMBER_ENTITY_ENTERPRISE_ID</v>
          </cell>
          <cell r="B111" t="str">
            <v>NUMBER(22)</v>
          </cell>
          <cell r="C111" t="str">
            <v>Yes</v>
          </cell>
          <cell r="E111">
            <v>173</v>
          </cell>
          <cell r="F111" t="str">
            <v>Enterprise Id of the Entity that owns the Owner FA Number</v>
          </cell>
          <cell r="G111" t="str">
            <v>YES</v>
          </cell>
          <cell r="H111" t="str">
            <v>YES</v>
          </cell>
          <cell r="I111" t="str">
            <v>YES</v>
          </cell>
        </row>
        <row r="112">
          <cell r="A112" t="str">
            <v>OWNER_IMPACT_FA_NUMBER</v>
          </cell>
          <cell r="B112" t="str">
            <v>VARCHAR2(20)</v>
          </cell>
          <cell r="C112" t="str">
            <v>Yes</v>
          </cell>
          <cell r="E112">
            <v>174</v>
          </cell>
          <cell r="F112" t="str">
            <v>FA Number as given in Impact system</v>
          </cell>
          <cell r="G112" t="str">
            <v>YES</v>
          </cell>
          <cell r="H112" t="str">
            <v>YES</v>
          </cell>
          <cell r="I112" t="str">
            <v>YES</v>
          </cell>
        </row>
        <row r="113">
          <cell r="A113" t="str">
            <v>RELATED_TRANSACTION_RELATIONSHIP_TYPE_CODE</v>
          </cell>
          <cell r="B113" t="str">
            <v>VARCHAR2(20)</v>
          </cell>
          <cell r="C113" t="str">
            <v>Yes</v>
          </cell>
          <cell r="E113">
            <v>175</v>
          </cell>
          <cell r="F113" t="str">
            <v>Code of Relationship type with the target transaction E.g.R01, R02, R03</v>
          </cell>
          <cell r="G113" t="str">
            <v>YES</v>
          </cell>
          <cell r="H113" t="str">
            <v>YES</v>
          </cell>
          <cell r="I113" t="str">
            <v>YES</v>
          </cell>
        </row>
        <row r="114">
          <cell r="A114" t="str">
            <v>RELATED_TRANSACTION_RELATIONSHIP_TYPE_ID</v>
          </cell>
          <cell r="B114" t="str">
            <v>NUMBER(38)</v>
          </cell>
          <cell r="C114" t="str">
            <v>Yes</v>
          </cell>
          <cell r="E114">
            <v>176</v>
          </cell>
          <cell r="F114" t="str">
            <v>Identifier for Relationship type with the related transaction</v>
          </cell>
          <cell r="G114" t="str">
            <v>YES</v>
          </cell>
          <cell r="H114" t="str">
            <v>YES</v>
          </cell>
          <cell r="I114" t="str">
            <v>YES</v>
          </cell>
        </row>
        <row r="115">
          <cell r="A115" t="str">
            <v>RELATED_TRANSACTION_RELATIONSHIP_TYPE_NAME</v>
          </cell>
          <cell r="B115" t="str">
            <v>VARCHAR2(100)</v>
          </cell>
          <cell r="C115" t="str">
            <v>Yes</v>
          </cell>
          <cell r="E115">
            <v>177</v>
          </cell>
          <cell r="F115" t="str">
            <v>Name of Relation ship with the target transaction E.g. Reversal, Cancel, Correct</v>
          </cell>
          <cell r="G115" t="str">
            <v>YES</v>
          </cell>
          <cell r="H115" t="str">
            <v>YES</v>
          </cell>
          <cell r="I115" t="str">
            <v>YES</v>
          </cell>
        </row>
        <row r="116">
          <cell r="A116" t="str">
            <v>RELATED_TRANSACTION_SOURCE_SYSTEM_DIMENSION_ID</v>
          </cell>
          <cell r="B116" t="str">
            <v>NUMBER(38)</v>
          </cell>
          <cell r="C116" t="str">
            <v>No</v>
          </cell>
          <cell r="E116">
            <v>45</v>
          </cell>
          <cell r="F116" t="str">
            <v>Surrogate key for Related Transaction Source System Dimension.</v>
          </cell>
          <cell r="G116" t="str">
            <v>YES</v>
          </cell>
          <cell r="H116" t="str">
            <v>YES</v>
          </cell>
          <cell r="I116" t="str">
            <v>YES</v>
          </cell>
        </row>
        <row r="117">
          <cell r="A117" t="str">
            <v>SALES_CHARGE_RATE</v>
          </cell>
          <cell r="B117" t="str">
            <v>NUMBER</v>
          </cell>
          <cell r="C117" t="str">
            <v>Yes</v>
          </cell>
          <cell r="E117">
            <v>46</v>
          </cell>
          <cell r="F117" t="str">
            <v>Sales charge expressed as percent for the portion represented by the asset package. This column will have values if Sales Charge Rate Type Identifier indicates that it was recorded as a percentage in CCAL</v>
          </cell>
          <cell r="G117" t="str">
            <v>YES</v>
          </cell>
          <cell r="H117" t="str">
            <v>YES</v>
          </cell>
          <cell r="I117" t="str">
            <v>YES</v>
          </cell>
        </row>
        <row r="118">
          <cell r="A118" t="str">
            <v>SALES_CHARGE_RATE_MULTIPLIER_NUMBER</v>
          </cell>
          <cell r="B118" t="str">
            <v>NUMBER(38,6)</v>
          </cell>
          <cell r="C118" t="str">
            <v>Yes</v>
          </cell>
          <cell r="E118">
            <v>178</v>
          </cell>
          <cell r="F118" t="str">
            <v>Sales charge expressed as a multiplier for the portion represented by the asset package. This column will have values if Sales Charge Rate is expressed as a multipler.</v>
          </cell>
          <cell r="G118" t="str">
            <v>YES</v>
          </cell>
          <cell r="H118" t="str">
            <v>YES</v>
          </cell>
          <cell r="I118" t="str">
            <v>YES</v>
          </cell>
        </row>
        <row r="119">
          <cell r="A119" t="str">
            <v>SALES_CHARGE_RATE_TYPE_CODE</v>
          </cell>
          <cell r="B119" t="str">
            <v>VARCHAR2(1)</v>
          </cell>
          <cell r="C119" t="str">
            <v>Yes</v>
          </cell>
          <cell r="E119">
            <v>47</v>
          </cell>
          <cell r="F119" t="str">
            <v>A code representing the type of value stored for sales charge</v>
          </cell>
          <cell r="G119" t="str">
            <v>YES</v>
          </cell>
          <cell r="H119" t="str">
            <v>YES</v>
          </cell>
          <cell r="I119" t="str">
            <v>YES</v>
          </cell>
        </row>
        <row r="120">
          <cell r="A120" t="str">
            <v>SALES_CHARGE_RATE_TYPE_ID</v>
          </cell>
          <cell r="B120" t="str">
            <v>NUMBER(38)</v>
          </cell>
          <cell r="C120" t="str">
            <v>Yes</v>
          </cell>
          <cell r="E120">
            <v>48</v>
          </cell>
          <cell r="F120" t="str">
            <v>Identifier representing the type of value stored for sales charge</v>
          </cell>
          <cell r="G120" t="str">
            <v>YES</v>
          </cell>
          <cell r="H120" t="str">
            <v>YES</v>
          </cell>
          <cell r="I120" t="str">
            <v>YES</v>
          </cell>
        </row>
        <row r="121">
          <cell r="A121" t="str">
            <v>SALES_CHARGE_RATE_TYPE_NAME</v>
          </cell>
          <cell r="B121" t="str">
            <v>VARCHAR2(200)</v>
          </cell>
          <cell r="C121" t="str">
            <v>Yes</v>
          </cell>
          <cell r="E121">
            <v>126</v>
          </cell>
          <cell r="F121" t="str">
            <v>Name of Sales charge type Percentage or Multiplier.</v>
          </cell>
          <cell r="G121" t="str">
            <v>YES</v>
          </cell>
          <cell r="H121" t="str">
            <v>YES</v>
          </cell>
          <cell r="I121" t="str">
            <v>YES</v>
          </cell>
        </row>
        <row r="122">
          <cell r="A122" t="str">
            <v>SECURITY_ACTIVITY_CATEGORY</v>
          </cell>
          <cell r="B122" t="str">
            <v>VARCHAR2(20)</v>
          </cell>
          <cell r="C122" t="str">
            <v>Yes</v>
          </cell>
          <cell r="E122">
            <v>55</v>
          </cell>
          <cell r="F122" t="str">
            <v>Represents the specific Category of activity such as a 'Purchase' or 'Income'. Further refinement of the categories are captured under Activity Type.This field will be populated only if the transaction has a Security leg.</v>
          </cell>
          <cell r="G122" t="str">
            <v>YES</v>
          </cell>
          <cell r="H122" t="str">
            <v>YES</v>
          </cell>
          <cell r="I122" t="str">
            <v>YES</v>
          </cell>
        </row>
        <row r="123">
          <cell r="A123" t="str">
            <v>SECURITY_ACTIVITY_CLASSIFICATION_ID</v>
          </cell>
          <cell r="B123" t="str">
            <v>NUMBER(38)</v>
          </cell>
          <cell r="C123" t="str">
            <v>Yes</v>
          </cell>
          <cell r="E123">
            <v>63</v>
          </cell>
          <cell r="F123" t="str">
            <v>CDS assigned identifier for the activity class.This field will be populated only if the transaction has a Security leg.</v>
          </cell>
          <cell r="G123" t="str">
            <v>YES</v>
          </cell>
          <cell r="H123" t="str">
            <v>YES</v>
          </cell>
          <cell r="I123" t="str">
            <v>YES</v>
          </cell>
        </row>
        <row r="124">
          <cell r="A124" t="str">
            <v>SECURITY_ACTIVITY_TYPE</v>
          </cell>
          <cell r="B124" t="str">
            <v>VARCHAR2(100)</v>
          </cell>
          <cell r="C124" t="str">
            <v>Yes</v>
          </cell>
          <cell r="E124">
            <v>56</v>
          </cell>
          <cell r="F124" t="str">
            <v>Represents a more refined view of the Activity Category.This field will be populated only if the transaction has a Security leg.</v>
          </cell>
          <cell r="G124" t="str">
            <v>YES</v>
          </cell>
          <cell r="H124" t="str">
            <v>YES</v>
          </cell>
          <cell r="I124" t="str">
            <v>YES</v>
          </cell>
        </row>
        <row r="125">
          <cell r="A125" t="str">
            <v>SECURITY_ALTERNATE_DESCRIPTION_TRAILER_2</v>
          </cell>
          <cell r="B125" t="str">
            <v>VARCHAR2(256)</v>
          </cell>
          <cell r="C125" t="str">
            <v>Yes</v>
          </cell>
          <cell r="E125">
            <v>59</v>
          </cell>
          <cell r="F125" t="str">
            <v>Second line of unformatted, monolingual narrative booking information. SIS trailer field 2. This field will be populated only if the transaction has a Security leg.</v>
          </cell>
          <cell r="G125" t="str">
            <v>YES</v>
          </cell>
          <cell r="H125" t="str">
            <v>YES</v>
          </cell>
          <cell r="I125" t="str">
            <v>YES</v>
          </cell>
        </row>
        <row r="126">
          <cell r="A126" t="str">
            <v>SECURITY_ASSET_PACKAGE_EXTERNAL_QUALIFIER</v>
          </cell>
          <cell r="B126" t="str">
            <v>VARCHAR2(20)</v>
          </cell>
          <cell r="C126" t="str">
            <v>Yes</v>
          </cell>
          <cell r="E126">
            <v>60</v>
          </cell>
          <cell r="F126" t="str">
            <v>Qualifier code from the external source system.This field will be populated only if the transaction has a Security leg.</v>
          </cell>
          <cell r="G126" t="str">
            <v>YES</v>
          </cell>
          <cell r="H126" t="str">
            <v>YES</v>
          </cell>
          <cell r="I126" t="str">
            <v>YES</v>
          </cell>
        </row>
        <row r="127">
          <cell r="A127" t="str">
            <v>SECURITY_ASSET_PACKAGE_ID</v>
          </cell>
          <cell r="B127" t="str">
            <v>NUMBER(38)</v>
          </cell>
          <cell r="C127" t="str">
            <v>Yes</v>
          </cell>
          <cell r="E127">
            <v>61</v>
          </cell>
          <cell r="F127" t="str">
            <v>APA_ID from CCAL APA table. It is recorded here for the purpose of maintaining a link with the source. This field will be populated only if the transaction has a Security leg.</v>
          </cell>
          <cell r="G127" t="str">
            <v>YES</v>
          </cell>
          <cell r="H127" t="str">
            <v>YES</v>
          </cell>
          <cell r="I127" t="str">
            <v>YES</v>
          </cell>
        </row>
        <row r="128">
          <cell r="A128" t="str">
            <v>SECURITY_ASSET_PACKAGE_TYPE_CODE</v>
          </cell>
          <cell r="B128" t="str">
            <v>VARCHAR2(20)</v>
          </cell>
          <cell r="C128" t="str">
            <v>Yes</v>
          </cell>
          <cell r="E128">
            <v>52</v>
          </cell>
          <cell r="F128" t="str">
            <v>Code associated with Asset Package Type Id.This field will be populated only if the transaction has a Security leg.</v>
          </cell>
          <cell r="G128" t="str">
            <v>YES</v>
          </cell>
          <cell r="H128" t="str">
            <v>YES</v>
          </cell>
          <cell r="I128" t="str">
            <v>YES</v>
          </cell>
        </row>
        <row r="129">
          <cell r="A129" t="str">
            <v>SECURITY_ASSET_PACKAGE_TYPE_DESCRIPTION</v>
          </cell>
          <cell r="B129" t="str">
            <v>VARCHAR2(1000)</v>
          </cell>
          <cell r="C129" t="str">
            <v>Yes</v>
          </cell>
          <cell r="E129">
            <v>53</v>
          </cell>
          <cell r="F129" t="str">
            <v>Description associated with Asset Package Type Id.This field will be populated only if the transaction has a Security leg.</v>
          </cell>
          <cell r="G129" t="str">
            <v>YES</v>
          </cell>
          <cell r="H129" t="str">
            <v>YES</v>
          </cell>
          <cell r="I129" t="str">
            <v>YES</v>
          </cell>
        </row>
        <row r="130">
          <cell r="A130" t="str">
            <v>SECURITY_ASSET_PACKAGE_TYPE_ID</v>
          </cell>
          <cell r="B130" t="str">
            <v>NUMBER(38)</v>
          </cell>
          <cell r="C130" t="str">
            <v>Yes</v>
          </cell>
          <cell r="E130">
            <v>62</v>
          </cell>
          <cell r="F130" t="str">
            <v>Asset Pacakge type Id from CCAL core.This field will be populated only if the transaction has a Security leg.</v>
          </cell>
          <cell r="G130" t="str">
            <v>YES</v>
          </cell>
          <cell r="H130" t="str">
            <v>YES</v>
          </cell>
          <cell r="I130" t="str">
            <v>YES</v>
          </cell>
        </row>
        <row r="131">
          <cell r="A131" t="str">
            <v>SECURITY_ASSET_PACKAGE_TYPE_NAME</v>
          </cell>
          <cell r="B131" t="str">
            <v>VARCHAR2(500)</v>
          </cell>
          <cell r="C131" t="str">
            <v>Yes</v>
          </cell>
          <cell r="E131">
            <v>54</v>
          </cell>
          <cell r="F131" t="str">
            <v>Name of Asset Package Type Id.This field will be populated only if the transaction has a Security leg.</v>
          </cell>
          <cell r="G131" t="str">
            <v>YES</v>
          </cell>
          <cell r="H131" t="str">
            <v>YES</v>
          </cell>
          <cell r="I131" t="str">
            <v>YES</v>
          </cell>
        </row>
        <row r="132">
          <cell r="A132" t="str">
            <v>SECURITY_CIRD_PRODUCT_ID</v>
          </cell>
          <cell r="B132" t="str">
            <v>NUMBER(38)</v>
          </cell>
          <cell r="C132" t="str">
            <v>Yes</v>
          </cell>
          <cell r="E132">
            <v>131</v>
          </cell>
          <cell r="F132" t="str">
            <v>CIRD identifier for product. This field will be populated only if the transaction has a Security leg.</v>
          </cell>
          <cell r="G132" t="str">
            <v>YES</v>
          </cell>
          <cell r="H132" t="str">
            <v>YES</v>
          </cell>
          <cell r="I132" t="str">
            <v>YES</v>
          </cell>
        </row>
        <row r="133">
          <cell r="A133" t="str">
            <v>SECURITY_DEBIT_CREDIT_CODE</v>
          </cell>
          <cell r="B133" t="str">
            <v>VARCHAR2(1)</v>
          </cell>
          <cell r="C133" t="str">
            <v>Yes</v>
          </cell>
          <cell r="E133">
            <v>64</v>
          </cell>
          <cell r="F133" t="str">
            <v>A code representing Debit / Credit (e.g. D / C).This field will be populated only if the transaction has a Security leg.</v>
          </cell>
          <cell r="G133" t="str">
            <v>YES</v>
          </cell>
          <cell r="H133" t="str">
            <v>YES</v>
          </cell>
          <cell r="I133" t="str">
            <v>YES</v>
          </cell>
        </row>
        <row r="134">
          <cell r="A134" t="str">
            <v>SECURITY_DEBIT_CREDIT_NAME</v>
          </cell>
          <cell r="B134" t="str">
            <v>VARCHAR2(200)</v>
          </cell>
          <cell r="C134" t="str">
            <v>Yes</v>
          </cell>
          <cell r="E134">
            <v>128</v>
          </cell>
          <cell r="F134" t="str">
            <v>A Name representing Debit / Credit (e.g. Debit / Credit).This field will be populated only if the transaction has a Security leg.</v>
          </cell>
          <cell r="G134" t="str">
            <v>YES</v>
          </cell>
          <cell r="H134" t="str">
            <v>YES</v>
          </cell>
          <cell r="I134" t="str">
            <v>YES</v>
          </cell>
        </row>
        <row r="135">
          <cell r="A135" t="str">
            <v>SECURITY_DESCRIPTION_TRAILER_1</v>
          </cell>
          <cell r="B135" t="str">
            <v>VARCHAR2(256)</v>
          </cell>
          <cell r="C135" t="str">
            <v>Yes</v>
          </cell>
          <cell r="E135">
            <v>65</v>
          </cell>
          <cell r="F135" t="str">
            <v>First line of unformatted, monolingual narrative booking information. SIS Trailer field 1.This field will be populated only if the transaction has a Security leg.</v>
          </cell>
          <cell r="G135" t="str">
            <v>YES</v>
          </cell>
          <cell r="H135" t="str">
            <v>YES</v>
          </cell>
          <cell r="I135" t="str">
            <v>YES</v>
          </cell>
        </row>
        <row r="136">
          <cell r="A136" t="str">
            <v>SECURITY_ORIGINAL_QUANTITY</v>
          </cell>
          <cell r="B136" t="str">
            <v>NUMBER</v>
          </cell>
          <cell r="C136" t="str">
            <v>Yes</v>
          </cell>
          <cell r="E136">
            <v>66</v>
          </cell>
          <cell r="F136" t="str">
            <v>Original Quantity of the Package.This field will be populated only if the transaction has a Security leg.</v>
          </cell>
          <cell r="G136" t="str">
            <v>YES</v>
          </cell>
          <cell r="H136" t="str">
            <v>YES</v>
          </cell>
          <cell r="I136" t="str">
            <v>YES</v>
          </cell>
        </row>
        <row r="137">
          <cell r="A137" t="str">
            <v>SECURITY_PRICE_IN_TRANSACTION_CURRENCY</v>
          </cell>
          <cell r="B137" t="str">
            <v>NUMBER(19,4)</v>
          </cell>
          <cell r="C137" t="str">
            <v>Yes</v>
          </cell>
          <cell r="E137">
            <v>68</v>
          </cell>
          <cell r="F137" t="str">
            <v>Price of the securities instrument in transaction currency.</v>
          </cell>
          <cell r="G137" t="str">
            <v>YES</v>
          </cell>
          <cell r="H137" t="str">
            <v>YES</v>
          </cell>
          <cell r="I137" t="str">
            <v>YES</v>
          </cell>
        </row>
        <row r="138">
          <cell r="A138" t="str">
            <v>SECURITY_PRODUCT_ID</v>
          </cell>
          <cell r="B138" t="str">
            <v>NUMBER(38)</v>
          </cell>
          <cell r="C138" t="str">
            <v>Yes</v>
          </cell>
          <cell r="E138">
            <v>67</v>
          </cell>
          <cell r="F138" t="str">
            <v>CIRD identifier for product.This field will be populated only if the transaction has a Security leg.</v>
          </cell>
          <cell r="G138" t="str">
            <v>YES</v>
          </cell>
          <cell r="H138" t="str">
            <v>YES</v>
          </cell>
          <cell r="I138" t="str">
            <v>YES</v>
          </cell>
        </row>
        <row r="139">
          <cell r="A139" t="str">
            <v>SECURITY_SIMPLIFIED_DISPLAY_ACTIVITY_CATEGORY</v>
          </cell>
          <cell r="B139" t="str">
            <v>VARCHAR2(25)</v>
          </cell>
          <cell r="C139" t="str">
            <v>Yes</v>
          </cell>
          <cell r="E139">
            <v>179</v>
          </cell>
          <cell r="F139" t="str">
            <v>Simplified Display activity category shown to advisor in applications like client center.This field will be populated only if the transaction has a Security leg.</v>
          </cell>
          <cell r="G139" t="str">
            <v>YES</v>
          </cell>
          <cell r="H139" t="str">
            <v>YES</v>
          </cell>
          <cell r="I139" t="str">
            <v>YES</v>
          </cell>
        </row>
        <row r="140">
          <cell r="A140" t="str">
            <v>SECURITY_SIMPLIFIED_DISPLAY_ACTIVITY_TYPE</v>
          </cell>
          <cell r="B140" t="str">
            <v>VARCHAR2(100)</v>
          </cell>
          <cell r="C140" t="str">
            <v>Yes</v>
          </cell>
          <cell r="E140">
            <v>180</v>
          </cell>
          <cell r="F140" t="str">
            <v>Simplified Display activity type shown to advisor in applications like client center.This field will be populated only if the transaction has a Security leg.</v>
          </cell>
          <cell r="G140" t="str">
            <v>YES</v>
          </cell>
          <cell r="H140" t="str">
            <v>YES</v>
          </cell>
          <cell r="I140" t="str">
            <v>YES</v>
          </cell>
        </row>
        <row r="141">
          <cell r="A141" t="str">
            <v>SECURITY_SOURCE_CUSIP</v>
          </cell>
          <cell r="B141" t="str">
            <v>VARCHAR2(20)</v>
          </cell>
          <cell r="C141" t="str">
            <v>Yes</v>
          </cell>
          <cell r="E141">
            <v>70</v>
          </cell>
          <cell r="F141" t="str">
            <v>CUSIP from source system._x000D_
This field will be populated only if the transaction has a Security leg.</v>
          </cell>
          <cell r="G141" t="str">
            <v>YES</v>
          </cell>
          <cell r="H141" t="str">
            <v>YES</v>
          </cell>
          <cell r="I141" t="str">
            <v>YES</v>
          </cell>
        </row>
        <row r="142">
          <cell r="A142" t="str">
            <v>SECURITY_SOURCE_PRICE_IN_SYSTEM_BASE_CURRENCY</v>
          </cell>
          <cell r="B142" t="str">
            <v>NUMBER</v>
          </cell>
          <cell r="C142" t="str">
            <v>Yes</v>
          </cell>
          <cell r="E142">
            <v>71</v>
          </cell>
          <cell r="F142" t="str">
            <v>Principal amount of the trade execution expressed in the system base currency. This value should not include commissions or fees associated with the trade.This field will be populated only if the transaction has a Security leg.</v>
          </cell>
          <cell r="G142" t="str">
            <v>YES</v>
          </cell>
          <cell r="H142" t="str">
            <v>YES</v>
          </cell>
          <cell r="I142" t="str">
            <v>YES</v>
          </cell>
        </row>
        <row r="143">
          <cell r="A143" t="str">
            <v>SECURITY_SOURCE_SEQUENCE_NUMBER</v>
          </cell>
          <cell r="B143" t="str">
            <v>NUMBER</v>
          </cell>
          <cell r="C143" t="str">
            <v>Yes</v>
          </cell>
          <cell r="E143">
            <v>72</v>
          </cell>
          <cell r="F143" t="str">
            <v>Sequence Number assigned by source system.This field will be populated only if the transaction has a Security leg.</v>
          </cell>
          <cell r="G143" t="str">
            <v>YES</v>
          </cell>
          <cell r="H143" t="str">
            <v>YES</v>
          </cell>
          <cell r="I143" t="str">
            <v>YES</v>
          </cell>
        </row>
        <row r="144">
          <cell r="A144" t="str">
            <v>SECURITY_SYSTEM_BASE_CURRENCY_AMOUNT</v>
          </cell>
          <cell r="B144" t="str">
            <v>NUMBER(19,4)</v>
          </cell>
          <cell r="C144" t="str">
            <v>Yes</v>
          </cell>
          <cell r="E144">
            <v>69</v>
          </cell>
          <cell r="F144" t="str">
            <v>Principal amount of the trade execution expressed in the system base currency. This value should not include commissions or fees associated with the trade.</v>
          </cell>
          <cell r="G144" t="str">
            <v>YES</v>
          </cell>
          <cell r="H144" t="str">
            <v>YES</v>
          </cell>
          <cell r="I144" t="str">
            <v>YES</v>
          </cell>
        </row>
        <row r="145">
          <cell r="A145" t="str">
            <v>SECURITY_TRANSACTION_AMOUNT</v>
          </cell>
          <cell r="B145" t="str">
            <v>NUMBER(19,4)</v>
          </cell>
          <cell r="C145" t="str">
            <v>Yes</v>
          </cell>
          <cell r="E145">
            <v>73</v>
          </cell>
          <cell r="F145" t="str">
            <v>Transaction amount applicable to the Asset package in transaction currency.This field will be populated only if the transaction has a Security leg.</v>
          </cell>
          <cell r="G145" t="str">
            <v>YES</v>
          </cell>
          <cell r="H145" t="str">
            <v>YES</v>
          </cell>
          <cell r="I145" t="str">
            <v>YES</v>
          </cell>
        </row>
        <row r="146">
          <cell r="A146" t="str">
            <v>SESSION_NUMBER</v>
          </cell>
          <cell r="B146" t="str">
            <v>NUMBER(38)</v>
          </cell>
          <cell r="C146" t="str">
            <v>Yes</v>
          </cell>
          <cell r="E146">
            <v>181</v>
          </cell>
          <cell r="F146" t="str">
            <v>ODI Session Number for last update</v>
          </cell>
          <cell r="G146" t="str">
            <v>YES</v>
          </cell>
          <cell r="H146" t="str">
            <v>YES</v>
          </cell>
          <cell r="I146" t="str">
            <v>YES</v>
          </cell>
        </row>
        <row r="147">
          <cell r="A147" t="str">
            <v>SETTLEMENT_DATE</v>
          </cell>
          <cell r="B147" t="str">
            <v>DATE</v>
          </cell>
          <cell r="C147" t="str">
            <v>Yes</v>
          </cell>
          <cell r="E147">
            <v>57</v>
          </cell>
          <cell r="F147" t="str">
            <v>Settlement date is a securities industry term describing the date on which a trade settles. That is, the actual day on which transfer of cash or assets is completed and is usually a few days after the trade was done.</v>
          </cell>
          <cell r="G147" t="str">
            <v>YES</v>
          </cell>
          <cell r="H147" t="str">
            <v>YES</v>
          </cell>
          <cell r="I147" t="str">
            <v>YES</v>
          </cell>
        </row>
        <row r="148">
          <cell r="A148" t="str">
            <v>SETTLEMENT_DATE_DIMENSION_ID</v>
          </cell>
          <cell r="B148" t="str">
            <v>NUMBER(38)</v>
          </cell>
          <cell r="C148" t="str">
            <v>No</v>
          </cell>
          <cell r="E148">
            <v>58</v>
          </cell>
          <cell r="F148" t="str">
            <v>Synthetic Key identifying a single date in the DATE Dimension based on Settlement date</v>
          </cell>
          <cell r="G148" t="str">
            <v>YES</v>
          </cell>
          <cell r="H148" t="str">
            <v>YES</v>
          </cell>
          <cell r="I148" t="str">
            <v>YES</v>
          </cell>
        </row>
        <row r="149">
          <cell r="A149" t="str">
            <v>SHADOW_TRANSACTION_TYPE_CODE</v>
          </cell>
          <cell r="B149" t="str">
            <v>VARCHAR2(50)</v>
          </cell>
          <cell r="C149" t="str">
            <v>Yes</v>
          </cell>
          <cell r="E149">
            <v>182</v>
          </cell>
          <cell r="F149" t="str">
            <v xml:space="preserve">Possible values:  ORG, OLD, NEW, REV, REP.  </v>
          </cell>
          <cell r="G149" t="str">
            <v>YES</v>
          </cell>
          <cell r="H149" t="str">
            <v>YES</v>
          </cell>
          <cell r="I149" t="str">
            <v>YES</v>
          </cell>
        </row>
        <row r="150">
          <cell r="A150" t="str">
            <v>SHADOW_TRANSACTION_TYPE_NAME</v>
          </cell>
          <cell r="B150" t="str">
            <v>VARCHAR2(50)</v>
          </cell>
          <cell r="C150" t="str">
            <v>Yes</v>
          </cell>
          <cell r="E150">
            <v>183</v>
          </cell>
          <cell r="F150" t="str">
            <v>Name of the Shadow Transaction Type Code.</v>
          </cell>
          <cell r="G150" t="str">
            <v>YES</v>
          </cell>
          <cell r="H150" t="str">
            <v>YES</v>
          </cell>
          <cell r="I150" t="str">
            <v>YES</v>
          </cell>
        </row>
        <row r="151">
          <cell r="A151" t="str">
            <v>SIS_ACCOUNT_CLASSIFICATION_CODE</v>
          </cell>
          <cell r="B151" t="str">
            <v>VARCHAR2(50)</v>
          </cell>
          <cell r="C151" t="str">
            <v>Yes</v>
          </cell>
          <cell r="E151">
            <v>184</v>
          </cell>
          <cell r="F151" t="str">
            <v>SIS account classification codes</v>
          </cell>
          <cell r="G151" t="str">
            <v>YES</v>
          </cell>
          <cell r="H151" t="str">
            <v>YES</v>
          </cell>
          <cell r="I151" t="str">
            <v>YES</v>
          </cell>
        </row>
        <row r="152">
          <cell r="A152" t="str">
            <v>SIS_DETAILED_EVENTS_ID</v>
          </cell>
          <cell r="B152" t="str">
            <v>NUMBER(38)</v>
          </cell>
          <cell r="C152" t="str">
            <v>Yes</v>
          </cell>
          <cell r="E152">
            <v>185</v>
          </cell>
          <cell r="F152" t="str">
            <v>Identifier that determines what type of transaction the record contains. For SIS activity the values depend on the record type.</v>
          </cell>
          <cell r="G152" t="str">
            <v>YES</v>
          </cell>
          <cell r="H152" t="str">
            <v>YES</v>
          </cell>
          <cell r="I152" t="str">
            <v>YES</v>
          </cell>
        </row>
        <row r="153">
          <cell r="A153" t="str">
            <v>SIS_DETAILED_EVENTS_NAME</v>
          </cell>
          <cell r="B153" t="str">
            <v>VARCHAR2(200)</v>
          </cell>
          <cell r="C153" t="str">
            <v>Yes</v>
          </cell>
          <cell r="E153">
            <v>186</v>
          </cell>
          <cell r="F153" t="str">
            <v>Name that determines what type of transaction the record contains. For SIS activity the values depend on the record type.</v>
          </cell>
          <cell r="G153" t="str">
            <v>YES</v>
          </cell>
          <cell r="H153" t="str">
            <v>YES</v>
          </cell>
          <cell r="I153" t="str">
            <v>YES</v>
          </cell>
        </row>
        <row r="154">
          <cell r="A154" t="str">
            <v>SIS_USER_ID</v>
          </cell>
          <cell r="B154" t="str">
            <v>VARCHAR2(255)</v>
          </cell>
          <cell r="C154" t="str">
            <v>Yes</v>
          </cell>
          <cell r="E154">
            <v>187</v>
          </cell>
          <cell r="F154" t="str">
            <v>Identifier of the process or user that creates the records sourced from SIS Money Movement</v>
          </cell>
          <cell r="G154" t="str">
            <v>YES</v>
          </cell>
          <cell r="H154" t="str">
            <v>YES</v>
          </cell>
          <cell r="I154" t="str">
            <v>YES</v>
          </cell>
        </row>
        <row r="155">
          <cell r="A155" t="str">
            <v>SOURCE_CANCEL_X_REVISION_CODE</v>
          </cell>
          <cell r="B155" t="str">
            <v>VARCHAR2(3)</v>
          </cell>
          <cell r="C155" t="str">
            <v>Yes</v>
          </cell>
          <cell r="E155">
            <v>191</v>
          </cell>
          <cell r="F155" t="str">
            <v>Cancel or Revise Code in the source system</v>
          </cell>
          <cell r="G155" t="str">
            <v>YES</v>
          </cell>
          <cell r="H155" t="str">
            <v>YES</v>
          </cell>
          <cell r="I155" t="str">
            <v>YES</v>
          </cell>
        </row>
        <row r="156">
          <cell r="A156" t="str">
            <v>SOURCE_CANCELLATION_REASON_CODE</v>
          </cell>
          <cell r="B156" t="str">
            <v>VARCHAR2(20)</v>
          </cell>
          <cell r="C156" t="str">
            <v>Yes</v>
          </cell>
          <cell r="E156">
            <v>188</v>
          </cell>
          <cell r="F156" t="e">
            <v>#VALUE!</v>
          </cell>
          <cell r="G156" t="str">
            <v>YES</v>
          </cell>
          <cell r="H156" t="str">
            <v>YES</v>
          </cell>
          <cell r="I156" t="str">
            <v>YES</v>
          </cell>
        </row>
        <row r="157">
          <cell r="A157" t="str">
            <v>SOURCE_CANCELLATION_REASON_ID</v>
          </cell>
          <cell r="B157" t="str">
            <v>NUMBER(38)</v>
          </cell>
          <cell r="C157" t="str">
            <v>Yes</v>
          </cell>
          <cell r="E157">
            <v>189</v>
          </cell>
          <cell r="F157" t="str">
            <v>Id representing Reason for cancellation in source system</v>
          </cell>
          <cell r="G157" t="str">
            <v>YES</v>
          </cell>
          <cell r="H157" t="str">
            <v>YES</v>
          </cell>
          <cell r="I157" t="str">
            <v>YES</v>
          </cell>
        </row>
        <row r="158">
          <cell r="A158" t="str">
            <v>SOURCE_CANCELLATION_REASON_NAME</v>
          </cell>
          <cell r="B158" t="str">
            <v>VARCHAR2(200)</v>
          </cell>
          <cell r="C158" t="str">
            <v>Yes</v>
          </cell>
          <cell r="E158">
            <v>190</v>
          </cell>
          <cell r="F158" t="str">
            <v>Name representing Reason for cancellation in source system</v>
          </cell>
          <cell r="G158" t="str">
            <v>YES</v>
          </cell>
          <cell r="H158" t="str">
            <v>YES</v>
          </cell>
          <cell r="I158" t="str">
            <v>YES</v>
          </cell>
        </row>
        <row r="159">
          <cell r="A159" t="str">
            <v>SOURCE_CREATE_USER_NAME</v>
          </cell>
          <cell r="B159" t="str">
            <v>VARCHAR2(50)</v>
          </cell>
          <cell r="C159" t="str">
            <v>Yes</v>
          </cell>
          <cell r="E159">
            <v>96</v>
          </cell>
          <cell r="F159" t="str">
            <v>The name that represents the user/process that created row in the primary source table</v>
          </cell>
          <cell r="G159" t="str">
            <v>YES</v>
          </cell>
          <cell r="H159" t="str">
            <v>YES</v>
          </cell>
          <cell r="I159" t="str">
            <v>YES</v>
          </cell>
        </row>
        <row r="160">
          <cell r="A160" t="str">
            <v>SOURCE_EFFECTIVE_DATE</v>
          </cell>
          <cell r="B160" t="str">
            <v>DATE</v>
          </cell>
          <cell r="C160" t="str">
            <v>Yes</v>
          </cell>
          <cell r="E160">
            <v>103</v>
          </cell>
          <cell r="F160" t="str">
            <v>Effective date of the APA in the source system</v>
          </cell>
          <cell r="G160" t="str">
            <v>YES</v>
          </cell>
          <cell r="H160" t="str">
            <v>YES</v>
          </cell>
          <cell r="I160" t="str">
            <v>YES</v>
          </cell>
        </row>
        <row r="161">
          <cell r="A161" t="str">
            <v>SOURCE_ENTRY_CHANNEL_TYPE_CODE</v>
          </cell>
          <cell r="B161" t="str">
            <v>VARCHAR2(20)</v>
          </cell>
          <cell r="C161" t="str">
            <v>Yes</v>
          </cell>
          <cell r="E161">
            <v>122</v>
          </cell>
          <cell r="F161" t="e">
            <v>#VALUE!</v>
          </cell>
          <cell r="G161" t="str">
            <v>YES</v>
          </cell>
          <cell r="H161" t="str">
            <v>YES</v>
          </cell>
          <cell r="I161" t="str">
            <v>YES</v>
          </cell>
        </row>
        <row r="162">
          <cell r="A162" t="str">
            <v>SOURCE_ENTRY_CHANNEL_TYPE_DIMENSION_ID</v>
          </cell>
          <cell r="B162" t="str">
            <v>NUMBER(38)</v>
          </cell>
          <cell r="C162" t="str">
            <v>No</v>
          </cell>
          <cell r="E162">
            <v>74</v>
          </cell>
          <cell r="F162" t="str">
            <v>Surrogate key for the Source Entry Channel Type Dimension</v>
          </cell>
          <cell r="G162" t="str">
            <v>YES</v>
          </cell>
          <cell r="H162" t="str">
            <v>YES</v>
          </cell>
          <cell r="I162" t="str">
            <v>YES</v>
          </cell>
        </row>
        <row r="163">
          <cell r="A163" t="str">
            <v>SOURCE_ENTRY_CHANNEL_TYPE_ID</v>
          </cell>
          <cell r="B163" t="str">
            <v>NUMBER(38)</v>
          </cell>
          <cell r="C163" t="str">
            <v>Yes</v>
          </cell>
          <cell r="E163">
            <v>192</v>
          </cell>
          <cell r="F163" t="str">
            <v>Identifier for the Source Entry Channel Type</v>
          </cell>
          <cell r="G163" t="str">
            <v>YES</v>
          </cell>
          <cell r="H163" t="str">
            <v>YES</v>
          </cell>
          <cell r="I163" t="str">
            <v>YES</v>
          </cell>
        </row>
        <row r="164">
          <cell r="A164" t="str">
            <v>SOURCE_ENTRY_CHANNEL_TYPE_NAME</v>
          </cell>
          <cell r="B164" t="str">
            <v>VARCHAR2(200)</v>
          </cell>
          <cell r="C164" t="str">
            <v>Yes</v>
          </cell>
          <cell r="E164">
            <v>123</v>
          </cell>
          <cell r="F164" t="e">
            <v>#VALUE!</v>
          </cell>
          <cell r="G164" t="str">
            <v>YES</v>
          </cell>
          <cell r="H164" t="str">
            <v>YES</v>
          </cell>
          <cell r="I164" t="str">
            <v>YES</v>
          </cell>
        </row>
        <row r="165">
          <cell r="A165" t="str">
            <v>SOURCE_ENTRY_DATETIME</v>
          </cell>
          <cell r="B165" t="str">
            <v>TIMESTAMP(6)</v>
          </cell>
          <cell r="C165" t="str">
            <v>Yes</v>
          </cell>
          <cell r="E165">
            <v>75</v>
          </cell>
          <cell r="F165" t="str">
            <v>Time stamp of first occurrence of the transaction in the order entry system.</v>
          </cell>
          <cell r="G165" t="str">
            <v>YES</v>
          </cell>
          <cell r="H165" t="str">
            <v>YES</v>
          </cell>
          <cell r="I165" t="str">
            <v>YES</v>
          </cell>
        </row>
        <row r="166">
          <cell r="A166" t="str">
            <v>SOURCE_OPTION_CLASS_CODE</v>
          </cell>
          <cell r="B166" t="str">
            <v>VARCHAR2(50)</v>
          </cell>
          <cell r="C166" t="str">
            <v>Yes</v>
          </cell>
          <cell r="E166">
            <v>193</v>
          </cell>
          <cell r="F166" t="str">
            <v xml:space="preserve">The code that determines what type of transaction the record contains. For SIS activity the values depend on the record type.	</v>
          </cell>
          <cell r="G166" t="str">
            <v>YES</v>
          </cell>
          <cell r="H166" t="str">
            <v>YES</v>
          </cell>
          <cell r="I166" t="str">
            <v>YES</v>
          </cell>
        </row>
        <row r="167">
          <cell r="A167" t="str">
            <v>SOURCE_PROCESSING_TYPE_CODE</v>
          </cell>
          <cell r="B167" t="str">
            <v>VARCHAR2(20)</v>
          </cell>
          <cell r="C167" t="str">
            <v>Yes</v>
          </cell>
          <cell r="E167">
            <v>98</v>
          </cell>
          <cell r="F167" t="str">
            <v>A code for the source processing type, values include backdated, initial, cancel, correction or reversal.</v>
          </cell>
          <cell r="G167" t="str">
            <v>YES</v>
          </cell>
          <cell r="H167" t="str">
            <v>YES</v>
          </cell>
          <cell r="I167" t="str">
            <v>YES</v>
          </cell>
        </row>
        <row r="168">
          <cell r="A168" t="str">
            <v>SOURCE_PROCESSING_TYPE_DIMENSION_ID</v>
          </cell>
          <cell r="B168" t="str">
            <v>NUMBER(38)</v>
          </cell>
          <cell r="C168" t="str">
            <v>No</v>
          </cell>
          <cell r="E168">
            <v>76</v>
          </cell>
          <cell r="F168" t="str">
            <v>Surrogate key for Source Processing Type Dimension.</v>
          </cell>
          <cell r="G168" t="str">
            <v>YES</v>
          </cell>
          <cell r="H168" t="str">
            <v>YES</v>
          </cell>
          <cell r="I168" t="str">
            <v>YES</v>
          </cell>
        </row>
        <row r="169">
          <cell r="A169" t="str">
            <v>SOURCE_PROCESSING_TYPE_ID</v>
          </cell>
          <cell r="B169" t="str">
            <v>NUMBER(38)</v>
          </cell>
          <cell r="C169" t="str">
            <v>Yes</v>
          </cell>
          <cell r="E169">
            <v>194</v>
          </cell>
          <cell r="F169" t="str">
            <v>Identifier for the Source Processing Type</v>
          </cell>
          <cell r="G169" t="str">
            <v>YES</v>
          </cell>
          <cell r="H169" t="str">
            <v>YES</v>
          </cell>
          <cell r="I169" t="str">
            <v>YES</v>
          </cell>
        </row>
        <row r="170">
          <cell r="A170" t="str">
            <v>SOURCE_PROCESSING_TYPE_NAME</v>
          </cell>
          <cell r="B170" t="str">
            <v>VARCHAR2(200)</v>
          </cell>
          <cell r="C170" t="str">
            <v>Yes</v>
          </cell>
          <cell r="E170">
            <v>99</v>
          </cell>
          <cell r="F170" t="str">
            <v>Name of the source processing type, values include backdated, initial, cancel, correction or reversal.</v>
          </cell>
          <cell r="G170" t="str">
            <v>YES</v>
          </cell>
          <cell r="H170" t="str">
            <v>YES</v>
          </cell>
          <cell r="I170" t="str">
            <v>YES</v>
          </cell>
        </row>
        <row r="171">
          <cell r="A171" t="str">
            <v>SOURCE_SYSTEM_CODE</v>
          </cell>
          <cell r="B171" t="str">
            <v>VARCHAR2(20)</v>
          </cell>
          <cell r="C171" t="str">
            <v>Yes</v>
          </cell>
          <cell r="E171">
            <v>129</v>
          </cell>
          <cell r="F171" t="str">
            <v>Code for the source system information coming from Transaction. e.g., BKRBO1, BKRBO2, RJBNK1, ISO</v>
          </cell>
          <cell r="G171" t="str">
            <v>YES</v>
          </cell>
          <cell r="H171" t="str">
            <v>YES</v>
          </cell>
          <cell r="I171" t="str">
            <v>YES</v>
          </cell>
        </row>
        <row r="172">
          <cell r="A172" t="str">
            <v>SOURCE_SYSTEM_ID</v>
          </cell>
          <cell r="B172" t="str">
            <v>NUMBER(38)</v>
          </cell>
          <cell r="C172" t="str">
            <v>Yes</v>
          </cell>
          <cell r="E172">
            <v>195</v>
          </cell>
          <cell r="F172" t="str">
            <v>Source system Id coming from Transaction. This could be different from Source system Id coming from Arrangement information.</v>
          </cell>
          <cell r="G172" t="str">
            <v>YES</v>
          </cell>
          <cell r="H172" t="str">
            <v>YES</v>
          </cell>
          <cell r="I172" t="str">
            <v>YES</v>
          </cell>
        </row>
        <row r="173">
          <cell r="A173" t="str">
            <v>SOURCE_SYSTEM_NAME</v>
          </cell>
          <cell r="B173" t="str">
            <v>VARCHAR2(60)</v>
          </cell>
          <cell r="C173" t="str">
            <v>Yes</v>
          </cell>
          <cell r="E173">
            <v>196</v>
          </cell>
          <cell r="F173" t="str">
            <v>Name of the source system information coming from Transaction. e.g., SIS - Securities Industry Software, Raymond James, Raymond James Bank, Shadow Suite</v>
          </cell>
          <cell r="G173" t="str">
            <v>YES</v>
          </cell>
          <cell r="H173" t="str">
            <v>YES</v>
          </cell>
          <cell r="I173" t="str">
            <v>YES</v>
          </cell>
        </row>
        <row r="174">
          <cell r="A174" t="str">
            <v>SOURCE_TRANSACTION_CODE</v>
          </cell>
          <cell r="B174" t="str">
            <v>NUMBER(38)</v>
          </cell>
          <cell r="C174" t="str">
            <v>Yes</v>
          </cell>
          <cell r="E174">
            <v>134</v>
          </cell>
          <cell r="F174" t="str">
            <v>A code that represents the source of the transaction.  Possible values of transaction code include CD Adjustment, Interest Adjustment, and Withdrawal/Redemption.</v>
          </cell>
          <cell r="G174" t="str">
            <v>YES</v>
          </cell>
          <cell r="H174" t="str">
            <v>YES</v>
          </cell>
          <cell r="I174" t="str">
            <v>YES</v>
          </cell>
        </row>
        <row r="175">
          <cell r="A175" t="str">
            <v>SOURCE_TRANSACTION_SEQUENCE_NUMBER</v>
          </cell>
          <cell r="B175" t="str">
            <v>NUMBER(38)</v>
          </cell>
          <cell r="C175" t="str">
            <v>Yes</v>
          </cell>
          <cell r="E175">
            <v>197</v>
          </cell>
          <cell r="F175" t="str">
            <v>Transaction number assigned to the transaction in the source system.</v>
          </cell>
          <cell r="G175" t="str">
            <v>YES</v>
          </cell>
          <cell r="H175" t="str">
            <v>YES</v>
          </cell>
          <cell r="I175" t="str">
            <v>YES</v>
          </cell>
        </row>
        <row r="176">
          <cell r="A176" t="str">
            <v>SYSTEM_BASE_CURRENCY_CALCULATION_DATE</v>
          </cell>
          <cell r="B176" t="str">
            <v>DATE</v>
          </cell>
          <cell r="C176" t="str">
            <v>Yes</v>
          </cell>
          <cell r="E176">
            <v>49</v>
          </cell>
          <cell r="F176" t="str">
            <v>Date and time  when transaction amount was converted to system base currency</v>
          </cell>
          <cell r="G176" t="str">
            <v>YES</v>
          </cell>
          <cell r="H176" t="str">
            <v>YES</v>
          </cell>
          <cell r="I176" t="str">
            <v>YES</v>
          </cell>
        </row>
        <row r="177">
          <cell r="A177" t="str">
            <v>SYSTEM_BASE_CURRENCY_CODE</v>
          </cell>
          <cell r="B177" t="str">
            <v>VARCHAR2(3)</v>
          </cell>
          <cell r="C177" t="str">
            <v>Yes</v>
          </cell>
          <cell r="E177">
            <v>102</v>
          </cell>
          <cell r="F177" t="str">
            <v>Product identifier of the system base currency. This is USD for data coming from CDS currently..</v>
          </cell>
          <cell r="G177" t="str">
            <v>YES</v>
          </cell>
          <cell r="H177" t="str">
            <v>YES</v>
          </cell>
          <cell r="I177" t="str">
            <v>YES</v>
          </cell>
        </row>
        <row r="178">
          <cell r="A178" t="str">
            <v>SYSTEM_BASE_CURRENCY_DIMENSION_ID</v>
          </cell>
          <cell r="B178" t="str">
            <v>NUMBER(38)</v>
          </cell>
          <cell r="C178" t="str">
            <v>No</v>
          </cell>
          <cell r="E178">
            <v>50</v>
          </cell>
          <cell r="F178" t="str">
            <v>Surrogate key for Currency dimension</v>
          </cell>
          <cell r="G178" t="str">
            <v>YES</v>
          </cell>
          <cell r="H178" t="str">
            <v>YES</v>
          </cell>
          <cell r="I178" t="str">
            <v>YES</v>
          </cell>
        </row>
        <row r="179">
          <cell r="A179" t="str">
            <v>SYSTEM_BASE_CURRENCY_EXCHANGE_RATE</v>
          </cell>
          <cell r="B179" t="str">
            <v>NUMBER</v>
          </cell>
          <cell r="C179" t="str">
            <v>Yes</v>
          </cell>
          <cell r="E179">
            <v>51</v>
          </cell>
          <cell r="F179" t="str">
            <v>Exchange rate used to calculate transaction amount in system base currency</v>
          </cell>
          <cell r="G179" t="str">
            <v>YES</v>
          </cell>
          <cell r="H179" t="str">
            <v>YES</v>
          </cell>
          <cell r="I179" t="str">
            <v>YES</v>
          </cell>
        </row>
        <row r="180">
          <cell r="A180" t="str">
            <v>TARGET_TRANSACTION_ID</v>
          </cell>
          <cell r="B180" t="str">
            <v>NUMBER(38)</v>
          </cell>
          <cell r="C180" t="str">
            <v>Yes</v>
          </cell>
          <cell r="E180">
            <v>81</v>
          </cell>
          <cell r="F180" t="str">
            <v>The CDS assigned numeric identfier of the related (target) transaction that this current transaction is cancelling/correcting/reversing.</v>
          </cell>
          <cell r="G180" t="str">
            <v>YES</v>
          </cell>
          <cell r="H180" t="str">
            <v>YES</v>
          </cell>
          <cell r="I180" t="str">
            <v>YES</v>
          </cell>
        </row>
        <row r="181">
          <cell r="A181" t="str">
            <v>TRADE_DATE</v>
          </cell>
          <cell r="B181" t="str">
            <v>DATE</v>
          </cell>
          <cell r="C181" t="str">
            <v>Yes</v>
          </cell>
          <cell r="E181">
            <v>77</v>
          </cell>
          <cell r="F181" t="str">
            <v>Trade date of the transaction</v>
          </cell>
          <cell r="G181" t="str">
            <v>YES</v>
          </cell>
          <cell r="H181" t="str">
            <v>YES</v>
          </cell>
          <cell r="I181" t="str">
            <v>YES</v>
          </cell>
        </row>
        <row r="182">
          <cell r="A182" t="str">
            <v>TRADE_DATE_DIMENSION_ID</v>
          </cell>
          <cell r="B182" t="str">
            <v>NUMBER(38)</v>
          </cell>
          <cell r="C182" t="str">
            <v>No</v>
          </cell>
          <cell r="E182">
            <v>78</v>
          </cell>
          <cell r="F182" t="str">
            <v>Synthetic Key identifying a single date in the DATE Dimension, based on Trade date</v>
          </cell>
          <cell r="G182" t="str">
            <v>YES</v>
          </cell>
          <cell r="H182" t="str">
            <v>YES</v>
          </cell>
          <cell r="I182" t="str">
            <v>YES</v>
          </cell>
        </row>
        <row r="183">
          <cell r="A183" t="str">
            <v>TRADE_NUMBER</v>
          </cell>
          <cell r="B183" t="str">
            <v>VARCHAR2(15)</v>
          </cell>
          <cell r="C183" t="str">
            <v>Yes</v>
          </cell>
          <cell r="E183">
            <v>79</v>
          </cell>
          <cell r="F183" t="str">
            <v>An identification number of the trade (transaction number) that represents an executed FMI trade transaction.</v>
          </cell>
          <cell r="G183" t="str">
            <v>YES</v>
          </cell>
          <cell r="H183" t="str">
            <v>YES</v>
          </cell>
          <cell r="I183" t="str">
            <v>YES</v>
          </cell>
        </row>
        <row r="184">
          <cell r="A184" t="str">
            <v>TRADE_SOLICITATION_TYPE_CODE</v>
          </cell>
          <cell r="B184" t="str">
            <v>VARCHAR2(20)</v>
          </cell>
          <cell r="C184" t="str">
            <v>Yes</v>
          </cell>
          <cell r="E184">
            <v>124</v>
          </cell>
          <cell r="F184" t="str">
            <v>A code for the solicitation method in which the trade was executed.  A trade can be initiated by the broker, the client, or done at discretion of broker in discretionary accounts.</v>
          </cell>
          <cell r="G184" t="str">
            <v>YES</v>
          </cell>
          <cell r="H184" t="str">
            <v>YES</v>
          </cell>
          <cell r="I184" t="str">
            <v>YES</v>
          </cell>
        </row>
        <row r="185">
          <cell r="A185" t="str">
            <v>TRADE_SOLICITATION_TYPE_DIMENSION_ID</v>
          </cell>
          <cell r="B185" t="str">
            <v>NUMBER(38)</v>
          </cell>
          <cell r="C185" t="str">
            <v>No</v>
          </cell>
          <cell r="E185">
            <v>80</v>
          </cell>
          <cell r="F185" t="str">
            <v>Surrogate key for the Trade Solicitation Type Dimension</v>
          </cell>
          <cell r="G185" t="str">
            <v>YES</v>
          </cell>
          <cell r="H185" t="str">
            <v>YES</v>
          </cell>
          <cell r="I185" t="str">
            <v>YES</v>
          </cell>
        </row>
        <row r="186">
          <cell r="A186" t="str">
            <v>TRADE_SOLICITATION_TYPE_ID</v>
          </cell>
          <cell r="B186" t="str">
            <v>NUMBER(38)</v>
          </cell>
          <cell r="C186" t="str">
            <v>Yes</v>
          </cell>
          <cell r="E186">
            <v>198</v>
          </cell>
          <cell r="F186" t="str">
            <v>Identifier for the Trade Solicitation Type</v>
          </cell>
          <cell r="G186" t="str">
            <v>YES</v>
          </cell>
          <cell r="H186" t="str">
            <v>YES</v>
          </cell>
          <cell r="I186" t="str">
            <v>YES</v>
          </cell>
        </row>
        <row r="187">
          <cell r="A187" t="str">
            <v>TRADE_SOLICITATION_TYPE_NAME</v>
          </cell>
          <cell r="B187" t="str">
            <v>VARCHAR2(200)</v>
          </cell>
          <cell r="C187" t="str">
            <v>Yes</v>
          </cell>
          <cell r="E187">
            <v>125</v>
          </cell>
          <cell r="F187" t="str">
            <v>Tname of the solicitation method in which the trade was executed.  A trade can be initiated by the broker, the client, or done at discretion of broker in discretionary accounts.</v>
          </cell>
          <cell r="G187" t="str">
            <v>YES</v>
          </cell>
          <cell r="H187" t="str">
            <v>YES</v>
          </cell>
          <cell r="I187" t="str">
            <v>YES</v>
          </cell>
        </row>
        <row r="188">
          <cell r="A188" t="str">
            <v>TRANSACTION_CLASSIFICATION_FLAG</v>
          </cell>
          <cell r="B188" t="str">
            <v>VARCHAR2(2)</v>
          </cell>
          <cell r="C188" t="str">
            <v>Yes</v>
          </cell>
          <cell r="E188">
            <v>82</v>
          </cell>
          <cell r="F188" t="str">
            <v>Transaction Classification Flag</v>
          </cell>
          <cell r="G188" t="str">
            <v>YES</v>
          </cell>
          <cell r="H188" t="str">
            <v>YES</v>
          </cell>
          <cell r="I188" t="str">
            <v>YES</v>
          </cell>
        </row>
        <row r="189">
          <cell r="A189" t="str">
            <v>TRANSACTION_ID</v>
          </cell>
          <cell r="B189" t="str">
            <v>NUMBER(38)</v>
          </cell>
          <cell r="C189" t="str">
            <v>No</v>
          </cell>
          <cell r="E189">
            <v>83</v>
          </cell>
          <cell r="F189" t="str">
            <v>CDS assigned numeric identfier of the transaction</v>
          </cell>
          <cell r="G189" t="str">
            <v>YES</v>
          </cell>
          <cell r="H189" t="str">
            <v>YES</v>
          </cell>
          <cell r="I189" t="str">
            <v>YES</v>
          </cell>
        </row>
        <row r="190">
          <cell r="A190" t="str">
            <v>TRANSACTION_SOURCE_KEY</v>
          </cell>
          <cell r="B190" t="str">
            <v>VARCHAR2(200)</v>
          </cell>
          <cell r="C190" t="str">
            <v>Yes</v>
          </cell>
          <cell r="E190">
            <v>85</v>
          </cell>
          <cell r="F190" t="str">
            <v>A unique key which will help tie a CCAL transaction to the original source system transaction for research purposes.</v>
          </cell>
          <cell r="G190" t="str">
            <v>YES</v>
          </cell>
          <cell r="H190" t="str">
            <v>YES</v>
          </cell>
          <cell r="I190" t="str">
            <v>YES</v>
          </cell>
        </row>
        <row r="191">
          <cell r="A191" t="str">
            <v>TRANSACTION_SOURCE_SYSTEM_DIMENSION_ID</v>
          </cell>
          <cell r="B191" t="str">
            <v>NUMBER(38)</v>
          </cell>
          <cell r="C191" t="str">
            <v>No</v>
          </cell>
          <cell r="E191">
            <v>86</v>
          </cell>
          <cell r="F191" t="str">
            <v>Surrogate Key for Source system dimension based on source system information coming from Transaction.</v>
          </cell>
          <cell r="G191" t="str">
            <v>YES</v>
          </cell>
          <cell r="H191" t="str">
            <v>YES</v>
          </cell>
          <cell r="I191" t="str">
            <v>YES</v>
          </cell>
        </row>
        <row r="192">
          <cell r="A192" t="str">
            <v>TRANSACTION_SUBTYPE_CODE</v>
          </cell>
          <cell r="B192" t="str">
            <v>VARCHAR2(20)</v>
          </cell>
          <cell r="C192" t="str">
            <v>Yes</v>
          </cell>
          <cell r="E192">
            <v>87</v>
          </cell>
          <cell r="F192" t="e">
            <v>#VALUE!</v>
          </cell>
          <cell r="G192" t="str">
            <v>YES</v>
          </cell>
          <cell r="H192" t="str">
            <v>YES</v>
          </cell>
          <cell r="I192" t="str">
            <v>YES</v>
          </cell>
        </row>
        <row r="193">
          <cell r="A193" t="str">
            <v>TRANSACTION_SUBTYPE_DESCRIPTION</v>
          </cell>
          <cell r="B193" t="str">
            <v>VARCHAR2(1000)</v>
          </cell>
          <cell r="C193" t="str">
            <v>Yes</v>
          </cell>
          <cell r="E193">
            <v>88</v>
          </cell>
          <cell r="F193" t="str">
            <v>Description for the Transaction Subtype code</v>
          </cell>
          <cell r="G193" t="str">
            <v>YES</v>
          </cell>
          <cell r="H193" t="str">
            <v>YES</v>
          </cell>
          <cell r="I193" t="str">
            <v>YES</v>
          </cell>
        </row>
        <row r="194">
          <cell r="A194" t="str">
            <v>TRANSACTION_SUBTYPE_ID</v>
          </cell>
          <cell r="B194" t="str">
            <v>NUMBER(38)</v>
          </cell>
          <cell r="C194" t="str">
            <v>Yes</v>
          </cell>
          <cell r="E194">
            <v>84</v>
          </cell>
          <cell r="F194" t="str">
            <v>CDS assigned Identifier for the transaction subtype  - used for data lineage</v>
          </cell>
          <cell r="G194" t="str">
            <v>YES</v>
          </cell>
          <cell r="H194" t="str">
            <v>YES</v>
          </cell>
          <cell r="I194" t="str">
            <v>YES</v>
          </cell>
        </row>
        <row r="195">
          <cell r="A195" t="str">
            <v>TRANSACTION_SUBTYPE_NAME</v>
          </cell>
          <cell r="B195" t="str">
            <v>VARCHAR2(200)</v>
          </cell>
          <cell r="C195" t="str">
            <v>Yes</v>
          </cell>
          <cell r="E195">
            <v>89</v>
          </cell>
          <cell r="F195" t="e">
            <v>#VALUE!</v>
          </cell>
          <cell r="G195" t="str">
            <v>YES</v>
          </cell>
          <cell r="H195" t="str">
            <v>YES</v>
          </cell>
          <cell r="I195" t="str">
            <v>YES</v>
          </cell>
        </row>
        <row r="196">
          <cell r="A196" t="str">
            <v>TRANSACTION_TYPE_CODE</v>
          </cell>
          <cell r="B196" t="str">
            <v>VARCHAR2(20)</v>
          </cell>
          <cell r="C196" t="str">
            <v>Yes</v>
          </cell>
          <cell r="E196">
            <v>90</v>
          </cell>
          <cell r="F196" t="e">
            <v>#VALUE!</v>
          </cell>
          <cell r="G196" t="str">
            <v>YES</v>
          </cell>
          <cell r="H196" t="str">
            <v>YES</v>
          </cell>
          <cell r="I196" t="str">
            <v>YES</v>
          </cell>
        </row>
        <row r="197">
          <cell r="A197" t="str">
            <v>TRANSACTION_TYPE_DESCRIPTION</v>
          </cell>
          <cell r="B197" t="str">
            <v>VARCHAR2(1000)</v>
          </cell>
          <cell r="C197" t="str">
            <v>Yes</v>
          </cell>
          <cell r="E197">
            <v>91</v>
          </cell>
          <cell r="F197" t="str">
            <v>Description for the Transaction type</v>
          </cell>
          <cell r="G197" t="str">
            <v>YES</v>
          </cell>
          <cell r="H197" t="str">
            <v>YES</v>
          </cell>
          <cell r="I197" t="str">
            <v>YES</v>
          </cell>
        </row>
        <row r="198">
          <cell r="A198" t="str">
            <v>TRANSACTION_TYPE_ID</v>
          </cell>
          <cell r="B198" t="str">
            <v>NUMBER(38)</v>
          </cell>
          <cell r="C198" t="str">
            <v>Yes</v>
          </cell>
          <cell r="E198">
            <v>92</v>
          </cell>
          <cell r="F198" t="str">
            <v>Identifier for the Transaction type</v>
          </cell>
          <cell r="G198" t="str">
            <v>YES</v>
          </cell>
          <cell r="H198" t="str">
            <v>YES</v>
          </cell>
          <cell r="I198" t="str">
            <v>YES</v>
          </cell>
        </row>
        <row r="199">
          <cell r="A199" t="str">
            <v>TRANSACTION_TYPE_NAME</v>
          </cell>
          <cell r="B199" t="str">
            <v>VARCHAR2(200)</v>
          </cell>
          <cell r="C199" t="str">
            <v>Yes</v>
          </cell>
          <cell r="E199">
            <v>93</v>
          </cell>
          <cell r="F199" t="str">
            <v>Name that represents transactions from different source systems of different types of trades.</v>
          </cell>
          <cell r="G199" t="str">
            <v>YES</v>
          </cell>
          <cell r="H199" t="str">
            <v>YES</v>
          </cell>
          <cell r="I199" t="str">
            <v>YES</v>
          </cell>
        </row>
      </sheetData>
      <sheetData sheetId="3">
        <row r="2">
          <cell r="A2" t="str">
            <v>ACAT_CNTRA_FIRM_CLRG_ID_TP_CD</v>
          </cell>
          <cell r="B2" t="str">
            <v>VARCHAR2(1 BYTE)</v>
          </cell>
          <cell r="C2" t="str">
            <v>Yes</v>
          </cell>
          <cell r="E2">
            <v>193</v>
          </cell>
          <cell r="F2" t="str">
            <v>ACAT Broker ID Type</v>
          </cell>
        </row>
        <row r="3">
          <cell r="A3" t="str">
            <v>ACAT_CNTRA_FIRM_CLRG_NUM</v>
          </cell>
          <cell r="B3" t="str">
            <v>VARCHAR2(4 BYTE)</v>
          </cell>
          <cell r="C3" t="str">
            <v>Yes</v>
          </cell>
          <cell r="E3">
            <v>173</v>
          </cell>
          <cell r="F3" t="e">
            <v>#VALUE!</v>
          </cell>
        </row>
        <row r="4">
          <cell r="A4" t="str">
            <v>ACAT_CNTRA_FIRM_NM</v>
          </cell>
          <cell r="B4" t="str">
            <v>VARCHAR2(50 BYTE)</v>
          </cell>
          <cell r="C4" t="str">
            <v>Yes</v>
          </cell>
          <cell r="E4">
            <v>191</v>
          </cell>
          <cell r="F4" t="str">
            <v>ACAT Contra Firm Clearing Name</v>
          </cell>
        </row>
        <row r="5">
          <cell r="A5" t="str">
            <v>ACAT_CNTRA_FIRM_SHRT_NM</v>
          </cell>
          <cell r="B5" t="str">
            <v>VARCHAR2(15 BYTE)</v>
          </cell>
          <cell r="C5" t="str">
            <v>Yes</v>
          </cell>
          <cell r="E5">
            <v>192</v>
          </cell>
          <cell r="F5" t="str">
            <v>ACAT Contra Firm Clearing Short Name</v>
          </cell>
        </row>
        <row r="6">
          <cell r="A6" t="str">
            <v>ACG_TP_CD</v>
          </cell>
          <cell r="B6" t="str">
            <v>VARCHAR2(1 BYTE)</v>
          </cell>
          <cell r="C6" t="str">
            <v>Yes</v>
          </cell>
          <cell r="E6">
            <v>114</v>
          </cell>
          <cell r="F6" t="str">
            <v>Accounting type code from SIS (e.g., 1,2)</v>
          </cell>
        </row>
        <row r="7">
          <cell r="A7" t="str">
            <v>ACG_TP_DIM_ID</v>
          </cell>
          <cell r="B7" t="str">
            <v>NUMBER(38,0)</v>
          </cell>
          <cell r="C7" t="str">
            <v>No</v>
          </cell>
          <cell r="E7">
            <v>4</v>
          </cell>
          <cell r="F7" t="str">
            <v>Surrogate key for SIS Accounting Dimension</v>
          </cell>
        </row>
        <row r="8">
          <cell r="A8" t="str">
            <v>ACG_TP_ID</v>
          </cell>
          <cell r="B8" t="str">
            <v>NUMBER(38,0)</v>
          </cell>
          <cell r="C8" t="str">
            <v>Yes</v>
          </cell>
          <cell r="E8">
            <v>146</v>
          </cell>
          <cell r="F8" t="str">
            <v>Numeric identifier of the accounting type ID (e.g., 1006, 1001)</v>
          </cell>
        </row>
        <row r="9">
          <cell r="A9" t="str">
            <v>ACG_TP_NM</v>
          </cell>
          <cell r="B9" t="str">
            <v>VARCHAR2(30 BYTE)</v>
          </cell>
          <cell r="C9" t="str">
            <v>Yes</v>
          </cell>
          <cell r="E9">
            <v>115</v>
          </cell>
          <cell r="F9" t="str">
            <v>It is the Sub Account associated with the position identifying the regulatory needs of the position. (e.g., cash account,margin account)</v>
          </cell>
        </row>
        <row r="10">
          <cell r="A10" t="str">
            <v>ACTV_F</v>
          </cell>
          <cell r="B10" t="str">
            <v>VARCHAR2(1 BYTE)</v>
          </cell>
          <cell r="C10" t="str">
            <v>No</v>
          </cell>
          <cell r="D10" t="str">
            <v xml:space="preserve">'Y' </v>
          </cell>
          <cell r="E10">
            <v>137</v>
          </cell>
          <cell r="F10" t="str">
            <v>Indicates that the row is active</v>
          </cell>
        </row>
        <row r="11">
          <cell r="A11" t="str">
            <v>AGRT_ORIG_FEES</v>
          </cell>
          <cell r="B11" t="str">
            <v>NUMBER</v>
          </cell>
          <cell r="C11" t="str">
            <v>Yes</v>
          </cell>
          <cell r="E11">
            <v>208</v>
          </cell>
          <cell r="F11" t="str">
            <v>Aggregate Original Fees</v>
          </cell>
        </row>
        <row r="12">
          <cell r="A12" t="str">
            <v>AGRT_STMT_FEES</v>
          </cell>
          <cell r="B12" t="str">
            <v>NUMBER</v>
          </cell>
          <cell r="C12" t="str">
            <v>Yes</v>
          </cell>
          <cell r="E12">
            <v>209</v>
          </cell>
          <cell r="F12" t="str">
            <v>Aggregate Statement Fees</v>
          </cell>
        </row>
        <row r="13">
          <cell r="A13" t="str">
            <v>AR_DIM_ID</v>
          </cell>
          <cell r="B13" t="str">
            <v>NUMBER(38,0)</v>
          </cell>
          <cell r="C13" t="str">
            <v>No</v>
          </cell>
          <cell r="E13">
            <v>2</v>
          </cell>
          <cell r="F13" t="str">
            <v>Surrogate Key for Arrangement Dimension corresponding to AR_ID</v>
          </cell>
        </row>
        <row r="14">
          <cell r="A14" t="str">
            <v>AR_ID</v>
          </cell>
          <cell r="B14" t="str">
            <v>NUMBER(38,0)</v>
          </cell>
          <cell r="C14" t="str">
            <v>Yes</v>
          </cell>
          <cell r="E14">
            <v>93</v>
          </cell>
          <cell r="F14" t="str">
            <v>Arrangement Id of the Arrangement this APA belongs to.</v>
          </cell>
        </row>
        <row r="15">
          <cell r="A15" t="str">
            <v>AR_ORIG_SRC_STM_CD</v>
          </cell>
          <cell r="B15" t="str">
            <v>VARCHAR2(20 BYTE)</v>
          </cell>
          <cell r="C15" t="str">
            <v>Yes</v>
          </cell>
          <cell r="E15">
            <v>150</v>
          </cell>
          <cell r="F15" t="str">
            <v>Code that represents the source system from which CDS database receives/obtains the underlying Arrangement from.</v>
          </cell>
        </row>
        <row r="16">
          <cell r="A16" t="str">
            <v>AR_SETL_TP_CD</v>
          </cell>
          <cell r="B16" t="str">
            <v>VARCHAR2(20 BYTE)</v>
          </cell>
          <cell r="C16" t="str">
            <v>Yes</v>
          </cell>
          <cell r="E16">
            <v>156</v>
          </cell>
          <cell r="F16" t="str">
            <v xml:space="preserve">A code that identifies how an arrangement settles its security transactions. </v>
          </cell>
        </row>
        <row r="17">
          <cell r="A17" t="str">
            <v>AR_SETL_TP_DSC</v>
          </cell>
          <cell r="B17" t="str">
            <v>VARCHAR2(100 BYTE)</v>
          </cell>
          <cell r="C17" t="str">
            <v>Yes</v>
          </cell>
          <cell r="E17">
            <v>157</v>
          </cell>
          <cell r="F17" t="str">
            <v>A description that identifies how an arrangement settles its security transactions.</v>
          </cell>
        </row>
        <row r="18">
          <cell r="A18" t="str">
            <v>BATCH_DT</v>
          </cell>
          <cell r="B18" t="str">
            <v>DATE</v>
          </cell>
          <cell r="C18" t="str">
            <v>Yes</v>
          </cell>
          <cell r="E18">
            <v>134</v>
          </cell>
          <cell r="F18" t="str">
            <v>Business Date for the Load run of the Activity Asset Packager row IBM Unique ID:BDW03041</v>
          </cell>
        </row>
        <row r="19">
          <cell r="A19" t="str">
            <v>BKG_DT</v>
          </cell>
          <cell r="B19" t="str">
            <v>DATE</v>
          </cell>
          <cell r="C19" t="str">
            <v>Yes</v>
          </cell>
          <cell r="E19">
            <v>23</v>
          </cell>
          <cell r="F19" t="str">
            <v>System generated Date Time stamp when the record was created.  In SIS would be represented by Effective Date.</v>
          </cell>
        </row>
        <row r="20">
          <cell r="A20" t="str">
            <v>BKR_AR_DIM_ID</v>
          </cell>
          <cell r="B20" t="str">
            <v>NUMBER(38,0)</v>
          </cell>
          <cell r="C20" t="str">
            <v>No</v>
          </cell>
          <cell r="E20">
            <v>18</v>
          </cell>
          <cell r="F20" t="str">
            <v>Surrogate Key for Brokerage Arrangement Dimension</v>
          </cell>
        </row>
        <row r="21">
          <cell r="A21" t="str">
            <v>BKR_AR_ID</v>
          </cell>
          <cell r="B21" t="str">
            <v>NUMBER(38,0)</v>
          </cell>
          <cell r="C21" t="str">
            <v>Yes</v>
          </cell>
          <cell r="E21">
            <v>96</v>
          </cell>
          <cell r="F21" t="str">
            <v>Brokerage arrangement associated with the Arrangement id. If the transaction is for a brokerage arrangement than both will have same value.</v>
          </cell>
        </row>
        <row r="22">
          <cell r="A22" t="str">
            <v>BR_CD</v>
          </cell>
          <cell r="B22" t="str">
            <v>VARCHAR2(20 BYTE)</v>
          </cell>
          <cell r="C22" t="str">
            <v>Yes</v>
          </cell>
          <cell r="E22">
            <v>98</v>
          </cell>
          <cell r="F22" t="str">
            <v>Entity Code of the Financial Advisor that is executing the trade.</v>
          </cell>
        </row>
        <row r="23">
          <cell r="A23" t="str">
            <v>BUY_SELL_IND</v>
          </cell>
          <cell r="B23" t="str">
            <v>VARCHAR2(10 BYTE)</v>
          </cell>
          <cell r="C23" t="str">
            <v>Yes</v>
          </cell>
          <cell r="E23">
            <v>51</v>
          </cell>
          <cell r="F23" t="str">
            <v>Indicator to determine whether the transaction is a sale or a purchase</v>
          </cell>
        </row>
        <row r="24">
          <cell r="A24" t="str">
            <v>CASH_ALT_DSC_TRAILER_2</v>
          </cell>
          <cell r="B24" t="str">
            <v>VARCHAR2(256 BYTE)</v>
          </cell>
          <cell r="C24" t="str">
            <v>Yes</v>
          </cell>
          <cell r="E24">
            <v>57</v>
          </cell>
          <cell r="F24" t="str">
            <v>Second line of unformatted, monolingual narrative booking information. SIS trailer field 2.This field will be populated only if the transaction has a Cash leg.</v>
          </cell>
        </row>
        <row r="25">
          <cell r="A25" t="str">
            <v>CASH_APA_EXT_QUALFR</v>
          </cell>
          <cell r="B25" t="str">
            <v>VARCHAR2(50 BYTE)</v>
          </cell>
          <cell r="C25" t="str">
            <v>Yes</v>
          </cell>
          <cell r="E25">
            <v>147</v>
          </cell>
          <cell r="F25" t="str">
            <v>Qualifier code from the external source system.This field will be populated only if the transaction has a Cash leg.</v>
          </cell>
        </row>
        <row r="26">
          <cell r="A26" t="str">
            <v>CASH_APA_TP_CD</v>
          </cell>
          <cell r="B26" t="str">
            <v>VARCHAR2(20 BYTE)</v>
          </cell>
          <cell r="C26" t="str">
            <v>Yes</v>
          </cell>
          <cell r="E26">
            <v>80</v>
          </cell>
          <cell r="F26" t="str">
            <v>Code associated with Asset Package Type Id.This field will be populated only if the transaction has a Cash leg.</v>
          </cell>
        </row>
        <row r="27">
          <cell r="A27" t="str">
            <v>CASH_APA_TP_DSC</v>
          </cell>
          <cell r="B27" t="str">
            <v>VARCHAR2(1000 BYTE)</v>
          </cell>
          <cell r="C27" t="str">
            <v>Yes</v>
          </cell>
          <cell r="E27">
            <v>82</v>
          </cell>
          <cell r="F27" t="str">
            <v>Description associated with Asset Package Type Id.This field will be populated only if the transaction has a Cash leg.</v>
          </cell>
        </row>
        <row r="28">
          <cell r="A28" t="str">
            <v>CASH_APA_TP_NM</v>
          </cell>
          <cell r="B28" t="str">
            <v>VARCHAR2(200 BYTE)</v>
          </cell>
          <cell r="C28" t="str">
            <v>Yes</v>
          </cell>
          <cell r="E28">
            <v>81</v>
          </cell>
          <cell r="F28" t="str">
            <v>Name of Asset Package Type Id.This field will be populated only if the transaction has a Cash leg.</v>
          </cell>
        </row>
        <row r="29">
          <cell r="A29" t="str">
            <v>CASH_AVY_CGY</v>
          </cell>
          <cell r="B29" t="str">
            <v>VARCHAR2(25 BYTE)</v>
          </cell>
          <cell r="C29" t="str">
            <v>Yes</v>
          </cell>
          <cell r="E29">
            <v>86</v>
          </cell>
          <cell r="F29" t="str">
            <v>Represents the specific Category of activity such as a 'Purchase' or 'Income'. Further refinement of the categories are captured under Activity Type.This field will be populated only if the transaction has a Cash leg.</v>
          </cell>
        </row>
        <row r="30">
          <cell r="A30" t="str">
            <v>CASH_AVY_TP</v>
          </cell>
          <cell r="B30" t="str">
            <v>VARCHAR2(100 BYTE)</v>
          </cell>
          <cell r="C30" t="str">
            <v>Yes</v>
          </cell>
          <cell r="E30">
            <v>87</v>
          </cell>
          <cell r="F30" t="str">
            <v>Represents a more refined view of the Activity Category.This field will be populated only if the transaction has a Cash leg.</v>
          </cell>
        </row>
        <row r="31">
          <cell r="A31" t="str">
            <v>CASH_CIRD_PD_ID</v>
          </cell>
          <cell r="B31" t="str">
            <v>NUMBER(38,0)</v>
          </cell>
          <cell r="C31" t="str">
            <v>Yes</v>
          </cell>
          <cell r="E31">
            <v>135</v>
          </cell>
          <cell r="F31" t="str">
            <v>CIRD identifier for product.This field will be populated only if the transaction has a Cash leg.</v>
          </cell>
        </row>
        <row r="32">
          <cell r="A32" t="str">
            <v>CASH_DB_CR_CD</v>
          </cell>
          <cell r="B32" t="str">
            <v>VARCHAR2(20 BYTE)</v>
          </cell>
          <cell r="C32" t="str">
            <v>Yes</v>
          </cell>
          <cell r="E32">
            <v>45</v>
          </cell>
          <cell r="F32" t="str">
            <v>A code representing Debit / Credit (e.g. D / C).This field will be populated only if the transaction has a Cash leg.</v>
          </cell>
        </row>
        <row r="33">
          <cell r="A33" t="str">
            <v>CASH_DB_CR_NM</v>
          </cell>
          <cell r="B33" t="str">
            <v>VARCHAR2(100 BYTE)</v>
          </cell>
          <cell r="C33" t="str">
            <v>Yes</v>
          </cell>
          <cell r="E33">
            <v>131</v>
          </cell>
          <cell r="F33" t="str">
            <v>A Name representing Debit / Credit (e.g. Debit / Credit).This field will be populated only if the transaction has a Cash leg.</v>
          </cell>
        </row>
        <row r="34">
          <cell r="A34" t="str">
            <v>CASH_DSC_TRAILER_1</v>
          </cell>
          <cell r="B34" t="str">
            <v>VARCHAR2(256 BYTE)</v>
          </cell>
          <cell r="C34" t="str">
            <v>Yes</v>
          </cell>
          <cell r="E34">
            <v>56</v>
          </cell>
          <cell r="F34" t="str">
            <v>First line of unformatted, monolingual narrative booking information. SIS Trailer field 1.This field will be populated only if the transaction has a Cash leg.</v>
          </cell>
        </row>
        <row r="35">
          <cell r="A35" t="str">
            <v>CASH_PD_DIM_ID</v>
          </cell>
          <cell r="B35" t="str">
            <v>NUMBER(38,0)</v>
          </cell>
          <cell r="C35" t="str">
            <v>No</v>
          </cell>
          <cell r="E35">
            <v>8</v>
          </cell>
          <cell r="F35" t="str">
            <v>Surrogate key for Instrument Product Dim.This field will be populated only if the transaction has a Cash leg.</v>
          </cell>
        </row>
        <row r="36">
          <cell r="A36" t="str">
            <v>CASH_PD_ID</v>
          </cell>
          <cell r="B36" t="str">
            <v>NUMBER(38,0)</v>
          </cell>
          <cell r="C36" t="str">
            <v>Yes</v>
          </cell>
          <cell r="E36">
            <v>95</v>
          </cell>
          <cell r="F36" t="str">
            <v>Product Identifier from Cash Asset package</v>
          </cell>
        </row>
        <row r="37">
          <cell r="A37" t="str">
            <v>CASH_POS_TP_CD</v>
          </cell>
          <cell r="B37" t="str">
            <v>VARCHAR2(10 BYTE)</v>
          </cell>
          <cell r="C37" t="str">
            <v>Yes</v>
          </cell>
          <cell r="E37">
            <v>116</v>
          </cell>
          <cell r="F37" t="str">
            <v>Coded name for the Cash Postion Type e.g., rjtgs2i, rtc</v>
          </cell>
        </row>
        <row r="38">
          <cell r="A38" t="str">
            <v>CASH_POS_TP_DIM_ID</v>
          </cell>
          <cell r="B38" t="str">
            <v>NUMBER(38,0)</v>
          </cell>
          <cell r="C38" t="str">
            <v>No</v>
          </cell>
          <cell r="E38">
            <v>5</v>
          </cell>
          <cell r="F38" t="str">
            <v>Surrogate Key for Cash Position Type</v>
          </cell>
        </row>
        <row r="39">
          <cell r="A39" t="str">
            <v>CASH_POS_TP_ID</v>
          </cell>
          <cell r="B39" t="str">
            <v>NUMBER(38,0)</v>
          </cell>
          <cell r="C39" t="str">
            <v>Yes</v>
          </cell>
          <cell r="E39">
            <v>148</v>
          </cell>
          <cell r="F39" t="str">
            <v>An Id representing Cash position type</v>
          </cell>
        </row>
        <row r="40">
          <cell r="A40" t="str">
            <v>CASH_POS_TP_NM</v>
          </cell>
          <cell r="B40" t="str">
            <v>VARCHAR2(75 BYTE)</v>
          </cell>
          <cell r="C40" t="str">
            <v>Yes</v>
          </cell>
          <cell r="E40">
            <v>117</v>
          </cell>
          <cell r="F40" t="str">
            <v>Identifying how the cash position is treated at the end of the day for purposes of cash segregation and sweeps. e.g., Goldman Sachs Federal Fund - Income, Real Time Cash</v>
          </cell>
        </row>
        <row r="41">
          <cell r="A41" t="str">
            <v>CASH_SBC_AMT</v>
          </cell>
          <cell r="B41" t="str">
            <v>NUMBER(38,6)</v>
          </cell>
          <cell r="C41" t="str">
            <v>Yes</v>
          </cell>
          <cell r="E41">
            <v>42</v>
          </cell>
          <cell r="F41" t="str">
            <v>Transaction Amount expressed in System Base Currency.This field will be populated only if the transaction has a Cash leg.</v>
          </cell>
        </row>
        <row r="42">
          <cell r="A42" t="str">
            <v>CASH_SIMP_DSPL_AVY_CGY</v>
          </cell>
          <cell r="B42" t="str">
            <v>VARCHAR2(25 BYTE)</v>
          </cell>
          <cell r="C42" t="str">
            <v>Yes</v>
          </cell>
          <cell r="E42">
            <v>159</v>
          </cell>
          <cell r="F42" t="str">
            <v>Simplified Display activity category shown to advisor in applications like client center.This field will be populated only if the transaction has a Cash leg.</v>
          </cell>
        </row>
        <row r="43">
          <cell r="A43" t="str">
            <v>CASH_SIMP_DSPL_AVY_TP</v>
          </cell>
          <cell r="B43" t="str">
            <v>VARCHAR2(100 BYTE)</v>
          </cell>
          <cell r="C43" t="str">
            <v>Yes</v>
          </cell>
          <cell r="E43">
            <v>160</v>
          </cell>
          <cell r="F43" t="str">
            <v>Simplified Display activity type shown to advisor in applications like client center.This field will be populated only if the transaction has a Cash leg.</v>
          </cell>
        </row>
        <row r="44">
          <cell r="A44" t="str">
            <v>CASH_SRC_SEQ_NUM</v>
          </cell>
          <cell r="B44" t="str">
            <v>NUMBER(38,0)</v>
          </cell>
          <cell r="C44" t="str">
            <v>Yes</v>
          </cell>
          <cell r="E44">
            <v>58</v>
          </cell>
          <cell r="F44" t="str">
            <v>Sequence Number assigned by source system.This field will be populated only if the transaction has a Cash leg.</v>
          </cell>
        </row>
        <row r="45">
          <cell r="A45" t="str">
            <v>CASH_TXN_AMT</v>
          </cell>
          <cell r="B45" t="str">
            <v>NUMBER(38,6)</v>
          </cell>
          <cell r="C45" t="str">
            <v>Yes</v>
          </cell>
          <cell r="E45">
            <v>35</v>
          </cell>
          <cell r="F45" t="str">
            <v>Transaction amount applicable to the Asset package in transaction currency.This field will be populated only if the transaction has a Cash leg.</v>
          </cell>
        </row>
        <row r="46">
          <cell r="A46" t="str">
            <v>CCY_CD</v>
          </cell>
          <cell r="B46" t="str">
            <v>VARCHAR2(3 BYTE)</v>
          </cell>
          <cell r="C46" t="str">
            <v>Yes</v>
          </cell>
          <cell r="E46">
            <v>105</v>
          </cell>
          <cell r="F46" t="str">
            <v>ISO Currency Code for transaction amount</v>
          </cell>
        </row>
        <row r="47">
          <cell r="A47" t="str">
            <v>CCY_DIM_ID</v>
          </cell>
          <cell r="B47" t="str">
            <v>NUMBER(38,0)</v>
          </cell>
          <cell r="C47" t="str">
            <v>Yes</v>
          </cell>
          <cell r="E47">
            <v>104</v>
          </cell>
          <cell r="F47" t="str">
            <v>Surrogate key for Currency dimension based on Currency Code.</v>
          </cell>
        </row>
        <row r="48">
          <cell r="A48" t="str">
            <v>CF_GEN_F</v>
          </cell>
          <cell r="B48" t="str">
            <v>VARCHAR2(2 BYTE)</v>
          </cell>
          <cell r="C48" t="str">
            <v>Yes</v>
          </cell>
          <cell r="E48">
            <v>52</v>
          </cell>
          <cell r="F48" t="str">
            <v>Cash Flow Generation Flag</v>
          </cell>
        </row>
        <row r="49">
          <cell r="A49" t="str">
            <v>CLNT_FRIENDLY_DSC</v>
          </cell>
          <cell r="B49" t="str">
            <v>VARCHAR2(256 BYTE)</v>
          </cell>
          <cell r="C49" t="str">
            <v>Yes</v>
          </cell>
          <cell r="E49">
            <v>143</v>
          </cell>
          <cell r="F49" t="str">
            <v>Client friendly description of the Asset package.</v>
          </cell>
        </row>
        <row r="50">
          <cell r="A50" t="str">
            <v>CRT_DTM</v>
          </cell>
          <cell r="B50" t="str">
            <v>DATE</v>
          </cell>
          <cell r="C50" t="str">
            <v>No</v>
          </cell>
          <cell r="D50" t="str">
            <v xml:space="preserve">SYSDATE </v>
          </cell>
          <cell r="E50">
            <v>89</v>
          </cell>
          <cell r="F50" t="str">
            <v>The exact date when a record was first created.</v>
          </cell>
        </row>
        <row r="51">
          <cell r="A51" t="str">
            <v>CRT_USR_NM</v>
          </cell>
          <cell r="B51" t="str">
            <v>VARCHAR2(256 BYTE)</v>
          </cell>
          <cell r="C51" t="str">
            <v>No</v>
          </cell>
          <cell r="D51" t="str">
            <v xml:space="preserve">USER  </v>
          </cell>
          <cell r="E51">
            <v>90</v>
          </cell>
          <cell r="F51" t="str">
            <v>The name that represents the user who created an occurrence of a record.</v>
          </cell>
        </row>
        <row r="52">
          <cell r="A52" t="str">
            <v>CSH_APA_ID</v>
          </cell>
          <cell r="B52" t="str">
            <v>NUMBER(38,0)</v>
          </cell>
          <cell r="C52" t="str">
            <v>Yes</v>
          </cell>
          <cell r="E52">
            <v>32</v>
          </cell>
          <cell r="F52" t="str">
            <v>APA_ID from CCAL APA table. It is recorded here for the purpose of maintaining a link with the source.This field will be populated only if the transaction has a Cash leg.</v>
          </cell>
        </row>
        <row r="53">
          <cell r="A53" t="str">
            <v>CSH_APA_TP_ID</v>
          </cell>
          <cell r="B53" t="str">
            <v>NUMBER(38,0)</v>
          </cell>
          <cell r="C53" t="str">
            <v>Yes</v>
          </cell>
          <cell r="E53">
            <v>79</v>
          </cell>
          <cell r="F53" t="str">
            <v>Asset Pacakge type Id from CCAL core.This field will be populated only if the transaction has a Cash leg.</v>
          </cell>
        </row>
        <row r="54">
          <cell r="A54" t="str">
            <v>CSH_AVY_CL_ID</v>
          </cell>
          <cell r="B54" t="str">
            <v>NUMBER(38,0)</v>
          </cell>
          <cell r="C54" t="str">
            <v>Yes</v>
          </cell>
          <cell r="E54">
            <v>88</v>
          </cell>
          <cell r="F54" t="str">
            <v>CDS assigned identifier for the activity class.This field will be populated only if the transaction has a Cash leg.</v>
          </cell>
        </row>
        <row r="55">
          <cell r="A55" t="str">
            <v>DOL_IND_CD</v>
          </cell>
          <cell r="B55" t="str">
            <v>VARCHAR2(20 BYTE)</v>
          </cell>
          <cell r="C55" t="str">
            <v>Yes</v>
          </cell>
          <cell r="E55">
            <v>109</v>
          </cell>
          <cell r="F55" t="str">
            <v>A code that identifies whether or not an account is deemed eligible in accordance with the DOL fiduciary rule.</v>
          </cell>
        </row>
        <row r="56">
          <cell r="A56" t="str">
            <v>DOL_IND_ID</v>
          </cell>
          <cell r="B56" t="str">
            <v>NUMBER(38,0)</v>
          </cell>
          <cell r="C56" t="str">
            <v>Yes</v>
          </cell>
          <cell r="E56">
            <v>108</v>
          </cell>
          <cell r="F56" t="str">
            <v>Identifier of whether or not an account is deemed eligible in accordance with the DOL fiduciary rule.</v>
          </cell>
        </row>
        <row r="57">
          <cell r="A57" t="str">
            <v>DOL_IND_NM</v>
          </cell>
          <cell r="B57" t="str">
            <v>VARCHAR2(200 BYTE)</v>
          </cell>
          <cell r="C57" t="str">
            <v>Yes</v>
          </cell>
          <cell r="E57">
            <v>110</v>
          </cell>
          <cell r="F57" t="str">
            <v>Name that identifies whether or not an account is deemed eligible in accordance with the DOL fiduciary rule.</v>
          </cell>
        </row>
        <row r="58">
          <cell r="A58" t="str">
            <v>DVDN_RCRD_DT</v>
          </cell>
          <cell r="B58" t="str">
            <v>DATE</v>
          </cell>
          <cell r="C58" t="str">
            <v>Yes</v>
          </cell>
          <cell r="E58">
            <v>170</v>
          </cell>
          <cell r="F58" t="str">
            <v>The cut-off date that an organization is expected to use to determine which shareholders are eligible to receive a dividend or income distribution.</v>
          </cell>
        </row>
        <row r="59">
          <cell r="A59" t="str">
            <v>EXEC_DTM</v>
          </cell>
          <cell r="B59" t="str">
            <v>TIMESTAMP(6)</v>
          </cell>
          <cell r="C59" t="str">
            <v>Yes</v>
          </cell>
          <cell r="E59">
            <v>25</v>
          </cell>
          <cell r="F59" t="str">
            <v>System generated date time stamp when the order manager determined the information as binding and liable against 3rd parties. That is when an order is executed in the marketplace. This field holds timestamp at microsec level.</v>
          </cell>
        </row>
        <row r="60">
          <cell r="A60" t="str">
            <v>EXEC_SBTP_CD</v>
          </cell>
          <cell r="B60" t="str">
            <v>VARCHAR2(20 BYTE)</v>
          </cell>
          <cell r="C60" t="str">
            <v>Yes</v>
          </cell>
          <cell r="E60">
            <v>71</v>
          </cell>
          <cell r="F60" t="str">
            <v>A code for the execution sub-types allow the refinement of execution types for an order manager���s internal diversification only such as strategy level type, e.g.. Bullish Vertical spread, stop limit order.</v>
          </cell>
        </row>
        <row r="61">
          <cell r="A61" t="str">
            <v>EXEC_SBTP_DSC</v>
          </cell>
          <cell r="B61" t="str">
            <v>VARCHAR2(1000 BYTE)</v>
          </cell>
          <cell r="C61" t="str">
            <v>Yes</v>
          </cell>
          <cell r="E61">
            <v>73</v>
          </cell>
          <cell r="F61" t="str">
            <v>A description for the execution sub-types allow the refinement of execution types for an order manager���s internal diversification only such as strategy level type, e.g.. Bullish Vertical spread, stop limit order.</v>
          </cell>
        </row>
        <row r="62">
          <cell r="A62" t="str">
            <v>EXEC_SBTP_ID</v>
          </cell>
          <cell r="B62" t="str">
            <v>NUMBER(38,0)</v>
          </cell>
          <cell r="C62" t="str">
            <v>Yes</v>
          </cell>
          <cell r="E62">
            <v>74</v>
          </cell>
          <cell r="F62" t="e">
            <v>#VALUE!</v>
          </cell>
        </row>
        <row r="63">
          <cell r="A63" t="str">
            <v>EXEC_SBTP_NM</v>
          </cell>
          <cell r="B63" t="str">
            <v>VARCHAR2(200 BYTE)</v>
          </cell>
          <cell r="C63" t="str">
            <v>Yes</v>
          </cell>
          <cell r="E63">
            <v>72</v>
          </cell>
          <cell r="F63" t="str">
            <v>Name for the execution sub-types allow the refinement of execution types for an order manager���s internal diversification only such as strategy level type, e.g.. Bullish Vertical spread, stop limit order.</v>
          </cell>
        </row>
        <row r="64">
          <cell r="A64" t="str">
            <v>EXEC_TP_CD</v>
          </cell>
          <cell r="B64" t="str">
            <v>VARCHAR2(20 BYTE)</v>
          </cell>
          <cell r="C64" t="str">
            <v>Yes</v>
          </cell>
          <cell r="E64">
            <v>68</v>
          </cell>
          <cell r="F64" t="e">
            <v>#VALUE!</v>
          </cell>
        </row>
        <row r="65">
          <cell r="A65" t="str">
            <v>EXEC_TP_DSC</v>
          </cell>
          <cell r="B65" t="str">
            <v>VARCHAR2(1000 BYTE)</v>
          </cell>
          <cell r="C65" t="str">
            <v>Yes</v>
          </cell>
          <cell r="E65">
            <v>70</v>
          </cell>
          <cell r="F65" t="e">
            <v>#VALUE!</v>
          </cell>
        </row>
        <row r="66">
          <cell r="A66" t="str">
            <v>EXEC_TP_ID</v>
          </cell>
          <cell r="B66" t="str">
            <v>NUMBER(38,0)</v>
          </cell>
          <cell r="C66" t="str">
            <v>Yes</v>
          </cell>
          <cell r="E66">
            <v>67</v>
          </cell>
          <cell r="F66" t="e">
            <v>#VALUE!</v>
          </cell>
        </row>
        <row r="67">
          <cell r="A67" t="str">
            <v>EXEC_TP_NM</v>
          </cell>
          <cell r="B67" t="str">
            <v>VARCHAR2(200 BYTE)</v>
          </cell>
          <cell r="C67" t="str">
            <v>Yes</v>
          </cell>
          <cell r="E67">
            <v>69</v>
          </cell>
          <cell r="F67" t="e">
            <v>#VALUE!</v>
          </cell>
        </row>
        <row r="68">
          <cell r="A68" t="str">
            <v>EXG_CD</v>
          </cell>
          <cell r="B68" t="str">
            <v>VARCHAR2(30 BYTE)</v>
          </cell>
          <cell r="C68" t="str">
            <v>Yes</v>
          </cell>
          <cell r="E68">
            <v>112</v>
          </cell>
          <cell r="F68" t="str">
            <v>Code to indicate an exchange where a given trade was executed.  CIRD uses the MIC code where available/provided.</v>
          </cell>
        </row>
        <row r="69">
          <cell r="A69" t="str">
            <v>EXG_DIM_ID</v>
          </cell>
          <cell r="B69" t="str">
            <v>NUMBER(38,0)</v>
          </cell>
          <cell r="C69" t="str">
            <v>No</v>
          </cell>
          <cell r="E69">
            <v>1</v>
          </cell>
          <cell r="F69" t="str">
            <v>Surrogate key for Exchange Dim - The exchange that the transaction was conducted on</v>
          </cell>
        </row>
        <row r="70">
          <cell r="A70" t="str">
            <v>EXG_NM</v>
          </cell>
          <cell r="B70" t="str">
            <v>VARCHAR2(500 BYTE)</v>
          </cell>
          <cell r="C70" t="str">
            <v>Yes</v>
          </cell>
          <cell r="E70">
            <v>113</v>
          </cell>
          <cell r="F70" t="str">
            <v>Name that represents an exchange where a given trade was executed.  CIRD uses the MIC code where available/provided.</v>
          </cell>
        </row>
        <row r="71">
          <cell r="A71" t="str">
            <v>FA_NUM</v>
          </cell>
          <cell r="B71" t="str">
            <v>VARCHAR2(20 BYTE)</v>
          </cell>
          <cell r="C71" t="str">
            <v>Yes</v>
          </cell>
          <cell r="E71">
            <v>99</v>
          </cell>
          <cell r="F71" t="str">
            <v>A 4 character value assigned to one or more FAs for purposes of paying commissions. Accounts are assigned one FA Number. The FA Number is used to relate Advisors to client accounts.</v>
          </cell>
        </row>
        <row r="72">
          <cell r="A72" t="str">
            <v>FA_OWN_EMPE_ID</v>
          </cell>
          <cell r="B72" t="str">
            <v>VARCHAR2(44 BYTE)</v>
          </cell>
          <cell r="C72" t="str">
            <v>Yes</v>
          </cell>
          <cell r="E72">
            <v>206</v>
          </cell>
          <cell r="F72" t="str">
            <v>PeopleWorks Identifier for the Responsible Party for an FA Number</v>
          </cell>
        </row>
        <row r="73">
          <cell r="A73" t="str">
            <v>IMP_SRC_ACTN_CD</v>
          </cell>
          <cell r="B73" t="str">
            <v>VARCHAR2(1 BYTE)</v>
          </cell>
          <cell r="C73" t="str">
            <v>Yes</v>
          </cell>
          <cell r="E73">
            <v>164</v>
          </cell>
          <cell r="F73" t="str">
            <v>Code representing Action Type in IMPACT source system</v>
          </cell>
        </row>
        <row r="74">
          <cell r="A74" t="str">
            <v>IMP_SRC_ACTN_NM</v>
          </cell>
          <cell r="B74" t="str">
            <v>VARCHAR2(100 BYTE)</v>
          </cell>
          <cell r="C74" t="str">
            <v>Yes</v>
          </cell>
          <cell r="E74">
            <v>204</v>
          </cell>
          <cell r="F74" t="str">
            <v>Name representing Action Type in IMPACT source system</v>
          </cell>
        </row>
        <row r="75">
          <cell r="A75" t="str">
            <v>LAST_UDT_DTM</v>
          </cell>
          <cell r="B75" t="str">
            <v>DATE</v>
          </cell>
          <cell r="C75" t="str">
            <v>No</v>
          </cell>
          <cell r="D75" t="str">
            <v xml:space="preserve">SYSDATE </v>
          </cell>
          <cell r="E75">
            <v>189</v>
          </cell>
          <cell r="F75" t="str">
            <v>The exact date and time when an occurrence is inserted, updated, or deleted a row</v>
          </cell>
        </row>
        <row r="76">
          <cell r="A76" t="str">
            <v>LAST_UDT_USR_NM</v>
          </cell>
          <cell r="B76" t="str">
            <v>VARCHAR2(256 BYTE)</v>
          </cell>
          <cell r="C76" t="str">
            <v>No</v>
          </cell>
          <cell r="D76" t="str">
            <v xml:space="preserve">USER </v>
          </cell>
          <cell r="E76">
            <v>188</v>
          </cell>
          <cell r="F76" t="str">
            <v>The name that represents the user or application who inserted, updated, or deleted each occurrence of row</v>
          </cell>
        </row>
        <row r="77">
          <cell r="A77" t="str">
            <v>LGCY_CNCL_CMPLN_RSN_DIM_ID</v>
          </cell>
          <cell r="B77" t="str">
            <v>NUMBER(38,0)</v>
          </cell>
          <cell r="C77" t="str">
            <v>No</v>
          </cell>
          <cell r="E77">
            <v>9</v>
          </cell>
          <cell r="F77" t="str">
            <v>Surrogate key for Legacy Cancellation Compliance Reason Type dimension.</v>
          </cell>
        </row>
        <row r="78">
          <cell r="A78" t="str">
            <v>LGCY_CNCL_CMPLN_RSN_TP_CD</v>
          </cell>
          <cell r="B78" t="str">
            <v>VARCHAR2(20 BYTE)</v>
          </cell>
          <cell r="C78" t="str">
            <v>Yes</v>
          </cell>
          <cell r="E78">
            <v>118</v>
          </cell>
          <cell r="F78" t="str">
            <v>A code that indicates the Legacy Cancellation Compliance Reason Type.</v>
          </cell>
        </row>
        <row r="79">
          <cell r="A79" t="str">
            <v>LGCY_CNCL_CMPLN_RSN_TP_ID</v>
          </cell>
          <cell r="B79" t="str">
            <v>NUMBER(38,0)</v>
          </cell>
          <cell r="C79" t="str">
            <v>Yes</v>
          </cell>
          <cell r="E79">
            <v>180</v>
          </cell>
          <cell r="F79" t="str">
            <v>Identifier for the Legacy Cancellation Compliance Reason Type.</v>
          </cell>
        </row>
        <row r="80">
          <cell r="A80" t="str">
            <v>LGCY_CNCL_CMPLN_RSN_TP_NM</v>
          </cell>
          <cell r="B80" t="str">
            <v>VARCHAR2(200 BYTE)</v>
          </cell>
          <cell r="C80" t="str">
            <v>Yes</v>
          </cell>
          <cell r="E80">
            <v>119</v>
          </cell>
          <cell r="F80" t="str">
            <v>Name of the Legacy Cancellation Compliance Reason Type.This will provide specific reason as to why a trade was cancelled, such as due to a price correction.</v>
          </cell>
        </row>
        <row r="81">
          <cell r="A81" t="str">
            <v>LGCY_CNCL_CMPLN_SRC_DIM_ID</v>
          </cell>
          <cell r="B81" t="str">
            <v>NUMBER(38,0)</v>
          </cell>
          <cell r="C81" t="str">
            <v>No</v>
          </cell>
          <cell r="E81">
            <v>10</v>
          </cell>
          <cell r="F81" t="str">
            <v>Surrogate key for Legacy Cancellation Compliance Source Type Dimension.</v>
          </cell>
        </row>
        <row r="82">
          <cell r="A82" t="str">
            <v>LGCY_CNCL_CMPLN_SRC_TP_CD</v>
          </cell>
          <cell r="B82" t="str">
            <v>VARCHAR2(20 BYTE)</v>
          </cell>
          <cell r="C82" t="str">
            <v>Yes</v>
          </cell>
          <cell r="E82">
            <v>120</v>
          </cell>
          <cell r="F82" t="str">
            <v>A code that indicates the Legacy Cancellation Compliance Source Type.</v>
          </cell>
        </row>
        <row r="83">
          <cell r="A83" t="str">
            <v>LGCY_CNCL_CMPLN_SRC_TP_ID</v>
          </cell>
          <cell r="B83" t="str">
            <v>NUMBER(38,0)</v>
          </cell>
          <cell r="C83" t="str">
            <v>Yes</v>
          </cell>
          <cell r="E83">
            <v>181</v>
          </cell>
          <cell r="F83" t="str">
            <v>Identifier for the Legacy Cancellation Compliance Source Type.</v>
          </cell>
        </row>
        <row r="84">
          <cell r="A84" t="str">
            <v>LGCY_CNCL_CMPLN_SRC_TP_NM</v>
          </cell>
          <cell r="B84" t="str">
            <v>VARCHAR2(200 BYTE)</v>
          </cell>
          <cell r="C84" t="str">
            <v>Yes</v>
          </cell>
          <cell r="E84">
            <v>121</v>
          </cell>
          <cell r="F84" t="str">
            <v>Name of the Legacy Cancellation Compliance Source Type.This will provide which internal or external source executed the trade cancellation, such as Purchase and Sales department.</v>
          </cell>
        </row>
        <row r="85">
          <cell r="A85" t="str">
            <v>LGCY_MKT_TP_CD</v>
          </cell>
          <cell r="B85" t="str">
            <v>VARCHAR2(20 BYTE)</v>
          </cell>
          <cell r="C85" t="str">
            <v>Yes</v>
          </cell>
          <cell r="E85">
            <v>122</v>
          </cell>
          <cell r="F85" t="str">
            <v>Code to indicate what type of market the trade was executed in. Eg. NYSE, OTC, CBOE, etc</v>
          </cell>
        </row>
        <row r="86">
          <cell r="A86" t="str">
            <v>LGCY_MKT_TP_DIM_ID</v>
          </cell>
          <cell r="B86" t="str">
            <v>NUMBER(38,0)</v>
          </cell>
          <cell r="C86" t="str">
            <v>No</v>
          </cell>
          <cell r="E86">
            <v>11</v>
          </cell>
          <cell r="F86" t="str">
            <v>Surrogate key for Legacy Market Type Dimension.</v>
          </cell>
        </row>
        <row r="87">
          <cell r="A87" t="str">
            <v>LGCY_MKT_TP_ID</v>
          </cell>
          <cell r="B87" t="str">
            <v>NUMBER(38,0)</v>
          </cell>
          <cell r="C87" t="str">
            <v>Yes</v>
          </cell>
          <cell r="E87">
            <v>182</v>
          </cell>
          <cell r="F87" t="str">
            <v>Identifier that represents what type of market the trade was executed in.</v>
          </cell>
        </row>
        <row r="88">
          <cell r="A88" t="str">
            <v>LGCY_MKT_TP_NM</v>
          </cell>
          <cell r="B88" t="str">
            <v>VARCHAR2(200 BYTE)</v>
          </cell>
          <cell r="C88" t="str">
            <v>Yes</v>
          </cell>
          <cell r="E88">
            <v>123</v>
          </cell>
          <cell r="F88" t="str">
            <v>Name that represents what type of market the trade was executed in. Eg. NYSE, OTC, CBOE, etc</v>
          </cell>
        </row>
        <row r="89">
          <cell r="A89" t="str">
            <v>LGCY_TRD_CPCTY_TP_CD</v>
          </cell>
          <cell r="B89" t="str">
            <v>VARCHAR2(20 BYTE)</v>
          </cell>
          <cell r="C89" t="str">
            <v>Yes</v>
          </cell>
          <cell r="E89">
            <v>124</v>
          </cell>
          <cell r="F89" t="str">
            <v>Code to show what type of capacity the trade was executed in. Eg. acting as principal or agency.</v>
          </cell>
        </row>
        <row r="90">
          <cell r="A90" t="str">
            <v>LGCY_TRD_CPCTY_TP_DIM_ID</v>
          </cell>
          <cell r="B90" t="str">
            <v>NUMBER(38,0)</v>
          </cell>
          <cell r="C90" t="str">
            <v>No</v>
          </cell>
          <cell r="E90">
            <v>12</v>
          </cell>
          <cell r="F90" t="str">
            <v>Surrogate key for Legacy trade Capacity Type Dimension.</v>
          </cell>
        </row>
        <row r="91">
          <cell r="A91" t="str">
            <v>LGCY_TRD_CPCTY_TP_ID</v>
          </cell>
          <cell r="B91" t="str">
            <v>NUMBER(38,0)</v>
          </cell>
          <cell r="C91" t="str">
            <v>Yes</v>
          </cell>
          <cell r="E91">
            <v>183</v>
          </cell>
          <cell r="F91" t="str">
            <v>Identifier that represents what type of capacity the trade was executed in.</v>
          </cell>
        </row>
        <row r="92">
          <cell r="A92" t="str">
            <v>LGCY_TRD_CPCTY_TP_NM</v>
          </cell>
          <cell r="B92" t="str">
            <v>VARCHAR2(200 BYTE)</v>
          </cell>
          <cell r="C92" t="str">
            <v>Yes</v>
          </cell>
          <cell r="E92">
            <v>125</v>
          </cell>
          <cell r="F92" t="str">
            <v>Name that represents what type of capacity the trade was executed in. Eg. acting as principal or agency.</v>
          </cell>
        </row>
        <row r="93">
          <cell r="A93" t="str">
            <v>MF_AC_NUM</v>
          </cell>
          <cell r="B93" t="str">
            <v>VARCHAR2(30 BYTE)</v>
          </cell>
          <cell r="C93" t="str">
            <v>Yes</v>
          </cell>
          <cell r="E93">
            <v>151</v>
          </cell>
          <cell r="F93" t="str">
            <v>Account number of the mutual fund, if the transaction is on mutual fund.</v>
          </cell>
        </row>
        <row r="94">
          <cell r="A94" t="str">
            <v>MM_ALT_ID</v>
          </cell>
          <cell r="B94" t="str">
            <v>VARCHAR2(50 BYTE)</v>
          </cell>
          <cell r="C94" t="str">
            <v>Yes</v>
          </cell>
          <cell r="E94">
            <v>174</v>
          </cell>
          <cell r="F94" t="str">
            <v>Identifier on all Money movement transactions</v>
          </cell>
        </row>
        <row r="95">
          <cell r="A95" t="str">
            <v>OFST_AR_DIM_ID</v>
          </cell>
          <cell r="B95" t="str">
            <v>NUMBER(38,0)</v>
          </cell>
          <cell r="C95" t="str">
            <v>No</v>
          </cell>
          <cell r="E95">
            <v>3</v>
          </cell>
          <cell r="F95" t="str">
            <v>Surrogate Key for offset Arrangement Dimension</v>
          </cell>
        </row>
        <row r="96">
          <cell r="A96" t="str">
            <v>OFST_AR_ID</v>
          </cell>
          <cell r="B96" t="str">
            <v>NUMBER(38,0)</v>
          </cell>
          <cell r="C96" t="str">
            <v>Yes</v>
          </cell>
          <cell r="E96">
            <v>97</v>
          </cell>
          <cell r="F96" t="str">
            <v>If the APA was satisfied by offsetting with another RJ arrangement then, this column will contain the offsetted arrangement.</v>
          </cell>
        </row>
        <row r="97">
          <cell r="A97" t="str">
            <v>OFST_AR_ORIG_SRC_STM_CD</v>
          </cell>
          <cell r="B97" t="str">
            <v>VARCHAR2(20 BYTE)</v>
          </cell>
          <cell r="C97" t="str">
            <v>Yes</v>
          </cell>
          <cell r="E97">
            <v>153</v>
          </cell>
          <cell r="F97" t="e">
            <v>#VALUE!</v>
          </cell>
        </row>
        <row r="98">
          <cell r="A98" t="str">
            <v>OFST_AR_SETL_TP_CD</v>
          </cell>
          <cell r="B98" t="str">
            <v>VARCHAR2(20 BYTE)</v>
          </cell>
          <cell r="C98" t="str">
            <v>Yes</v>
          </cell>
          <cell r="E98">
            <v>154</v>
          </cell>
          <cell r="F98" t="e">
            <v>#VALUE!</v>
          </cell>
        </row>
        <row r="99">
          <cell r="A99" t="str">
            <v>OFST_AR_SETL_TP_DSC</v>
          </cell>
          <cell r="B99" t="str">
            <v>VARCHAR2(100 BYTE)</v>
          </cell>
          <cell r="C99" t="str">
            <v>Yes</v>
          </cell>
          <cell r="E99">
            <v>155</v>
          </cell>
          <cell r="F99" t="e">
            <v>#VALUE!</v>
          </cell>
        </row>
        <row r="100">
          <cell r="A100" t="str">
            <v>OFST_ORIG_SRC_STM_AR_ID</v>
          </cell>
          <cell r="B100" t="str">
            <v>VARCHAR2(50 BYTE)</v>
          </cell>
          <cell r="C100" t="str">
            <v>Yes</v>
          </cell>
          <cell r="E100">
            <v>152</v>
          </cell>
          <cell r="F100" t="e">
            <v>#VALUE!</v>
          </cell>
        </row>
        <row r="101">
          <cell r="A101" t="str">
            <v>OMS_EXEC_TP_CD</v>
          </cell>
          <cell r="B101" t="str">
            <v>VARCHAR2(20 BYTE)</v>
          </cell>
          <cell r="C101" t="str">
            <v>Yes</v>
          </cell>
          <cell r="E101">
            <v>140</v>
          </cell>
          <cell r="F101" t="str">
            <v>A code for the type of trade executions used in the Order Management System in a code format.</v>
          </cell>
        </row>
        <row r="102">
          <cell r="A102" t="str">
            <v>OMS_EXEC_TP_DSC</v>
          </cell>
          <cell r="B102" t="str">
            <v>VARCHAR2(1000 BYTE)</v>
          </cell>
          <cell r="C102" t="str">
            <v>Yes</v>
          </cell>
          <cell r="E102">
            <v>142</v>
          </cell>
          <cell r="F102" t="str">
            <v>A description for the type of trade executions used in the Order Management System in a code format.</v>
          </cell>
        </row>
        <row r="103">
          <cell r="A103" t="str">
            <v>OMS_EXEC_TP_ID</v>
          </cell>
          <cell r="B103" t="str">
            <v>NUMBER(38,0)</v>
          </cell>
          <cell r="C103" t="str">
            <v>Yes</v>
          </cell>
          <cell r="E103">
            <v>139</v>
          </cell>
          <cell r="F103" t="str">
            <v>Identifier for the type of trade executions used in the Order Management System in a code format.</v>
          </cell>
        </row>
        <row r="104">
          <cell r="A104" t="str">
            <v>OMS_EXEC_TP_NM</v>
          </cell>
          <cell r="B104" t="str">
            <v>VARCHAR2(200 BYTE)</v>
          </cell>
          <cell r="C104" t="str">
            <v>Yes</v>
          </cell>
          <cell r="E104">
            <v>141</v>
          </cell>
          <cell r="F104" t="str">
            <v>Name of the type of trade executions used in the Order Management System. Examples of OMS execution types would be 'Agency', 'Principal', 'Open Repo', 'Close Repo' etc.</v>
          </cell>
        </row>
        <row r="105">
          <cell r="A105" t="str">
            <v>OMS_ORDR_KEY</v>
          </cell>
          <cell r="B105" t="str">
            <v>VARCHAR2(20 BYTE)</v>
          </cell>
          <cell r="C105" t="str">
            <v>Yes</v>
          </cell>
          <cell r="E105">
            <v>111</v>
          </cell>
          <cell r="F105" t="str">
            <v>Unique system generated key from OMS system. This field is required in the CAT extracts and will be used to find the newOrderFDID, a field required on Allocation events (MEPA events).</v>
          </cell>
        </row>
        <row r="106">
          <cell r="A106" t="str">
            <v>OPT_CLSS_CD</v>
          </cell>
          <cell r="B106" t="str">
            <v>VARCHAR2(10 BYTE)</v>
          </cell>
          <cell r="C106" t="str">
            <v>Yes</v>
          </cell>
          <cell r="E106">
            <v>54</v>
          </cell>
          <cell r="F106" t="e">
            <v>#VALUE!</v>
          </cell>
        </row>
        <row r="107">
          <cell r="A107" t="str">
            <v>ORIG_BKG_DT</v>
          </cell>
          <cell r="B107" t="str">
            <v>DATE</v>
          </cell>
          <cell r="C107" t="str">
            <v>Yes</v>
          </cell>
          <cell r="E107">
            <v>24</v>
          </cell>
          <cell r="F107" t="str">
            <v>This represents the business day date when the quantity has been ���booked��� in the system.</v>
          </cell>
        </row>
        <row r="108">
          <cell r="A108" t="str">
            <v>ORIG_SRC_STM_AR_ID</v>
          </cell>
          <cell r="B108" t="str">
            <v>VARCHAR2(50 BYTE)</v>
          </cell>
          <cell r="C108" t="str">
            <v>Yes</v>
          </cell>
          <cell r="E108">
            <v>158</v>
          </cell>
          <cell r="F108" t="str">
            <v>Contains the account number/contract number from the original source system provider - e.g., SIS Account number for brokerage accounts</v>
          </cell>
        </row>
        <row r="109">
          <cell r="A109" t="str">
            <v>ORIG_SRC_STM_CD</v>
          </cell>
          <cell r="B109" t="str">
            <v>VARCHAR2(10 BYTE)</v>
          </cell>
          <cell r="C109" t="str">
            <v>Yes</v>
          </cell>
          <cell r="E109">
            <v>145</v>
          </cell>
          <cell r="F109" t="str">
            <v>Code that represents the source system from which CDS database receives/obtains the underlying record.</v>
          </cell>
        </row>
        <row r="110">
          <cell r="A110" t="str">
            <v>ORIG_SRC_STM_ID</v>
          </cell>
          <cell r="B110" t="str">
            <v>NUMBER(38,0)</v>
          </cell>
          <cell r="C110" t="str">
            <v>Yes</v>
          </cell>
          <cell r="E110">
            <v>144</v>
          </cell>
          <cell r="F110" t="str">
            <v>Identifier of the source system from which CDS database receives/obtains the underlying record.</v>
          </cell>
        </row>
        <row r="111">
          <cell r="A111" t="str">
            <v>ORIG_TD</v>
          </cell>
          <cell r="B111" t="str">
            <v>DATE</v>
          </cell>
          <cell r="C111" t="str">
            <v>Yes</v>
          </cell>
          <cell r="E111">
            <v>101</v>
          </cell>
          <cell r="F111" t="str">
            <v>The date trade took place at fund company (specific to level 4 mutual funds).</v>
          </cell>
        </row>
        <row r="112">
          <cell r="A112" t="str">
            <v>ORIG_TRD_NUM</v>
          </cell>
          <cell r="B112" t="str">
            <v>VARCHAR2(15 BYTE)</v>
          </cell>
          <cell r="C112" t="str">
            <v>Yes</v>
          </cell>
          <cell r="E112">
            <v>29</v>
          </cell>
          <cell r="F112" t="str">
            <v>Original trade number when a trade is being cancelled, corrected, reversed (if available).</v>
          </cell>
        </row>
        <row r="113">
          <cell r="A113" t="str">
            <v>OWN_FA_NUM</v>
          </cell>
          <cell r="B113" t="str">
            <v>VARCHAR2(6 BYTE)</v>
          </cell>
          <cell r="C113" t="str">
            <v>Yes</v>
          </cell>
          <cell r="E113">
            <v>172</v>
          </cell>
          <cell r="F113" t="str">
            <v>Owner FA Number is a FA Number that owns the Arrangement for which activity is recorded</v>
          </cell>
        </row>
        <row r="114">
          <cell r="A114" t="str">
            <v>OWN_FA_NUM_ENT_CD</v>
          </cell>
          <cell r="B114" t="str">
            <v>VARCHAR2(20 BYTE)</v>
          </cell>
          <cell r="C114" t="str">
            <v>Yes</v>
          </cell>
          <cell r="E114">
            <v>205</v>
          </cell>
          <cell r="F114" t="str">
            <v>Entity Code that owns the Owner FA Number</v>
          </cell>
        </row>
        <row r="115">
          <cell r="A115" t="str">
            <v>OWN_FA_NUM_ENT_ENTP_ID</v>
          </cell>
          <cell r="B115" t="str">
            <v>NUMBER(22,0)</v>
          </cell>
          <cell r="C115" t="str">
            <v>Yes</v>
          </cell>
          <cell r="E115">
            <v>207</v>
          </cell>
          <cell r="F115" t="str">
            <v>Enterprise Id of the Entity that owns the Owner FA Number</v>
          </cell>
        </row>
        <row r="116">
          <cell r="A116" t="str">
            <v>OWN_IMP_FA_NUM</v>
          </cell>
          <cell r="B116" t="str">
            <v>VARCHAR2(20 BYTE)</v>
          </cell>
          <cell r="C116" t="str">
            <v>Yes</v>
          </cell>
          <cell r="E116">
            <v>171</v>
          </cell>
          <cell r="F116" t="str">
            <v>FA Number as given in Impact system</v>
          </cell>
        </row>
        <row r="117">
          <cell r="A117" t="str">
            <v>REL_TXN_ID</v>
          </cell>
          <cell r="B117" t="str">
            <v>NUMBER(38,0)</v>
          </cell>
          <cell r="C117" t="str">
            <v>Yes</v>
          </cell>
          <cell r="E117">
            <v>27</v>
          </cell>
          <cell r="F117" t="str">
            <v>The CDS assigned numeric identfier of the related (target) transaction that this current transaction is cancelling/correcting/reversing.</v>
          </cell>
        </row>
        <row r="118">
          <cell r="A118" t="str">
            <v>REL_TXN_RLTNP_TP_CD</v>
          </cell>
          <cell r="B118" t="str">
            <v>VARCHAR2(20 BYTE)</v>
          </cell>
          <cell r="C118" t="str">
            <v>Yes</v>
          </cell>
          <cell r="E118">
            <v>199</v>
          </cell>
          <cell r="F118" t="str">
            <v>Code of Relationship type with the target transaction E.g.R01, R02, R03</v>
          </cell>
        </row>
        <row r="119">
          <cell r="A119" t="str">
            <v>REL_TXN_RLTNP_TP_ID</v>
          </cell>
          <cell r="B119" t="str">
            <v>NUMBER(38,0)</v>
          </cell>
          <cell r="C119" t="str">
            <v>Yes</v>
          </cell>
          <cell r="E119">
            <v>190</v>
          </cell>
          <cell r="F119" t="str">
            <v>Identifier for Relationship type with the related transaction</v>
          </cell>
        </row>
        <row r="120">
          <cell r="A120" t="str">
            <v>REL_TXN_RLTNP_TP_NM</v>
          </cell>
          <cell r="B120" t="str">
            <v>VARCHAR2(100 BYTE)</v>
          </cell>
          <cell r="C120" t="str">
            <v>Yes</v>
          </cell>
          <cell r="E120">
            <v>200</v>
          </cell>
          <cell r="F120" t="str">
            <v>Name of Relation ship with the target transaction E.g. Reversal, Cancel, Correct</v>
          </cell>
        </row>
        <row r="121">
          <cell r="A121" t="str">
            <v>REL_TXN_SRC_STM_CD</v>
          </cell>
          <cell r="B121" t="str">
            <v>VARCHAR2(20 BYTE)</v>
          </cell>
          <cell r="C121" t="str">
            <v>Yes</v>
          </cell>
          <cell r="E121">
            <v>202</v>
          </cell>
          <cell r="F121" t="str">
            <v>CDS assigned source system code for related transaction</v>
          </cell>
        </row>
        <row r="122">
          <cell r="A122" t="str">
            <v>REL_TXN_SRC_STM_DIM_ID</v>
          </cell>
          <cell r="B122" t="str">
            <v>NUMBER(38,0)</v>
          </cell>
          <cell r="C122" t="str">
            <v>No</v>
          </cell>
          <cell r="E122">
            <v>17</v>
          </cell>
          <cell r="F122" t="str">
            <v>Surrogate key for Related Transaction Source System Dimension.</v>
          </cell>
        </row>
        <row r="123">
          <cell r="A123" t="str">
            <v>REL_TXN_SRC_STM_ID</v>
          </cell>
          <cell r="B123" t="str">
            <v>NUMBER(38,0)</v>
          </cell>
          <cell r="C123" t="str">
            <v>Yes</v>
          </cell>
          <cell r="E123">
            <v>184</v>
          </cell>
          <cell r="F123" t="str">
            <v>CDS assigned source system id for related transaction</v>
          </cell>
        </row>
        <row r="124">
          <cell r="A124" t="str">
            <v>SALE_CHRG_RATE_MULTI_NUM</v>
          </cell>
          <cell r="B124" t="str">
            <v>NUMBER(38,6)</v>
          </cell>
          <cell r="C124" t="str">
            <v>Yes</v>
          </cell>
          <cell r="E124">
            <v>149</v>
          </cell>
          <cell r="F124" t="str">
            <v>Sales charge expressed as a multiplier for the portion represented by the asset package. This column will have values if Sales Charge Rate is expressed as a multipler.</v>
          </cell>
        </row>
        <row r="125">
          <cell r="A125" t="str">
            <v>SALE_CHRG_RATE_PCT</v>
          </cell>
          <cell r="B125" t="str">
            <v>NUMBER(38,6)</v>
          </cell>
          <cell r="C125" t="str">
            <v>Yes</v>
          </cell>
          <cell r="E125">
            <v>38</v>
          </cell>
          <cell r="F125" t="str">
            <v>Sales charge expressed as percent for the portion represented by the asset package. This column will have values if Sales Charge Rate Type Identifier indicates that it was recorded as a percentage in CCAL</v>
          </cell>
        </row>
        <row r="126">
          <cell r="A126" t="str">
            <v>SALE_CHRG_RATE_TP_CD</v>
          </cell>
          <cell r="B126" t="str">
            <v>VARCHAR2(20 BYTE)</v>
          </cell>
          <cell r="C126" t="str">
            <v>Yes</v>
          </cell>
          <cell r="E126">
            <v>40</v>
          </cell>
          <cell r="F126" t="str">
            <v>A code representing the type of value stored for sales charge</v>
          </cell>
        </row>
        <row r="127">
          <cell r="A127" t="str">
            <v>SALE_CHRG_RATE_TP_ID</v>
          </cell>
          <cell r="B127" t="str">
            <v>NUMBER(38,0)</v>
          </cell>
          <cell r="C127" t="str">
            <v>Yes</v>
          </cell>
          <cell r="E127">
            <v>39</v>
          </cell>
          <cell r="F127" t="str">
            <v>Identifier representing the type of value stored for sales charge</v>
          </cell>
        </row>
        <row r="128">
          <cell r="A128" t="str">
            <v>SALE_CHRG_RATE_TP_NM</v>
          </cell>
          <cell r="B128" t="str">
            <v>VARCHAR2(200 BYTE)</v>
          </cell>
          <cell r="C128" t="str">
            <v>Yes</v>
          </cell>
          <cell r="E128">
            <v>130</v>
          </cell>
          <cell r="F128" t="str">
            <v>Name of Sales charge type Percentage or Multiplier.</v>
          </cell>
        </row>
        <row r="129">
          <cell r="A129" t="str">
            <v>SBC_CCY_CALC_DT</v>
          </cell>
          <cell r="B129" t="str">
            <v>DATE</v>
          </cell>
          <cell r="C129" t="str">
            <v>Yes</v>
          </cell>
          <cell r="E129">
            <v>43</v>
          </cell>
          <cell r="F129" t="str">
            <v>Date and time  when transaction amount was converted to system base currency</v>
          </cell>
        </row>
        <row r="130">
          <cell r="A130" t="str">
            <v>SBC_CCY_CD</v>
          </cell>
          <cell r="B130" t="str">
            <v>VARCHAR2(3 BYTE)</v>
          </cell>
          <cell r="C130" t="str">
            <v>Yes</v>
          </cell>
          <cell r="E130">
            <v>106</v>
          </cell>
          <cell r="F130" t="str">
            <v>Product identifier of the system base currency. This is USD for data coming from CDS currently..</v>
          </cell>
        </row>
        <row r="131">
          <cell r="A131" t="str">
            <v>SBC_CCY_DIM_ID</v>
          </cell>
          <cell r="B131" t="str">
            <v>NUMBER(38,0)</v>
          </cell>
          <cell r="C131" t="str">
            <v>No</v>
          </cell>
          <cell r="E131">
            <v>6</v>
          </cell>
          <cell r="F131" t="str">
            <v>Surrogate key for Currency dimension</v>
          </cell>
        </row>
        <row r="132">
          <cell r="A132" t="str">
            <v>SBC_EXG_RATE</v>
          </cell>
          <cell r="B132" t="str">
            <v>NUMBER(38,6)</v>
          </cell>
          <cell r="C132" t="str">
            <v>Yes</v>
          </cell>
          <cell r="E132">
            <v>44</v>
          </cell>
          <cell r="F132" t="str">
            <v>Exchange rate used to calculate transaction amount in system base currency</v>
          </cell>
        </row>
        <row r="133">
          <cell r="A133" t="str">
            <v>SCR_APA_TP_CD</v>
          </cell>
          <cell r="B133" t="str">
            <v>VARCHAR2(20 BYTE)</v>
          </cell>
          <cell r="C133" t="str">
            <v>Yes</v>
          </cell>
          <cell r="E133">
            <v>76</v>
          </cell>
          <cell r="F133" t="str">
            <v>Code associated with Asset Package Type Id.This field will be populated only if the transaction has a Security leg.</v>
          </cell>
        </row>
        <row r="134">
          <cell r="A134" t="str">
            <v>SCR_APA_TP_DSC</v>
          </cell>
          <cell r="B134" t="str">
            <v>VARCHAR2(1000 BYTE)</v>
          </cell>
          <cell r="C134" t="str">
            <v>Yes</v>
          </cell>
          <cell r="E134">
            <v>78</v>
          </cell>
          <cell r="F134" t="str">
            <v>Description associated with Asset Package Type Id.This field will be populated only if the transaction has a Security leg.</v>
          </cell>
        </row>
        <row r="135">
          <cell r="A135" t="str">
            <v>SCR_APA_TP_NM</v>
          </cell>
          <cell r="B135" t="str">
            <v>VARCHAR2(200 BYTE)</v>
          </cell>
          <cell r="C135" t="str">
            <v>Yes</v>
          </cell>
          <cell r="E135">
            <v>77</v>
          </cell>
          <cell r="F135" t="str">
            <v>Name of Asset Package Type Id.This field will be populated only if the transaction has a Security leg.</v>
          </cell>
        </row>
        <row r="136">
          <cell r="A136" t="str">
            <v>SCR_AVY_CGY</v>
          </cell>
          <cell r="B136" t="str">
            <v>VARCHAR2(25 BYTE)</v>
          </cell>
          <cell r="C136" t="str">
            <v>Yes</v>
          </cell>
          <cell r="E136">
            <v>83</v>
          </cell>
          <cell r="F136" t="str">
            <v>Represents the specific Category of activity such as a 'Purchase' or 'Income'. Further refinement of the categories are captured under Activity Type.This field will be populated only if the transaction has a Security leg.</v>
          </cell>
        </row>
        <row r="137">
          <cell r="A137" t="str">
            <v>SCR_AVY_TP</v>
          </cell>
          <cell r="B137" t="str">
            <v>VARCHAR2(100 BYTE)</v>
          </cell>
          <cell r="C137" t="str">
            <v>Yes</v>
          </cell>
          <cell r="E137">
            <v>84</v>
          </cell>
          <cell r="F137" t="str">
            <v>Represents a more refined view of the Activity Category.This field will be populated only if the transaction has a Security leg.</v>
          </cell>
        </row>
        <row r="138">
          <cell r="A138" t="str">
            <v>SCR_SIMP_DSPL_AVY_CGY</v>
          </cell>
          <cell r="B138" t="str">
            <v>VARCHAR2(25 BYTE)</v>
          </cell>
          <cell r="C138" t="str">
            <v>Yes</v>
          </cell>
          <cell r="E138">
            <v>161</v>
          </cell>
          <cell r="F138" t="str">
            <v>Simplified Display activity category shown to advisor in applications like client center.This field will be populated only if the transaction has a Security leg.</v>
          </cell>
        </row>
        <row r="139">
          <cell r="A139" t="str">
            <v>SCR_SIMP_DSPL_AVY_TP</v>
          </cell>
          <cell r="B139" t="str">
            <v>VARCHAR2(100 BYTE)</v>
          </cell>
          <cell r="C139" t="str">
            <v>Yes</v>
          </cell>
          <cell r="E139">
            <v>162</v>
          </cell>
          <cell r="F139" t="str">
            <v>Simplified Display activity type shown to advisor in applications like client center.This field will be populated only if the transaction has a Security leg.</v>
          </cell>
        </row>
        <row r="140">
          <cell r="A140" t="str">
            <v>SD</v>
          </cell>
          <cell r="B140" t="str">
            <v>DATE</v>
          </cell>
          <cell r="C140" t="str">
            <v>Yes</v>
          </cell>
          <cell r="E140">
            <v>22</v>
          </cell>
          <cell r="F140" t="str">
            <v>Settlement date is a securities industry term describing the date on which a trade settles. That is, the actual day on which transfer of cash or assets is completed and is usually a few days after the trade was done.</v>
          </cell>
        </row>
        <row r="141">
          <cell r="A141" t="str">
            <v>SD_DIM_ID</v>
          </cell>
          <cell r="B141" t="str">
            <v>NUMBER(38,0)</v>
          </cell>
          <cell r="C141" t="str">
            <v>No</v>
          </cell>
          <cell r="E141">
            <v>21</v>
          </cell>
          <cell r="F141" t="str">
            <v>Synthetic Key identifying a single date in the DATE Dimension based on Settlement date</v>
          </cell>
        </row>
        <row r="142">
          <cell r="A142" t="str">
            <v>SEC_ALT_DSC_TRAILER_2</v>
          </cell>
          <cell r="B142" t="str">
            <v>VARCHAR2(256 BYTE)</v>
          </cell>
          <cell r="C142" t="str">
            <v>Yes</v>
          </cell>
          <cell r="E142">
            <v>50</v>
          </cell>
          <cell r="F142" t="str">
            <v>Second line of unformatted, monolingual narrative booking information. SIS trailer field 2.This field will be populated only if the transaction has a Security leg.</v>
          </cell>
        </row>
        <row r="143">
          <cell r="A143" t="str">
            <v>SEC_APA_EXT_QUALFR</v>
          </cell>
          <cell r="B143" t="str">
            <v>VARCHAR2(50 BYTE)</v>
          </cell>
          <cell r="C143" t="str">
            <v>Yes</v>
          </cell>
          <cell r="E143">
            <v>48</v>
          </cell>
          <cell r="F143" t="str">
            <v>Qualifier code from the external source system.This field will be populated only if the transaction has a Security leg.</v>
          </cell>
        </row>
        <row r="144">
          <cell r="A144" t="str">
            <v>SEC_APA_ID</v>
          </cell>
          <cell r="B144" t="str">
            <v>NUMBER(38,0)</v>
          </cell>
          <cell r="C144" t="str">
            <v>Yes</v>
          </cell>
          <cell r="E144">
            <v>31</v>
          </cell>
          <cell r="F144" t="str">
            <v>APA_ID from CCAL APA table. It is recorded here for the purpose of maintaining a link with the source.This field will be populated only if the transaction has a Security leg.</v>
          </cell>
        </row>
        <row r="145">
          <cell r="A145" t="str">
            <v>SEC_APA_TP_ID</v>
          </cell>
          <cell r="B145" t="str">
            <v>NUMBER(38,0)</v>
          </cell>
          <cell r="C145" t="str">
            <v>Yes</v>
          </cell>
          <cell r="E145">
            <v>75</v>
          </cell>
          <cell r="F145" t="str">
            <v>Asset Pacakge type Id from CCAL core.This field will be populated only if the transaction has a Security leg.</v>
          </cell>
        </row>
        <row r="146">
          <cell r="A146" t="str">
            <v>SEC_AVY_CL_ID</v>
          </cell>
          <cell r="B146" t="str">
            <v>NUMBER(38,0)</v>
          </cell>
          <cell r="C146" t="str">
            <v>Yes</v>
          </cell>
          <cell r="E146">
            <v>85</v>
          </cell>
          <cell r="F146" t="str">
            <v>CDS assigned identifier for the activity class.This field will be populated only if the transaction has a Security leg.</v>
          </cell>
        </row>
        <row r="147">
          <cell r="A147" t="str">
            <v>SEC_CIRD_PD_ID</v>
          </cell>
          <cell r="B147" t="str">
            <v>NUMBER(38,0)</v>
          </cell>
          <cell r="C147" t="str">
            <v>Yes</v>
          </cell>
          <cell r="E147">
            <v>136</v>
          </cell>
          <cell r="F147" t="str">
            <v>CIRD identifier for product.This field will be populated only if the transaction has a Security leg.</v>
          </cell>
        </row>
        <row r="148">
          <cell r="A148" t="str">
            <v>SEC_DB_CR_CD</v>
          </cell>
          <cell r="B148" t="str">
            <v>VARCHAR2(20 BYTE)</v>
          </cell>
          <cell r="C148" t="str">
            <v>Yes</v>
          </cell>
          <cell r="E148">
            <v>46</v>
          </cell>
          <cell r="F148" t="str">
            <v>A code representing Debit / Credit (e.g. D / C).This field will be populated only if the transaction has a Security leg.</v>
          </cell>
        </row>
        <row r="149">
          <cell r="A149" t="str">
            <v>SEC_DB_CR_NM</v>
          </cell>
          <cell r="B149" t="str">
            <v>VARCHAR2(100 BYTE)</v>
          </cell>
          <cell r="C149" t="str">
            <v>Yes</v>
          </cell>
          <cell r="E149">
            <v>132</v>
          </cell>
          <cell r="F149" t="str">
            <v>A Name representing Debit / Credit (e.g. Debit / Credit).This field will be populated only if the transaction has a Security leg.</v>
          </cell>
        </row>
        <row r="150">
          <cell r="A150" t="str">
            <v>SEC_DSC_TRAILER_1</v>
          </cell>
          <cell r="B150" t="str">
            <v>VARCHAR2(256 BYTE)</v>
          </cell>
          <cell r="C150" t="str">
            <v>Yes</v>
          </cell>
          <cell r="E150">
            <v>49</v>
          </cell>
          <cell r="F150" t="str">
            <v>First line of unformatted, monolingual narrative booking information. SIS Trailer field 1.This field will be populated only if the transaction has a Security leg.</v>
          </cell>
        </row>
        <row r="151">
          <cell r="A151" t="str">
            <v>SEC_ORIG_QTY</v>
          </cell>
          <cell r="B151" t="str">
            <v>NUMBER(38,6)</v>
          </cell>
          <cell r="C151" t="str">
            <v>Yes</v>
          </cell>
          <cell r="E151">
            <v>36</v>
          </cell>
          <cell r="F151" t="str">
            <v>Original Quantity of the Package.This field will be populated only if the transaction has a Security leg.</v>
          </cell>
        </row>
        <row r="152">
          <cell r="A152" t="str">
            <v>SEC_PD_DIM_ID</v>
          </cell>
          <cell r="B152" t="str">
            <v>NUMBER(38,0)</v>
          </cell>
          <cell r="C152" t="str">
            <v>No</v>
          </cell>
          <cell r="E152">
            <v>7</v>
          </cell>
          <cell r="F152" t="str">
            <v>Surrogate key for Instrument Product Dim.This field will be populated only if the transaction has a Security leg.</v>
          </cell>
        </row>
        <row r="153">
          <cell r="A153" t="str">
            <v>SEC_PD_ID</v>
          </cell>
          <cell r="B153" t="str">
            <v>NUMBER(38,0)</v>
          </cell>
          <cell r="C153" t="str">
            <v>Yes</v>
          </cell>
          <cell r="E153">
            <v>94</v>
          </cell>
          <cell r="F153" t="str">
            <v>Product Identifier from Security Asset package</v>
          </cell>
        </row>
        <row r="154">
          <cell r="A154" t="str">
            <v>SEC_PRC_IN_TXN_CCY</v>
          </cell>
          <cell r="B154" t="str">
            <v>NUMBER(38,8)</v>
          </cell>
          <cell r="C154" t="str">
            <v>Yes</v>
          </cell>
          <cell r="E154">
            <v>33</v>
          </cell>
          <cell r="F154" t="str">
            <v>Price of the securities instrument in transaction currency.</v>
          </cell>
        </row>
        <row r="155">
          <cell r="A155" t="str">
            <v>SEC_SBC_AMT</v>
          </cell>
          <cell r="B155" t="str">
            <v>NUMBER(38,6)</v>
          </cell>
          <cell r="C155" t="str">
            <v>Yes</v>
          </cell>
          <cell r="E155">
            <v>41</v>
          </cell>
          <cell r="F155" t="str">
            <v>Transaction Amount expressed in System Base Currency.This field will be populated only if the transaction has a Security leg.</v>
          </cell>
        </row>
        <row r="156">
          <cell r="A156" t="str">
            <v>SEC_SRC_CUSIP</v>
          </cell>
          <cell r="B156" t="str">
            <v>VARCHAR2(20 BYTE)</v>
          </cell>
          <cell r="C156" t="str">
            <v>Yes</v>
          </cell>
          <cell r="E156">
            <v>55</v>
          </cell>
          <cell r="F156" t="str">
            <v>CUSIP from source system.This field will be populated only if the transaction has a Security leg.</v>
          </cell>
        </row>
        <row r="157">
          <cell r="A157" t="str">
            <v>SEC_SRC_PRC_IN_SBC</v>
          </cell>
          <cell r="B157" t="str">
            <v>NUMBER(38,8)</v>
          </cell>
          <cell r="C157" t="str">
            <v>Yes</v>
          </cell>
          <cell r="E157">
            <v>37</v>
          </cell>
          <cell r="F157" t="str">
            <v>Principal amount of the trade execution expressed in the system base currency. This value should not include commissions or fees associated with the trade.This field will be populated only if the transaction has a Security leg.</v>
          </cell>
        </row>
        <row r="158">
          <cell r="A158" t="str">
            <v>SEC_SRC_SEQ_NUM</v>
          </cell>
          <cell r="B158" t="str">
            <v>NUMBER(38,0)</v>
          </cell>
          <cell r="C158" t="str">
            <v>Yes</v>
          </cell>
          <cell r="E158">
            <v>47</v>
          </cell>
          <cell r="F158" t="str">
            <v>Sequence Number assigned by source system.This field will be populated only if the transaction has a Security leg.</v>
          </cell>
        </row>
        <row r="159">
          <cell r="A159" t="str">
            <v>SEC_TXN_AMT</v>
          </cell>
          <cell r="B159" t="str">
            <v>NUMBER(38,6)</v>
          </cell>
          <cell r="C159" t="str">
            <v>Yes</v>
          </cell>
          <cell r="E159">
            <v>34</v>
          </cell>
          <cell r="F159" t="str">
            <v>Transaction amount applicable to the Asset package in transaction currency.This field will be populated only if the transaction has a Security leg.</v>
          </cell>
        </row>
        <row r="160">
          <cell r="A160" t="str">
            <v>SESS_NO</v>
          </cell>
          <cell r="B160" t="str">
            <v>NUMBER(38,0)</v>
          </cell>
          <cell r="C160" t="str">
            <v>Yes</v>
          </cell>
          <cell r="E160">
            <v>91</v>
          </cell>
          <cell r="F160" t="str">
            <v>OCI Session Number which created this record</v>
          </cell>
        </row>
        <row r="161">
          <cell r="A161" t="str">
            <v>SHDW_TXN_TP_CD</v>
          </cell>
          <cell r="B161" t="str">
            <v>VARCHAR2(50 BYTE)</v>
          </cell>
          <cell r="C161" t="str">
            <v>Yes</v>
          </cell>
          <cell r="E161">
            <v>163</v>
          </cell>
          <cell r="F161" t="str">
            <v>Possible values:  ORG, OLD, NEW, REV, REP.</v>
          </cell>
        </row>
        <row r="162">
          <cell r="A162" t="str">
            <v>SHDW_TXN_TP_NM</v>
          </cell>
          <cell r="B162" t="str">
            <v>VARCHAR2(50 BYTE)</v>
          </cell>
          <cell r="C162" t="str">
            <v>Yes</v>
          </cell>
          <cell r="E162">
            <v>203</v>
          </cell>
          <cell r="F162" t="str">
            <v>Name of the Shadow Transaction Type Code.</v>
          </cell>
        </row>
        <row r="163">
          <cell r="A163" t="str">
            <v>SIS_AC_CL_CD</v>
          </cell>
          <cell r="B163" t="str">
            <v>VARCHAR2(50 BYTE)</v>
          </cell>
          <cell r="C163" t="str">
            <v>Yes</v>
          </cell>
          <cell r="E163">
            <v>167</v>
          </cell>
          <cell r="F163" t="str">
            <v>SIS account classification codes</v>
          </cell>
        </row>
        <row r="164">
          <cell r="A164" t="str">
            <v>SIS_DLTD_EV_ID</v>
          </cell>
          <cell r="B164" t="str">
            <v>NUMBER(38,0)</v>
          </cell>
          <cell r="C164" t="str">
            <v>Yes</v>
          </cell>
          <cell r="E164">
            <v>165</v>
          </cell>
          <cell r="F164" t="str">
            <v>Identifier that determines what type of transaction the record contains. For SIS activity the values depend on the record type.</v>
          </cell>
        </row>
        <row r="165">
          <cell r="A165" t="str">
            <v>SIS_DLTD_EV_NM</v>
          </cell>
          <cell r="B165" t="str">
            <v>VARCHAR2(200 BYTE)</v>
          </cell>
          <cell r="C165" t="str">
            <v>Yes</v>
          </cell>
          <cell r="E165">
            <v>194</v>
          </cell>
          <cell r="F165" t="str">
            <v>Name that determines what type of transaction the record contains. For SIS activity the values depend on the record type.</v>
          </cell>
        </row>
        <row r="166">
          <cell r="A166" t="str">
            <v>SIS_USR_ID</v>
          </cell>
          <cell r="B166" t="str">
            <v>VARCHAR2(255 BYTE)</v>
          </cell>
          <cell r="C166" t="str">
            <v>Yes</v>
          </cell>
          <cell r="E166">
            <v>166</v>
          </cell>
          <cell r="F166" t="str">
            <v>Identifier of the process or user that creates the records sourced from SIS Money Movement</v>
          </cell>
        </row>
        <row r="167">
          <cell r="A167" t="str">
            <v>SRC_CNCL_RSN_CD</v>
          </cell>
          <cell r="B167" t="str">
            <v>VARCHAR2(20 BYTE)</v>
          </cell>
          <cell r="C167" t="str">
            <v>Yes</v>
          </cell>
          <cell r="E167">
            <v>195</v>
          </cell>
          <cell r="F167" t="e">
            <v>#VALUE!</v>
          </cell>
        </row>
        <row r="168">
          <cell r="A168" t="str">
            <v>SRC_CNCL_RSN_ID</v>
          </cell>
          <cell r="B168" t="str">
            <v>NUMBER(38,0)</v>
          </cell>
          <cell r="C168" t="str">
            <v>Yes</v>
          </cell>
          <cell r="E168">
            <v>168</v>
          </cell>
          <cell r="F168" t="str">
            <v>Id representing Reason for cancellation in source system</v>
          </cell>
        </row>
        <row r="169">
          <cell r="A169" t="str">
            <v>SRC_CNCL_RSN_NM</v>
          </cell>
          <cell r="B169" t="str">
            <v>VARCHAR2(200 BYTE)</v>
          </cell>
          <cell r="C169" t="str">
            <v>Yes</v>
          </cell>
          <cell r="E169">
            <v>196</v>
          </cell>
          <cell r="F169" t="str">
            <v>Name representing Reason for cancellation in source system</v>
          </cell>
        </row>
        <row r="170">
          <cell r="A170" t="str">
            <v>SRC_CNCL_X_RVSN_CD</v>
          </cell>
          <cell r="B170" t="str">
            <v>VARCHAR2(3 BYTE)</v>
          </cell>
          <cell r="C170" t="str">
            <v>Yes</v>
          </cell>
          <cell r="E170">
            <v>176</v>
          </cell>
          <cell r="F170" t="str">
            <v>Cancel or Revise Code in the source system</v>
          </cell>
        </row>
        <row r="171">
          <cell r="A171" t="str">
            <v>SRC_CRT_USRNM</v>
          </cell>
          <cell r="B171" t="str">
            <v>VARCHAR2(50 BYTE)</v>
          </cell>
          <cell r="C171" t="str">
            <v>Yes</v>
          </cell>
          <cell r="E171">
            <v>100</v>
          </cell>
          <cell r="F171" t="str">
            <v>The name that represents the user/process that created row in the primary source table</v>
          </cell>
        </row>
        <row r="172">
          <cell r="A172" t="str">
            <v>SRC_EFF_DT</v>
          </cell>
          <cell r="B172" t="str">
            <v>DATE</v>
          </cell>
          <cell r="C172" t="str">
            <v>Yes</v>
          </cell>
          <cell r="E172">
            <v>107</v>
          </cell>
          <cell r="F172" t="str">
            <v>Effective date of the APA in the source system</v>
          </cell>
        </row>
        <row r="173">
          <cell r="A173" t="str">
            <v>SRC_ENTR_CNL_TP_CD</v>
          </cell>
          <cell r="B173" t="str">
            <v>VARCHAR2(20 BYTE)</v>
          </cell>
          <cell r="C173" t="str">
            <v>Yes</v>
          </cell>
          <cell r="E173">
            <v>126</v>
          </cell>
          <cell r="F173" t="e">
            <v>#VALUE!</v>
          </cell>
        </row>
        <row r="174">
          <cell r="A174" t="str">
            <v>SRC_ENTR_CNL_TP_DIM_ID</v>
          </cell>
          <cell r="B174" t="str">
            <v>NUMBER(38,0)</v>
          </cell>
          <cell r="C174" t="str">
            <v>No</v>
          </cell>
          <cell r="E174">
            <v>14</v>
          </cell>
          <cell r="F174" t="str">
            <v>Surrogate key for the Source Entry Channel Type Dimension</v>
          </cell>
        </row>
        <row r="175">
          <cell r="A175" t="str">
            <v>SRC_ENTR_CNL_TP_ID</v>
          </cell>
          <cell r="B175" t="str">
            <v>NUMBER(38,0)</v>
          </cell>
          <cell r="C175" t="str">
            <v>Yes</v>
          </cell>
          <cell r="E175">
            <v>185</v>
          </cell>
          <cell r="F175" t="str">
            <v>Identifier for the Source Entry Channel Type</v>
          </cell>
        </row>
        <row r="176">
          <cell r="A176" t="str">
            <v>SRC_ENTR_CNL_TP_NM</v>
          </cell>
          <cell r="B176" t="str">
            <v>VARCHAR2(200 BYTE)</v>
          </cell>
          <cell r="C176" t="str">
            <v>Yes</v>
          </cell>
          <cell r="E176">
            <v>127</v>
          </cell>
          <cell r="F176" t="e">
            <v>#VALUE!</v>
          </cell>
        </row>
        <row r="177">
          <cell r="A177" t="str">
            <v>SRC_ENTR_DTM</v>
          </cell>
          <cell r="B177" t="str">
            <v>TIMESTAMP(6)</v>
          </cell>
          <cell r="C177" t="str">
            <v>Yes</v>
          </cell>
          <cell r="E177">
            <v>92</v>
          </cell>
          <cell r="F177" t="str">
            <v>Time stamp of first occurrence of the transaction in the order entry system.</v>
          </cell>
        </row>
        <row r="178">
          <cell r="A178" t="str">
            <v>SRC_OPT_CLSS_CD</v>
          </cell>
          <cell r="B178" t="str">
            <v>VARCHAR2(50 BYTE)</v>
          </cell>
          <cell r="C178" t="str">
            <v>Yes</v>
          </cell>
          <cell r="E178">
            <v>177</v>
          </cell>
          <cell r="F178" t="str">
            <v>The code that determines what type of transaction the record contains. For SIS activity the values depend on the record type.</v>
          </cell>
        </row>
        <row r="179">
          <cell r="A179" t="str">
            <v>SRC_PCS_TP_CD</v>
          </cell>
          <cell r="B179" t="str">
            <v>VARCHAR2(20 BYTE)</v>
          </cell>
          <cell r="C179" t="str">
            <v>Yes</v>
          </cell>
          <cell r="E179">
            <v>102</v>
          </cell>
          <cell r="F179" t="str">
            <v>A code for the source processing type, values include backdated, initial, cancel, correction or reversal.</v>
          </cell>
        </row>
        <row r="180">
          <cell r="A180" t="str">
            <v>SRC_PCS_TP_DIM_ID</v>
          </cell>
          <cell r="B180" t="str">
            <v>NUMBER(38,0)</v>
          </cell>
          <cell r="C180" t="str">
            <v>No</v>
          </cell>
          <cell r="E180">
            <v>13</v>
          </cell>
          <cell r="F180" t="str">
            <v>Surrogate key for Source Processing Type Dimension.</v>
          </cell>
        </row>
        <row r="181">
          <cell r="A181" t="str">
            <v>SRC_PCS_TP_ID</v>
          </cell>
          <cell r="B181" t="str">
            <v>NUMBER(38,0)</v>
          </cell>
          <cell r="C181" t="str">
            <v>Yes</v>
          </cell>
          <cell r="E181">
            <v>186</v>
          </cell>
          <cell r="F181" t="str">
            <v>Identifier for the Source Processing Type</v>
          </cell>
        </row>
        <row r="182">
          <cell r="A182" t="str">
            <v>SRC_PCS_TP_NM</v>
          </cell>
          <cell r="B182" t="str">
            <v>VARCHAR2(200 BYTE)</v>
          </cell>
          <cell r="C182" t="str">
            <v>Yes</v>
          </cell>
          <cell r="E182">
            <v>103</v>
          </cell>
          <cell r="F182" t="str">
            <v>Name of the source processing type, values include backdated, initial, cancel, correction or reversal.</v>
          </cell>
        </row>
        <row r="183">
          <cell r="A183" t="str">
            <v>SRC_STM_CD</v>
          </cell>
          <cell r="B183" t="str">
            <v>VARCHAR2(20 BYTE)</v>
          </cell>
          <cell r="C183" t="str">
            <v>Yes</v>
          </cell>
          <cell r="E183">
            <v>133</v>
          </cell>
          <cell r="F183" t="str">
            <v>Code for the source system information coming from Transaction. e.g., BKRBO1, BKRBO2, RJBNK1, ISO</v>
          </cell>
        </row>
        <row r="184">
          <cell r="A184" t="str">
            <v>SRC_STM_ID</v>
          </cell>
          <cell r="B184" t="str">
            <v>NUMBER(38,0)</v>
          </cell>
          <cell r="C184" t="str">
            <v>Yes</v>
          </cell>
          <cell r="E184">
            <v>175</v>
          </cell>
          <cell r="F184" t="str">
            <v>Source system Id coming from Transaction. This could be different from Source system Id coming from Arrangement information.</v>
          </cell>
        </row>
        <row r="185">
          <cell r="A185" t="str">
            <v>SRC_STM_NM</v>
          </cell>
          <cell r="B185" t="str">
            <v>VARCHAR2(60 BYTE)</v>
          </cell>
          <cell r="C185" t="str">
            <v>Yes</v>
          </cell>
          <cell r="E185">
            <v>201</v>
          </cell>
          <cell r="F185" t="str">
            <v>Name of the source system information coming from Transaction. e.g., SIS - Securities Industry Software, Raymond James, Raymond James Bank, Shadow Suite</v>
          </cell>
        </row>
        <row r="186">
          <cell r="A186" t="str">
            <v>SRC_TXN_CODE</v>
          </cell>
          <cell r="B186" t="str">
            <v>NUMBER(38,0)</v>
          </cell>
          <cell r="C186" t="str">
            <v>Yes</v>
          </cell>
          <cell r="E186">
            <v>138</v>
          </cell>
          <cell r="F186" t="str">
            <v>A code that represents the source of the transaction.  Possible values of transaction code include CD Adjustment, Interest Adjustment, and Withdrawal/Redemption.</v>
          </cell>
        </row>
        <row r="187">
          <cell r="A187" t="str">
            <v>SRC_TXN_SEQ_NUM</v>
          </cell>
          <cell r="B187" t="str">
            <v>NUMBER(38,0)</v>
          </cell>
          <cell r="C187" t="str">
            <v>Yes</v>
          </cell>
          <cell r="E187">
            <v>169</v>
          </cell>
          <cell r="F187" t="str">
            <v>Transaction number assigned to the transaction in the source system.</v>
          </cell>
        </row>
        <row r="188">
          <cell r="A188" t="str">
            <v>TD</v>
          </cell>
          <cell r="B188" t="str">
            <v>DATE</v>
          </cell>
          <cell r="C188" t="str">
            <v>No</v>
          </cell>
          <cell r="E188">
            <v>20</v>
          </cell>
          <cell r="F188" t="str">
            <v>Trade date of the transaction</v>
          </cell>
        </row>
        <row r="189">
          <cell r="A189" t="str">
            <v>TD_DIM_ID</v>
          </cell>
          <cell r="B189" t="str">
            <v>NUMBER(38,0)</v>
          </cell>
          <cell r="C189" t="str">
            <v>No</v>
          </cell>
          <cell r="E189">
            <v>19</v>
          </cell>
          <cell r="F189" t="str">
            <v>Synthetic Key identifying a single date in the DATE Dimension, based on Trade date</v>
          </cell>
        </row>
        <row r="190">
          <cell r="A190" t="str">
            <v>TRD_NUM</v>
          </cell>
          <cell r="B190" t="str">
            <v>VARCHAR2(15 BYTE)</v>
          </cell>
          <cell r="C190" t="str">
            <v>Yes</v>
          </cell>
          <cell r="E190">
            <v>28</v>
          </cell>
          <cell r="F190" t="str">
            <v>An identification number of the trade (transaction number) that represents an executed FMI trade transaction.</v>
          </cell>
        </row>
        <row r="191">
          <cell r="A191" t="str">
            <v>TRD_SLCT_TP_CD</v>
          </cell>
          <cell r="B191" t="str">
            <v>VARCHAR2(20 BYTE)</v>
          </cell>
          <cell r="C191" t="str">
            <v>Yes</v>
          </cell>
          <cell r="E191">
            <v>128</v>
          </cell>
          <cell r="F191" t="str">
            <v>A code for the solicitation method in which the trade was executed.  A trade can be initiated by the broker, the client, or done at discretion of broker in discretionary accounts.</v>
          </cell>
        </row>
        <row r="192">
          <cell r="A192" t="str">
            <v>TRD_SLCT_TP_DIM_ID</v>
          </cell>
          <cell r="B192" t="str">
            <v>NUMBER(38,0)</v>
          </cell>
          <cell r="C192" t="str">
            <v>No</v>
          </cell>
          <cell r="E192">
            <v>15</v>
          </cell>
          <cell r="F192" t="str">
            <v>Surrogate key for the Trade Solicitation Type Dimension</v>
          </cell>
        </row>
        <row r="193">
          <cell r="A193" t="str">
            <v>TRD_SLCT_TP_ID</v>
          </cell>
          <cell r="B193" t="str">
            <v>NUMBER(38,0)</v>
          </cell>
          <cell r="C193" t="str">
            <v>Yes</v>
          </cell>
          <cell r="E193">
            <v>187</v>
          </cell>
          <cell r="F193" t="str">
            <v>Identifier for the Trade Solicitation Type</v>
          </cell>
        </row>
        <row r="194">
          <cell r="A194" t="str">
            <v>TRD_SLCT_TP_NM</v>
          </cell>
          <cell r="B194" t="str">
            <v>VARCHAR2(200 BYTE)</v>
          </cell>
          <cell r="C194" t="str">
            <v>Yes</v>
          </cell>
          <cell r="E194">
            <v>129</v>
          </cell>
          <cell r="F194" t="str">
            <v>Tname of the solicitation method in which the trade was executed.  A trade can be initiated by the broker, the client, or done at discretion of broker in discretionary accounts.</v>
          </cell>
        </row>
        <row r="195">
          <cell r="A195" t="str">
            <v>TXN_CL_F</v>
          </cell>
          <cell r="B195" t="str">
            <v>VARCHAR2(2 BYTE)</v>
          </cell>
          <cell r="C195" t="str">
            <v>Yes</v>
          </cell>
          <cell r="E195">
            <v>53</v>
          </cell>
          <cell r="F195" t="str">
            <v>Transaction Classification Flag</v>
          </cell>
        </row>
        <row r="196">
          <cell r="A196" t="str">
            <v>TXN_ID</v>
          </cell>
          <cell r="B196" t="str">
            <v>NUMBER(38,0)</v>
          </cell>
          <cell r="C196" t="str">
            <v>No</v>
          </cell>
          <cell r="E196">
            <v>26</v>
          </cell>
          <cell r="F196" t="str">
            <v>CDS assigned numeric identfier of the transaction</v>
          </cell>
        </row>
        <row r="197">
          <cell r="A197" t="str">
            <v>TXN_RCNCL_REPL_CNT</v>
          </cell>
          <cell r="B197" t="str">
            <v>NUMBER(38,0)</v>
          </cell>
          <cell r="C197" t="str">
            <v>Yes</v>
          </cell>
          <cell r="E197">
            <v>178</v>
          </cell>
          <cell r="F197" t="str">
            <v>Numeric counter to show how many attempts were done to reconcile transactions on this account/product/type with the corresponding EOD positions. The default value load is '0' and counter is incremented by '1' as transaction is replayed.</v>
          </cell>
        </row>
        <row r="198">
          <cell r="A198" t="str">
            <v>TXN_RCNCL_ST_CD</v>
          </cell>
          <cell r="B198" t="str">
            <v>VARCHAR2(20 BYTE)</v>
          </cell>
          <cell r="C198" t="str">
            <v>Yes</v>
          </cell>
          <cell r="E198">
            <v>197</v>
          </cell>
          <cell r="F198" t="e">
            <v>#VALUE!</v>
          </cell>
        </row>
        <row r="199">
          <cell r="A199" t="str">
            <v>TXN_RCNCL_ST_ID</v>
          </cell>
          <cell r="B199" t="str">
            <v>NUMBER(38,0)</v>
          </cell>
          <cell r="C199" t="str">
            <v>Yes</v>
          </cell>
          <cell r="E199">
            <v>179</v>
          </cell>
          <cell r="F199" t="e">
            <v>#VALUE!</v>
          </cell>
        </row>
        <row r="200">
          <cell r="A200" t="str">
            <v>TXN_RCNCL_ST_NM</v>
          </cell>
          <cell r="B200" t="str">
            <v>VARCHAR2(200 BYTE)</v>
          </cell>
          <cell r="C200" t="str">
            <v>Yes</v>
          </cell>
          <cell r="E200">
            <v>198</v>
          </cell>
          <cell r="F200" t="e">
            <v>#VALUE!</v>
          </cell>
        </row>
        <row r="201">
          <cell r="A201" t="str">
            <v>TXN_SBTP_ID</v>
          </cell>
          <cell r="B201" t="str">
            <v>NUMBER(38,0)</v>
          </cell>
          <cell r="C201" t="str">
            <v>Yes</v>
          </cell>
          <cell r="E201">
            <v>63</v>
          </cell>
          <cell r="F201" t="str">
            <v>CDS assigned Identifier for the transaction subtype  - used for data lineage</v>
          </cell>
        </row>
        <row r="202">
          <cell r="A202" t="str">
            <v>TXN_SRC_KEY</v>
          </cell>
          <cell r="B202" t="str">
            <v>VARCHAR2(200 BYTE)</v>
          </cell>
          <cell r="C202" t="str">
            <v>Yes</v>
          </cell>
          <cell r="E202">
            <v>30</v>
          </cell>
          <cell r="F202" t="str">
            <v>A unique key which will help tie a CCAL transaction to the original source system transaction for research purposes.</v>
          </cell>
        </row>
        <row r="203">
          <cell r="A203" t="str">
            <v>TXN_SRC_STM_DIM_ID</v>
          </cell>
          <cell r="B203" t="str">
            <v>NUMBER(38,0)</v>
          </cell>
          <cell r="C203" t="str">
            <v>No</v>
          </cell>
          <cell r="E203">
            <v>16</v>
          </cell>
          <cell r="F203" t="str">
            <v>Surrogate Key for Source system dimension based on source system information coming from Transaction.</v>
          </cell>
        </row>
        <row r="204">
          <cell r="A204" t="str">
            <v>TXN_SUB_TP_CD</v>
          </cell>
          <cell r="B204" t="str">
            <v>VARCHAR2(20 BYTE)</v>
          </cell>
          <cell r="C204" t="str">
            <v>Yes</v>
          </cell>
          <cell r="E204">
            <v>65</v>
          </cell>
          <cell r="F204" t="e">
            <v>#VALUE!</v>
          </cell>
        </row>
        <row r="205">
          <cell r="A205" t="str">
            <v>TXN_SUB_TP_DSC</v>
          </cell>
          <cell r="B205" t="str">
            <v>VARCHAR2(1000 BYTE)</v>
          </cell>
          <cell r="C205" t="str">
            <v>Yes</v>
          </cell>
          <cell r="E205">
            <v>66</v>
          </cell>
          <cell r="F205" t="str">
            <v>Description for the Transaction Subtype code</v>
          </cell>
        </row>
        <row r="206">
          <cell r="A206" t="str">
            <v>TXN_SUB_TP_NM</v>
          </cell>
          <cell r="B206" t="str">
            <v>VARCHAR2(200 BYTE)</v>
          </cell>
          <cell r="C206" t="str">
            <v>Yes</v>
          </cell>
          <cell r="E206">
            <v>64</v>
          </cell>
          <cell r="F206" t="e">
            <v>#VALUE!</v>
          </cell>
        </row>
        <row r="207">
          <cell r="A207" t="str">
            <v>TXN_TP_CD</v>
          </cell>
          <cell r="B207" t="str">
            <v>VARCHAR2(20 BYTE)</v>
          </cell>
          <cell r="C207" t="str">
            <v>Yes</v>
          </cell>
          <cell r="E207">
            <v>60</v>
          </cell>
          <cell r="F207" t="e">
            <v>#VALUE!</v>
          </cell>
        </row>
        <row r="208">
          <cell r="A208" t="str">
            <v>TXN_TP_DSC</v>
          </cell>
          <cell r="B208" t="str">
            <v>VARCHAR2(1000 BYTE)</v>
          </cell>
          <cell r="C208" t="str">
            <v>Yes</v>
          </cell>
          <cell r="E208">
            <v>62</v>
          </cell>
          <cell r="F208" t="str">
            <v>Description for the Transaction type</v>
          </cell>
        </row>
        <row r="209">
          <cell r="A209" t="str">
            <v>TXN_TP_ID</v>
          </cell>
          <cell r="B209" t="str">
            <v>NUMBER(38,0)</v>
          </cell>
          <cell r="C209" t="str">
            <v>Yes</v>
          </cell>
          <cell r="E209">
            <v>59</v>
          </cell>
          <cell r="F209" t="str">
            <v>Identifier for the Transaction type</v>
          </cell>
        </row>
        <row r="210">
          <cell r="A210" t="str">
            <v>TXN_TP_NM</v>
          </cell>
          <cell r="B210" t="str">
            <v>VARCHAR2(200 BYTE)</v>
          </cell>
          <cell r="C210" t="str">
            <v>Yes</v>
          </cell>
          <cell r="E210">
            <v>61</v>
          </cell>
          <cell r="F210" t="str">
            <v>Name that represents transactions from different source systems of different types of trades.</v>
          </cell>
        </row>
      </sheetData>
      <sheetData sheetId="4"/>
      <sheetData sheetId="5"/>
      <sheetData sheetId="6"/>
      <sheetData sheetId="7"/>
      <sheetData sheetId="8"/>
      <sheetData sheetId="9">
        <row r="2">
          <cell r="C2" t="str">
            <v>ACAT Contra Firm Clearing Id Type Code</v>
          </cell>
          <cell r="D2" t="str">
            <v>ACAT_CNTRA_FIRM_CLRG_ID_TP_CD</v>
          </cell>
          <cell r="E2" t="str">
            <v>ACAT Broker ID Type</v>
          </cell>
          <cell r="F2" t="str">
            <v>Code_01</v>
          </cell>
          <cell r="G2" t="str">
            <v>VARCHAR2(1)</v>
          </cell>
          <cell r="H2" t="str">
            <v>NULL</v>
          </cell>
          <cell r="I2"/>
          <cell r="J2">
            <v>161</v>
          </cell>
          <cell r="K2"/>
          <cell r="L2"/>
        </row>
        <row r="3">
          <cell r="C3" t="str">
            <v>ACAT Contra Firm Clearing Number</v>
          </cell>
          <cell r="D3" t="str">
            <v>ACAT_CNTRA_FIRM_CLRG_NUM</v>
          </cell>
          <cell r="E3" t="e">
            <v>#VALUE!</v>
          </cell>
          <cell r="F3" t="str">
            <v>Code_04</v>
          </cell>
          <cell r="G3" t="str">
            <v>VARCHAR2(4)</v>
          </cell>
          <cell r="H3" t="str">
            <v>NULL</v>
          </cell>
          <cell r="I3"/>
          <cell r="J3">
            <v>158</v>
          </cell>
          <cell r="K3"/>
          <cell r="L3"/>
        </row>
        <row r="4">
          <cell r="C4" t="str">
            <v>ACAT Contra Firm Name</v>
          </cell>
          <cell r="D4" t="str">
            <v>ACAT_CNTRA_FIRM_NM</v>
          </cell>
          <cell r="E4" t="str">
            <v>ACAT Contra Firm Clearing Name</v>
          </cell>
          <cell r="F4" t="str">
            <v>Code_50</v>
          </cell>
          <cell r="G4" t="str">
            <v>VARCHAR2(50)</v>
          </cell>
          <cell r="H4" t="str">
            <v>NULL</v>
          </cell>
          <cell r="I4"/>
          <cell r="J4">
            <v>159</v>
          </cell>
          <cell r="K4"/>
          <cell r="L4"/>
        </row>
        <row r="5">
          <cell r="C5" t="str">
            <v>ACAT Contra Firm Short Name</v>
          </cell>
          <cell r="D5" t="str">
            <v>ACAT_CNTRA_FIRM_SHRT_NM</v>
          </cell>
          <cell r="E5" t="str">
            <v>ACAT Contra Firm Clearing Short Name</v>
          </cell>
          <cell r="F5" t="str">
            <v>Name_15</v>
          </cell>
          <cell r="G5" t="str">
            <v>VARCHAR2(15)</v>
          </cell>
          <cell r="H5" t="str">
            <v>NULL</v>
          </cell>
          <cell r="I5"/>
          <cell r="J5">
            <v>160</v>
          </cell>
          <cell r="K5"/>
          <cell r="L5"/>
        </row>
        <row r="6">
          <cell r="C6" t="str">
            <v>Accounting Type Code</v>
          </cell>
          <cell r="D6" t="str">
            <v>ACG_TP_CD</v>
          </cell>
          <cell r="E6" t="str">
            <v>Accounting type code from SIS (e.g., 1,2)</v>
          </cell>
          <cell r="F6" t="str">
            <v>Code_01</v>
          </cell>
          <cell r="G6" t="str">
            <v>VARCHAR2(1)</v>
          </cell>
          <cell r="H6" t="str">
            <v>NULL</v>
          </cell>
          <cell r="I6"/>
          <cell r="J6">
            <v>102</v>
          </cell>
          <cell r="K6"/>
          <cell r="L6"/>
        </row>
        <row r="7">
          <cell r="C7" t="str">
            <v>Accounting Type Dimension Id</v>
          </cell>
          <cell r="D7" t="str">
            <v>ACG_TP_DIM_ID</v>
          </cell>
          <cell r="E7" t="str">
            <v>Surrogate key for SIS Accounting Dimension</v>
          </cell>
          <cell r="F7" t="str">
            <v>NINI_NOT_NULL</v>
          </cell>
          <cell r="G7" t="str">
            <v>NUMBER(38,0)</v>
          </cell>
          <cell r="H7" t="str">
            <v>NOT NULL</v>
          </cell>
          <cell r="I7"/>
          <cell r="J7">
            <v>41</v>
          </cell>
          <cell r="K7"/>
          <cell r="L7"/>
        </row>
        <row r="8">
          <cell r="C8" t="str">
            <v>Accounting Type Id</v>
          </cell>
          <cell r="D8" t="str">
            <v>ACG_TP_ID</v>
          </cell>
          <cell r="E8" t="str">
            <v>Numeric identifier of the accounting type ID (e.g., 1006, 1001)</v>
          </cell>
          <cell r="F8" t="str">
            <v>NINI</v>
          </cell>
          <cell r="G8" t="str">
            <v>NUMBER(38,0)</v>
          </cell>
          <cell r="H8" t="str">
            <v>NULL</v>
          </cell>
          <cell r="I8"/>
          <cell r="J8">
            <v>192</v>
          </cell>
          <cell r="K8"/>
          <cell r="L8"/>
        </row>
        <row r="9">
          <cell r="C9" t="str">
            <v>Accounting Type Name</v>
          </cell>
          <cell r="D9" t="str">
            <v>ACG_TP_NM</v>
          </cell>
          <cell r="E9" t="str">
            <v>It is the Sub Account associated with the position identifying the regulatory needs of the position. (e.g., cash account,margin account)</v>
          </cell>
          <cell r="F9" t="str">
            <v>Name_30</v>
          </cell>
          <cell r="G9" t="str">
            <v>VARCHAR2(30)</v>
          </cell>
          <cell r="H9" t="str">
            <v>NULL</v>
          </cell>
          <cell r="I9"/>
          <cell r="J9">
            <v>101</v>
          </cell>
          <cell r="K9"/>
          <cell r="L9"/>
        </row>
        <row r="10">
          <cell r="C10" t="str">
            <v>Accrued Interest Amount</v>
          </cell>
          <cell r="D10" t="str">
            <v>ACR_INT_AMT</v>
          </cell>
          <cell r="E10" t="str">
            <v>The amount of fixed income security interest that has accumulated between the most recent interest payment and the trade</v>
          </cell>
          <cell r="F10" t="str">
            <v>A38d6</v>
          </cell>
          <cell r="G10" t="str">
            <v>NUMBER(38,6)</v>
          </cell>
          <cell r="H10" t="str">
            <v>NULL</v>
          </cell>
          <cell r="I10"/>
          <cell r="J10">
            <v>221</v>
          </cell>
          <cell r="K10"/>
          <cell r="L10"/>
        </row>
        <row r="11">
          <cell r="C11" t="str">
            <v>Active Flag</v>
          </cell>
          <cell r="D11" t="str">
            <v>ACTV_F</v>
          </cell>
          <cell r="E11" t="str">
            <v>Indicates that the row is active</v>
          </cell>
          <cell r="F11" t="str">
            <v>Flag</v>
          </cell>
          <cell r="G11" t="str">
            <v>VARCHAR2(1)</v>
          </cell>
          <cell r="H11" t="str">
            <v>NOT NULL</v>
          </cell>
          <cell r="I11"/>
          <cell r="J11">
            <v>95</v>
          </cell>
          <cell r="K11"/>
          <cell r="L11"/>
        </row>
        <row r="12">
          <cell r="C12" t="str">
            <v>Actual Commission Amount</v>
          </cell>
          <cell r="D12" t="str">
            <v>ACT_CMSN_AMT</v>
          </cell>
          <cell r="E12" t="str">
            <v>Actual amount charged by broker or intermediary for a trade execution.</v>
          </cell>
          <cell r="F12" t="str">
            <v>A38d6</v>
          </cell>
          <cell r="G12" t="str">
            <v>NUMBER(38,6)</v>
          </cell>
          <cell r="H12" t="str">
            <v>NULL</v>
          </cell>
          <cell r="I12"/>
          <cell r="J12">
            <v>218</v>
          </cell>
          <cell r="K12"/>
          <cell r="L12"/>
        </row>
        <row r="13">
          <cell r="C13" t="str">
            <v>Additional Trade Instruction</v>
          </cell>
          <cell r="D13" t="str">
            <v>ADL_TRD_INSR</v>
          </cell>
          <cell r="E13" t="str">
            <v>Five character code used to override an Edit Message to give the system special handling instructions for the trade.</v>
          </cell>
          <cell r="F13"/>
          <cell r="G13" t="str">
            <v>VARCHAR2(5)</v>
          </cell>
          <cell r="H13" t="str">
            <v>NULL</v>
          </cell>
          <cell r="I13"/>
          <cell r="J13">
            <v>214</v>
          </cell>
          <cell r="K13"/>
          <cell r="L13"/>
        </row>
        <row r="14">
          <cell r="C14" t="str">
            <v>Aggregate Original Fees</v>
          </cell>
          <cell r="D14" t="str">
            <v>AGRT_ORIG_FEES</v>
          </cell>
          <cell r="E14" t="str">
            <v>**Deprecated field. Not supported anymore.**</v>
          </cell>
          <cell r="F14" t="str">
            <v>Number Number</v>
          </cell>
          <cell r="G14" t="str">
            <v>NUMBER(0,0)</v>
          </cell>
          <cell r="H14" t="str">
            <v>NULL</v>
          </cell>
          <cell r="I14"/>
          <cell r="J14">
            <v>87</v>
          </cell>
          <cell r="K14"/>
          <cell r="L14"/>
        </row>
        <row r="15">
          <cell r="C15" t="str">
            <v>Aggregate Statement Fees</v>
          </cell>
          <cell r="D15" t="str">
            <v>AGRT_STMT_FEES</v>
          </cell>
          <cell r="E15" t="str">
            <v>**Deprecated field. Not supported anymore.**</v>
          </cell>
          <cell r="F15" t="str">
            <v>Number Number</v>
          </cell>
          <cell r="G15" t="str">
            <v>NUMBER(0,0)</v>
          </cell>
          <cell r="H15" t="str">
            <v>NULL</v>
          </cell>
          <cell r="I15"/>
          <cell r="J15">
            <v>88</v>
          </cell>
          <cell r="K15"/>
          <cell r="L15"/>
        </row>
        <row r="16">
          <cell r="C16" t="str">
            <v>Arrangement Dimension Id</v>
          </cell>
          <cell r="D16" t="str">
            <v>AR_DIM_ID</v>
          </cell>
          <cell r="E16" t="str">
            <v>Surrogate Key for Arrangement Dimension corresponding to AR_ID</v>
          </cell>
          <cell r="F16" t="str">
            <v>NINI</v>
          </cell>
          <cell r="G16" t="str">
            <v>NUMBER(38,0)</v>
          </cell>
          <cell r="H16" t="str">
            <v>NOT NULL</v>
          </cell>
          <cell r="I16"/>
          <cell r="J16">
            <v>3</v>
          </cell>
          <cell r="K16"/>
          <cell r="L16"/>
        </row>
        <row r="17">
          <cell r="C17" t="str">
            <v>Arrangement Id</v>
          </cell>
          <cell r="D17" t="str">
            <v>AR_ID</v>
          </cell>
          <cell r="E17" t="str">
            <v>Arrangement Id of the Arrangement this APA belongs to.</v>
          </cell>
          <cell r="F17" t="str">
            <v>NINI</v>
          </cell>
          <cell r="G17" t="str">
            <v>NUMBER(38,0)</v>
          </cell>
          <cell r="H17" t="str">
            <v>NULL</v>
          </cell>
          <cell r="I17"/>
          <cell r="J17">
            <v>103</v>
          </cell>
          <cell r="K17"/>
          <cell r="L17"/>
        </row>
        <row r="18">
          <cell r="C18" t="str">
            <v>Arrangement Originating Source System Code</v>
          </cell>
          <cell r="D18" t="str">
            <v>AR_ORIG_SRC_STM_CD</v>
          </cell>
          <cell r="E18" t="str">
            <v>Code that represents the source system from which CDS database receives/obtains the underlying Arrangement from.</v>
          </cell>
          <cell r="F18" t="str">
            <v>Code_20</v>
          </cell>
          <cell r="G18" t="str">
            <v>VARCHAR2(20)</v>
          </cell>
          <cell r="H18" t="str">
            <v>NULL</v>
          </cell>
          <cell r="I18"/>
          <cell r="J18">
            <v>185</v>
          </cell>
          <cell r="K18"/>
          <cell r="L18"/>
        </row>
        <row r="19">
          <cell r="C19" t="str">
            <v>Arrangement Settlement Type Code</v>
          </cell>
          <cell r="D19" t="str">
            <v>AR_SETL_TP_CD</v>
          </cell>
          <cell r="E19" t="str">
            <v>A code that identifies how an arrangement settles its security transactions.</v>
          </cell>
          <cell r="F19" t="str">
            <v>Code_20</v>
          </cell>
          <cell r="G19" t="str">
            <v>VARCHAR2(20)</v>
          </cell>
          <cell r="H19" t="str">
            <v>NULL</v>
          </cell>
          <cell r="J19">
            <v>190</v>
          </cell>
        </row>
        <row r="20">
          <cell r="C20" t="str">
            <v>Arrangement Settlement Type Description</v>
          </cell>
          <cell r="D20" t="str">
            <v>AR_SETL_TP_DSC</v>
          </cell>
          <cell r="E20" t="str">
            <v>A description that identifies how an arrangement settles its security transactions.</v>
          </cell>
          <cell r="F20" t="str">
            <v>Name_100</v>
          </cell>
          <cell r="G20" t="str">
            <v>VARCHAR2(100)</v>
          </cell>
          <cell r="H20" t="str">
            <v>NULL</v>
          </cell>
          <cell r="I20"/>
          <cell r="J20">
            <v>191</v>
          </cell>
          <cell r="K20"/>
          <cell r="L20"/>
        </row>
        <row r="21">
          <cell r="C21" t="str">
            <v>Batch Date</v>
          </cell>
          <cell r="D21" t="str">
            <v>BATCH_DT</v>
          </cell>
          <cell r="E21" t="str">
            <v>Business Date for the Load run of the Activity Asset Packager row IBM Unique ID:BDW03041</v>
          </cell>
          <cell r="F21" t="str">
            <v>Date</v>
          </cell>
          <cell r="G21" t="str">
            <v>DATE</v>
          </cell>
          <cell r="H21" t="str">
            <v>NULL</v>
          </cell>
          <cell r="I21"/>
          <cell r="J21">
            <v>104</v>
          </cell>
          <cell r="K21"/>
          <cell r="L21"/>
        </row>
        <row r="22">
          <cell r="C22" t="str">
            <v>Booking Date</v>
          </cell>
          <cell r="D22" t="str">
            <v>BKG_DT</v>
          </cell>
          <cell r="E22" t="str">
            <v>System generated Date Time stamp when the record was created.  In SIS would be represented by Effective Date.</v>
          </cell>
          <cell r="F22" t="str">
            <v>Date</v>
          </cell>
          <cell r="G22" t="str">
            <v>DATE</v>
          </cell>
          <cell r="H22" t="str">
            <v>NULL</v>
          </cell>
          <cell r="I22"/>
          <cell r="J22">
            <v>21</v>
          </cell>
          <cell r="K22"/>
          <cell r="L22"/>
        </row>
        <row r="23">
          <cell r="C23" t="str">
            <v>Branch Code</v>
          </cell>
          <cell r="D23" t="str">
            <v>BR_CD</v>
          </cell>
          <cell r="E23" t="str">
            <v>Entity Code of the Financial Advisor that is executing the trade.</v>
          </cell>
          <cell r="F23" t="str">
            <v>Code_20</v>
          </cell>
          <cell r="G23" t="str">
            <v>VARCHAR2(20)</v>
          </cell>
          <cell r="H23" t="str">
            <v>NULL</v>
          </cell>
          <cell r="I23"/>
          <cell r="J23">
            <v>92</v>
          </cell>
          <cell r="K23"/>
          <cell r="L23"/>
        </row>
        <row r="24">
          <cell r="C24" t="str">
            <v>Brokerage Arrangement Dim Id</v>
          </cell>
          <cell r="D24" t="str">
            <v>BKR_AR_DIM_ID</v>
          </cell>
          <cell r="E24" t="str">
            <v>Surrogate Key for Brokerage Arrangement Dimension</v>
          </cell>
          <cell r="F24" t="str">
            <v>NINI</v>
          </cell>
          <cell r="G24" t="str">
            <v>NUMBER(38,0)</v>
          </cell>
          <cell r="H24" t="str">
            <v>NOT NULL</v>
          </cell>
          <cell r="I24"/>
          <cell r="J24">
            <v>4</v>
          </cell>
          <cell r="K24"/>
          <cell r="L24"/>
        </row>
        <row r="25">
          <cell r="C25" t="str">
            <v>Brokerage Arrangement Id</v>
          </cell>
          <cell r="D25" t="str">
            <v>BKR_AR_ID</v>
          </cell>
          <cell r="E25" t="str">
            <v>Brokerage arrangement associated with the Arrangement id. If the transaction is for a brokerage arrangement than both will have same value.</v>
          </cell>
          <cell r="F25" t="str">
            <v>NINI</v>
          </cell>
          <cell r="G25" t="str">
            <v>NUMBER(38,0)</v>
          </cell>
          <cell r="H25" t="str">
            <v>NULL</v>
          </cell>
          <cell r="I25"/>
          <cell r="J25">
            <v>105</v>
          </cell>
          <cell r="K25"/>
          <cell r="L25"/>
        </row>
        <row r="26">
          <cell r="C26" t="str">
            <v>Buy Sell Indicator</v>
          </cell>
          <cell r="D26" t="str">
            <v>BUY_SELL_IND</v>
          </cell>
          <cell r="E26" t="str">
            <v>Indicator to determine whether the transaction is a sale or a purchase</v>
          </cell>
          <cell r="F26" t="str">
            <v>Code_10</v>
          </cell>
          <cell r="G26" t="str">
            <v>VARCHAR2(10)</v>
          </cell>
          <cell r="H26" t="str">
            <v>NULL</v>
          </cell>
          <cell r="I26"/>
          <cell r="J26">
            <v>52</v>
          </cell>
          <cell r="K26"/>
          <cell r="L26"/>
        </row>
        <row r="27">
          <cell r="C27" t="str">
            <v>Cash Activity Category</v>
          </cell>
          <cell r="D27" t="str">
            <v>CASH_AVY_CGY</v>
          </cell>
          <cell r="E27" t="str">
            <v>Represents the specific Category of activity such as a 'Purchase' or 'Income'. Further refinement of the categories are captured under Activity Type.
This field will be populated only if the transaction has a Cash leg.</v>
          </cell>
          <cell r="F27" t="str">
            <v>Name_25</v>
          </cell>
          <cell r="G27" t="str">
            <v>VARCHAR2(25)</v>
          </cell>
          <cell r="H27" t="str">
            <v>NULL</v>
          </cell>
          <cell r="I27"/>
          <cell r="J27">
            <v>85</v>
          </cell>
          <cell r="K27"/>
          <cell r="L27"/>
        </row>
        <row r="28">
          <cell r="C28" t="str">
            <v>Cash Activity Classification Id</v>
          </cell>
          <cell r="D28" t="str">
            <v>CSH_AVY_CL_ID</v>
          </cell>
          <cell r="E28" t="str">
            <v>CDS assigned identifier for the activity class.
This field will be populated only if the transaction has a Cash leg.</v>
          </cell>
          <cell r="F28" t="str">
            <v>NINI</v>
          </cell>
          <cell r="G28" t="str">
            <v>NUMBER(38,0)</v>
          </cell>
          <cell r="H28" t="str">
            <v>NULL</v>
          </cell>
          <cell r="I28"/>
          <cell r="J28">
            <v>84</v>
          </cell>
          <cell r="K28"/>
          <cell r="L28"/>
        </row>
        <row r="29">
          <cell r="C29" t="str">
            <v>Cash Activity Type</v>
          </cell>
          <cell r="D29" t="str">
            <v>CASH_AVY_TP</v>
          </cell>
          <cell r="E29" t="str">
            <v>Represents a more refined view of the Activity Category.
This field will be populated only if the transaction has a Cash leg.</v>
          </cell>
          <cell r="F29" t="str">
            <v>Name_100</v>
          </cell>
          <cell r="G29" t="str">
            <v>VARCHAR2(100)</v>
          </cell>
          <cell r="H29" t="str">
            <v>NULL</v>
          </cell>
          <cell r="I29"/>
          <cell r="J29">
            <v>86</v>
          </cell>
          <cell r="K29"/>
          <cell r="L29"/>
        </row>
        <row r="30">
          <cell r="C30" t="str">
            <v>Cash Alternate Description Trailer 2</v>
          </cell>
          <cell r="D30" t="str">
            <v>CASH_ALT_DSC_TRAILER_2</v>
          </cell>
          <cell r="E30" t="str">
            <v>Second line of unformatted, monolingual narrative booking information. SIS trailer field 2. 
This field will be populated only if the transaction has a Cash leg.</v>
          </cell>
          <cell r="F30" t="str">
            <v>Name_256</v>
          </cell>
          <cell r="G30" t="str">
            <v>VARCHAR2(256)</v>
          </cell>
          <cell r="H30" t="str">
            <v>NULL</v>
          </cell>
          <cell r="I30"/>
          <cell r="J30">
            <v>50</v>
          </cell>
          <cell r="K30"/>
          <cell r="L30"/>
        </row>
        <row r="31">
          <cell r="C31" t="str">
            <v>Cash Asset Package External Qualifier</v>
          </cell>
          <cell r="D31" t="str">
            <v>CASH_APA_EXT_QUALFR</v>
          </cell>
          <cell r="E31" t="str">
            <v>Qualifier code from the external source system.
This field will be populated only if the transaction has a Cash leg.</v>
          </cell>
          <cell r="F31" t="str">
            <v>Code_50</v>
          </cell>
          <cell r="G31" t="str">
            <v>VARCHAR2(50)</v>
          </cell>
          <cell r="H31" t="str">
            <v>NULL</v>
          </cell>
          <cell r="I31"/>
          <cell r="J31">
            <v>51</v>
          </cell>
          <cell r="K31"/>
          <cell r="L31"/>
        </row>
        <row r="32">
          <cell r="C32" t="str">
            <v>Cash Asset Package Id</v>
          </cell>
          <cell r="D32" t="str">
            <v>CSH_APA_ID</v>
          </cell>
          <cell r="E32" t="str">
            <v>APA_ID from CCAL APA table. It is recorded here for the purpose of maintaining a link with the source. 
This field will be populated only if the transaction has a Cash leg.</v>
          </cell>
          <cell r="F32" t="str">
            <v>NINI</v>
          </cell>
          <cell r="G32" t="str">
            <v>NUMBER(38,0)</v>
          </cell>
          <cell r="H32" t="str">
            <v>NULL</v>
          </cell>
          <cell r="I32"/>
          <cell r="J32">
            <v>24</v>
          </cell>
          <cell r="K32"/>
          <cell r="L32"/>
        </row>
        <row r="33">
          <cell r="C33" t="str">
            <v>Cash Asset Package Type Code</v>
          </cell>
          <cell r="D33" t="str">
            <v>CASH_APA_TP_CD</v>
          </cell>
          <cell r="E33" t="str">
            <v>Code associated with Asset Package Type Id.
This field will be populated only if the transaction has a Cash leg.</v>
          </cell>
          <cell r="F33" t="str">
            <v>Code_20</v>
          </cell>
          <cell r="G33" t="str">
            <v>VARCHAR2(20)</v>
          </cell>
          <cell r="H33" t="str">
            <v>NULL</v>
          </cell>
          <cell r="I33"/>
          <cell r="J33">
            <v>81</v>
          </cell>
          <cell r="K33"/>
          <cell r="L33"/>
        </row>
        <row r="34">
          <cell r="C34" t="str">
            <v>Cash Asset Package Type Description</v>
          </cell>
          <cell r="D34" t="str">
            <v>CASH_APA_TP_DSC</v>
          </cell>
          <cell r="E34" t="str">
            <v>Description associated with Asset Package Type Id.
This field will be populated only if the transaction has a Cash leg.</v>
          </cell>
          <cell r="F34" t="str">
            <v>Description_1000</v>
          </cell>
          <cell r="G34" t="str">
            <v>VARCHAR2(1000)</v>
          </cell>
          <cell r="H34" t="str">
            <v>NULL</v>
          </cell>
          <cell r="I34"/>
          <cell r="J34">
            <v>83</v>
          </cell>
          <cell r="K34"/>
          <cell r="L34"/>
        </row>
        <row r="35">
          <cell r="C35" t="str">
            <v>Cash Asset Package Type Id</v>
          </cell>
          <cell r="D35" t="str">
            <v>CSH_APA_TP_ID</v>
          </cell>
          <cell r="E35" t="str">
            <v>Asset Pacakge type Id from CCAL core.
This field will be populated only if the transaction has a Cash leg.</v>
          </cell>
          <cell r="F35" t="str">
            <v>NINI</v>
          </cell>
          <cell r="G35" t="str">
            <v>NUMBER(38,0)</v>
          </cell>
          <cell r="H35" t="str">
            <v>NULL</v>
          </cell>
          <cell r="I35"/>
          <cell r="J35">
            <v>80</v>
          </cell>
          <cell r="K35"/>
          <cell r="L35"/>
        </row>
        <row r="36">
          <cell r="C36" t="str">
            <v>Cash asset Package Type Name</v>
          </cell>
          <cell r="D36" t="str">
            <v>CASH_APA_TP_NM</v>
          </cell>
          <cell r="E36" t="str">
            <v>Name of Asset Package Type Id.
This field will be populated only if the transaction has a Cash leg.</v>
          </cell>
          <cell r="F36" t="str">
            <v>Name_200</v>
          </cell>
          <cell r="G36" t="str">
            <v>VARCHAR2(200)</v>
          </cell>
          <cell r="H36" t="str">
            <v>NULL</v>
          </cell>
          <cell r="I36"/>
          <cell r="J36">
            <v>82</v>
          </cell>
          <cell r="K36"/>
          <cell r="L36"/>
        </row>
        <row r="37">
          <cell r="C37" t="str">
            <v>Cash CCAL Product Id</v>
          </cell>
          <cell r="D37" t="str">
            <v>CASH_PD_ID</v>
          </cell>
          <cell r="E37" t="str">
            <v>Product Identifier from Cash Asset package</v>
          </cell>
          <cell r="F37" t="str">
            <v>NINI</v>
          </cell>
          <cell r="G37" t="str">
            <v>NUMBER(38,0)</v>
          </cell>
          <cell r="H37" t="str">
            <v>NULL</v>
          </cell>
          <cell r="I37"/>
          <cell r="J37">
            <v>109</v>
          </cell>
          <cell r="K37"/>
          <cell r="L37"/>
        </row>
        <row r="38">
          <cell r="C38" t="str">
            <v>Cash Cird Product Id</v>
          </cell>
          <cell r="D38" t="str">
            <v>CASH_CIRD_PD_ID</v>
          </cell>
          <cell r="E38" t="str">
            <v>CIRD identifier for product.
This field will be populated only if the transaction has a Cash leg.</v>
          </cell>
          <cell r="F38" t="str">
            <v>NINI</v>
          </cell>
          <cell r="G38" t="str">
            <v>NUMBER(38,0)</v>
          </cell>
          <cell r="H38" t="str">
            <v>NULL</v>
          </cell>
          <cell r="I38"/>
          <cell r="J38">
            <v>106</v>
          </cell>
          <cell r="K38"/>
          <cell r="L38"/>
        </row>
        <row r="39">
          <cell r="C39" t="str">
            <v>Cash Debit Credit Code</v>
          </cell>
          <cell r="D39" t="str">
            <v>CASH_DB_CR_CD</v>
          </cell>
          <cell r="E39" t="str">
            <v>A code representing Debit / Credit (e.g. D / C)
This field will be populated only if the transaction has a Cash leg.</v>
          </cell>
          <cell r="F39" t="str">
            <v>Code_20</v>
          </cell>
          <cell r="G39" t="str">
            <v>VARCHAR2(20)</v>
          </cell>
          <cell r="H39" t="str">
            <v>NULL</v>
          </cell>
          <cell r="I39"/>
          <cell r="J39">
            <v>107</v>
          </cell>
          <cell r="K39"/>
          <cell r="L39"/>
        </row>
        <row r="40">
          <cell r="C40" t="str">
            <v>Cash Debit Credit Name</v>
          </cell>
          <cell r="D40" t="str">
            <v>CASH_DB_CR_NM</v>
          </cell>
          <cell r="E40" t="str">
            <v>A Name representing Debit / Credit (e.g. Debit / Credit)
This field will be populated only if the transaction has a Cash leg.</v>
          </cell>
          <cell r="F40" t="str">
            <v>Name_100</v>
          </cell>
          <cell r="G40" t="str">
            <v>VARCHAR2(100)</v>
          </cell>
          <cell r="H40" t="str">
            <v>NULL</v>
          </cell>
          <cell r="I40"/>
          <cell r="J40">
            <v>108</v>
          </cell>
          <cell r="K40"/>
          <cell r="L40"/>
        </row>
        <row r="41">
          <cell r="C41" t="str">
            <v>Cash Description Trailer 1</v>
          </cell>
          <cell r="D41" t="str">
            <v>CASH_DSC_TRAILER_1</v>
          </cell>
          <cell r="E41" t="str">
            <v>First line of unformatted, monolingual narrative booking information. SIS Trailer field 1.
This field will be populated only if the transaction has a Cash leg.</v>
          </cell>
          <cell r="F41" t="str">
            <v>Name_256</v>
          </cell>
          <cell r="G41" t="str">
            <v>VARCHAR2(256)</v>
          </cell>
          <cell r="H41" t="str">
            <v>NULL</v>
          </cell>
          <cell r="I41"/>
          <cell r="J41">
            <v>49</v>
          </cell>
          <cell r="K41"/>
          <cell r="L41"/>
        </row>
        <row r="42">
          <cell r="C42" t="str">
            <v>Cash Flow Generation Flag</v>
          </cell>
          <cell r="D42" t="str">
            <v>CF_GEN_F</v>
          </cell>
          <cell r="E42" t="str">
            <v>Cash Flow Generation Flag</v>
          </cell>
          <cell r="F42"/>
          <cell r="G42" t="str">
            <v>VARCHAR2(2)</v>
          </cell>
          <cell r="H42" t="str">
            <v>NULL</v>
          </cell>
          <cell r="I42"/>
          <cell r="J42">
            <v>53</v>
          </cell>
          <cell r="K42"/>
          <cell r="L42"/>
        </row>
        <row r="43">
          <cell r="C43" t="str">
            <v>Cash Investment Product Dim Id</v>
          </cell>
          <cell r="D43" t="str">
            <v>CASH_PD_DIM_ID</v>
          </cell>
          <cell r="E43" t="str">
            <v>Surrogate key for Instrument Product Dim.
This field will be populated only if the transaction has a Cash leg.</v>
          </cell>
          <cell r="F43" t="str">
            <v>NINI</v>
          </cell>
          <cell r="G43" t="str">
            <v>NUMBER(38,0)</v>
          </cell>
          <cell r="H43" t="str">
            <v>NOT NULL</v>
          </cell>
          <cell r="I43"/>
          <cell r="J43">
            <v>2</v>
          </cell>
          <cell r="K43"/>
          <cell r="L43"/>
        </row>
        <row r="44">
          <cell r="C44" t="str">
            <v>Cash Position Type Code</v>
          </cell>
          <cell r="D44" t="str">
            <v>CASH_POS_TP_CD</v>
          </cell>
          <cell r="E44" t="str">
            <v>Coded name for the Cash Postion Type e.g., rjtgs2i, rtc</v>
          </cell>
          <cell r="F44" t="str">
            <v>Code_10</v>
          </cell>
          <cell r="G44" t="str">
            <v>VARCHAR2(10)</v>
          </cell>
          <cell r="H44" t="str">
            <v>NULL</v>
          </cell>
          <cell r="I44"/>
          <cell r="J44">
            <v>110</v>
          </cell>
          <cell r="K44"/>
          <cell r="L44"/>
        </row>
        <row r="45">
          <cell r="C45" t="str">
            <v>cash Position Type Dimension Id</v>
          </cell>
          <cell r="D45" t="str">
            <v>CASH_POS_TP_DIM_ID</v>
          </cell>
          <cell r="E45" t="str">
            <v>Surrogate Key for Cash Position Type</v>
          </cell>
          <cell r="F45" t="str">
            <v>NINI</v>
          </cell>
          <cell r="G45" t="str">
            <v>NUMBER(38,0)</v>
          </cell>
          <cell r="H45" t="str">
            <v>NULL</v>
          </cell>
          <cell r="I45"/>
          <cell r="J45">
            <v>6</v>
          </cell>
          <cell r="K45"/>
          <cell r="L45"/>
        </row>
        <row r="46">
          <cell r="C46" t="str">
            <v>Cash Position Type Id</v>
          </cell>
          <cell r="D46" t="str">
            <v>CASH_POS_TP_ID</v>
          </cell>
          <cell r="E46" t="str">
            <v>An Id representing Cash position type</v>
          </cell>
          <cell r="F46" t="str">
            <v>NINI</v>
          </cell>
          <cell r="G46" t="str">
            <v>NUMBER(38,0)</v>
          </cell>
          <cell r="H46" t="str">
            <v>NULL</v>
          </cell>
          <cell r="I46"/>
          <cell r="J46">
            <v>196</v>
          </cell>
          <cell r="K46"/>
          <cell r="L46"/>
        </row>
        <row r="47">
          <cell r="C47" t="str">
            <v>Cash Position Type Name</v>
          </cell>
          <cell r="D47" t="str">
            <v>CASH_POS_TP_NM</v>
          </cell>
          <cell r="E47" t="str">
            <v>Identifying how the cash position is treated at the end of the day for purposes of cash segregation and sweeps. e.g., Goldman Sachs Federal Fund - Income, Real Time Cash</v>
          </cell>
          <cell r="F47" t="str">
            <v>Name_75</v>
          </cell>
          <cell r="G47" t="str">
            <v>VARCHAR2(75)</v>
          </cell>
          <cell r="H47" t="str">
            <v>NULL</v>
          </cell>
          <cell r="I47"/>
          <cell r="J47">
            <v>111</v>
          </cell>
          <cell r="K47"/>
          <cell r="L47"/>
        </row>
        <row r="48">
          <cell r="C48" t="str">
            <v>Cash Simplified Display Activity Category</v>
          </cell>
          <cell r="D48" t="str">
            <v>CASH_SIMP_DSPL_AVY_CGY</v>
          </cell>
          <cell r="E48" t="str">
            <v>Simplified Display activity category shown to advisor in applications like client center.
This field will be populated only if the transaction has a Cash leg.</v>
          </cell>
          <cell r="F48" t="str">
            <v>Name_25</v>
          </cell>
          <cell r="G48" t="str">
            <v>VARCHAR2(25)</v>
          </cell>
          <cell r="H48" t="str">
            <v>NULL</v>
          </cell>
          <cell r="I48"/>
          <cell r="J48">
            <v>174</v>
          </cell>
          <cell r="K48"/>
          <cell r="L48"/>
        </row>
        <row r="49">
          <cell r="C49" t="str">
            <v>Cash Simplified Display Activity Type</v>
          </cell>
          <cell r="D49" t="str">
            <v>CASH_SIMP_DSPL_AVY_TP</v>
          </cell>
          <cell r="E49" t="str">
            <v>Simplified Display activity type shown to advisor in applications like client center.
This field will be populated only if the transaction has a Cash leg.</v>
          </cell>
          <cell r="F49" t="str">
            <v>Name_100</v>
          </cell>
          <cell r="G49" t="str">
            <v>VARCHAR2(100)</v>
          </cell>
          <cell r="H49" t="str">
            <v>NULL</v>
          </cell>
          <cell r="I49"/>
          <cell r="J49">
            <v>175</v>
          </cell>
          <cell r="K49"/>
          <cell r="L49"/>
        </row>
        <row r="50">
          <cell r="C50" t="str">
            <v>Cash Source Sequence Number</v>
          </cell>
          <cell r="D50" t="str">
            <v>CASH_SRC_SEQ_NUM</v>
          </cell>
          <cell r="E50" t="str">
            <v>Sequence Number assigned by source system.
This field will be populated only if the transaction has a Cash leg.</v>
          </cell>
          <cell r="F50" t="str">
            <v>NINI</v>
          </cell>
          <cell r="G50" t="str">
            <v>NUMBER(38,0)</v>
          </cell>
          <cell r="H50" t="str">
            <v>NULL</v>
          </cell>
          <cell r="I50"/>
          <cell r="J50">
            <v>45</v>
          </cell>
          <cell r="K50"/>
          <cell r="L50"/>
        </row>
        <row r="51">
          <cell r="C51" t="str">
            <v>Cash System Base Currency Amount</v>
          </cell>
          <cell r="D51" t="str">
            <v>CASH_SBC_AMT</v>
          </cell>
          <cell r="E51" t="str">
            <v>Transaction Amount expressed in System Base Currency.
This field will be populated only if the transaction has a Cash leg.</v>
          </cell>
          <cell r="F51" t="str">
            <v>A38d6</v>
          </cell>
          <cell r="G51" t="str">
            <v>NUMBER(38,6)</v>
          </cell>
          <cell r="H51" t="str">
            <v>NULL</v>
          </cell>
          <cell r="I51"/>
          <cell r="J51">
            <v>40</v>
          </cell>
          <cell r="K51"/>
          <cell r="L51"/>
        </row>
        <row r="52">
          <cell r="C52" t="str">
            <v>Cash Transaction Amount</v>
          </cell>
          <cell r="D52" t="str">
            <v>CASH_TXN_AMT</v>
          </cell>
          <cell r="E52" t="str">
            <v>Transaction amount applicable to the Asset package in transaction currency.
This field will be populated only if the transaction has a Cash leg.</v>
          </cell>
          <cell r="F52" t="str">
            <v>A38d6</v>
          </cell>
          <cell r="G52" t="str">
            <v>NUMBER(38,6)</v>
          </cell>
          <cell r="H52" t="str">
            <v>NULL</v>
          </cell>
          <cell r="I52"/>
          <cell r="J52">
            <v>30</v>
          </cell>
          <cell r="K52"/>
          <cell r="L52"/>
        </row>
        <row r="53">
          <cell r="C53" t="str">
            <v>Client Friendly Description</v>
          </cell>
          <cell r="D53" t="str">
            <v>CLNT_FRIENDLY_DSC</v>
          </cell>
          <cell r="E53" t="str">
            <v>Client friendly description of the Asset package.</v>
          </cell>
          <cell r="F53" t="str">
            <v>Name_256</v>
          </cell>
          <cell r="G53" t="str">
            <v>VARCHAR2(256)</v>
          </cell>
          <cell r="H53" t="str">
            <v>NULL</v>
          </cell>
          <cell r="I53"/>
          <cell r="J53">
            <v>100</v>
          </cell>
          <cell r="K53"/>
          <cell r="L53"/>
        </row>
        <row r="54">
          <cell r="C54" t="str">
            <v>Concession Amount</v>
          </cell>
          <cell r="D54" t="str">
            <v>CNCSN_AMT</v>
          </cell>
          <cell r="E54" t="str">
            <v>Amount paid to the broker or firm that facilitates the sale of the mutual fund shares</v>
          </cell>
          <cell r="F54" t="str">
            <v>A38d6</v>
          </cell>
          <cell r="G54" t="str">
            <v>NUMBER(38,6)</v>
          </cell>
          <cell r="H54" t="str">
            <v>NULL</v>
          </cell>
          <cell r="I54"/>
          <cell r="J54">
            <v>222</v>
          </cell>
          <cell r="K54"/>
          <cell r="L54"/>
        </row>
        <row r="55">
          <cell r="C55" t="str">
            <v>Contingent Deferred Sales Charge Amount</v>
          </cell>
          <cell r="D55" t="str">
            <v>CDSC_AMT</v>
          </cell>
          <cell r="E55" t="str">
            <v>Back-end sales charge paid for Class B mutual fund shares within a specified period from the original purchase date. This fee is also known as Exit Fee.</v>
          </cell>
          <cell r="F55" t="str">
            <v>A38d6</v>
          </cell>
          <cell r="G55" t="str">
            <v>NUMBER(38,6)</v>
          </cell>
          <cell r="H55" t="str">
            <v>NULL</v>
          </cell>
          <cell r="I55"/>
          <cell r="J55">
            <v>223</v>
          </cell>
          <cell r="K55"/>
          <cell r="L55"/>
        </row>
        <row r="56">
          <cell r="C56" t="str">
            <v>Create Datetime</v>
          </cell>
          <cell r="D56" t="str">
            <v>CRT_DTM</v>
          </cell>
          <cell r="E56" t="str">
            <v>The exact date when a record was first created.</v>
          </cell>
          <cell r="F56" t="str">
            <v>Create Datetime</v>
          </cell>
          <cell r="G56" t="str">
            <v>DATE</v>
          </cell>
          <cell r="H56" t="str">
            <v>NOT NULL</v>
          </cell>
          <cell r="I56"/>
          <cell r="J56">
            <v>91</v>
          </cell>
          <cell r="K56"/>
          <cell r="L56"/>
        </row>
        <row r="57">
          <cell r="C57" t="str">
            <v>Create User Name</v>
          </cell>
          <cell r="D57" t="str">
            <v>CRT_USR_NM</v>
          </cell>
          <cell r="E57" t="str">
            <v>The name that represents the user who created an occurrence of a record.</v>
          </cell>
          <cell r="F57" t="str">
            <v>Name_256</v>
          </cell>
          <cell r="G57" t="str">
            <v>VARCHAR2(256)</v>
          </cell>
          <cell r="H57" t="str">
            <v>NOT NULL</v>
          </cell>
          <cell r="I57"/>
          <cell r="J57">
            <v>90</v>
          </cell>
          <cell r="K57"/>
          <cell r="L57"/>
        </row>
        <row r="58">
          <cell r="C58" t="str">
            <v>Currency Code</v>
          </cell>
          <cell r="D58" t="str">
            <v>CCY_CD</v>
          </cell>
          <cell r="E58" t="str">
            <v>ISO Currency Code for transaction amount</v>
          </cell>
          <cell r="F58" t="str">
            <v>Code_03</v>
          </cell>
          <cell r="G58" t="str">
            <v>VARCHAR2(3)</v>
          </cell>
          <cell r="H58" t="str">
            <v>NULL</v>
          </cell>
          <cell r="I58"/>
          <cell r="J58">
            <v>112</v>
          </cell>
          <cell r="K58"/>
          <cell r="L58"/>
        </row>
        <row r="59">
          <cell r="C59" t="str">
            <v>Currency Dimension Id</v>
          </cell>
          <cell r="D59" t="str">
            <v>CCY_DIM_ID</v>
          </cell>
          <cell r="E59" t="str">
            <v>Surrogate key for Currency dimension based on Currency Code.</v>
          </cell>
          <cell r="F59" t="str">
            <v>NINI</v>
          </cell>
          <cell r="G59" t="str">
            <v>NUMBER(38,0)</v>
          </cell>
          <cell r="H59" t="str">
            <v>NULL</v>
          </cell>
          <cell r="I59"/>
          <cell r="J59">
            <v>18</v>
          </cell>
          <cell r="K59"/>
          <cell r="L59"/>
        </row>
        <row r="60">
          <cell r="C60" t="str">
            <v>Department Of Labor Indicator Code</v>
          </cell>
          <cell r="D60" t="str">
            <v>DOL_IND_CD</v>
          </cell>
          <cell r="E60" t="str">
            <v>A code that identifies whether or not an account is deemed eligible in accordance with the DOL fiduciary rule.</v>
          </cell>
          <cell r="F60" t="str">
            <v>Code_20</v>
          </cell>
          <cell r="G60" t="str">
            <v>VARCHAR2(20)</v>
          </cell>
          <cell r="H60" t="str">
            <v>NULL</v>
          </cell>
          <cell r="I60"/>
          <cell r="J60">
            <v>113</v>
          </cell>
          <cell r="K60"/>
          <cell r="L60"/>
        </row>
        <row r="61">
          <cell r="C61" t="str">
            <v>Department Of Labor Indicator Id</v>
          </cell>
          <cell r="D61" t="str">
            <v>DOL_IND_ID</v>
          </cell>
          <cell r="E61" t="str">
            <v>Identifier of whether or not an account is deemed eligible in accordance with the DOL fiduciary rule.</v>
          </cell>
          <cell r="F61" t="str">
            <v>NINI</v>
          </cell>
          <cell r="G61" t="str">
            <v>NUMBER(38,0)</v>
          </cell>
          <cell r="H61" t="str">
            <v>NULL</v>
          </cell>
          <cell r="I61"/>
          <cell r="J61">
            <v>114</v>
          </cell>
          <cell r="K61"/>
          <cell r="L61"/>
        </row>
        <row r="62">
          <cell r="C62" t="str">
            <v>Department Of Labor Indicator Name</v>
          </cell>
          <cell r="D62" t="str">
            <v>DOL_IND_NM</v>
          </cell>
          <cell r="E62" t="str">
            <v>Name that identifies whether or not an account is deemed eligible in accordance with the DOL fiduciary rule.</v>
          </cell>
          <cell r="F62" t="str">
            <v>Name_200</v>
          </cell>
          <cell r="G62" t="str">
            <v>VARCHAR2(200)</v>
          </cell>
          <cell r="H62" t="str">
            <v>NULL</v>
          </cell>
          <cell r="I62"/>
          <cell r="J62">
            <v>115</v>
          </cell>
          <cell r="K62"/>
          <cell r="L62"/>
        </row>
        <row r="63">
          <cell r="C63" t="str">
            <v>Derived Trade Capacity Code</v>
          </cell>
          <cell r="D63" t="str">
            <v>DRVD_TRD_CPCTY_CD</v>
          </cell>
          <cell r="E63" t="str">
            <v>Unique Code derived to show type of capacity based on combination of legacy trade capacity and OMS execution type. Eg. acting as principal or agency.</v>
          </cell>
          <cell r="F63" t="str">
            <v>Code_20</v>
          </cell>
          <cell r="G63" t="str">
            <v>VARCHAR2(20)</v>
          </cell>
          <cell r="H63" t="str">
            <v>NULL</v>
          </cell>
          <cell r="I63"/>
          <cell r="J63">
            <v>178</v>
          </cell>
          <cell r="K63"/>
          <cell r="L63"/>
        </row>
        <row r="64">
          <cell r="C64" t="str">
            <v>Derived Trade Capacity Id</v>
          </cell>
          <cell r="D64" t="str">
            <v>DRVD_TRD_CPCTY_ID</v>
          </cell>
          <cell r="E64" t="str">
            <v>Unique Identifier derived to show type of capacity based on combination of legacy trade capacity and OMS execution type. Eg. acting as principal or agency.</v>
          </cell>
          <cell r="F64" t="str">
            <v>NINI</v>
          </cell>
          <cell r="G64" t="str">
            <v>NUMBER(38,0)</v>
          </cell>
          <cell r="H64" t="str">
            <v>NULL</v>
          </cell>
          <cell r="I64"/>
          <cell r="J64">
            <v>182</v>
          </cell>
          <cell r="K64"/>
          <cell r="L64"/>
        </row>
        <row r="65">
          <cell r="C65" t="str">
            <v>Derived Trade Capacity Name</v>
          </cell>
          <cell r="D65" t="str">
            <v>DRVD_TRD_CPCTY_NM</v>
          </cell>
          <cell r="E65" t="str">
            <v>Derived Unique Name that represents what type of capacity based on combination of legacy trade capacity and OMS execution type the trade was executed in. Eg. acting as principal or agency.</v>
          </cell>
          <cell r="F65" t="str">
            <v>Name_200</v>
          </cell>
          <cell r="G65" t="str">
            <v>VARCHAR2(200)</v>
          </cell>
          <cell r="H65" t="str">
            <v>NULL</v>
          </cell>
          <cell r="I65"/>
          <cell r="J65">
            <v>180</v>
          </cell>
          <cell r="K65"/>
          <cell r="L65"/>
        </row>
        <row r="66">
          <cell r="C66" t="str">
            <v>Dividend Record Date</v>
          </cell>
          <cell r="D66" t="str">
            <v>DVDN_RCRD_DT</v>
          </cell>
          <cell r="E66" t="str">
            <v>The cut-off date that an organization is expected to use to determine which shareholders are eligible to receive a dividend or income distribution.</v>
          </cell>
          <cell r="F66" t="str">
            <v>Date</v>
          </cell>
          <cell r="G66" t="str">
            <v>DATE</v>
          </cell>
          <cell r="H66" t="str">
            <v>NULL</v>
          </cell>
          <cell r="I66"/>
          <cell r="J66">
            <v>152</v>
          </cell>
          <cell r="K66"/>
          <cell r="L66"/>
        </row>
        <row r="67">
          <cell r="C67" t="str">
            <v>Exchange Code</v>
          </cell>
          <cell r="D67" t="str">
            <v>EXG_CD</v>
          </cell>
          <cell r="E67" t="str">
            <v>Code to indicate an exchange where a given trade was executed.  CIRD uses the MIC code where available/provided.</v>
          </cell>
          <cell r="F67" t="str">
            <v>Code_30</v>
          </cell>
          <cell r="G67" t="str">
            <v>VARCHAR2(30)</v>
          </cell>
          <cell r="H67" t="str">
            <v>NULL</v>
          </cell>
          <cell r="I67"/>
          <cell r="J67">
            <v>116</v>
          </cell>
          <cell r="K67"/>
          <cell r="L67"/>
        </row>
        <row r="68">
          <cell r="C68" t="str">
            <v>Exchange Dimension Id</v>
          </cell>
          <cell r="D68" t="str">
            <v>EXG_DIM_ID</v>
          </cell>
          <cell r="E68" t="str">
            <v>Surrogate key for Exchange Dim - The exchange that the transaction was conducted on</v>
          </cell>
          <cell r="F68" t="str">
            <v>NINI_NOT_NULL</v>
          </cell>
          <cell r="G68" t="str">
            <v>NUMBER(38,0)</v>
          </cell>
          <cell r="H68" t="str">
            <v>NOT NULL</v>
          </cell>
          <cell r="I68"/>
          <cell r="J68">
            <v>38</v>
          </cell>
          <cell r="K68"/>
          <cell r="L68"/>
        </row>
        <row r="69">
          <cell r="C69" t="str">
            <v>Exchange Name</v>
          </cell>
          <cell r="D69" t="str">
            <v>EXG_NM</v>
          </cell>
          <cell r="E69" t="str">
            <v>Name that represents an exchange where a given trade was executed.  CIRD uses the MIC code where available/provided.</v>
          </cell>
          <cell r="F69" t="str">
            <v>Name500</v>
          </cell>
          <cell r="G69" t="str">
            <v>VARCHAR2(500)</v>
          </cell>
          <cell r="H69" t="str">
            <v>NULL</v>
          </cell>
          <cell r="I69"/>
          <cell r="J69">
            <v>117</v>
          </cell>
          <cell r="K69"/>
          <cell r="L69"/>
        </row>
        <row r="70">
          <cell r="C70" t="str">
            <v>Execution Date</v>
          </cell>
          <cell r="D70" t="str">
            <v>EXEC_DTM</v>
          </cell>
          <cell r="E70" t="str">
            <v>System generated date time stamp when the order manager determined the information as binding and liable against 3rd parties. That is when an order is executed in the marketplace. This field holds timestamp at microsec level.</v>
          </cell>
          <cell r="F70" t="str">
            <v>Timestamp</v>
          </cell>
          <cell r="G70" t="str">
            <v>TIMESTAMP(6)</v>
          </cell>
          <cell r="H70" t="str">
            <v>NULL</v>
          </cell>
          <cell r="I70"/>
          <cell r="J70">
            <v>197</v>
          </cell>
          <cell r="K70"/>
          <cell r="L70"/>
        </row>
        <row r="71">
          <cell r="C71" t="str">
            <v>Execution Subtype Code</v>
          </cell>
          <cell r="D71" t="str">
            <v>EXEC_SBTP_CD</v>
          </cell>
          <cell r="E71" t="str">
            <v>A code for the execution sub-types allow the refinement of execution types for an order manager’s internal diversification only such as strategy level type, e.g.. Bullish Vertical spread, stop limit order.</v>
          </cell>
          <cell r="F71" t="str">
            <v>Code_20</v>
          </cell>
          <cell r="G71" t="str">
            <v>VARCHAR2(20)</v>
          </cell>
          <cell r="H71" t="str">
            <v>NULL</v>
          </cell>
          <cell r="I71"/>
          <cell r="J71">
            <v>70</v>
          </cell>
          <cell r="K71"/>
          <cell r="L71"/>
        </row>
        <row r="72">
          <cell r="C72" t="str">
            <v>Execution Subtype Description</v>
          </cell>
          <cell r="D72" t="str">
            <v>EXEC_SBTP_DSC</v>
          </cell>
          <cell r="E72" t="str">
            <v>A description for the execution sub-types allow the refinement of execution types for an order manager’s internal diversification only such as strategy level type, e.g.. Bullish Vertical spread, stop limit order.</v>
          </cell>
          <cell r="F72" t="str">
            <v>Description_1000</v>
          </cell>
          <cell r="G72" t="str">
            <v>VARCHAR2(1000)</v>
          </cell>
          <cell r="H72" t="str">
            <v>NULL</v>
          </cell>
          <cell r="I72"/>
          <cell r="J72">
            <v>72</v>
          </cell>
          <cell r="K72"/>
          <cell r="L72"/>
        </row>
        <row r="73">
          <cell r="C73" t="str">
            <v>Execution Subtype Id</v>
          </cell>
          <cell r="D73" t="str">
            <v>EXEC_SBTP_ID</v>
          </cell>
          <cell r="E73" t="e">
            <v>#VALUE!</v>
          </cell>
          <cell r="F73" t="str">
            <v>NINI</v>
          </cell>
          <cell r="G73" t="str">
            <v>NUMBER(38,0)</v>
          </cell>
          <cell r="H73" t="str">
            <v>NULL</v>
          </cell>
          <cell r="I73"/>
          <cell r="J73">
            <v>69</v>
          </cell>
          <cell r="K73"/>
          <cell r="L73"/>
        </row>
        <row r="74">
          <cell r="C74" t="str">
            <v>Execution Subtype Name</v>
          </cell>
          <cell r="D74" t="str">
            <v>EXEC_SBTP_NM</v>
          </cell>
          <cell r="E74" t="str">
            <v>Name for the execution sub-types allow the refinement of execution types for an order manager’s internal diversification only such as strategy level type, e.g.. Bullish Vertical spread, stop limit order.</v>
          </cell>
          <cell r="F74" t="str">
            <v>Name_200</v>
          </cell>
          <cell r="G74" t="str">
            <v>VARCHAR2(200)</v>
          </cell>
          <cell r="H74" t="str">
            <v>NULL</v>
          </cell>
          <cell r="I74"/>
          <cell r="J74">
            <v>71</v>
          </cell>
          <cell r="K74"/>
          <cell r="L74"/>
        </row>
        <row r="75">
          <cell r="C75" t="str">
            <v>Execution Type Code</v>
          </cell>
          <cell r="D75" t="str">
            <v>EXEC_TP_CD</v>
          </cell>
          <cell r="E75" t="e">
            <v>#VALUE!</v>
          </cell>
          <cell r="F75" t="str">
            <v>Code_20</v>
          </cell>
          <cell r="G75" t="str">
            <v>VARCHAR2(20)</v>
          </cell>
          <cell r="H75" t="str">
            <v>NULL</v>
          </cell>
          <cell r="I75"/>
          <cell r="J75">
            <v>66</v>
          </cell>
          <cell r="K75"/>
          <cell r="L75"/>
        </row>
        <row r="76">
          <cell r="C76" t="str">
            <v>Execution Type Description</v>
          </cell>
          <cell r="D76" t="str">
            <v>EXEC_TP_DSC</v>
          </cell>
          <cell r="E76" t="e">
            <v>#VALUE!</v>
          </cell>
          <cell r="F76" t="str">
            <v>Description_1000</v>
          </cell>
          <cell r="G76" t="str">
            <v>VARCHAR2(1000)</v>
          </cell>
          <cell r="H76" t="str">
            <v>NULL</v>
          </cell>
          <cell r="I76"/>
          <cell r="J76">
            <v>68</v>
          </cell>
          <cell r="K76"/>
          <cell r="L76"/>
        </row>
        <row r="77">
          <cell r="C77" t="str">
            <v>Execution Type Id</v>
          </cell>
          <cell r="D77" t="str">
            <v>EXEC_TP_ID</v>
          </cell>
          <cell r="E77" t="e">
            <v>#VALUE!</v>
          </cell>
          <cell r="F77" t="str">
            <v>NINI</v>
          </cell>
          <cell r="G77" t="str">
            <v>NUMBER(38,0)</v>
          </cell>
          <cell r="H77" t="str">
            <v>NULL</v>
          </cell>
          <cell r="I77"/>
          <cell r="J77">
            <v>65</v>
          </cell>
          <cell r="K77"/>
          <cell r="L77"/>
        </row>
        <row r="78">
          <cell r="C78" t="str">
            <v>Execution Type Name</v>
          </cell>
          <cell r="D78" t="str">
            <v>EXEC_TP_NM</v>
          </cell>
          <cell r="E78" t="e">
            <v>#VALUE!</v>
          </cell>
          <cell r="F78" t="str">
            <v>Name_200</v>
          </cell>
          <cell r="G78" t="str">
            <v>VARCHAR2(200)</v>
          </cell>
          <cell r="H78" t="str">
            <v>NULL</v>
          </cell>
          <cell r="I78"/>
          <cell r="J78">
            <v>67</v>
          </cell>
          <cell r="K78"/>
          <cell r="L78"/>
        </row>
        <row r="79">
          <cell r="C79" t="str">
            <v>FA Number</v>
          </cell>
          <cell r="D79" t="str">
            <v>FA_NUM</v>
          </cell>
          <cell r="E79" t="str">
            <v>A 4 character value assigned to one or more FAs for purposes of paying commissions. Accounts are assigned one FA Number. The FA Number is used to relate Advisors to client accounts.</v>
          </cell>
          <cell r="F79" t="str">
            <v>Code_20</v>
          </cell>
          <cell r="G79" t="str">
            <v>VARCHAR2(20)</v>
          </cell>
          <cell r="H79" t="str">
            <v>NULL</v>
          </cell>
          <cell r="I79"/>
          <cell r="J79">
            <v>93</v>
          </cell>
          <cell r="K79"/>
          <cell r="L79"/>
        </row>
        <row r="80">
          <cell r="C80" t="str">
            <v>IMPACT Source Action Code</v>
          </cell>
          <cell r="D80" t="str">
            <v>IMP_SRC_ACTN_CD</v>
          </cell>
          <cell r="E80" t="str">
            <v>Code representing Action Type in IMPACT source system</v>
          </cell>
          <cell r="F80" t="str">
            <v>Code_01</v>
          </cell>
          <cell r="G80" t="str">
            <v>VARCHAR2(1)</v>
          </cell>
          <cell r="H80" t="str">
            <v>NULL</v>
          </cell>
          <cell r="I80"/>
          <cell r="J80">
            <v>181</v>
          </cell>
          <cell r="K80"/>
          <cell r="L80"/>
        </row>
        <row r="81">
          <cell r="C81" t="str">
            <v>IMPACT Source Action Name</v>
          </cell>
          <cell r="D81" t="str">
            <v>IMP_SRC_ACTN_NM</v>
          </cell>
          <cell r="E81" t="str">
            <v>Name representing Action Type in IMPACT source system</v>
          </cell>
          <cell r="F81" t="str">
            <v>Name_100</v>
          </cell>
          <cell r="G81" t="str">
            <v>VARCHAR2(100)</v>
          </cell>
          <cell r="H81" t="str">
            <v>NULL</v>
          </cell>
          <cell r="I81"/>
          <cell r="J81">
            <v>183</v>
          </cell>
          <cell r="K81"/>
          <cell r="L81"/>
        </row>
        <row r="82">
          <cell r="C82" t="str">
            <v>ISIN</v>
          </cell>
          <cell r="D82" t="str">
            <v>ISIN</v>
          </cell>
          <cell r="E82" t="str">
            <v>ISIN stands for International Securities Identification Number. These numbers are unique codes used to identify and track securities worldwide</v>
          </cell>
          <cell r="F82"/>
          <cell r="G82" t="str">
            <v>VARCHAR2(200)</v>
          </cell>
          <cell r="H82" t="str">
            <v>NULL</v>
          </cell>
          <cell r="I82"/>
          <cell r="J82">
            <v>227</v>
          </cell>
          <cell r="K82"/>
          <cell r="L82"/>
        </row>
        <row r="83">
          <cell r="C83" t="str">
            <v>Last Update Datetime</v>
          </cell>
          <cell r="D83" t="str">
            <v>LAST_UDT_DTM</v>
          </cell>
          <cell r="E83" t="str">
            <v>The exact date and time when an occurrence is inserted, updated, or deleted a row</v>
          </cell>
          <cell r="F83" t="str">
            <v>Last Update Datetime</v>
          </cell>
          <cell r="G83" t="str">
            <v>DATE</v>
          </cell>
          <cell r="H83" t="str">
            <v>NOT NULL</v>
          </cell>
          <cell r="I83"/>
          <cell r="J83">
            <v>212</v>
          </cell>
          <cell r="K83"/>
          <cell r="L83"/>
        </row>
        <row r="84">
          <cell r="C84" t="str">
            <v>Last Update User Name</v>
          </cell>
          <cell r="D84" t="str">
            <v>LAST_UDT_USR_NM</v>
          </cell>
          <cell r="E84" t="str">
            <v>The name that represents the user or application who inserted, updated, or deleted each occurrence of row</v>
          </cell>
          <cell r="F84" t="str">
            <v>Name_256</v>
          </cell>
          <cell r="G84" t="str">
            <v>VARCHAR2(256)</v>
          </cell>
          <cell r="H84" t="str">
            <v>NOT NULL</v>
          </cell>
          <cell r="I84"/>
          <cell r="J84">
            <v>211</v>
          </cell>
          <cell r="K84"/>
          <cell r="L84"/>
        </row>
        <row r="85">
          <cell r="C85" t="str">
            <v>Legacy Cancellation Compliance Reason Type Code</v>
          </cell>
          <cell r="D85" t="str">
            <v>LGCY_CNCL_CMPLN_RSN_TP_CD</v>
          </cell>
          <cell r="E85" t="str">
            <v>A code that indicates the Legacy Cancellation Compliance Reason Type.</v>
          </cell>
          <cell r="F85" t="str">
            <v>Code_20</v>
          </cell>
          <cell r="G85" t="str">
            <v>VARCHAR2(20)</v>
          </cell>
          <cell r="H85" t="str">
            <v>NULL</v>
          </cell>
          <cell r="I85"/>
          <cell r="J85">
            <v>118</v>
          </cell>
          <cell r="K85"/>
          <cell r="L85"/>
        </row>
        <row r="86">
          <cell r="C86" t="str">
            <v>Legacy Cancellation Compliance Reason Type dimension ID</v>
          </cell>
          <cell r="D86" t="str">
            <v>LGCY_CNCL_CMPLN_RSN_DIM_ID</v>
          </cell>
          <cell r="E86" t="str">
            <v>Surrogate key for Legacy Cancellation Compliance Reason Type dimension.</v>
          </cell>
          <cell r="F86" t="str">
            <v>NINI</v>
          </cell>
          <cell r="G86" t="str">
            <v>NUMBER(38,0)</v>
          </cell>
          <cell r="H86" t="str">
            <v>NOT NULL</v>
          </cell>
          <cell r="I86"/>
          <cell r="J86">
            <v>7</v>
          </cell>
          <cell r="K86"/>
          <cell r="L86"/>
        </row>
        <row r="87">
          <cell r="C87" t="str">
            <v>Legacy Cancellation Compliance Reason Type Id</v>
          </cell>
          <cell r="D87" t="str">
            <v>LGCY_CNCL_CMPLN_RSN_TP_ID</v>
          </cell>
          <cell r="E87" t="str">
            <v>Identifier for the Legacy Cancellation Compliance Reason Type.</v>
          </cell>
          <cell r="F87" t="str">
            <v>NINI</v>
          </cell>
          <cell r="G87" t="str">
            <v>NUMBER(38,0)</v>
          </cell>
          <cell r="H87" t="str">
            <v>NULL</v>
          </cell>
          <cell r="I87"/>
          <cell r="J87">
            <v>199</v>
          </cell>
          <cell r="K87"/>
          <cell r="L87"/>
        </row>
        <row r="88">
          <cell r="C88" t="str">
            <v>Legacy Cancellation Compliance Reason Type Name</v>
          </cell>
          <cell r="D88" t="str">
            <v>LGCY_CNCL_CMPLN_RSN_TP_NM</v>
          </cell>
          <cell r="E88" t="str">
            <v>Name of the Legacy Cancellation Compliance Reason Type.
This will provide specific reason as to why a trade was cancelled, such as due to a price correction.</v>
          </cell>
          <cell r="F88" t="str">
            <v>Name_200</v>
          </cell>
          <cell r="G88" t="str">
            <v>VARCHAR2(200)</v>
          </cell>
          <cell r="H88" t="str">
            <v>NULL</v>
          </cell>
          <cell r="I88"/>
          <cell r="J88">
            <v>119</v>
          </cell>
          <cell r="K88"/>
          <cell r="L88"/>
        </row>
        <row r="89">
          <cell r="C89" t="str">
            <v>Legacy Cancellation Compliance Source Type Code</v>
          </cell>
          <cell r="D89" t="str">
            <v>LGCY_CNCL_CMPLN_SRC_TP_CD</v>
          </cell>
          <cell r="E89" t="str">
            <v>A code that indicates the Legacy Cancellation Compliance Source Type.</v>
          </cell>
          <cell r="F89" t="str">
            <v>Code_20</v>
          </cell>
          <cell r="G89" t="str">
            <v>VARCHAR2(20)</v>
          </cell>
          <cell r="H89" t="str">
            <v>NULL</v>
          </cell>
          <cell r="I89"/>
          <cell r="J89">
            <v>120</v>
          </cell>
          <cell r="K89"/>
          <cell r="L89"/>
        </row>
        <row r="90">
          <cell r="C90" t="str">
            <v>Legacy Cancellation Compliance Source Type Dimension ID</v>
          </cell>
          <cell r="D90" t="str">
            <v>LGCY_CNCL_CMPLN_SRC_DIM_ID</v>
          </cell>
          <cell r="E90" t="str">
            <v>Surrogate key for Legacy Cancellation Compliance Source Type Dimension.</v>
          </cell>
          <cell r="F90" t="str">
            <v>NINI</v>
          </cell>
          <cell r="G90" t="str">
            <v>NUMBER(38,0)</v>
          </cell>
          <cell r="H90" t="str">
            <v>NOT NULL</v>
          </cell>
          <cell r="I90"/>
          <cell r="J90">
            <v>8</v>
          </cell>
          <cell r="K90"/>
          <cell r="L90"/>
        </row>
        <row r="91">
          <cell r="C91" t="str">
            <v>Legacy Cancellation Compliance Source Type Id</v>
          </cell>
          <cell r="D91" t="str">
            <v>LGCY_CNCL_CMPLN_SRC_TP_ID</v>
          </cell>
          <cell r="E91" t="str">
            <v>Identifier for the Legacy Cancellation Compliance Source Type.</v>
          </cell>
          <cell r="F91" t="str">
            <v>NINI</v>
          </cell>
          <cell r="G91" t="str">
            <v>NUMBER(38,0)</v>
          </cell>
          <cell r="H91" t="str">
            <v>NULL</v>
          </cell>
          <cell r="I91"/>
          <cell r="J91">
            <v>198</v>
          </cell>
          <cell r="K91"/>
          <cell r="L91"/>
        </row>
        <row r="92">
          <cell r="C92" t="str">
            <v>Legacy Cancellation Compliance Source Type Name</v>
          </cell>
          <cell r="D92" t="str">
            <v>LGCY_CNCL_CMPLN_SRC_TP_NM</v>
          </cell>
          <cell r="E92" t="str">
            <v>Name of the Legacy Cancellation Compliance Source Type.
This will provide which internal or external source executed the trade cancellation, such as Purchase &amp; Sales department.</v>
          </cell>
          <cell r="F92" t="str">
            <v>Name_200</v>
          </cell>
          <cell r="G92" t="str">
            <v>VARCHAR2(200)</v>
          </cell>
          <cell r="H92" t="str">
            <v>NULL</v>
          </cell>
          <cell r="I92"/>
          <cell r="J92">
            <v>121</v>
          </cell>
          <cell r="K92"/>
          <cell r="L92"/>
        </row>
        <row r="93">
          <cell r="C93" t="str">
            <v>Legacy Market Type Code</v>
          </cell>
          <cell r="D93" t="str">
            <v>LGCY_MKT_TP_CD</v>
          </cell>
          <cell r="E93" t="str">
            <v>Code to indicate what type of market the trade was executed in. Eg. NYSE, OTC, CBOE, etc</v>
          </cell>
          <cell r="F93" t="str">
            <v>Code_20</v>
          </cell>
          <cell r="G93" t="str">
            <v>VARCHAR2(20)</v>
          </cell>
          <cell r="H93" t="str">
            <v>NULL</v>
          </cell>
          <cell r="I93"/>
          <cell r="J93">
            <v>122</v>
          </cell>
          <cell r="K93"/>
          <cell r="L93"/>
        </row>
        <row r="94">
          <cell r="C94" t="str">
            <v>Legacy Market Type Dimension Id</v>
          </cell>
          <cell r="D94" t="str">
            <v>LGCY_MKT_TP_DIM_ID</v>
          </cell>
          <cell r="E94" t="str">
            <v>Surrogate key for Legacy Market Type Dimension.</v>
          </cell>
          <cell r="F94" t="str">
            <v>NINI</v>
          </cell>
          <cell r="G94" t="str">
            <v>NUMBER(38,0)</v>
          </cell>
          <cell r="H94" t="str">
            <v>NOT NULL</v>
          </cell>
          <cell r="I94"/>
          <cell r="J94">
            <v>9</v>
          </cell>
          <cell r="K94"/>
          <cell r="L94"/>
        </row>
        <row r="95">
          <cell r="C95" t="str">
            <v>Legacy Market Type Id</v>
          </cell>
          <cell r="D95" t="str">
            <v>LGCY_MKT_TP_ID</v>
          </cell>
          <cell r="E95" t="str">
            <v>Identifier that represents what type of market the trade was executed in.</v>
          </cell>
          <cell r="F95" t="str">
            <v>NINI</v>
          </cell>
          <cell r="G95" t="str">
            <v>NUMBER(38,0)</v>
          </cell>
          <cell r="H95" t="str">
            <v>NULL</v>
          </cell>
          <cell r="I95"/>
          <cell r="J95">
            <v>200</v>
          </cell>
          <cell r="K95"/>
          <cell r="L95"/>
        </row>
        <row r="96">
          <cell r="C96" t="str">
            <v>Legacy Market Type Name</v>
          </cell>
          <cell r="D96" t="str">
            <v>LGCY_MKT_TP_NM</v>
          </cell>
          <cell r="E96" t="str">
            <v>Name that represents what type of market the trade was executed in. Eg. NYSE, OTC, CBOE, etc</v>
          </cell>
          <cell r="F96" t="str">
            <v>Name_200</v>
          </cell>
          <cell r="G96" t="str">
            <v>VARCHAR2(200)</v>
          </cell>
          <cell r="H96" t="str">
            <v>NULL</v>
          </cell>
          <cell r="I96"/>
          <cell r="J96">
            <v>123</v>
          </cell>
          <cell r="K96"/>
          <cell r="L96"/>
        </row>
        <row r="97">
          <cell r="C97" t="str">
            <v>Legacy Trade Capacity Type Code</v>
          </cell>
          <cell r="D97" t="str">
            <v>LGCY_TRD_CPCTY_TP_CD</v>
          </cell>
          <cell r="E97" t="str">
            <v>Code to show what type of capacity the trade was executed in. Eg. acting as principal or agency.</v>
          </cell>
          <cell r="F97" t="str">
            <v>Code_20</v>
          </cell>
          <cell r="G97" t="str">
            <v>VARCHAR2(20)</v>
          </cell>
          <cell r="H97" t="str">
            <v>NULL</v>
          </cell>
          <cell r="I97"/>
          <cell r="J97">
            <v>124</v>
          </cell>
          <cell r="K97"/>
          <cell r="L97"/>
        </row>
        <row r="98">
          <cell r="C98" t="str">
            <v>Legacy trade Capacity Type Dimension ID</v>
          </cell>
          <cell r="D98" t="str">
            <v>LGCY_TRD_CPCTY_TP_DIM_ID</v>
          </cell>
          <cell r="E98" t="str">
            <v>Surrogate key for Legacy trade Capacity Type Dimension.</v>
          </cell>
          <cell r="F98" t="str">
            <v>NINI</v>
          </cell>
          <cell r="G98" t="str">
            <v>NUMBER(38,0)</v>
          </cell>
          <cell r="H98" t="str">
            <v>NOT NULL</v>
          </cell>
          <cell r="I98"/>
          <cell r="J98">
            <v>10</v>
          </cell>
          <cell r="K98"/>
          <cell r="L98"/>
        </row>
        <row r="99">
          <cell r="C99" t="str">
            <v>Legacy Trade Capacity Type Id</v>
          </cell>
          <cell r="D99" t="str">
            <v>LGCY_TRD_CPCTY_TP_ID</v>
          </cell>
          <cell r="E99" t="str">
            <v>Identifier that represents what type of capacity the trade was executed in.</v>
          </cell>
          <cell r="F99" t="str">
            <v>NINI</v>
          </cell>
          <cell r="G99" t="str">
            <v>NUMBER(38,0)</v>
          </cell>
          <cell r="H99" t="str">
            <v>NULL</v>
          </cell>
          <cell r="I99"/>
          <cell r="J99">
            <v>201</v>
          </cell>
          <cell r="K99"/>
          <cell r="L99"/>
        </row>
        <row r="100">
          <cell r="C100" t="str">
            <v>Legacy Trade Capacity Type Name</v>
          </cell>
          <cell r="D100" t="str">
            <v>LGCY_TRD_CPCTY_TP_NM</v>
          </cell>
          <cell r="E100" t="str">
            <v>Name that represents what type of capacity the trade was executed in. Eg. acting as principal or agency.</v>
          </cell>
          <cell r="F100" t="str">
            <v>Name_200</v>
          </cell>
          <cell r="G100" t="str">
            <v>VARCHAR2(200)</v>
          </cell>
          <cell r="H100" t="str">
            <v>NULL</v>
          </cell>
          <cell r="I100"/>
          <cell r="J100">
            <v>125</v>
          </cell>
          <cell r="K100"/>
          <cell r="L100"/>
        </row>
        <row r="101">
          <cell r="C101" t="str">
            <v>Markup Rate</v>
          </cell>
          <cell r="D101" t="str">
            <v>MRKUP_RATE</v>
          </cell>
          <cell r="E101" t="str">
            <v>Percentage added to a product cost to determine its final price.</v>
          </cell>
          <cell r="F101" t="str">
            <v>AMOUNT_22d6</v>
          </cell>
          <cell r="G101" t="str">
            <v>NUMBER(22,6)</v>
          </cell>
          <cell r="H101" t="str">
            <v>NULL</v>
          </cell>
          <cell r="I101"/>
          <cell r="J101">
            <v>216</v>
          </cell>
          <cell r="K101"/>
          <cell r="L101"/>
        </row>
        <row r="102">
          <cell r="C102" t="str">
            <v>MF Account Number</v>
          </cell>
          <cell r="D102" t="str">
            <v>MF_AC_NUM</v>
          </cell>
          <cell r="E102" t="str">
            <v>Account number of the mutual fund, if the transaction is on mutual fund.</v>
          </cell>
          <cell r="F102" t="str">
            <v>Code_30</v>
          </cell>
          <cell r="G102" t="str">
            <v>VARCHAR2(30)</v>
          </cell>
          <cell r="H102" t="str">
            <v>NULL</v>
          </cell>
          <cell r="I102"/>
          <cell r="J102">
            <v>195</v>
          </cell>
          <cell r="K102"/>
          <cell r="L102"/>
        </row>
        <row r="103">
          <cell r="C103" t="str">
            <v>Money Movement Alternate Id</v>
          </cell>
          <cell r="D103" t="str">
            <v>MM_ALT_ID</v>
          </cell>
          <cell r="E103" t="str">
            <v>Identifier on all Money movement transactions</v>
          </cell>
          <cell r="F103" t="str">
            <v>Code_50</v>
          </cell>
          <cell r="G103" t="str">
            <v>VARCHAR2(50)</v>
          </cell>
          <cell r="H103" t="str">
            <v>NULL</v>
          </cell>
          <cell r="I103"/>
          <cell r="J103">
            <v>162</v>
          </cell>
          <cell r="K103"/>
          <cell r="L103"/>
        </row>
        <row r="104">
          <cell r="C104" t="str">
            <v>Offset Arrangement Dimension Id</v>
          </cell>
          <cell r="D104" t="str">
            <v>OFST_AR_DIM_ID</v>
          </cell>
          <cell r="E104" t="str">
            <v>Surrogate Key for offset Arrangement Dimension</v>
          </cell>
          <cell r="F104" t="str">
            <v>NINI</v>
          </cell>
          <cell r="G104" t="str">
            <v>NUMBER(38,0)</v>
          </cell>
          <cell r="H104" t="str">
            <v>NOT NULL</v>
          </cell>
          <cell r="I104"/>
          <cell r="J104">
            <v>5</v>
          </cell>
          <cell r="K104"/>
          <cell r="L104"/>
        </row>
        <row r="105">
          <cell r="C105" t="str">
            <v>Offset Arrangement Id</v>
          </cell>
          <cell r="D105" t="str">
            <v>OFST_AR_ID</v>
          </cell>
          <cell r="E105" t="str">
            <v>If the APA was satisfied by offsetting with another RJ arrangement then, this column will contain the offsetted arrangement.</v>
          </cell>
          <cell r="F105" t="str">
            <v>NINI</v>
          </cell>
          <cell r="G105" t="str">
            <v>NUMBER(38,0)</v>
          </cell>
          <cell r="H105" t="str">
            <v>NULL</v>
          </cell>
          <cell r="I105"/>
          <cell r="J105">
            <v>126</v>
          </cell>
          <cell r="K105"/>
          <cell r="L105"/>
        </row>
        <row r="106">
          <cell r="C106" t="str">
            <v>Offset Arrangement Originating Source System Code</v>
          </cell>
          <cell r="D106" t="str">
            <v>OFST_AR_ORIG_SRC_STM_CD</v>
          </cell>
          <cell r="E106" t="e">
            <v>#VALUE!</v>
          </cell>
          <cell r="F106" t="str">
            <v>Code_20</v>
          </cell>
          <cell r="G106" t="str">
            <v>VARCHAR2(20)</v>
          </cell>
          <cell r="H106" t="str">
            <v>NULL</v>
          </cell>
          <cell r="I106"/>
          <cell r="J106">
            <v>187</v>
          </cell>
          <cell r="K106"/>
          <cell r="L106"/>
        </row>
        <row r="107">
          <cell r="C107" t="str">
            <v>Offset Arrangement Settlement Type Code</v>
          </cell>
          <cell r="D107" t="str">
            <v>OFST_AR_SETL_TP_CD</v>
          </cell>
          <cell r="E107" t="e">
            <v>#VALUE!</v>
          </cell>
          <cell r="F107" t="str">
            <v>Code_20</v>
          </cell>
          <cell r="G107" t="str">
            <v>VARCHAR2(20)</v>
          </cell>
          <cell r="H107" t="str">
            <v>NULL</v>
          </cell>
          <cell r="I107"/>
          <cell r="J107">
            <v>188</v>
          </cell>
          <cell r="K107"/>
          <cell r="L107"/>
        </row>
        <row r="108">
          <cell r="C108" t="str">
            <v>Offset Arrangement Settlement Type Description</v>
          </cell>
          <cell r="D108" t="str">
            <v>OFST_AR_SETL_TP_DSC</v>
          </cell>
          <cell r="E108" t="e">
            <v>#VALUE!</v>
          </cell>
          <cell r="F108" t="str">
            <v>Name_100</v>
          </cell>
          <cell r="G108" t="str">
            <v>VARCHAR2(100)</v>
          </cell>
          <cell r="H108" t="str">
            <v>NULL</v>
          </cell>
          <cell r="I108"/>
          <cell r="J108">
            <v>189</v>
          </cell>
          <cell r="K108"/>
          <cell r="L108"/>
        </row>
        <row r="109">
          <cell r="C109" t="str">
            <v>Offset Originating Source System Arrangement Id</v>
          </cell>
          <cell r="D109" t="str">
            <v>OFST_ORIG_SRC_STM_AR_ID</v>
          </cell>
          <cell r="E109" t="e">
            <v>#VALUE!</v>
          </cell>
          <cell r="F109" t="str">
            <v>Code_50</v>
          </cell>
          <cell r="G109" t="str">
            <v>VARCHAR2(50)</v>
          </cell>
          <cell r="H109" t="str">
            <v>NULL</v>
          </cell>
          <cell r="I109"/>
          <cell r="J109">
            <v>186</v>
          </cell>
          <cell r="K109"/>
          <cell r="L109"/>
        </row>
        <row r="110">
          <cell r="C110" t="str">
            <v>Option Class Code</v>
          </cell>
          <cell r="D110" t="str">
            <v>OPT_CLSS_CD</v>
          </cell>
          <cell r="E110" t="e">
            <v>#VALUE!</v>
          </cell>
          <cell r="F110" t="str">
            <v>Code_10</v>
          </cell>
          <cell r="G110" t="str">
            <v>VARCHAR2(10)</v>
          </cell>
          <cell r="H110" t="str">
            <v>NULL</v>
          </cell>
          <cell r="I110"/>
          <cell r="J110">
            <v>55</v>
          </cell>
          <cell r="K110"/>
          <cell r="L110"/>
        </row>
        <row r="111">
          <cell r="C111" t="str">
            <v>Order Management System Executing Type Code</v>
          </cell>
          <cell r="D111" t="str">
            <v>OMS_EXEC_TP_CD</v>
          </cell>
          <cell r="E111" t="str">
            <v>A code for the type of trade executions used in the Order Management System in a code format.</v>
          </cell>
          <cell r="F111" t="str">
            <v>Code_20</v>
          </cell>
          <cell r="G111" t="str">
            <v>VARCHAR2(20)</v>
          </cell>
          <cell r="H111" t="str">
            <v>NULL</v>
          </cell>
          <cell r="I111"/>
          <cell r="J111">
            <v>97</v>
          </cell>
          <cell r="K111"/>
          <cell r="L111"/>
        </row>
        <row r="112">
          <cell r="C112" t="str">
            <v>Order Management System Executing Type Description</v>
          </cell>
          <cell r="D112" t="str">
            <v>OMS_EXEC_TP_DSC</v>
          </cell>
          <cell r="E112" t="str">
            <v>A description for the type of trade executions used in the Order Management System in a code format.</v>
          </cell>
          <cell r="F112" t="str">
            <v>Description_1000</v>
          </cell>
          <cell r="G112" t="str">
            <v>VARCHAR2(1000)</v>
          </cell>
          <cell r="H112" t="str">
            <v>NULL</v>
          </cell>
          <cell r="I112"/>
          <cell r="J112">
            <v>99</v>
          </cell>
          <cell r="K112"/>
          <cell r="L112"/>
        </row>
        <row r="113">
          <cell r="C113" t="str">
            <v>Order Management System Executing Type Id</v>
          </cell>
          <cell r="D113" t="str">
            <v>OMS_EXEC_TP_ID</v>
          </cell>
          <cell r="E113" t="str">
            <v>Identifier for the type of trade executions used in the Order Management System in a code format.</v>
          </cell>
          <cell r="F113" t="str">
            <v>NINI</v>
          </cell>
          <cell r="G113" t="str">
            <v>NUMBER(38,0)</v>
          </cell>
          <cell r="H113" t="str">
            <v>NULL</v>
          </cell>
          <cell r="I113"/>
          <cell r="J113">
            <v>96</v>
          </cell>
          <cell r="K113"/>
          <cell r="L113"/>
        </row>
        <row r="114">
          <cell r="C114" t="str">
            <v>Order Management System Executing Type Name</v>
          </cell>
          <cell r="D114" t="str">
            <v>OMS_EXEC_TP_NM</v>
          </cell>
          <cell r="E114" t="str">
            <v>Name of the type of trade executions used in the Order Management System. Examples of OMS execution types would be 'Agency', 'Principal', 'Open Repo', 'Close Repo' etc.</v>
          </cell>
          <cell r="F114" t="str">
            <v>Name_200</v>
          </cell>
          <cell r="G114" t="str">
            <v>VARCHAR2(200)</v>
          </cell>
          <cell r="H114" t="str">
            <v>NULL</v>
          </cell>
          <cell r="I114"/>
          <cell r="J114">
            <v>98</v>
          </cell>
          <cell r="K114"/>
          <cell r="L114"/>
        </row>
        <row r="115">
          <cell r="C115" t="str">
            <v>Order Management System Order Key</v>
          </cell>
          <cell r="D115" t="str">
            <v>OMS_ORDR_KEY</v>
          </cell>
          <cell r="E115" t="str">
            <v>Unique system generated key from OMS system. This field is required in the CAT extracts and will be used to find the newOrderFDID, a field required on Allocation events (MEPA events).</v>
          </cell>
          <cell r="F115" t="str">
            <v>Code_20</v>
          </cell>
          <cell r="G115" t="str">
            <v>VARCHAR2(20)</v>
          </cell>
          <cell r="H115" t="str">
            <v>NULL</v>
          </cell>
          <cell r="I115"/>
          <cell r="J115">
            <v>127</v>
          </cell>
          <cell r="K115"/>
          <cell r="L115"/>
        </row>
        <row r="116">
          <cell r="C116" t="str">
            <v>Original Booking Date</v>
          </cell>
          <cell r="D116" t="str">
            <v>ORIG_BKG_DT</v>
          </cell>
          <cell r="E116" t="str">
            <v>This represents the business day date when the quantity has been “booked” in the system.</v>
          </cell>
          <cell r="F116" t="str">
            <v>Date</v>
          </cell>
          <cell r="G116" t="str">
            <v>DATE</v>
          </cell>
          <cell r="H116" t="str">
            <v>NULL</v>
          </cell>
          <cell r="I116"/>
          <cell r="J116">
            <v>22</v>
          </cell>
          <cell r="K116"/>
          <cell r="L116"/>
        </row>
        <row r="117">
          <cell r="C117" t="str">
            <v>Original Source System Code</v>
          </cell>
          <cell r="D117" t="str">
            <v>ORIG_SRC_STM_CD</v>
          </cell>
          <cell r="E117" t="str">
            <v>Code that represents the source system from which CDS database receives/obtains the underlying record.</v>
          </cell>
          <cell r="F117" t="str">
            <v>Code_10</v>
          </cell>
          <cell r="G117" t="str">
            <v>VARCHAR2(10)</v>
          </cell>
          <cell r="H117" t="str">
            <v>NULL</v>
          </cell>
          <cell r="I117"/>
          <cell r="J117">
            <v>169</v>
          </cell>
          <cell r="K117"/>
          <cell r="L117"/>
        </row>
        <row r="118">
          <cell r="C118" t="str">
            <v>Original Source System Id</v>
          </cell>
          <cell r="D118" t="str">
            <v>ORIG_SRC_STM_ID</v>
          </cell>
          <cell r="E118" t="str">
            <v>Identifier of the source system from which CDS database receives/obtains the underlying record.</v>
          </cell>
          <cell r="F118" t="str">
            <v>NINI</v>
          </cell>
          <cell r="G118" t="str">
            <v>NUMBER(38,0)</v>
          </cell>
          <cell r="H118" t="str">
            <v>NULL</v>
          </cell>
          <cell r="I118"/>
          <cell r="J118">
            <v>170</v>
          </cell>
          <cell r="K118"/>
          <cell r="L118"/>
        </row>
        <row r="119">
          <cell r="C119" t="str">
            <v>Original Trade Number</v>
          </cell>
          <cell r="D119" t="str">
            <v>ORIG_TRD_NUM</v>
          </cell>
          <cell r="E119" t="str">
            <v>Original trade number when a trade is being cancelled, corrected, reversed (if available).</v>
          </cell>
          <cell r="F119" t="str">
            <v>Trade Number</v>
          </cell>
          <cell r="G119" t="str">
            <v>VARCHAR2(15)</v>
          </cell>
          <cell r="H119" t="str">
            <v>NULL</v>
          </cell>
          <cell r="I119"/>
          <cell r="J119">
            <v>26</v>
          </cell>
          <cell r="K119"/>
          <cell r="L119"/>
        </row>
        <row r="120">
          <cell r="C120" t="str">
            <v>Originating Source System Arrangement Id</v>
          </cell>
          <cell r="D120" t="str">
            <v>ORIG_SRC_STM_AR_ID</v>
          </cell>
          <cell r="E120" t="str">
            <v>Contains the account number/contract number from the original source system provider - e.g., SIS Account number for brokerage accounts</v>
          </cell>
          <cell r="F120" t="str">
            <v>Code_50</v>
          </cell>
          <cell r="G120" t="str">
            <v>VARCHAR2(50)</v>
          </cell>
          <cell r="H120" t="str">
            <v>NULL</v>
          </cell>
          <cell r="I120"/>
          <cell r="J120">
            <v>184</v>
          </cell>
          <cell r="K120"/>
          <cell r="L120"/>
        </row>
        <row r="121">
          <cell r="C121" t="str">
            <v>Orignal Trade Date</v>
          </cell>
          <cell r="D121" t="str">
            <v>ORIG_TD</v>
          </cell>
          <cell r="E121" t="str">
            <v>The date trade took place at fund company (specific to level 4 mutual funds).</v>
          </cell>
          <cell r="F121" t="str">
            <v>Date</v>
          </cell>
          <cell r="G121" t="str">
            <v>DATE</v>
          </cell>
          <cell r="H121" t="str">
            <v>NULL</v>
          </cell>
          <cell r="I121"/>
          <cell r="J121">
            <v>128</v>
          </cell>
          <cell r="K121"/>
          <cell r="L121"/>
        </row>
        <row r="122">
          <cell r="C122" t="str">
            <v>Other Fee Amount</v>
          </cell>
          <cell r="D122" t="str">
            <v>OTHR_FEE_AMT</v>
          </cell>
          <cell r="E122" t="str">
            <v>Aggregation of miscellaneous fees associated with the trade. It includes trade schedule charges, Mutual Fund transaction fees, taxes.</v>
          </cell>
          <cell r="F122" t="str">
            <v>A38d6</v>
          </cell>
          <cell r="G122" t="str">
            <v>NUMBER(38,6)</v>
          </cell>
          <cell r="H122" t="str">
            <v>NULL</v>
          </cell>
          <cell r="I122"/>
          <cell r="J122">
            <v>224</v>
          </cell>
          <cell r="K122"/>
          <cell r="L122"/>
        </row>
        <row r="123">
          <cell r="C123" t="str">
            <v>Owner FA Employee Id</v>
          </cell>
          <cell r="D123" t="str">
            <v>FA_OWN_EMPE_ID</v>
          </cell>
          <cell r="E123" t="str">
            <v>PeopleWorks Identifier for the Responsible Party for an FA Number</v>
          </cell>
          <cell r="F123"/>
          <cell r="G123" t="str">
            <v>VARCHAR2(44)</v>
          </cell>
          <cell r="H123" t="str">
            <v>NULL</v>
          </cell>
          <cell r="I123"/>
          <cell r="J123">
            <v>156</v>
          </cell>
          <cell r="K123"/>
          <cell r="L123"/>
        </row>
        <row r="124">
          <cell r="C124" t="str">
            <v>Owner FA Number</v>
          </cell>
          <cell r="D124" t="str">
            <v>OWN_FA_NUM</v>
          </cell>
          <cell r="E124" t="str">
            <v>Owner FA Number is a FA Number that owns the Arrangement for which activity is recorded</v>
          </cell>
          <cell r="F124" t="str">
            <v>FA Number</v>
          </cell>
          <cell r="G124" t="str">
            <v>VARCHAR2(6)</v>
          </cell>
          <cell r="H124" t="str">
            <v>NULL</v>
          </cell>
          <cell r="I124"/>
          <cell r="J124">
            <v>154</v>
          </cell>
          <cell r="K124"/>
          <cell r="L124"/>
        </row>
        <row r="125">
          <cell r="C125" t="str">
            <v>Owner FA Number Entity Code</v>
          </cell>
          <cell r="D125" t="str">
            <v>OWN_FA_NUM_ENT_CD</v>
          </cell>
          <cell r="E125" t="str">
            <v>Entity Code that owns the Owner FA Number</v>
          </cell>
          <cell r="F125" t="str">
            <v>Code_20</v>
          </cell>
          <cell r="G125" t="str">
            <v>VARCHAR2(20)</v>
          </cell>
          <cell r="H125" t="str">
            <v>NULL</v>
          </cell>
          <cell r="I125"/>
          <cell r="J125">
            <v>155</v>
          </cell>
          <cell r="K125"/>
          <cell r="L125"/>
        </row>
        <row r="126">
          <cell r="C126" t="str">
            <v>Owner FA Number Entity Enterprise Id</v>
          </cell>
          <cell r="D126" t="str">
            <v>OWN_FA_NUM_ENT_ENTP_ID</v>
          </cell>
          <cell r="E126" t="str">
            <v>Enterprise Id of the Entity that owns the Owner FA Number</v>
          </cell>
          <cell r="F126" t="str">
            <v>Number_22</v>
          </cell>
          <cell r="G126" t="str">
            <v>NUMBER(22,0)</v>
          </cell>
          <cell r="H126" t="str">
            <v>NULL</v>
          </cell>
          <cell r="I126"/>
          <cell r="J126">
            <v>157</v>
          </cell>
          <cell r="K126"/>
          <cell r="L126"/>
        </row>
        <row r="127">
          <cell r="C127" t="str">
            <v>Owner IMPACT FA Number</v>
          </cell>
          <cell r="D127" t="str">
            <v>OWN_IMP_FA_NUM</v>
          </cell>
          <cell r="E127" t="str">
            <v>FA Number as given in Impact system</v>
          </cell>
          <cell r="F127" t="str">
            <v>Code_20</v>
          </cell>
          <cell r="G127" t="str">
            <v>VARCHAR2(20)</v>
          </cell>
          <cell r="H127" t="str">
            <v>NULL</v>
          </cell>
          <cell r="I127"/>
          <cell r="J127">
            <v>153</v>
          </cell>
          <cell r="K127"/>
          <cell r="L127"/>
        </row>
        <row r="128">
          <cell r="C128" t="str">
            <v>Related Transaction Relationship Type Code</v>
          </cell>
          <cell r="D128" t="str">
            <v>REL_TXN_RLTNP_TP_CD</v>
          </cell>
          <cell r="E128" t="str">
            <v>Code of Relationship type with the target transaction E.g.R01, R02, R03</v>
          </cell>
          <cell r="F128" t="str">
            <v>Code_20</v>
          </cell>
          <cell r="G128" t="str">
            <v>VARCHAR2(20)</v>
          </cell>
          <cell r="H128" t="str">
            <v>NULL</v>
          </cell>
          <cell r="I128"/>
          <cell r="J128">
            <v>206</v>
          </cell>
          <cell r="K128"/>
          <cell r="L128"/>
        </row>
        <row r="129">
          <cell r="C129" t="str">
            <v>Related Transaction Relationship Type Id</v>
          </cell>
          <cell r="D129" t="str">
            <v>REL_TXN_RLTNP_TP_ID</v>
          </cell>
          <cell r="E129" t="str">
            <v>Identifier for Relationship type with the related transaction</v>
          </cell>
          <cell r="F129" t="str">
            <v>NINI</v>
          </cell>
          <cell r="G129" t="str">
            <v>NUMBER(38,0)</v>
          </cell>
          <cell r="H129" t="str">
            <v>NULL</v>
          </cell>
          <cell r="I129"/>
          <cell r="J129">
            <v>205</v>
          </cell>
          <cell r="K129"/>
          <cell r="L129"/>
        </row>
        <row r="130">
          <cell r="C130" t="str">
            <v>Related Transaction Relationship Type Name</v>
          </cell>
          <cell r="D130" t="str">
            <v>REL_TXN_RLTNP_TP_NM</v>
          </cell>
          <cell r="E130" t="str">
            <v>Name of Relation ship with the target transaction E.g. Reversal, Cancel, Correct</v>
          </cell>
          <cell r="F130" t="str">
            <v>Name_100</v>
          </cell>
          <cell r="G130" t="str">
            <v>VARCHAR2(100)</v>
          </cell>
          <cell r="H130" t="str">
            <v>NULL</v>
          </cell>
          <cell r="I130"/>
          <cell r="J130">
            <v>207</v>
          </cell>
          <cell r="K130"/>
          <cell r="L130"/>
        </row>
        <row r="131">
          <cell r="C131" t="str">
            <v>Related Transaction Source System Code</v>
          </cell>
          <cell r="D131" t="str">
            <v>REL_TXN_SRC_STM_CD</v>
          </cell>
          <cell r="E131" t="str">
            <v>CDS assigned source system code for related transaction</v>
          </cell>
          <cell r="F131" t="str">
            <v>Code_20</v>
          </cell>
          <cell r="G131" t="str">
            <v>VARCHAR2(20)</v>
          </cell>
          <cell r="H131" t="str">
            <v>NULL</v>
          </cell>
          <cell r="I131"/>
          <cell r="J131">
            <v>203</v>
          </cell>
          <cell r="K131"/>
          <cell r="L131"/>
        </row>
        <row r="132">
          <cell r="C132" t="str">
            <v>Related Transaction Source System Dimension Id</v>
          </cell>
          <cell r="D132" t="str">
            <v>REL_TXN_SRC_STM_DIM_ID</v>
          </cell>
          <cell r="E132" t="str">
            <v>Surrogate key for Related Transaction Source System Dimension.</v>
          </cell>
          <cell r="F132" t="str">
            <v>NINI</v>
          </cell>
          <cell r="G132" t="str">
            <v>NUMBER(38,0)</v>
          </cell>
          <cell r="H132" t="str">
            <v>NOT NULL</v>
          </cell>
          <cell r="I132"/>
          <cell r="J132">
            <v>15</v>
          </cell>
          <cell r="K132"/>
          <cell r="L132"/>
        </row>
        <row r="133">
          <cell r="C133" t="str">
            <v>Related Transaction Source System Id</v>
          </cell>
          <cell r="D133" t="str">
            <v>REL_TXN_SRC_STM_ID</v>
          </cell>
          <cell r="E133" t="str">
            <v>CDS assigned source system id for related transaction</v>
          </cell>
          <cell r="F133" t="str">
            <v>NINI</v>
          </cell>
          <cell r="G133" t="str">
            <v>NUMBER(38,0)</v>
          </cell>
          <cell r="H133" t="str">
            <v>NULL</v>
          </cell>
          <cell r="I133"/>
          <cell r="J133">
            <v>202</v>
          </cell>
          <cell r="K133"/>
          <cell r="L133"/>
        </row>
        <row r="134">
          <cell r="C134" t="str">
            <v>Sales Charge Rate</v>
          </cell>
          <cell r="D134" t="str">
            <v>SALE_CHRG_RATE_PCT</v>
          </cell>
          <cell r="E134" t="str">
            <v>Sales charge expressed as percent for the portion represented by the asset package. This column will have values if Sales Charge Rate Type Identifier indicates that it was recorded as a percentage in CCAL</v>
          </cell>
          <cell r="F134" t="str">
            <v>A38d6</v>
          </cell>
          <cell r="G134" t="str">
            <v>NUMBER(38,6)</v>
          </cell>
          <cell r="H134" t="str">
            <v>NULL</v>
          </cell>
          <cell r="I134"/>
          <cell r="J134">
            <v>33</v>
          </cell>
          <cell r="K134"/>
          <cell r="L134"/>
        </row>
        <row r="135">
          <cell r="C135" t="str">
            <v>Sales Charge Rate Multiplier Number</v>
          </cell>
          <cell r="D135" t="str">
            <v>SALE_CHRG_RATE_MULTI_NUM</v>
          </cell>
          <cell r="E135" t="str">
            <v>Sales charge expressed as a multiplier for the portion represented by the asset package. This column will have values if Sales Charge Rate is expressed as a multipler.</v>
          </cell>
          <cell r="F135" t="str">
            <v>A38d6</v>
          </cell>
          <cell r="G135" t="str">
            <v>NUMBER(38,6)</v>
          </cell>
          <cell r="H135" t="str">
            <v>NULL</v>
          </cell>
          <cell r="I135"/>
          <cell r="J135">
            <v>34</v>
          </cell>
          <cell r="K135"/>
          <cell r="L135"/>
        </row>
        <row r="136">
          <cell r="C136" t="str">
            <v>Sales Charge Rate Type Code</v>
          </cell>
          <cell r="D136" t="str">
            <v>SALE_CHRG_RATE_TP_CD</v>
          </cell>
          <cell r="E136" t="str">
            <v>A code representing the type of value stored for sales charge</v>
          </cell>
          <cell r="F136" t="str">
            <v>Code_20</v>
          </cell>
          <cell r="G136" t="str">
            <v>VARCHAR2(20)</v>
          </cell>
          <cell r="H136" t="str">
            <v>NULL</v>
          </cell>
          <cell r="I136"/>
          <cell r="J136">
            <v>36</v>
          </cell>
          <cell r="K136"/>
          <cell r="L136"/>
        </row>
        <row r="137">
          <cell r="C137" t="str">
            <v>Sales Charge Rate Type Id</v>
          </cell>
          <cell r="D137" t="str">
            <v>SALE_CHRG_RATE_TP_ID</v>
          </cell>
          <cell r="E137" t="str">
            <v>Identifier representing the type of value stored for sales charge</v>
          </cell>
          <cell r="F137" t="str">
            <v>NINI</v>
          </cell>
          <cell r="G137" t="str">
            <v>NUMBER(38,0)</v>
          </cell>
          <cell r="H137" t="str">
            <v>NULL</v>
          </cell>
          <cell r="I137"/>
          <cell r="J137">
            <v>35</v>
          </cell>
          <cell r="K137"/>
          <cell r="L137"/>
        </row>
        <row r="138">
          <cell r="C138" t="str">
            <v>Sales Charge Rate Type Name</v>
          </cell>
          <cell r="D138" t="str">
            <v>SALE_CHRG_RATE_TP_NM</v>
          </cell>
          <cell r="E138" t="str">
            <v>Name of Sales charge type Percentage or Multiplier.</v>
          </cell>
          <cell r="F138" t="str">
            <v>Name_200</v>
          </cell>
          <cell r="G138" t="str">
            <v>VARCHAR2(200)</v>
          </cell>
          <cell r="H138" t="str">
            <v>NULL</v>
          </cell>
          <cell r="I138"/>
          <cell r="J138">
            <v>129</v>
          </cell>
          <cell r="K138"/>
          <cell r="L138"/>
        </row>
        <row r="139">
          <cell r="C139" t="str">
            <v>SEC Fee Amount</v>
          </cell>
          <cell r="D139" t="str">
            <v>SEC_FEE_AMT</v>
          </cell>
          <cell r="E139" t="str">
            <v>Regulatory fee charged on the sale of exchange-listed securities, collected under Section 31 of the Securities Exchange Act of 1934. It is designed to help fund operations of the US Securities and Exchange Commission (SEC)</v>
          </cell>
          <cell r="F139" t="str">
            <v>A38d6</v>
          </cell>
          <cell r="G139" t="str">
            <v>NUMBER(38,6)</v>
          </cell>
          <cell r="H139" t="str">
            <v>NULL</v>
          </cell>
          <cell r="I139"/>
          <cell r="J139">
            <v>220</v>
          </cell>
          <cell r="K139"/>
          <cell r="L139"/>
        </row>
        <row r="140">
          <cell r="C140" t="str">
            <v>Security Activity Category</v>
          </cell>
          <cell r="D140" t="str">
            <v>SCR_AVY_CGY</v>
          </cell>
          <cell r="E140" t="str">
            <v>Represents the specific Category of activity such as a 'Purchase' or 'Income'. Further refinement of the categories are captured under Activity Type.
This field will be populated only if the transaction has a Security leg.</v>
          </cell>
          <cell r="F140" t="str">
            <v>Name_25</v>
          </cell>
          <cell r="G140" t="str">
            <v>VARCHAR2(25)</v>
          </cell>
          <cell r="H140" t="str">
            <v>NULL</v>
          </cell>
          <cell r="I140"/>
          <cell r="J140">
            <v>78</v>
          </cell>
          <cell r="K140"/>
          <cell r="L140"/>
        </row>
        <row r="141">
          <cell r="C141" t="str">
            <v>Security Activity Classification Id</v>
          </cell>
          <cell r="D141" t="str">
            <v>SEC_AVY_CL_ID</v>
          </cell>
          <cell r="E141" t="str">
            <v>CDS assigned identifier for the activity class.
This field will be populated only if the transaction has a Security leg.</v>
          </cell>
          <cell r="F141" t="str">
            <v>NINI</v>
          </cell>
          <cell r="G141" t="str">
            <v>NUMBER(38,0)</v>
          </cell>
          <cell r="H141" t="str">
            <v>NULL</v>
          </cell>
          <cell r="I141"/>
          <cell r="J141">
            <v>77</v>
          </cell>
          <cell r="K141"/>
          <cell r="L141"/>
        </row>
        <row r="142">
          <cell r="C142" t="str">
            <v>Security Activity Type</v>
          </cell>
          <cell r="D142" t="str">
            <v>SCR_AVY_TP</v>
          </cell>
          <cell r="E142" t="str">
            <v>Represents a more refined view of the Activity Category.
This field will be populated only if the transaction has a Security leg.</v>
          </cell>
          <cell r="F142" t="str">
            <v>Name_100</v>
          </cell>
          <cell r="G142" t="str">
            <v>VARCHAR2(100)</v>
          </cell>
          <cell r="H142" t="str">
            <v>NULL</v>
          </cell>
          <cell r="I142"/>
          <cell r="J142">
            <v>79</v>
          </cell>
          <cell r="K142"/>
          <cell r="L142"/>
        </row>
        <row r="143">
          <cell r="C143" t="str">
            <v>Security Alternate Description Trailer 2</v>
          </cell>
          <cell r="D143" t="str">
            <v>SEC_ALT_DSC_TRAILER_2</v>
          </cell>
          <cell r="E143" t="str">
            <v>Second line of unformatted, monolingual narrative booking information. SIS trailer field 2. 
This field will be populated only if the transaction has a Security leg.</v>
          </cell>
          <cell r="F143" t="str">
            <v>Name_256</v>
          </cell>
          <cell r="G143" t="str">
            <v>VARCHAR2(256)</v>
          </cell>
          <cell r="H143" t="str">
            <v>NULL</v>
          </cell>
          <cell r="I143"/>
          <cell r="J143">
            <v>48</v>
          </cell>
          <cell r="K143"/>
          <cell r="L143"/>
        </row>
        <row r="144">
          <cell r="C144" t="str">
            <v>Security Asset Package External Qualifier</v>
          </cell>
          <cell r="D144" t="str">
            <v>SEC_APA_EXT_QUALFR</v>
          </cell>
          <cell r="E144" t="str">
            <v>Qualifier code from the external source system.
This field will be populated only if the transaction has a Security leg.</v>
          </cell>
          <cell r="F144" t="str">
            <v>Code_50</v>
          </cell>
          <cell r="G144" t="str">
            <v>VARCHAR2(50)</v>
          </cell>
          <cell r="H144" t="str">
            <v>NULL</v>
          </cell>
          <cell r="I144"/>
          <cell r="J144">
            <v>46</v>
          </cell>
          <cell r="K144"/>
          <cell r="L144"/>
        </row>
        <row r="145">
          <cell r="C145" t="str">
            <v>Security Asset Package Id</v>
          </cell>
          <cell r="D145" t="str">
            <v>SEC_APA_ID</v>
          </cell>
          <cell r="E145" t="str">
            <v>APA_ID from CCAL APA table. It is recorded here for the purpose of maintaining a link with the source. 
This field will be populated only if the transaction has a Security leg.</v>
          </cell>
          <cell r="F145" t="str">
            <v>NINI</v>
          </cell>
          <cell r="G145" t="str">
            <v>NUMBER(38,0)</v>
          </cell>
          <cell r="H145" t="str">
            <v>NULL</v>
          </cell>
          <cell r="I145"/>
          <cell r="J145">
            <v>176</v>
          </cell>
          <cell r="K145"/>
          <cell r="L145"/>
        </row>
        <row r="146">
          <cell r="C146" t="str">
            <v>Security Asset Package Type Code</v>
          </cell>
          <cell r="D146" t="str">
            <v>SCR_APA_TP_CD</v>
          </cell>
          <cell r="E146" t="str">
            <v>Code associated with Asset Package Type Id.
This field will be populated only if the transaction has a Security leg.</v>
          </cell>
          <cell r="F146" t="str">
            <v>Code_20</v>
          </cell>
          <cell r="G146" t="str">
            <v>VARCHAR2(20)</v>
          </cell>
          <cell r="H146" t="str">
            <v>NULL</v>
          </cell>
          <cell r="I146"/>
          <cell r="J146">
            <v>74</v>
          </cell>
          <cell r="K146"/>
          <cell r="L146"/>
        </row>
        <row r="147">
          <cell r="C147" t="str">
            <v>Security Asset Package Type Description</v>
          </cell>
          <cell r="D147" t="str">
            <v>SCR_APA_TP_DSC</v>
          </cell>
          <cell r="E147" t="str">
            <v>Description associated with Asset Package Type Id.
This field will be populated only if the transaction has a Security leg.</v>
          </cell>
          <cell r="F147" t="str">
            <v>Description_1000</v>
          </cell>
          <cell r="G147" t="str">
            <v>VARCHAR2(1000)</v>
          </cell>
          <cell r="H147" t="str">
            <v>NULL</v>
          </cell>
          <cell r="I147"/>
          <cell r="J147">
            <v>76</v>
          </cell>
          <cell r="K147"/>
          <cell r="L147"/>
        </row>
        <row r="148">
          <cell r="C148" t="str">
            <v>Security Asset Package Type Id</v>
          </cell>
          <cell r="D148" t="str">
            <v>SEC_APA_TP_ID</v>
          </cell>
          <cell r="E148" t="str">
            <v>Asset Pacakge type Id from CCAL core.
This field will be populated only if the transaction has a Security leg.</v>
          </cell>
          <cell r="F148" t="str">
            <v>NINI</v>
          </cell>
          <cell r="G148" t="str">
            <v>NUMBER(38,0)</v>
          </cell>
          <cell r="H148" t="str">
            <v>NULL</v>
          </cell>
          <cell r="I148"/>
          <cell r="J148">
            <v>73</v>
          </cell>
          <cell r="K148"/>
          <cell r="L148"/>
        </row>
        <row r="149">
          <cell r="C149" t="str">
            <v>Security Asset Package Type Name</v>
          </cell>
          <cell r="D149" t="str">
            <v>SCR_APA_TP_NM</v>
          </cell>
          <cell r="E149" t="str">
            <v>Name of Asset Package Type Id.
This field will be populated only if the transaction has a Security leg.</v>
          </cell>
          <cell r="F149" t="str">
            <v>Name_200</v>
          </cell>
          <cell r="G149" t="str">
            <v>VARCHAR2(200)</v>
          </cell>
          <cell r="H149" t="str">
            <v>NULL</v>
          </cell>
          <cell r="I149"/>
          <cell r="J149">
            <v>75</v>
          </cell>
          <cell r="K149"/>
          <cell r="L149"/>
        </row>
        <row r="150">
          <cell r="C150" t="str">
            <v>Security CIRD Product Id</v>
          </cell>
          <cell r="D150" t="str">
            <v>SEC_CIRD_PD_ID</v>
          </cell>
          <cell r="E150" t="str">
            <v>CIRD identifier for product.
This field will be populated only if the transaction has a Security leg.</v>
          </cell>
          <cell r="F150" t="str">
            <v>NINI</v>
          </cell>
          <cell r="G150" t="str">
            <v>NUMBER(38,0)</v>
          </cell>
          <cell r="H150" t="str">
            <v>NULL</v>
          </cell>
          <cell r="I150"/>
          <cell r="J150">
            <v>131</v>
          </cell>
          <cell r="K150"/>
          <cell r="L150"/>
        </row>
        <row r="151">
          <cell r="C151" t="str">
            <v>Security Debit Credit Code</v>
          </cell>
          <cell r="D151" t="str">
            <v>SEC_DB_CR_CD</v>
          </cell>
          <cell r="E151" t="str">
            <v>A code representing Debit / Credit (e.g. D / C)
This field will be populated only if the transaction has a Security leg.</v>
          </cell>
          <cell r="F151" t="str">
            <v>Code_20</v>
          </cell>
          <cell r="G151" t="str">
            <v>VARCHAR2(20)</v>
          </cell>
          <cell r="H151" t="str">
            <v>NULL</v>
          </cell>
          <cell r="I151"/>
          <cell r="J151">
            <v>132</v>
          </cell>
          <cell r="K151"/>
          <cell r="L151"/>
        </row>
        <row r="152">
          <cell r="C152" t="str">
            <v>Security Debit Credit Name</v>
          </cell>
          <cell r="D152" t="str">
            <v>SEC_DB_CR_NM</v>
          </cell>
          <cell r="E152" t="str">
            <v>A Name representing Debit / Credit (e.g. Debit / Credit)
This field will be populated only if the transaction has a Security leg.</v>
          </cell>
          <cell r="F152" t="str">
            <v>Name_100</v>
          </cell>
          <cell r="G152" t="str">
            <v>VARCHAR2(100)</v>
          </cell>
          <cell r="H152" t="str">
            <v>NULL</v>
          </cell>
          <cell r="I152"/>
          <cell r="J152">
            <v>133</v>
          </cell>
          <cell r="K152"/>
          <cell r="L152"/>
        </row>
        <row r="153">
          <cell r="C153" t="str">
            <v>Security Description Trailer 1</v>
          </cell>
          <cell r="D153" t="str">
            <v>SEC_DSC_TRAILER_1</v>
          </cell>
          <cell r="E153" t="str">
            <v>First line of unformatted, monolingual narrative booking information. SIS Trailer field 1.
This field will be populated only if the transaction has a Security leg.</v>
          </cell>
          <cell r="F153" t="str">
            <v>Name_256</v>
          </cell>
          <cell r="G153" t="str">
            <v>VARCHAR2(256)</v>
          </cell>
          <cell r="H153" t="str">
            <v>NULL</v>
          </cell>
          <cell r="I153"/>
          <cell r="J153">
            <v>47</v>
          </cell>
          <cell r="K153"/>
          <cell r="L153"/>
        </row>
        <row r="154">
          <cell r="C154" t="str">
            <v>Security Investment Product Dim Id</v>
          </cell>
          <cell r="D154" t="str">
            <v>SEC_PD_DIM_ID</v>
          </cell>
          <cell r="E154" t="str">
            <v>Surrogate key for Instrument Product Dim.
This field will be populated only if the transaction has a Security leg.</v>
          </cell>
          <cell r="F154" t="str">
            <v>NINI</v>
          </cell>
          <cell r="G154" t="str">
            <v>NUMBER(38,0)</v>
          </cell>
          <cell r="H154" t="str">
            <v>NOT NULL</v>
          </cell>
          <cell r="I154"/>
          <cell r="J154">
            <v>1</v>
          </cell>
          <cell r="K154"/>
          <cell r="L154"/>
        </row>
        <row r="155">
          <cell r="C155" t="str">
            <v>Security Option Symbol</v>
          </cell>
          <cell r="D155" t="str">
            <v>SCR_OPT_SYMB</v>
          </cell>
          <cell r="E155" t="str">
            <v>Display form of the Option Symbol that includes underlying security symbol, expiration date, option type and strike price for the option series</v>
          </cell>
          <cell r="F155" t="str">
            <v>Name_100</v>
          </cell>
          <cell r="G155" t="str">
            <v>VARCHAR2(100)</v>
          </cell>
          <cell r="H155" t="str">
            <v>NULL</v>
          </cell>
          <cell r="I155"/>
          <cell r="J155">
            <v>213</v>
          </cell>
          <cell r="K155"/>
          <cell r="L155"/>
        </row>
        <row r="156">
          <cell r="C156" t="str">
            <v>Security Original Quantity</v>
          </cell>
          <cell r="D156" t="str">
            <v>SEC_ORIG_QTY</v>
          </cell>
          <cell r="E156" t="str">
            <v>Original Quantity of the Package.
This field will be populated only if the transaction has a Security leg.</v>
          </cell>
          <cell r="F156" t="str">
            <v>A38d6</v>
          </cell>
          <cell r="G156" t="str">
            <v>NUMBER(38,6)</v>
          </cell>
          <cell r="H156" t="str">
            <v>NULL</v>
          </cell>
          <cell r="I156"/>
          <cell r="J156">
            <v>31</v>
          </cell>
          <cell r="K156"/>
          <cell r="L156"/>
        </row>
        <row r="157">
          <cell r="C157" t="str">
            <v>Security Price In Transaction Currency</v>
          </cell>
          <cell r="D157" t="str">
            <v>SEC_PRC_IN_TXN_CCY</v>
          </cell>
          <cell r="E157" t="str">
            <v>Price of the securities instrument in transaction currency.</v>
          </cell>
          <cell r="F157" t="str">
            <v>Amount_38d8</v>
          </cell>
          <cell r="G157" t="str">
            <v>NUMBER(38,8)</v>
          </cell>
          <cell r="H157" t="str">
            <v>NULL</v>
          </cell>
          <cell r="I157"/>
          <cell r="J157">
            <v>28</v>
          </cell>
          <cell r="K157"/>
          <cell r="L157"/>
        </row>
        <row r="158">
          <cell r="C158" t="str">
            <v>Security Product Id</v>
          </cell>
          <cell r="D158" t="str">
            <v>SEC_PD_ID</v>
          </cell>
          <cell r="E158" t="str">
            <v>Product Identifier from Security Asset package</v>
          </cell>
          <cell r="F158" t="str">
            <v>NINI</v>
          </cell>
          <cell r="G158" t="str">
            <v>NUMBER(38,0)</v>
          </cell>
          <cell r="H158" t="str">
            <v>NULL</v>
          </cell>
          <cell r="I158"/>
          <cell r="J158">
            <v>143</v>
          </cell>
          <cell r="K158"/>
          <cell r="L158"/>
        </row>
        <row r="159">
          <cell r="C159" t="str">
            <v>Security Simplified Display Activity Category</v>
          </cell>
          <cell r="D159" t="str">
            <v>SCR_SIMP_DSPL_AVY_CGY</v>
          </cell>
          <cell r="E159" t="str">
            <v>Simplified Display activity category shown to advisor in applications like client center.
This field will be populated only if the transaction has a Security leg.</v>
          </cell>
          <cell r="F159" t="str">
            <v>Name_25</v>
          </cell>
          <cell r="G159" t="str">
            <v>VARCHAR2(25)</v>
          </cell>
          <cell r="H159" t="str">
            <v>NULL</v>
          </cell>
          <cell r="I159"/>
          <cell r="J159">
            <v>193</v>
          </cell>
          <cell r="K159"/>
          <cell r="L159"/>
        </row>
        <row r="160">
          <cell r="C160" t="str">
            <v>Security Simplified Display Activity Type</v>
          </cell>
          <cell r="D160" t="str">
            <v>SCR_SIMP_DSPL_AVY_TP</v>
          </cell>
          <cell r="E160" t="str">
            <v>Simplified Display activity type shown to advisor in applications like client center.
This field will be populated only if the transaction has a Security leg.</v>
          </cell>
          <cell r="F160" t="str">
            <v>Name_100</v>
          </cell>
          <cell r="G160" t="str">
            <v>VARCHAR2(100)</v>
          </cell>
          <cell r="H160" t="str">
            <v>NULL</v>
          </cell>
          <cell r="I160"/>
          <cell r="J160">
            <v>194</v>
          </cell>
          <cell r="K160"/>
          <cell r="L160"/>
        </row>
        <row r="161">
          <cell r="C161" t="str">
            <v>Security source CUSIP</v>
          </cell>
          <cell r="D161" t="str">
            <v>SEC_SRC_CUSIP</v>
          </cell>
          <cell r="E161" t="str">
            <v>CUSIP from source system.
This field will be populated only if the transaction has a Security leg.</v>
          </cell>
          <cell r="F161" t="str">
            <v>Code_20</v>
          </cell>
          <cell r="G161" t="str">
            <v>VARCHAR2(20)</v>
          </cell>
          <cell r="H161" t="str">
            <v>NULL</v>
          </cell>
          <cell r="I161"/>
          <cell r="J161">
            <v>56</v>
          </cell>
          <cell r="K161"/>
          <cell r="L161"/>
        </row>
        <row r="162">
          <cell r="C162" t="str">
            <v>Security Source Price In System Base Currency</v>
          </cell>
          <cell r="D162" t="str">
            <v>SEC_SRC_PRC_IN_SBC</v>
          </cell>
          <cell r="E162" t="str">
            <v>Principal amount of the trade execution expressed in the system base currency. This value should not include commissions or fees associated with the trade.
This field will be populated only if the transaction has a Security leg.</v>
          </cell>
          <cell r="F162" t="str">
            <v>Amount_38d8</v>
          </cell>
          <cell r="G162" t="str">
            <v>NUMBER(38,8)</v>
          </cell>
          <cell r="H162" t="str">
            <v>NULL</v>
          </cell>
          <cell r="I162"/>
          <cell r="J162">
            <v>32</v>
          </cell>
          <cell r="K162"/>
          <cell r="L162"/>
        </row>
        <row r="163">
          <cell r="C163" t="str">
            <v>Security Source Sequence Number</v>
          </cell>
          <cell r="D163" t="str">
            <v>SEC_SRC_SEQ_NUM</v>
          </cell>
          <cell r="E163" t="str">
            <v>Sequence Number assigned by source system.
This field will be populated only if the transaction has a Security leg.</v>
          </cell>
          <cell r="F163" t="str">
            <v>NINI</v>
          </cell>
          <cell r="G163" t="str">
            <v>NUMBER(38,0)</v>
          </cell>
          <cell r="H163" t="str">
            <v>NULL</v>
          </cell>
          <cell r="I163"/>
          <cell r="J163">
            <v>44</v>
          </cell>
          <cell r="K163"/>
          <cell r="L163"/>
        </row>
        <row r="164">
          <cell r="C164" t="str">
            <v>Security System Base Currency Amount</v>
          </cell>
          <cell r="D164" t="str">
            <v>SEC_SBC_AMT</v>
          </cell>
          <cell r="E164" t="str">
            <v>Transaction Amount expressed in System Base Currency.
This field will be populated only if the transaction has a Security leg.</v>
          </cell>
          <cell r="F164" t="str">
            <v>A38d6</v>
          </cell>
          <cell r="G164" t="str">
            <v>NUMBER(38,6)</v>
          </cell>
          <cell r="H164" t="str">
            <v>NULL</v>
          </cell>
          <cell r="I164"/>
          <cell r="J164">
            <v>39</v>
          </cell>
          <cell r="K164"/>
          <cell r="L164"/>
        </row>
        <row r="165">
          <cell r="C165" t="str">
            <v>Security Transaction Amount</v>
          </cell>
          <cell r="D165" t="str">
            <v>SEC_TXN_AMT</v>
          </cell>
          <cell r="E165" t="str">
            <v>Transaction amount applicable to the Asset package in transaction currency.
This field will be populated only if the transaction has a Security leg.</v>
          </cell>
          <cell r="F165" t="str">
            <v>A38d6</v>
          </cell>
          <cell r="G165" t="str">
            <v>NUMBER(38,6)</v>
          </cell>
          <cell r="H165" t="str">
            <v>NULL</v>
          </cell>
          <cell r="I165"/>
          <cell r="J165">
            <v>29</v>
          </cell>
          <cell r="K165"/>
          <cell r="L165"/>
        </row>
        <row r="166">
          <cell r="C166" t="str">
            <v>Session Number</v>
          </cell>
          <cell r="D166" t="str">
            <v>SESS_NO</v>
          </cell>
          <cell r="E166" t="str">
            <v>ODI Session Number which created this record</v>
          </cell>
          <cell r="F166" t="str">
            <v>NINI</v>
          </cell>
          <cell r="G166" t="str">
            <v>NUMBER(38,0)</v>
          </cell>
          <cell r="H166" t="str">
            <v>NULL</v>
          </cell>
          <cell r="I166"/>
          <cell r="J166">
            <v>89</v>
          </cell>
          <cell r="K166"/>
          <cell r="L166"/>
        </row>
        <row r="167">
          <cell r="C167" t="str">
            <v>Settlement Date</v>
          </cell>
          <cell r="D167" t="str">
            <v>SD</v>
          </cell>
          <cell r="E167" t="str">
            <v>Settlement date is a securities industry term describing the date on which a trade settles. That is, the actual day on which transfer of cash or assets is completed and is usually a few days after the trade was done.</v>
          </cell>
          <cell r="F167" t="str">
            <v>Date</v>
          </cell>
          <cell r="G167" t="str">
            <v>DATE</v>
          </cell>
          <cell r="H167" t="str">
            <v>NULL</v>
          </cell>
          <cell r="I167"/>
          <cell r="J167">
            <v>20</v>
          </cell>
          <cell r="K167"/>
          <cell r="L167"/>
        </row>
        <row r="168">
          <cell r="C168" t="str">
            <v>Settlement Date Dimension Id</v>
          </cell>
          <cell r="D168" t="str">
            <v>SD_DIM_ID</v>
          </cell>
          <cell r="E168" t="str">
            <v>Synthetic Key identifying a single date in the DATE Dimension based on Settlement date</v>
          </cell>
          <cell r="F168" t="str">
            <v>NINI</v>
          </cell>
          <cell r="G168" t="str">
            <v>NUMBER(38,0)</v>
          </cell>
          <cell r="H168" t="str">
            <v>NOT NULL</v>
          </cell>
          <cell r="I168"/>
          <cell r="J168">
            <v>17</v>
          </cell>
          <cell r="K168"/>
          <cell r="L168"/>
        </row>
        <row r="169">
          <cell r="C169" t="str">
            <v>SHADOW Transaction Type Code</v>
          </cell>
          <cell r="D169" t="str">
            <v>SHDW_TXN_TP_CD</v>
          </cell>
          <cell r="E169" t="str">
            <v>Possible values:  ORG, OLD, NEW, REV, REP.</v>
          </cell>
          <cell r="F169" t="str">
            <v>Code_50</v>
          </cell>
          <cell r="G169" t="str">
            <v>VARCHAR2(50)</v>
          </cell>
          <cell r="H169" t="str">
            <v>NULL</v>
          </cell>
          <cell r="I169"/>
          <cell r="J169">
            <v>179</v>
          </cell>
          <cell r="K169"/>
          <cell r="L169"/>
        </row>
        <row r="170">
          <cell r="C170" t="str">
            <v>SHADOW Transaction Type Name</v>
          </cell>
          <cell r="D170" t="str">
            <v>SHDW_TXN_TP_NM</v>
          </cell>
          <cell r="E170" t="str">
            <v>Name of the Shadow Transaction Type Code.</v>
          </cell>
          <cell r="F170" t="str">
            <v>Code_50</v>
          </cell>
          <cell r="G170" t="str">
            <v>VARCHAR2(50)</v>
          </cell>
          <cell r="H170" t="str">
            <v>NULL</v>
          </cell>
          <cell r="I170"/>
          <cell r="J170">
            <v>177</v>
          </cell>
          <cell r="K170"/>
          <cell r="L170"/>
        </row>
        <row r="171">
          <cell r="C171" t="str">
            <v>SIS Account Classification Code</v>
          </cell>
          <cell r="D171" t="str">
            <v>SIS_AC_CL_CD</v>
          </cell>
          <cell r="E171" t="str">
            <v>SIS account classification codes</v>
          </cell>
          <cell r="F171" t="str">
            <v>Code_50</v>
          </cell>
          <cell r="G171" t="str">
            <v>VARCHAR2(50)</v>
          </cell>
          <cell r="H171" t="str">
            <v>NULL</v>
          </cell>
          <cell r="I171"/>
          <cell r="J171">
            <v>147</v>
          </cell>
          <cell r="K171"/>
          <cell r="L171"/>
        </row>
        <row r="172">
          <cell r="C172" t="str">
            <v>SIS Detailed Events Id</v>
          </cell>
          <cell r="D172" t="str">
            <v>SIS_DLTD_EV_ID</v>
          </cell>
          <cell r="E172" t="str">
            <v>Identifier that determines what type of transaction the record contains. For SIS activity the values depend on the record type.</v>
          </cell>
          <cell r="F172" t="str">
            <v>NINI</v>
          </cell>
          <cell r="G172" t="str">
            <v>NUMBER(38,0)</v>
          </cell>
          <cell r="H172" t="str">
            <v>NULL</v>
          </cell>
          <cell r="I172"/>
          <cell r="J172">
            <v>144</v>
          </cell>
          <cell r="K172"/>
          <cell r="L172"/>
        </row>
        <row r="173">
          <cell r="C173" t="str">
            <v>SIS Detailed Events Name</v>
          </cell>
          <cell r="D173" t="str">
            <v>SIS_DLTD_EV_NM</v>
          </cell>
          <cell r="E173" t="str">
            <v>Name that determines what type of transaction the record contains. For SIS activity the values depend on the record type.</v>
          </cell>
          <cell r="F173" t="str">
            <v>Name_200</v>
          </cell>
          <cell r="G173" t="str">
            <v>VARCHAR2(200)</v>
          </cell>
          <cell r="H173" t="str">
            <v>NULL</v>
          </cell>
          <cell r="I173"/>
          <cell r="J173">
            <v>145</v>
          </cell>
          <cell r="K173"/>
          <cell r="L173"/>
        </row>
        <row r="174">
          <cell r="C174" t="str">
            <v>SIS User Id</v>
          </cell>
          <cell r="D174" t="str">
            <v>SIS_USR_ID</v>
          </cell>
          <cell r="E174" t="str">
            <v>Identifier of the process or user that creates the records sourced from SIS Money Movement</v>
          </cell>
          <cell r="F174" t="str">
            <v>Name_255</v>
          </cell>
          <cell r="G174" t="str">
            <v>VARCHAR2(255)</v>
          </cell>
          <cell r="H174" t="str">
            <v>NULL</v>
          </cell>
          <cell r="I174"/>
          <cell r="J174">
            <v>146</v>
          </cell>
          <cell r="K174"/>
          <cell r="L174"/>
        </row>
        <row r="175">
          <cell r="C175" t="str">
            <v>Source Cancel / Revision Code</v>
          </cell>
          <cell r="D175" t="str">
            <v>SRC_CNCL_X_RVSN_CD</v>
          </cell>
          <cell r="E175" t="str">
            <v>Cancel or Revise Code in the source system</v>
          </cell>
          <cell r="F175" t="str">
            <v>Code_03</v>
          </cell>
          <cell r="G175" t="str">
            <v>VARCHAR2(3)</v>
          </cell>
          <cell r="H175" t="str">
            <v>NULL</v>
          </cell>
          <cell r="I175"/>
          <cell r="J175">
            <v>166</v>
          </cell>
          <cell r="K175"/>
          <cell r="L175"/>
        </row>
        <row r="176">
          <cell r="C176" t="str">
            <v>Source Cancellation Reason Code</v>
          </cell>
          <cell r="D176" t="str">
            <v>SRC_CNCL_RSN_CD</v>
          </cell>
          <cell r="E176" t="e">
            <v>#VALUE!</v>
          </cell>
          <cell r="F176" t="str">
            <v>Code_20</v>
          </cell>
          <cell r="G176" t="str">
            <v>VARCHAR2(20)</v>
          </cell>
          <cell r="H176" t="str">
            <v>NULL</v>
          </cell>
          <cell r="I176"/>
          <cell r="J176">
            <v>149</v>
          </cell>
          <cell r="K176"/>
          <cell r="L176"/>
        </row>
        <row r="177">
          <cell r="C177" t="str">
            <v>Source Cancellation Reason Id</v>
          </cell>
          <cell r="D177" t="str">
            <v>SRC_CNCL_RSN_ID</v>
          </cell>
          <cell r="E177" t="str">
            <v>Id representing Reason for cancellation in source system</v>
          </cell>
          <cell r="F177" t="str">
            <v>NINI</v>
          </cell>
          <cell r="G177" t="str">
            <v>NUMBER(38,0)</v>
          </cell>
          <cell r="H177" t="str">
            <v>NULL</v>
          </cell>
          <cell r="I177"/>
          <cell r="J177">
            <v>148</v>
          </cell>
          <cell r="K177"/>
          <cell r="L177"/>
        </row>
        <row r="178">
          <cell r="C178" t="str">
            <v>Source Cancellation Reason Name</v>
          </cell>
          <cell r="D178" t="str">
            <v>SRC_CNCL_RSN_NM</v>
          </cell>
          <cell r="E178" t="str">
            <v>Name representing Reason for cancellation in source system</v>
          </cell>
          <cell r="F178" t="str">
            <v>Name_200</v>
          </cell>
          <cell r="G178" t="str">
            <v>VARCHAR2(200)</v>
          </cell>
          <cell r="H178" t="str">
            <v>NULL</v>
          </cell>
          <cell r="I178"/>
          <cell r="J178">
            <v>150</v>
          </cell>
          <cell r="K178"/>
          <cell r="L178"/>
        </row>
        <row r="179">
          <cell r="C179" t="str">
            <v>Source Create User Name</v>
          </cell>
          <cell r="D179" t="str">
            <v>SRC_CRT_USRNM</v>
          </cell>
          <cell r="E179" t="str">
            <v>The name that represents the user/process that created row in the primary source table</v>
          </cell>
          <cell r="F179" t="str">
            <v>Code_50</v>
          </cell>
          <cell r="G179" t="str">
            <v>VARCHAR2(50)</v>
          </cell>
          <cell r="H179" t="str">
            <v>NULL</v>
          </cell>
          <cell r="I179"/>
          <cell r="J179">
            <v>134</v>
          </cell>
          <cell r="K179"/>
          <cell r="L179"/>
        </row>
        <row r="180">
          <cell r="C180" t="str">
            <v>Source Effective Date</v>
          </cell>
          <cell r="D180" t="str">
            <v>SRC_EFF_DT</v>
          </cell>
          <cell r="E180" t="str">
            <v>Effective date of the APA in the source system</v>
          </cell>
          <cell r="F180" t="str">
            <v>Date</v>
          </cell>
          <cell r="G180" t="str">
            <v>DATE</v>
          </cell>
          <cell r="H180" t="str">
            <v>NULL</v>
          </cell>
          <cell r="I180"/>
          <cell r="J180">
            <v>135</v>
          </cell>
          <cell r="K180"/>
          <cell r="L180"/>
        </row>
        <row r="181">
          <cell r="C181" t="str">
            <v>Source Entry Channel Type Code</v>
          </cell>
          <cell r="D181" t="str">
            <v>SRC_ENTR_CNL_TP_CD</v>
          </cell>
          <cell r="E181" t="e">
            <v>#VALUE!</v>
          </cell>
          <cell r="F181" t="str">
            <v>Code_20</v>
          </cell>
          <cell r="G181" t="str">
            <v>VARCHAR2(20)</v>
          </cell>
          <cell r="H181" t="str">
            <v>NULL</v>
          </cell>
          <cell r="I181"/>
          <cell r="J181">
            <v>136</v>
          </cell>
          <cell r="K181"/>
          <cell r="L181"/>
        </row>
        <row r="182">
          <cell r="C182" t="str">
            <v>Source Entry Channel Type Dimension Id</v>
          </cell>
          <cell r="D182" t="str">
            <v>SRC_ENTR_CNL_TP_DIM_ID</v>
          </cell>
          <cell r="E182" t="str">
            <v>Surrogate key for the Source Entry Channel Type Dimension</v>
          </cell>
          <cell r="F182" t="str">
            <v>NINI</v>
          </cell>
          <cell r="G182" t="str">
            <v>NUMBER(38,0)</v>
          </cell>
          <cell r="H182" t="str">
            <v>NOT NULL</v>
          </cell>
          <cell r="I182"/>
          <cell r="J182">
            <v>12</v>
          </cell>
          <cell r="K182"/>
          <cell r="L182"/>
        </row>
        <row r="183">
          <cell r="C183" t="str">
            <v>Source Entry Channel Type Id</v>
          </cell>
          <cell r="D183" t="str">
            <v>SRC_ENTR_CNL_TP_ID</v>
          </cell>
          <cell r="E183" t="str">
            <v>Identifier for the Source Entry Channel Type</v>
          </cell>
          <cell r="F183" t="str">
            <v>NINI</v>
          </cell>
          <cell r="G183" t="str">
            <v>NUMBER(38,0)</v>
          </cell>
          <cell r="H183" t="str">
            <v>NULL</v>
          </cell>
          <cell r="I183"/>
          <cell r="J183">
            <v>208</v>
          </cell>
          <cell r="K183"/>
          <cell r="L183"/>
        </row>
        <row r="184">
          <cell r="C184" t="str">
            <v>Source Entry Channel Type Name</v>
          </cell>
          <cell r="D184" t="str">
            <v>SRC_ENTR_CNL_TP_NM</v>
          </cell>
          <cell r="E184" t="e">
            <v>#VALUE!</v>
          </cell>
          <cell r="F184" t="str">
            <v>Name_200</v>
          </cell>
          <cell r="G184" t="str">
            <v>VARCHAR2(200)</v>
          </cell>
          <cell r="H184" t="str">
            <v>NULL</v>
          </cell>
          <cell r="I184"/>
          <cell r="J184">
            <v>137</v>
          </cell>
          <cell r="K184"/>
          <cell r="L184"/>
        </row>
        <row r="185">
          <cell r="C185" t="str">
            <v>Source Entry Datetime</v>
          </cell>
          <cell r="D185" t="str">
            <v>SRC_ENTR_DTM</v>
          </cell>
          <cell r="E185" t="str">
            <v>Time stamp of first occurrence of the transaction in the order entry system.</v>
          </cell>
          <cell r="F185" t="str">
            <v>Timestamp</v>
          </cell>
          <cell r="G185" t="str">
            <v>TIMESTAMP(6)</v>
          </cell>
          <cell r="H185" t="str">
            <v>NULL</v>
          </cell>
          <cell r="I185"/>
          <cell r="J185">
            <v>138</v>
          </cell>
          <cell r="K185"/>
          <cell r="L185"/>
        </row>
        <row r="186">
          <cell r="C186" t="str">
            <v>Source Option Class Code</v>
          </cell>
          <cell r="D186" t="str">
            <v>SRC_OPT_CLSS_CD</v>
          </cell>
          <cell r="E186" t="str">
            <v>The code that determines what type of transaction the record contains. For SIS activity the values depend on the record type.</v>
          </cell>
          <cell r="F186" t="str">
            <v>Code_50</v>
          </cell>
          <cell r="G186" t="str">
            <v>VARCHAR2(50)</v>
          </cell>
          <cell r="H186" t="str">
            <v>NULL</v>
          </cell>
          <cell r="I186"/>
          <cell r="J186">
            <v>167</v>
          </cell>
          <cell r="K186"/>
          <cell r="L186"/>
        </row>
        <row r="187">
          <cell r="C187" t="str">
            <v>Source Processing Type Code</v>
          </cell>
          <cell r="D187" t="str">
            <v>SRC_PCS_TP_CD</v>
          </cell>
          <cell r="E187" t="str">
            <v>A code for the source processing type, values include backdated, initial, cancel, correction or reversal.</v>
          </cell>
          <cell r="F187" t="str">
            <v>Code_20</v>
          </cell>
          <cell r="G187" t="str">
            <v>VARCHAR2(20)</v>
          </cell>
          <cell r="H187" t="str">
            <v>NULL</v>
          </cell>
          <cell r="I187"/>
          <cell r="J187">
            <v>139</v>
          </cell>
          <cell r="K187"/>
          <cell r="L187"/>
        </row>
        <row r="188">
          <cell r="C188" t="str">
            <v>Source Processing Type Dimension Id</v>
          </cell>
          <cell r="D188" t="str">
            <v>SRC_PCS_TP_DIM_ID</v>
          </cell>
          <cell r="E188" t="str">
            <v>Surrogate key for Source Processing Type Dimension.</v>
          </cell>
          <cell r="F188" t="str">
            <v>NINI</v>
          </cell>
          <cell r="G188" t="str">
            <v>NUMBER(38,0)</v>
          </cell>
          <cell r="H188" t="str">
            <v>NOT NULL</v>
          </cell>
          <cell r="I188"/>
          <cell r="J188">
            <v>11</v>
          </cell>
          <cell r="K188"/>
          <cell r="L188"/>
        </row>
        <row r="189">
          <cell r="C189" t="str">
            <v>Source Processing Type Id</v>
          </cell>
          <cell r="D189" t="str">
            <v>SRC_PCS_TP_ID</v>
          </cell>
          <cell r="E189" t="str">
            <v>Identifier for the Source Processing Type</v>
          </cell>
          <cell r="F189" t="str">
            <v>NINI</v>
          </cell>
          <cell r="G189" t="str">
            <v>NUMBER(38,0)</v>
          </cell>
          <cell r="H189" t="str">
            <v>NULL</v>
          </cell>
          <cell r="I189"/>
          <cell r="J189">
            <v>209</v>
          </cell>
          <cell r="K189"/>
          <cell r="L189"/>
        </row>
        <row r="190">
          <cell r="C190" t="str">
            <v>Source Processing Type Name</v>
          </cell>
          <cell r="D190" t="str">
            <v>SRC_PCS_TP_NM</v>
          </cell>
          <cell r="E190" t="str">
            <v>Name of the source processing type, values include backdated, initial, cancel, correction or reversal.</v>
          </cell>
          <cell r="F190" t="str">
            <v>Name_200</v>
          </cell>
          <cell r="G190" t="str">
            <v>VARCHAR2(200)</v>
          </cell>
          <cell r="H190" t="str">
            <v>NULL</v>
          </cell>
          <cell r="I190"/>
          <cell r="J190">
            <v>140</v>
          </cell>
          <cell r="K190"/>
          <cell r="L190"/>
        </row>
        <row r="191">
          <cell r="C191" t="str">
            <v>Source System Code</v>
          </cell>
          <cell r="D191" t="str">
            <v>SRC_STM_CD</v>
          </cell>
          <cell r="E191" t="str">
            <v>Code for the source system information coming from Transaction. e.g., BKRBO1, BKRBO2, RJBNK1, ISO</v>
          </cell>
          <cell r="F191" t="str">
            <v>Code_20</v>
          </cell>
          <cell r="G191" t="str">
            <v>VARCHAR2(20)</v>
          </cell>
          <cell r="H191" t="str">
            <v>NULL</v>
          </cell>
          <cell r="I191"/>
          <cell r="J191">
            <v>164</v>
          </cell>
          <cell r="K191"/>
          <cell r="L191"/>
        </row>
        <row r="192">
          <cell r="C192" t="str">
            <v>Source System Id</v>
          </cell>
          <cell r="D192" t="str">
            <v>SRC_STM_ID</v>
          </cell>
          <cell r="E192" t="str">
            <v>Source system Id coming from Transaction. This could be different from Source system Id coming from Arrangement information.</v>
          </cell>
          <cell r="F192" t="str">
            <v>NINI</v>
          </cell>
          <cell r="G192" t="str">
            <v>NUMBER(38,0)</v>
          </cell>
          <cell r="H192" t="str">
            <v>NULL</v>
          </cell>
          <cell r="I192"/>
          <cell r="J192">
            <v>163</v>
          </cell>
          <cell r="K192"/>
          <cell r="L192"/>
        </row>
        <row r="193">
          <cell r="C193" t="str">
            <v>Source System Name</v>
          </cell>
          <cell r="D193" t="str">
            <v>SRC_STM_NM</v>
          </cell>
          <cell r="E193" t="str">
            <v>Name of the source system information coming from Transaction. e.g., SIS - Securities Industry Software, Raymond James, Raymond James Bank, Shadow Suite</v>
          </cell>
          <cell r="F193" t="str">
            <v>Name_60</v>
          </cell>
          <cell r="G193" t="str">
            <v>VARCHAR2(60)</v>
          </cell>
          <cell r="H193" t="str">
            <v>NULL</v>
          </cell>
          <cell r="I193"/>
          <cell r="J193">
            <v>165</v>
          </cell>
          <cell r="K193"/>
          <cell r="L193"/>
        </row>
        <row r="194">
          <cell r="C194" t="str">
            <v>Source Transaction Code</v>
          </cell>
          <cell r="D194" t="str">
            <v>SRC_TXN_CODE</v>
          </cell>
          <cell r="E194" t="str">
            <v>A code that represents the source of the transaction.  Possible values of transaction code include CD Adjustment, Interest Adjustment, and Withdrawal/Redemption.</v>
          </cell>
          <cell r="F194" t="str">
            <v>NINI</v>
          </cell>
          <cell r="G194" t="str">
            <v>NUMBER(38,0)</v>
          </cell>
          <cell r="H194" t="str">
            <v>NULL</v>
          </cell>
          <cell r="I194"/>
          <cell r="J194">
            <v>94</v>
          </cell>
          <cell r="K194"/>
          <cell r="L194"/>
        </row>
        <row r="195">
          <cell r="C195" t="str">
            <v>Source Transaction Sequence Number</v>
          </cell>
          <cell r="D195" t="str">
            <v>SRC_TXN_SEQ_NUM</v>
          </cell>
          <cell r="E195" t="str">
            <v>Transaction number assigned to the transaction in the source system.</v>
          </cell>
          <cell r="F195" t="str">
            <v>NINI</v>
          </cell>
          <cell r="G195" t="str">
            <v>NUMBER(38,0)</v>
          </cell>
          <cell r="H195" t="str">
            <v>NULL</v>
          </cell>
          <cell r="I195"/>
          <cell r="J195">
            <v>151</v>
          </cell>
          <cell r="K195"/>
          <cell r="L195"/>
        </row>
        <row r="196">
          <cell r="C196" t="str">
            <v>Standard Commission Amount</v>
          </cell>
          <cell r="D196" t="str">
            <v>STD_CMSN_AMT</v>
          </cell>
          <cell r="E196" t="str">
            <v>Standard amount to be charged by broker or intermediary for trade execution.</v>
          </cell>
          <cell r="F196" t="str">
            <v>AMOUNT_22d6</v>
          </cell>
          <cell r="G196" t="str">
            <v>NUMBER(22,6)</v>
          </cell>
          <cell r="H196" t="str">
            <v>NULL</v>
          </cell>
          <cell r="I196"/>
          <cell r="J196">
            <v>217</v>
          </cell>
          <cell r="K196"/>
          <cell r="L196"/>
        </row>
        <row r="197">
          <cell r="C197" t="str">
            <v>Symbol</v>
          </cell>
          <cell r="D197" t="str">
            <v>SYMB</v>
          </cell>
          <cell r="E197" t="e">
            <v>#VALUE!</v>
          </cell>
          <cell r="F197"/>
          <cell r="G197" t="str">
            <v>VARCHAR2(200)</v>
          </cell>
          <cell r="H197" t="str">
            <v>NULL</v>
          </cell>
          <cell r="I197"/>
          <cell r="J197">
            <v>226</v>
          </cell>
          <cell r="K197"/>
          <cell r="L197"/>
        </row>
        <row r="198">
          <cell r="C198" t="str">
            <v>System Base Currency Calculation Date</v>
          </cell>
          <cell r="D198" t="str">
            <v>SBC_CCY_CALC_DT</v>
          </cell>
          <cell r="E198" t="str">
            <v>Date and time  when transaction amount was converted to system base currency</v>
          </cell>
          <cell r="F198" t="str">
            <v>Date</v>
          </cell>
          <cell r="G198" t="str">
            <v>DATE</v>
          </cell>
          <cell r="H198" t="str">
            <v>NULL</v>
          </cell>
          <cell r="I198"/>
          <cell r="J198">
            <v>42</v>
          </cell>
          <cell r="K198"/>
          <cell r="L198"/>
        </row>
        <row r="199">
          <cell r="C199" t="str">
            <v>System Base Currency Code</v>
          </cell>
          <cell r="D199" t="str">
            <v>SBC_CCY_CD</v>
          </cell>
          <cell r="E199" t="str">
            <v>Product identifier of the system base currency. This is USD for data coming from CDS currently..</v>
          </cell>
          <cell r="F199" t="str">
            <v>Code_03</v>
          </cell>
          <cell r="G199" t="str">
            <v>VARCHAR2(3)</v>
          </cell>
          <cell r="H199" t="str">
            <v>NULL</v>
          </cell>
          <cell r="I199"/>
          <cell r="J199">
            <v>130</v>
          </cell>
          <cell r="K199"/>
          <cell r="L199"/>
        </row>
        <row r="200">
          <cell r="C200" t="str">
            <v>System Base Currency Dimension Id</v>
          </cell>
          <cell r="D200" t="str">
            <v>SBC_CCY_DIM_ID</v>
          </cell>
          <cell r="E200" t="str">
            <v>Surrogate key for Currency dimension</v>
          </cell>
          <cell r="F200" t="str">
            <v>NINI</v>
          </cell>
          <cell r="G200" t="str">
            <v>NUMBER(38,0)</v>
          </cell>
          <cell r="H200" t="str">
            <v>NOT NULL</v>
          </cell>
          <cell r="I200"/>
          <cell r="J200">
            <v>16</v>
          </cell>
          <cell r="K200"/>
          <cell r="L200"/>
        </row>
        <row r="201">
          <cell r="C201" t="str">
            <v>System Base Currency Exchange Rate</v>
          </cell>
          <cell r="D201" t="str">
            <v>SBC_EXG_RATE</v>
          </cell>
          <cell r="E201" t="str">
            <v>Exchange rate used to calculate transaction amount in system base currency</v>
          </cell>
          <cell r="F201" t="str">
            <v>A38d6</v>
          </cell>
          <cell r="G201" t="str">
            <v>NUMBER(38,6)</v>
          </cell>
          <cell r="H201" t="str">
            <v>NULL</v>
          </cell>
          <cell r="I201"/>
          <cell r="J201">
            <v>43</v>
          </cell>
          <cell r="K201"/>
          <cell r="L201"/>
        </row>
        <row r="202">
          <cell r="C202" t="str">
            <v>Target Transaction Id</v>
          </cell>
          <cell r="D202" t="str">
            <v>REL_TXN_ID</v>
          </cell>
          <cell r="E202" t="str">
            <v>The CDS assigned numeric identfier of the related (target) transaction that this current transaction is cancelling/correcting/reversing.</v>
          </cell>
          <cell r="F202" t="str">
            <v>NINI</v>
          </cell>
          <cell r="G202" t="str">
            <v>NUMBER(38,0)</v>
          </cell>
          <cell r="H202" t="str">
            <v>NULL</v>
          </cell>
          <cell r="I202"/>
          <cell r="J202">
            <v>204</v>
          </cell>
          <cell r="K202"/>
          <cell r="L202"/>
        </row>
        <row r="203">
          <cell r="C203" t="str">
            <v>Trade Cancelled Flag</v>
          </cell>
          <cell r="D203" t="str">
            <v>TRD_CNCLD_F</v>
          </cell>
          <cell r="E203" t="str">
            <v>The flag that indicates that the trade has been cancelled</v>
          </cell>
          <cell r="F203"/>
          <cell r="G203" t="str">
            <v>VARCHAR2(1)</v>
          </cell>
          <cell r="H203" t="str">
            <v>NULL</v>
          </cell>
          <cell r="I203"/>
          <cell r="J203">
            <v>225</v>
          </cell>
          <cell r="K203"/>
          <cell r="L203"/>
        </row>
        <row r="204">
          <cell r="C204" t="str">
            <v>Trade Date</v>
          </cell>
          <cell r="D204" t="str">
            <v>TD</v>
          </cell>
          <cell r="E204" t="str">
            <v>Trade date of the transaction</v>
          </cell>
          <cell r="F204" t="str">
            <v>Date</v>
          </cell>
          <cell r="G204" t="str">
            <v>DATE</v>
          </cell>
          <cell r="H204" t="str">
            <v>NOT NULL</v>
          </cell>
          <cell r="I204"/>
          <cell r="J204">
            <v>19</v>
          </cell>
          <cell r="K204"/>
          <cell r="L204"/>
        </row>
        <row r="205">
          <cell r="C205" t="str">
            <v>Trade Date Dimension Id</v>
          </cell>
          <cell r="D205" t="str">
            <v>TD_DIM_ID</v>
          </cell>
          <cell r="E205" t="str">
            <v>Synthetic Key identifying a single date in the DATE Dimension, based on Trade date</v>
          </cell>
          <cell r="F205" t="str">
            <v>NINI_NOT_NULL</v>
          </cell>
          <cell r="G205" t="str">
            <v>NUMBER(38,0)</v>
          </cell>
          <cell r="H205" t="str">
            <v>NOT NULL</v>
          </cell>
          <cell r="I205"/>
          <cell r="J205">
            <v>37</v>
          </cell>
          <cell r="K205"/>
          <cell r="L205"/>
        </row>
        <row r="206">
          <cell r="C206" t="str">
            <v>Trade Factor Rate</v>
          </cell>
          <cell r="D206" t="str">
            <v>TRD_FCTR_RATE</v>
          </cell>
          <cell r="E206" t="e">
            <v>#VALUE!</v>
          </cell>
          <cell r="F206"/>
          <cell r="G206" t="str">
            <v>NUMBER(22,8)</v>
          </cell>
          <cell r="H206" t="str">
            <v>NULL</v>
          </cell>
          <cell r="I206"/>
          <cell r="J206">
            <v>215</v>
          </cell>
          <cell r="K206"/>
          <cell r="L206"/>
        </row>
        <row r="207">
          <cell r="C207" t="str">
            <v>Trade Number</v>
          </cell>
          <cell r="D207" t="str">
            <v>TRD_NUM</v>
          </cell>
          <cell r="E207" t="str">
            <v>An identification number of the trade (transaction number) that represents an executed FMI trade transaction.</v>
          </cell>
          <cell r="F207" t="str">
            <v>Trade Number</v>
          </cell>
          <cell r="G207" t="str">
            <v>VARCHAR2(15)</v>
          </cell>
          <cell r="H207" t="str">
            <v>NULL</v>
          </cell>
          <cell r="I207"/>
          <cell r="J207">
            <v>25</v>
          </cell>
          <cell r="K207"/>
          <cell r="L207"/>
        </row>
        <row r="208">
          <cell r="C208" t="str">
            <v>Trade Processing Fee Amount</v>
          </cell>
          <cell r="D208" t="str">
            <v>TRD_PCS_FEE_AMT</v>
          </cell>
          <cell r="E208" t="str">
            <v>Amount charged to cover the operational costs associated with the post-execution processing of a trade</v>
          </cell>
          <cell r="F208" t="str">
            <v>A38d6</v>
          </cell>
          <cell r="G208" t="str">
            <v>NUMBER(38,6)</v>
          </cell>
          <cell r="H208" t="str">
            <v>NULL</v>
          </cell>
          <cell r="I208"/>
          <cell r="J208">
            <v>219</v>
          </cell>
          <cell r="K208"/>
          <cell r="L208"/>
        </row>
        <row r="209">
          <cell r="C209" t="str">
            <v>Trade Solicitation Type Code</v>
          </cell>
          <cell r="D209" t="str">
            <v>TRD_SLCT_TP_CD</v>
          </cell>
          <cell r="E209" t="str">
            <v>A code for the solicitation method in which the trade was executed.  A trade can be initiated by the broker, the client, or done at discretion of broker in discretionary accounts.</v>
          </cell>
          <cell r="F209" t="str">
            <v>Code_20</v>
          </cell>
          <cell r="G209" t="str">
            <v>VARCHAR2(20)</v>
          </cell>
          <cell r="H209" t="str">
            <v>NULL</v>
          </cell>
          <cell r="I209"/>
          <cell r="J209">
            <v>141</v>
          </cell>
          <cell r="K209"/>
          <cell r="L209"/>
        </row>
        <row r="210">
          <cell r="C210" t="str">
            <v>Trade Solicitation Type Dimension Id</v>
          </cell>
          <cell r="D210" t="str">
            <v>TRD_SLCT_TP_DIM_ID</v>
          </cell>
          <cell r="E210" t="str">
            <v>Surrogate key for the Trade Solicitation Type Dimension</v>
          </cell>
          <cell r="F210" t="str">
            <v>NINI</v>
          </cell>
          <cell r="G210" t="str">
            <v>NUMBER(38,0)</v>
          </cell>
          <cell r="H210" t="str">
            <v>NOT NULL</v>
          </cell>
          <cell r="I210"/>
          <cell r="J210">
            <v>13</v>
          </cell>
          <cell r="K210"/>
          <cell r="L210"/>
        </row>
        <row r="211">
          <cell r="C211" t="str">
            <v>Trade Solicitation Type Id</v>
          </cell>
          <cell r="D211" t="str">
            <v>TRD_SLCT_TP_ID</v>
          </cell>
          <cell r="E211" t="str">
            <v>Identifier for the Trade Solicitation Type</v>
          </cell>
          <cell r="F211" t="str">
            <v>NINI</v>
          </cell>
          <cell r="G211" t="str">
            <v>NUMBER(38,0)</v>
          </cell>
          <cell r="H211" t="str">
            <v>NULL</v>
          </cell>
          <cell r="I211"/>
          <cell r="J211">
            <v>210</v>
          </cell>
          <cell r="K211"/>
          <cell r="L211"/>
        </row>
        <row r="212">
          <cell r="C212" t="str">
            <v>Trade Solicitation Type Name</v>
          </cell>
          <cell r="D212" t="str">
            <v>TRD_SLCT_TP_NM</v>
          </cell>
          <cell r="E212" t="str">
            <v>Tname of the solicitation method in which the trade was executed.  A trade can be initiated by the broker, the client, or done at discretion of broker in discretionary accounts.</v>
          </cell>
          <cell r="F212" t="str">
            <v>Name_200</v>
          </cell>
          <cell r="G212" t="str">
            <v>VARCHAR2(200)</v>
          </cell>
          <cell r="H212" t="str">
            <v>NULL</v>
          </cell>
          <cell r="I212"/>
          <cell r="J212">
            <v>142</v>
          </cell>
          <cell r="K212"/>
          <cell r="L212"/>
        </row>
        <row r="213">
          <cell r="C213" t="str">
            <v>Transaction Classification Flag</v>
          </cell>
          <cell r="D213" t="str">
            <v>TXN_CL_F</v>
          </cell>
          <cell r="E213" t="str">
            <v>Transaction Classification Flag</v>
          </cell>
          <cell r="F213"/>
          <cell r="G213" t="str">
            <v>VARCHAR2(2)</v>
          </cell>
          <cell r="H213" t="str">
            <v>NULL</v>
          </cell>
          <cell r="I213"/>
          <cell r="J213">
            <v>54</v>
          </cell>
          <cell r="K213"/>
          <cell r="L213"/>
        </row>
        <row r="214">
          <cell r="C214" t="str">
            <v>Transaction Id</v>
          </cell>
          <cell r="D214" t="str">
            <v>TXN_ID</v>
          </cell>
          <cell r="E214" t="str">
            <v>CDS assigned numeric identfier of the transaction</v>
          </cell>
          <cell r="F214" t="str">
            <v>NINI_NOT_NULL</v>
          </cell>
          <cell r="G214" t="str">
            <v>NUMBER(38,0)</v>
          </cell>
          <cell r="H214" t="str">
            <v>NOT NULL</v>
          </cell>
          <cell r="I214"/>
          <cell r="J214">
            <v>23</v>
          </cell>
          <cell r="K214"/>
          <cell r="L214"/>
        </row>
        <row r="215">
          <cell r="C215" t="str">
            <v>Transaction Reconciliation Replay Count</v>
          </cell>
          <cell r="D215" t="str">
            <v>TXN_RCNCL_REPL_CNT</v>
          </cell>
          <cell r="E215" t="str">
            <v>Numeric counter to show how many attempts were done to reconcile transactions on this account/product/type with the corresponding EOD positions. _x000D_
The default value load is '0' and counter is incremented by '1' as transaction is replayed.</v>
          </cell>
          <cell r="F215" t="str">
            <v>NINI</v>
          </cell>
          <cell r="G215" t="str">
            <v>NUMBER(38,0)</v>
          </cell>
          <cell r="H215" t="str">
            <v>NULL</v>
          </cell>
          <cell r="I215"/>
          <cell r="J215">
            <v>168</v>
          </cell>
          <cell r="K215"/>
          <cell r="L215"/>
        </row>
        <row r="216">
          <cell r="C216" t="str">
            <v>Transaction Reconciliation Status Code</v>
          </cell>
          <cell r="D216" t="str">
            <v>TXN_RCNCL_ST_CD</v>
          </cell>
          <cell r="E216" t="e">
            <v>#VALUE!</v>
          </cell>
          <cell r="F216" t="str">
            <v>Code_20</v>
          </cell>
          <cell r="G216" t="str">
            <v>VARCHAR2(20)</v>
          </cell>
          <cell r="H216" t="str">
            <v>NULL</v>
          </cell>
          <cell r="I216"/>
          <cell r="J216">
            <v>172</v>
          </cell>
          <cell r="K216"/>
          <cell r="L216"/>
        </row>
        <row r="217">
          <cell r="C217" t="str">
            <v>Transaction Reconciliation Status Id</v>
          </cell>
          <cell r="D217" t="str">
            <v>TXN_RCNCL_ST_ID</v>
          </cell>
          <cell r="E217" t="e">
            <v>#VALUE!</v>
          </cell>
          <cell r="F217" t="str">
            <v>NINI</v>
          </cell>
          <cell r="G217" t="str">
            <v>NUMBER(38,0)</v>
          </cell>
          <cell r="H217" t="str">
            <v>NULL</v>
          </cell>
          <cell r="I217"/>
          <cell r="J217">
            <v>171</v>
          </cell>
          <cell r="K217"/>
          <cell r="L217"/>
        </row>
        <row r="218">
          <cell r="C218" t="str">
            <v>Transaction Reconciliation Status Name</v>
          </cell>
          <cell r="D218" t="str">
            <v>TXN_RCNCL_ST_NM</v>
          </cell>
          <cell r="E218" t="e">
            <v>#VALUE!</v>
          </cell>
          <cell r="F218" t="str">
            <v>Name_200</v>
          </cell>
          <cell r="G218" t="str">
            <v>VARCHAR2(200)</v>
          </cell>
          <cell r="H218" t="str">
            <v>NULL</v>
          </cell>
          <cell r="I218"/>
          <cell r="J218">
            <v>173</v>
          </cell>
          <cell r="K218"/>
          <cell r="L218"/>
        </row>
        <row r="219">
          <cell r="C219" t="str">
            <v>Transaction Source Key</v>
          </cell>
          <cell r="D219" t="str">
            <v>TXN_SRC_KEY</v>
          </cell>
          <cell r="E219" t="str">
            <v>A unique key which will help tie a CCAL transaction to the original source system transaction for research purposes.</v>
          </cell>
          <cell r="F219" t="str">
            <v>Name_200</v>
          </cell>
          <cell r="G219" t="str">
            <v>VARCHAR2(200)</v>
          </cell>
          <cell r="H219" t="str">
            <v>NULL</v>
          </cell>
          <cell r="I219"/>
          <cell r="J219">
            <v>27</v>
          </cell>
          <cell r="K219"/>
          <cell r="L219"/>
        </row>
        <row r="220">
          <cell r="C220" t="str">
            <v>Transaction Source System Dimension Id</v>
          </cell>
          <cell r="D220" t="str">
            <v>TXN_SRC_STM_DIM_ID</v>
          </cell>
          <cell r="E220" t="str">
            <v>Surrogate Key for Source system dimension based on source system information coming from Transaction.</v>
          </cell>
          <cell r="F220" t="str">
            <v>NINI</v>
          </cell>
          <cell r="G220" t="str">
            <v>NUMBER(38,0)</v>
          </cell>
          <cell r="H220" t="str">
            <v>NOT NULL</v>
          </cell>
          <cell r="I220"/>
          <cell r="J220">
            <v>14</v>
          </cell>
          <cell r="K220"/>
          <cell r="L220"/>
        </row>
        <row r="221">
          <cell r="C221" t="str">
            <v>Transaction Subtype Code</v>
          </cell>
          <cell r="D221" t="str">
            <v>TXN_SUB_TP_CD</v>
          </cell>
          <cell r="E221" t="e">
            <v>#VALUE!</v>
          </cell>
          <cell r="F221" t="str">
            <v>Code_20</v>
          </cell>
          <cell r="G221" t="str">
            <v>VARCHAR2(20)</v>
          </cell>
          <cell r="H221" t="str">
            <v>NULL</v>
          </cell>
          <cell r="I221"/>
          <cell r="J221">
            <v>62</v>
          </cell>
          <cell r="K221"/>
          <cell r="L221"/>
        </row>
        <row r="222">
          <cell r="C222" t="str">
            <v>Transaction Subtype Description</v>
          </cell>
          <cell r="D222" t="str">
            <v>TXN_SUB_TP_DSC</v>
          </cell>
          <cell r="E222" t="str">
            <v>Description for the Transaction Subtype code</v>
          </cell>
          <cell r="F222" t="str">
            <v>Description_1000</v>
          </cell>
          <cell r="G222" t="str">
            <v>VARCHAR2(1000)</v>
          </cell>
          <cell r="H222" t="str">
            <v>NULL</v>
          </cell>
          <cell r="I222"/>
          <cell r="J222">
            <v>64</v>
          </cell>
          <cell r="K222"/>
          <cell r="L222"/>
        </row>
        <row r="223">
          <cell r="C223" t="str">
            <v>Transaction Subtype Id</v>
          </cell>
          <cell r="D223" t="str">
            <v>TXN_SBTP_ID</v>
          </cell>
          <cell r="E223" t="str">
            <v>CDS assigned Identifier for the transaction subtype  - used for data lineage</v>
          </cell>
          <cell r="F223" t="str">
            <v>NINI</v>
          </cell>
          <cell r="G223" t="str">
            <v>NUMBER(38,0)</v>
          </cell>
          <cell r="H223" t="str">
            <v>NULL</v>
          </cell>
          <cell r="I223"/>
          <cell r="J223">
            <v>61</v>
          </cell>
          <cell r="K223"/>
          <cell r="L223"/>
        </row>
        <row r="224">
          <cell r="C224" t="str">
            <v>Transaction Subtype Name</v>
          </cell>
          <cell r="D224" t="str">
            <v>TXN_SUB_TP_NM</v>
          </cell>
          <cell r="E224" t="e">
            <v>#VALUE!</v>
          </cell>
          <cell r="F224" t="str">
            <v>Name_200</v>
          </cell>
          <cell r="G224" t="str">
            <v>VARCHAR2(200)</v>
          </cell>
          <cell r="H224" t="str">
            <v>NULL</v>
          </cell>
          <cell r="I224"/>
          <cell r="J224">
            <v>63</v>
          </cell>
          <cell r="K224"/>
          <cell r="L224"/>
        </row>
        <row r="225">
          <cell r="C225" t="str">
            <v>Transaction Type Code</v>
          </cell>
          <cell r="D225" t="str">
            <v>TXN_TP_CD</v>
          </cell>
          <cell r="E225" t="e">
            <v>#VALUE!</v>
          </cell>
          <cell r="F225" t="str">
            <v>Code_20</v>
          </cell>
          <cell r="G225" t="str">
            <v>VARCHAR2(20)</v>
          </cell>
          <cell r="H225" t="str">
            <v>NULL</v>
          </cell>
          <cell r="I225"/>
          <cell r="J225">
            <v>58</v>
          </cell>
          <cell r="K225"/>
          <cell r="L225"/>
        </row>
        <row r="226">
          <cell r="C226" t="str">
            <v>Transaction Type Description</v>
          </cell>
          <cell r="D226" t="str">
            <v>TXN_TP_DSC</v>
          </cell>
          <cell r="E226" t="str">
            <v>Description for the Transaction type</v>
          </cell>
          <cell r="F226" t="str">
            <v>Description_1000</v>
          </cell>
          <cell r="G226" t="str">
            <v>VARCHAR2(1000)</v>
          </cell>
          <cell r="H226" t="str">
            <v>NULL</v>
          </cell>
          <cell r="I226"/>
          <cell r="J226">
            <v>60</v>
          </cell>
          <cell r="K226"/>
          <cell r="L226"/>
        </row>
        <row r="227">
          <cell r="C227" t="str">
            <v>Transaction Type Id</v>
          </cell>
          <cell r="D227" t="str">
            <v>TXN_TP_ID</v>
          </cell>
          <cell r="E227" t="str">
            <v>Identifier for the Transaction type</v>
          </cell>
          <cell r="F227" t="str">
            <v>NINI</v>
          </cell>
          <cell r="G227" t="str">
            <v>NUMBER(38,0)</v>
          </cell>
          <cell r="H227" t="str">
            <v>NULL</v>
          </cell>
          <cell r="I227"/>
          <cell r="J227">
            <v>57</v>
          </cell>
          <cell r="K227"/>
          <cell r="L227"/>
        </row>
        <row r="228">
          <cell r="C228" t="str">
            <v>Transaction Type Name</v>
          </cell>
          <cell r="D228" t="str">
            <v>TXN_TP_NM</v>
          </cell>
          <cell r="E228" t="str">
            <v>Name that represents transactions from different source systems of different types of trades.</v>
          </cell>
          <cell r="F228" t="str">
            <v>Name_200</v>
          </cell>
          <cell r="G228" t="str">
            <v>VARCHAR2(200)</v>
          </cell>
          <cell r="H228" t="str">
            <v>NULL</v>
          </cell>
          <cell r="I228"/>
          <cell r="J228">
            <v>59</v>
          </cell>
          <cell r="K228"/>
          <cell r="L228"/>
        </row>
      </sheetData>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View"/>
      <sheetName val="Semantic"/>
      <sheetName val="Consumer View"/>
      <sheetName val="Table"/>
      <sheetName val="RJM Activity Fact View"/>
      <sheetName val="RJBank Activity Fact View"/>
      <sheetName val="ETL Notes"/>
      <sheetName val="attributes"/>
      <sheetName val="Attribute"/>
      <sheetName val="Model"/>
      <sheetName val="AVY_FACT"/>
      <sheetName val="Table_view_sorted"/>
      <sheetName val="DRD_Activity_Fact (copy as of 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able-View"/>
      <sheetName val="Semantic"/>
      <sheetName val="Consumer View"/>
      <sheetName val="Table"/>
      <sheetName val="RJM Activity Fact View"/>
      <sheetName val="RJBank Activity Fact View"/>
      <sheetName val="ETL Notes"/>
      <sheetName val="attributes"/>
      <sheetName val="Attribute"/>
      <sheetName val="Model"/>
      <sheetName val="AVY_FACT"/>
      <sheetName val="Table_view_sorted"/>
      <sheetName val="DRD_Activity_Fact (copy as of 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150B06-6DCA-408C-9553-83E952D734BC}" name="Table14" displayName="Table14" ref="A12:AH385" totalsRowShown="0" dataDxfId="89" headerRowBorderDxfId="90" tableBorderDxfId="88">
  <autoFilter ref="A12:AH385" xr:uid="{0376D823-809B-4C7A-83E9-7F2BA7B3AFD9}">
    <filterColumn colId="33">
      <filters blank="1">
        <filter val="N"/>
        <filter val="N (add Code, existing PBI)"/>
        <filter val="N (Bug 2258384)"/>
        <filter val="N (PBI 2195678)"/>
        <filter val="N (PBI 2198208)"/>
        <filter val="N (PBI 2647476)"/>
        <filter val="N (REMOVE)"/>
        <filter val="N (should it be removed?)"/>
        <filter val="N/A"/>
        <filter val="Y"/>
        <filter val="Y (PBI 1931139)"/>
      </filters>
    </filterColumn>
  </autoFilter>
  <tableColumns count="34">
    <tableColumn id="1" xr3:uid="{5EE81633-7E8A-4146-AED1-3C475A1BA35C}" name="Logical Name of Attribute _x000a_(Name of column in View without underscores)" dataDxfId="87"/>
    <tableColumn id="2" xr3:uid="{78AAB3C5-FA75-4419-959D-6A2756D21778}" name="Physical Name of Attribute (Name of column in Table)_x000a_Supplied by DA Team" dataDxfId="86"/>
    <tableColumn id="34" xr3:uid="{BD349EBE-E928-434B-984F-79BD1B502E6A}" name="Semantic Column Name" dataDxfId="85"/>
    <tableColumn id="3" xr3:uid="{6277EFE1-3E95-46D5-ACE6-F805877EC093}" name="Data type in Oracle_x000a_VARCHAR2(n), DATE, NUMBER(m,n), TIMETSTAMP(6)" dataDxfId="84"/>
    <tableColumn id="4" xr3:uid="{2370526D-1569-44F7-B5FF-5B47DB45A1EE}" name="Nullable in Table and in Oracle View_x000a_NULL, NOT NULL" dataDxfId="83"/>
    <tableColumn id="5" xr3:uid="{58ECB493-C0DA-4EC2-A3D8-854ACB2CD7C6}" name="Data type in Redshift" dataDxfId="82"/>
    <tableColumn id="6" xr3:uid="{2F42C19E-120D-48F2-99BB-3E9C97EE5716}" name="Nullable in RedshiftTable" dataDxfId="81"/>
    <tableColumn id="7" xr3:uid="{13B27F55-0FDF-4D98-BF32-6E49AD25EEED}" name="Business Definition (To go into comments and into Meta Data Hub)" dataDxfId="80"/>
    <tableColumn id="11" xr3:uid="{20CD493F-56AC-4C25-8D2E-89D99602DCDB}" name="Sample data values" dataDxfId="79"/>
    <tableColumn id="12" xr3:uid="{CDC44384-1F76-419D-B9FA-262CE5E45410}" name="Action on Attribute_x000a_Add,Update,Remove, Blank" dataDxfId="78"/>
    <tableColumn id="13" xr3:uid="{5C7813D5-64F1-4051-AE10-75114285ED76}" name="Action Version" dataDxfId="77"/>
    <tableColumn id="32" xr3:uid="{342C513A-B2DF-4785-93DC-4C92EF7B00D4}" name="Table PBI Number" dataDxfId="76"/>
    <tableColumn id="31" xr3:uid="{412543FA-4FA9-48E2-B0DB-4F9A63B80F8D}" name="List Functional PBI" dataDxfId="75"/>
    <tableColumn id="29" xr3:uid="{5B2A6554-8209-4267-9108-FFC463772BD5}" name="Include  in View._x000a_Populated with N only when not to be shown in the view." dataDxfId="74"/>
    <tableColumn id="14" xr3:uid="{BC22AF9E-A62F-48F0-918B-804A40EE1FAB}" name="Is on Data Model_x000a_DA responsibility" dataDxfId="73">
      <calculatedColumnFormula>VLOOKUP(A13,[1]Model!C$2:J$559,2,FALSE)=B13</calculatedColumnFormula>
    </tableColumn>
    <tableColumn id="15" xr3:uid="{77E8522D-FF0D-4035-9AE0-6EF56C60DFA7}" name="Model Data Type match TRUE/FALSE_x000a_DA Responsibilty" dataDxfId="72">
      <calculatedColumnFormula>VLOOKUP(A13,Model!C$2:G$208,5,FALSE)=D13</calculatedColumnFormula>
    </tableColumn>
    <tableColumn id="27" xr3:uid="{C43C42A4-001A-46AE-8994-E60F1BAE894C}" name="Column2" dataDxfId="71">
      <calculatedColumnFormula>VLOOKUP(A13,[2]Model!C$2:L$228,8,FALSE)</calculatedColumnFormula>
    </tableColumn>
    <tableColumn id="26" xr3:uid="{A5823CF6-989C-44A9-A698-06E70105D7A0}" name="Model Defs. Match" dataDxfId="70">
      <calculatedColumnFormula>VLOOKUP(A13,[2]Model!C$2:G$228,3,FALSE)=[3]!Table14[[#This Row],[Business Definition (To go into comments and into Meta Data Hub)]]</calculatedColumnFormula>
    </tableColumn>
    <tableColumn id="28" xr3:uid="{887D06A5-A32D-4DA1-A8B4-A1539E4F6D2D}" name="Model Nullable Match" dataDxfId="69">
      <calculatedColumnFormula>IF([3]!Table14[[#This Row],[Nullable in Table and in Oracle View
NULL, NOT NULL]]="No","NOT NULL","NULL")=VLOOKUP(A13,[2]Model!C$2:I$228,6,FALSE)</calculatedColumnFormula>
    </tableColumn>
    <tableColumn id="9" xr3:uid="{8946CBC5-29F4-473C-8573-3F21C6E79983}" name="On Table" dataDxfId="68">
      <calculatedColumnFormula>VLOOKUP(B13,[2]Table!A$2:F$415,1,FALSE)=[3]!Table14[[#This Row],[Physical Name of Attribute (Name of column in Table)
Supplied by DA Team]]</calculatedColumnFormula>
    </tableColumn>
    <tableColumn id="24" xr3:uid="{FA6D8142-21BC-4FB3-BC42-32956841F69D}" name="table data type" dataDxfId="67">
      <calculatedColumnFormula>VLOOKUP(B13,Table!A$2:F$319,2,FALSE)=Table14[[#This Row],[Data type in Oracle
VARCHAR2(n), DATE, NUMBER(m,n), TIMETSTAMP(6)]]</calculatedColumnFormula>
    </tableColumn>
    <tableColumn id="10" xr3:uid="{F0876F6C-67D3-4BA2-A6DC-F7DAECF5F7BF}" name="table Nullable" dataDxfId="66">
      <calculatedColumnFormula>VLOOKUP(B13,Table!A$2:F$231,3,FALSE)=Table14[[#This Row],[Nullable in Table and in Oracle View
NULL, NOT NULL]]</calculatedColumnFormula>
    </tableColumn>
    <tableColumn id="8" xr3:uid="{78B7F20D-A910-4CE9-A493-49564827B2AC}" name="table defintions" dataDxfId="65">
      <calculatedColumnFormula>VLOOKUP(B13,Table!A$2:H$228,6,FALSE)=Table14[[#This Row],[Business Definition (To go into comments and into Meta Data Hub)]]</calculatedColumnFormula>
    </tableColumn>
    <tableColumn id="25" xr3:uid="{6BAE79B3-A024-4315-BEE2-A7471144521F}" name="On View" dataDxfId="64">
      <calculatedColumnFormula>VLOOKUP((UPPER(SUBSTITUTE(A13," ","_"))),'[2]Consumer View'!A$2:I$329,1,FALSE)</calculatedColumnFormula>
    </tableColumn>
    <tableColumn id="16" xr3:uid="{BCE4A29A-87A7-42F0-BAA1-643FC8748AFE}" name="Source Schema " dataDxfId="63"/>
    <tableColumn id="17" xr3:uid="{522E8D64-BFA7-44C8-890A-55680BF4A93B}" name=" Source Table" dataDxfId="62"/>
    <tableColumn id="18" xr3:uid="{48095F27-E439-403C-B9DD-F1D535B55F76}" name="Source Attribute Name " dataDxfId="61"/>
    <tableColumn id="19" xr3:uid="{FFA2F272-9BCC-446F-BCB1-375CE58FEB87}" name=" Data Type" dataDxfId="60"/>
    <tableColumn id="20" xr3:uid="{8E332603-58BE-4E55-BCAE-96854718B756}" name="Nullable?" dataDxfId="59"/>
    <tableColumn id="21" xr3:uid="{7207E48F-B8DB-4BBE-AF2A-239000FE0612}" name="Transformation /Business Rules /Join Conditions " dataDxfId="58"/>
    <tableColumn id="22" xr3:uid="{3BCBBF0D-FBE7-4FC0-BE8B-C70F158A2A29}" name=" Notes / Comments" dataDxfId="57"/>
    <tableColumn id="23" xr3:uid="{929463D9-C624-4048-A0D3-69EB050E4D55}" name="Indicator" dataDxfId="56"/>
    <tableColumn id="30" xr3:uid="{F94F17D7-1F40-4757-8C63-BA45B2EBF088}" name="Domain" dataDxfId="55"/>
    <tableColumn id="33" xr3:uid="{3A50D9E0-0581-4169-9CA2-E87B891B26DE}" name="Cross-Domain" dataDxfId="54"/>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BB9725-82C9-4B73-B5E8-ED63B8C56375}" name="Table1" displayName="Table1" ref="A12:AH393" totalsRowShown="0" dataDxfId="52" headerRowBorderDxfId="53" tableBorderDxfId="51">
  <autoFilter ref="A12:AH393" xr:uid="{0376D823-809B-4C7A-83E9-7F2BA7B3AFD9}">
    <filterColumn colId="11">
      <filters>
        <filter val="2674782"/>
      </filters>
    </filterColumn>
  </autoFilter>
  <tableColumns count="34">
    <tableColumn id="1" xr3:uid="{AFBAE7C5-5C6C-4509-B816-1FF340E94D2D}" name="Logical Name of Attribute _x000a_(Name of column in View without underscores)" dataDxfId="50"/>
    <tableColumn id="2" xr3:uid="{5FD7C3B2-2C27-4F69-873E-A143BF013C9A}" name="Physical Name of Attribute (Name of column in Table)_x000a_Supplied by DA Team" dataDxfId="49"/>
    <tableColumn id="34" xr3:uid="{E82E5AB7-88E0-4906-9C81-6DAE55204E58}" name="Semantic Column Name" dataDxfId="48"/>
    <tableColumn id="3" xr3:uid="{4C0CDB08-7A64-461A-96B7-5496241CC9FC}" name="Data type in Oracle_x000a_VARCHAR2(n), DATE, NUMBER(m,n), TIMETSTAMP(6)" dataDxfId="47"/>
    <tableColumn id="4" xr3:uid="{8B21622D-952D-4F3C-9D86-C0C14B8328EA}" name="Nullable in Table and in Oracle View_x000a_NULL, NOT NULL" dataDxfId="46"/>
    <tableColumn id="5" xr3:uid="{E3030468-7B27-4BAD-AC22-8CE6B2D3DC0B}" name="Data type in Redshift" dataDxfId="45"/>
    <tableColumn id="6" xr3:uid="{5FB5198D-CF89-435A-853B-13929E308454}" name="Nullable in RedshiftTable" dataDxfId="44"/>
    <tableColumn id="7" xr3:uid="{3FB491B5-A149-4768-AC6D-9A356842C592}" name="Business Definition (To go into comments and into Meta Data Hub)" dataDxfId="43"/>
    <tableColumn id="11" xr3:uid="{E80E45D3-B08B-4865-A986-C2A27DF7D67B}" name="Sample data values" dataDxfId="42"/>
    <tableColumn id="12" xr3:uid="{F4990E35-6758-4EDB-A203-3B0834FDB63B}" name="Action on Attribute_x000a_Add,Update,Remove, Blank" dataDxfId="41"/>
    <tableColumn id="13" xr3:uid="{B6CE44CD-1015-4C3A-9ADA-3E2EBB5EAE0D}" name="Action Version" dataDxfId="40"/>
    <tableColumn id="32" xr3:uid="{D59FC2F0-901A-40C7-9834-BE9F37D0963E}" name="Table PBI Number" dataDxfId="39"/>
    <tableColumn id="31" xr3:uid="{57B27EE5-BD46-44B3-B662-E99E7700EA59}" name="List Functional PBI" dataDxfId="38"/>
    <tableColumn id="29" xr3:uid="{0FF79B17-7074-48D9-841D-04EEEC475680}" name="Include  in View._x000a_Populated with N only when not to be shown in the view." dataDxfId="37"/>
    <tableColumn id="14" xr3:uid="{CB08D6FE-45E7-493B-AC32-810BF7EE18D6}" name="Is on Data Model_x000a_DA responsibility" dataDxfId="36">
      <calculatedColumnFormula>VLOOKUP(A13,[1]Model!C$2:J$559,2,FALSE)=B13</calculatedColumnFormula>
    </tableColumn>
    <tableColumn id="15" xr3:uid="{4B646999-2110-4B30-97CF-C7B5FD6CDD3A}" name="Model Data Type match TRUE/FALSE_x000a_DA Responsibilty" dataDxfId="35">
      <calculatedColumnFormula>VLOOKUP(A13,Model!C$2:G$208,5,FALSE)=D13</calculatedColumnFormula>
    </tableColumn>
    <tableColumn id="27" xr3:uid="{632949E9-2132-4B4A-AF58-2243C235B639}" name="Column2" dataDxfId="34">
      <calculatedColumnFormula>VLOOKUP(A13,[2]Model!C$2:L$228,8,FALSE)</calculatedColumnFormula>
    </tableColumn>
    <tableColumn id="26" xr3:uid="{ACA97E3D-1C45-4DC8-B871-F60A601356CC}" name="Model Defs. Match" dataDxfId="33">
      <calculatedColumnFormula>VLOOKUP(A13,[2]Model!C$2:G$228,3,FALSE)=[3]!Table14[[#This Row],[Business Definition (To go into comments and into Meta Data Hub)]]</calculatedColumnFormula>
    </tableColumn>
    <tableColumn id="28" xr3:uid="{FDE075CB-18C2-4842-A38E-7EE3CD9C2C4C}" name="Model Nullable Match" dataDxfId="32">
      <calculatedColumnFormula>IF([3]!Table14[[#This Row],[Nullable in Table and in Oracle View
NULL, NOT NULL]]="No","NOT NULL","NULL")=VLOOKUP(A13,[2]Model!C$2:I$228,6,FALSE)</calculatedColumnFormula>
    </tableColumn>
    <tableColumn id="9" xr3:uid="{1D315FA8-2243-4895-9064-16A1845335E0}" name="On Table" dataDxfId="31">
      <calculatedColumnFormula>VLOOKUP(B13,[2]Table!A$2:F$415,1,FALSE)=[3]!Table14[[#This Row],[Physical Name of Attribute (Name of column in Table)
Supplied by DA Team]]</calculatedColumnFormula>
    </tableColumn>
    <tableColumn id="24" xr3:uid="{BEEA46E1-7205-4E54-A576-2FBF19D840BF}" name="table data type" dataDxfId="30">
      <calculatedColumnFormula>VLOOKUP(B13,Table!A$2:F$319,2,FALSE)=Table1[[#This Row],[Data type in Oracle
VARCHAR2(n), DATE, NUMBER(m,n), TIMETSTAMP(6)]]</calculatedColumnFormula>
    </tableColumn>
    <tableColumn id="10" xr3:uid="{33627217-C8E8-4432-BA5C-10EB68B457AA}" name="table Nullable" dataDxfId="29">
      <calculatedColumnFormula>VLOOKUP(B13,Table!A$2:F$231,3,FALSE)=Table1[[#This Row],[Nullable in Table and in Oracle View
NULL, NOT NULL]]</calculatedColumnFormula>
    </tableColumn>
    <tableColumn id="8" xr3:uid="{CC47B839-E869-4943-9ED7-13B5FDA62CF4}" name="table defintions" dataDxfId="28">
      <calculatedColumnFormula>VLOOKUP(B13,Table!A$2:H$228,6,FALSE)=Table1[[#This Row],[Business Definition (To go into comments and into Meta Data Hub)]]</calculatedColumnFormula>
    </tableColumn>
    <tableColumn id="25" xr3:uid="{803BD941-1A77-4F56-9E9C-4BF6A56A40DC}" name="On View" dataDxfId="27">
      <calculatedColumnFormula>VLOOKUP((UPPER(SUBSTITUTE(A13," ","_"))),'[2]Consumer View'!A$2:I$329,1,FALSE)</calculatedColumnFormula>
    </tableColumn>
    <tableColumn id="16" xr3:uid="{EDB30970-8335-44B0-B118-BCA757D4F3AC}" name="Source Schema " dataDxfId="26"/>
    <tableColumn id="17" xr3:uid="{5A222048-694E-4FA2-B77A-9F337CA7F220}" name=" Source Table" dataDxfId="25"/>
    <tableColumn id="18" xr3:uid="{B1736AEB-230A-4730-8ACB-C90558588ED3}" name="Source Attribute Name " dataDxfId="24"/>
    <tableColumn id="19" xr3:uid="{C048B65B-B6C4-4A74-ABD3-7455B492D994}" name=" Data Type" dataDxfId="23"/>
    <tableColumn id="20" xr3:uid="{762AB7AE-B273-47C5-9E66-DB7C930F1385}" name="Nullable?" dataDxfId="22"/>
    <tableColumn id="21" xr3:uid="{46601832-EBFB-43E4-82F3-572198BF83C0}" name="Transformation /Business Rules /Join Conditions " dataDxfId="21"/>
    <tableColumn id="22" xr3:uid="{0836CC19-7F9B-4363-9DEA-9C38038437C8}" name=" Notes / Comments" dataDxfId="20"/>
    <tableColumn id="23" xr3:uid="{4DD5ED65-750A-4142-B16F-C8B2FF3BC1CD}" name="Indicator" dataDxfId="19"/>
    <tableColumn id="30" xr3:uid="{7C454A5E-34BE-4C8B-B7BC-919018044966}" name="Domain" dataDxfId="18"/>
    <tableColumn id="33" xr3:uid="{E388552D-EC00-4E1A-9179-88C56110BEEE}" name="Cross-Domain" dataDxfId="17"/>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6B957E-C824-465B-94D8-1C14A2AD8594}" name="Table2" displayName="Table2" ref="A7:H159" totalsRowShown="0" dataDxfId="16">
  <autoFilter ref="A7:H159" xr:uid="{246B957E-C824-465B-94D8-1C14A2AD8594}"/>
  <tableColumns count="8">
    <tableColumn id="1" xr3:uid="{D3756C0C-ED44-4E09-8107-D926322DB1BC}" name="Attribute Name" dataDxfId="15">
      <calculatedColumnFormula>PROPER(SUBSTITUTE(Table2[[#This Row],[Target Column]], "_", " "))</calculatedColumnFormula>
    </tableColumn>
    <tableColumn id="7" xr3:uid="{AFC32AFB-FD60-4B4A-9976-2C44B759085F}" name="Target Schema" dataDxfId="14"/>
    <tableColumn id="6" xr3:uid="{E125EDA1-42AF-4ACC-917C-5981BA34A3EF}" name="Target View" dataDxfId="13"/>
    <tableColumn id="2" xr3:uid="{57328234-56E0-47E9-A6C9-E2DEBCA0694D}" name="Target Column" dataDxfId="12"/>
    <tableColumn id="3" xr3:uid="{B2C855F3-90D0-480B-ACAA-094CA78BFE63}" name="Source Schema" dataDxfId="11"/>
    <tableColumn id="4" xr3:uid="{893C53D1-5672-4CC7-B663-2DC3AF37A971}" name="Source Table" dataDxfId="10"/>
    <tableColumn id="8" xr3:uid="{0CB9E201-1DB4-4453-8F44-A878CF8A5FE5}" name="Source Column" dataDxfId="9"/>
    <tableColumn id="5" xr3:uid="{8BB639E9-D14A-4F8A-B138-5D81C7341E67}" name="Comment" dataDxfId="8"/>
  </tableColumns>
  <tableStyleInfo name="Table Style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2" dT="2024-02-27T16:05:28.79" personId="{00000000-0000-0000-0000-000000000000}" id="{6497B484-6926-472E-9BC9-97068275539D}">
    <text>No spaces or any other format and No BYTE or CHAR please
Enter data type exactly as listed here</text>
  </threadedComment>
  <threadedComment ref="H12" dT="2024-02-27T16:25:48.91" personId="{00000000-0000-0000-0000-000000000000}" id="{68195CBA-92F4-457F-9BDA-497D68EE9EA3}">
    <text>No "&amp;" in Business Definition</text>
  </threadedComment>
  <threadedComment ref="A13" dT="2024-04-18T09:04:15.84" personId="{00000000-0000-0000-0000-000000000000}" id="{965B1EA1-1389-4B45-BE9F-0B70A32AF282}">
    <text>Converted Cash/Security level to single field</text>
  </threadedComment>
  <threadedComment ref="A41" dT="2024-03-28T12:44:48.45" personId="{00000000-0000-0000-0000-000000000000}" id="{D51BFBE4-FF70-436A-B861-B9981111013F}">
    <text>Adding Reconciliation in name based on input from Olga. Inform Anand.</text>
  </threadedComment>
  <threadedComment ref="A50" dT="2024-04-04T11:52:17.99" personId="{00000000-0000-0000-0000-000000000000}" id="{EBE1A7BB-1275-48FC-8B03-03C6A9F4085E}">
    <text>Added after Anand feedback.</text>
  </threadedComment>
  <threadedComment ref="A61" dT="2024-03-27T09:12:41.68" personId="{00000000-0000-0000-0000-000000000000}" id="{68D1D854-D1CD-433A-8F80-B61740971531}">
    <text>These 2 columns marked as Remove</text>
  </threadedComment>
  <threadedComment ref="A69" dT="2024-03-14T11:58:01.22" personId="{00000000-0000-0000-0000-000000000000}" id="{B5703918-3A5E-40BB-A360-C6E779551C94}">
    <text>Newly added column inform Anand</text>
  </threadedComment>
  <threadedComment ref="A72" dT="2024-03-14T11:59:53.75" personId="{00000000-0000-0000-0000-000000000000}" id="{E0525BB5-C224-4C69-BB99-8CD1A85B435C}">
    <text>Newly added inform Anand</text>
  </threadedComment>
  <threadedComment ref="A74" dT="2024-03-28T13:31:15.80" personId="{00000000-0000-0000-0000-000000000000}" id="{EECD0579-9C7A-44E2-B31B-44B6559C7D87}">
    <text>Added this missed field. Inform Anand</text>
  </threadedComment>
  <threadedComment ref="A146" dT="2024-03-15T09:54:05.73" personId="{00000000-0000-0000-0000-000000000000}" id="{E6EB8F68-69B3-4ED2-9188-368CF145405B}">
    <text xml:space="preserve">Inform Anand about addition of this missed field. </text>
  </threadedComment>
  <threadedComment ref="A152" dT="2024-03-14T11:58:01.22" personId="{00000000-0000-0000-0000-000000000000}" id="{AA6FB9AF-B0D5-438A-8DD1-E7659533E684}">
    <text>Newly added column inform Anand</text>
  </threadedComment>
  <threadedComment ref="A155" dT="2024-03-14T11:59:53.75" personId="{00000000-0000-0000-0000-000000000000}" id="{2253C0BA-5838-45C5-83A8-0C50A22324FB}">
    <text>Newly added inform Anand</text>
  </threadedComment>
  <threadedComment ref="A196" dT="2024-03-20T18:53:51.75" personId="{00000000-0000-0000-0000-000000000000}" id="{20C6E180-4FF6-4283-BC10-9714770F389E}">
    <text>Was Target transaction Id</text>
  </threadedComment>
</ThreadedComments>
</file>

<file path=xl/threadedComments/threadedComment2.xml><?xml version="1.0" encoding="utf-8"?>
<ThreadedComments xmlns="http://schemas.microsoft.com/office/spreadsheetml/2018/threadedcomments" xmlns:x="http://schemas.openxmlformats.org/spreadsheetml/2006/main">
  <threadedComment ref="D12" dT="2024-02-27T16:05:28.79" personId="{00000000-0000-0000-0000-000000000000}" id="{C2396F67-93B7-4E4C-8265-94E65090F749}">
    <text>No spaces or any other format and No BYTE or CHAR please
Enter data type exactly as listed here</text>
  </threadedComment>
  <threadedComment ref="H12" dT="2024-02-27T16:25:48.91" personId="{00000000-0000-0000-0000-000000000000}" id="{ADCB8BFF-A2B1-4A6C-A6BC-9373677838DC}">
    <text>No "&amp;" in Business Definition</text>
  </threadedComment>
  <threadedComment ref="A13" dT="2024-04-18T09:04:15.84" personId="{00000000-0000-0000-0000-000000000000}" id="{0390C947-D489-402A-872F-0731687AD7F6}">
    <text>Converted Cash/Security level to single field</text>
  </threadedComment>
  <threadedComment ref="A41" dT="2024-03-28T12:44:48.45" personId="{00000000-0000-0000-0000-000000000000}" id="{73BC9F5F-CE19-4885-907B-1CEA69581FDC}">
    <text>Adding Reconciliation in name based on input from Olga. Inform Anand.</text>
  </threadedComment>
  <threadedComment ref="A50" dT="2024-04-04T11:52:17.99" personId="{00000000-0000-0000-0000-000000000000}" id="{466FB6E8-085B-4E79-A4DC-468154EB186B}">
    <text>Added after Anand feedback.</text>
  </threadedComment>
  <threadedComment ref="A61" dT="2024-03-27T09:12:41.68" personId="{00000000-0000-0000-0000-000000000000}" id="{BAB8B794-C104-4292-AC47-5BB3DC8800E8}">
    <text>These 2 columns marked as Remove</text>
  </threadedComment>
  <threadedComment ref="A69" dT="2024-03-14T11:58:01.22" personId="{00000000-0000-0000-0000-000000000000}" id="{76933C19-1467-4DE4-A0F2-AA038A87ECBC}">
    <text>Newly added column inform Anand</text>
  </threadedComment>
  <threadedComment ref="A72" dT="2024-03-14T11:59:53.75" personId="{00000000-0000-0000-0000-000000000000}" id="{2FCB3D18-6403-487C-B977-889FB35659E3}">
    <text>Newly added inform Anand</text>
  </threadedComment>
  <threadedComment ref="A74" dT="2024-03-28T13:31:15.80" personId="{00000000-0000-0000-0000-000000000000}" id="{AB001EEB-9646-4159-9ECE-DAEAFCFBA06B}">
    <text>Added this missed field. Inform Anand</text>
  </threadedComment>
  <threadedComment ref="A146" dT="2024-03-15T09:54:05.73" personId="{00000000-0000-0000-0000-000000000000}" id="{A881CFCC-E2A7-4763-B090-B320B22733B8}">
    <text xml:space="preserve">Inform Anand about addition of this missed field. </text>
  </threadedComment>
  <threadedComment ref="A152" dT="2024-03-14T11:58:01.22" personId="{00000000-0000-0000-0000-000000000000}" id="{174B95CD-9234-41AC-A2B4-5541E19E79CA}">
    <text>Newly added column inform Anand</text>
  </threadedComment>
  <threadedComment ref="A155" dT="2024-03-14T11:59:53.75" personId="{00000000-0000-0000-0000-000000000000}" id="{EFFCFA61-57FC-4968-A79D-A3A9B7FB065A}">
    <text>Newly added inform Anand</text>
  </threadedComment>
  <threadedComment ref="A196" dT="2024-03-20T18:53:51.75" personId="{00000000-0000-0000-0000-000000000000}" id="{0AB0E7B9-CDAC-4521-B872-FFA086BCFB66}">
    <text>Was Target transaction Id</text>
  </threadedComment>
  <threadedComment ref="A221" dT="2024-03-27T09:20:48.85" personId="{00000000-0000-0000-0000-000000000000}" id="{A18A0895-2D66-4893-874A-3D9399734FDD}">
    <text>Removal of existing EOD Dim ids in table</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3-05T16:31:46.75" personId="{00000000-0000-0000-0000-000000000000}" id="{1C1F0048-3A68-4707-A15E-0262AFA8A7A0}">
    <text>Filter out all except #N/A</text>
  </threadedComment>
  <threadedComment ref="R1" dT="2024-03-05T16:31:22.29" personId="{00000000-0000-0000-0000-000000000000}" id="{FCA9442A-81C8-4B24-ACE2-B5AD79E44A24}">
    <text xml:space="preserve">Copy the filtered in rows to notepad, remove last comma(,) and add );
</text>
  </threadedComment>
</ThreadedComments>
</file>

<file path=xl/threadedComments/threadedComment4.xml><?xml version="1.0" encoding="utf-8"?>
<ThreadedComments xmlns="http://schemas.microsoft.com/office/spreadsheetml/2018/threadedcomments" xmlns:x="http://schemas.openxmlformats.org/spreadsheetml/2006/main">
  <threadedComment ref="C1" dT="2024-02-27T16:05:28.79" personId="{00000000-0000-0000-0000-000000000000}" id="{EF5554DB-A7B7-49BA-89CE-7A909EE44673}">
    <text>No spaces or any other format and No BYTE or CHAR please
Enter data type exactly as listed here</text>
  </threadedComment>
  <threadedComment ref="G1" dT="2024-02-27T16:25:48.91" personId="{00000000-0000-0000-0000-000000000000}" id="{8B2DAAFA-943C-4A97-81FD-7596EA631490}">
    <text>No "&amp;" in Business Definition</text>
  </threadedComment>
  <threadedComment ref="AF1" dT="2024-03-05T16:31:22.29" personId="{00000000-0000-0000-0000-000000000000}" id="{52AC08DD-B1DC-46FC-8F1B-55C935DE02DB}">
    <text xml:space="preserve">Copy the filtered in rows to notepad, remove last comma(,) and add );
</text>
  </threadedComment>
  <threadedComment ref="A12" dT="2024-03-27T09:12:41.68" personId="{00000000-0000-0000-0000-000000000000}" id="{8996B60A-F164-41CA-AFA3-B3349A529D14}">
    <text>These 2 columns marked as Remove</text>
  </threadedComment>
  <threadedComment ref="A16" dT="2024-04-04T11:52:17.99" personId="{00000000-0000-0000-0000-000000000000}" id="{DC34B04B-2A13-4090-BD02-19016CCF1DDD}">
    <text>Added after Anand feedback.</text>
  </threadedComment>
  <threadedComment ref="A28" dT="2024-03-28T13:31:15.80" personId="{00000000-0000-0000-0000-000000000000}" id="{EE076F57-4F30-4D84-A355-29E56BD33F38}">
    <text>Added this missed field. Inform Anand</text>
  </threadedComment>
  <threadedComment ref="AF39" dT="2024-03-05T16:31:22.29" personId="{00000000-0000-0000-0000-000000000000}" id="{BFCC4E34-4998-4E5B-9C66-B8AAB2DC88B3}">
    <text xml:space="preserve">Copy the filtered in rows to notepad, remove last comma(,) and add );
</text>
  </threadedComment>
  <threadedComment ref="A45" dT="2024-03-14T11:58:01.22" personId="{00000000-0000-0000-0000-000000000000}" id="{1C464CD8-3BBA-46A8-8C24-52B12AC493BA}">
    <text>Newly added column inform Anand</text>
  </threadedComment>
  <threadedComment ref="A46" dT="2024-03-14T11:59:53.75" personId="{00000000-0000-0000-0000-000000000000}" id="{CFCBA744-1F7D-4880-A7BE-0A71053CABDC}">
    <text>Newly added inform Anand</text>
  </threadedComment>
  <threadedComment ref="A59" dT="2024-03-27T09:20:48.85" personId="{00000000-0000-0000-0000-000000000000}" id="{1A5E8085-A9D7-4CFC-B8AF-003DDACC47D4}">
    <text>Removal of existing EOD Dim ids in table</text>
  </threadedComment>
  <threadedComment ref="AF76" dT="2024-03-05T16:31:22.29" personId="{00000000-0000-0000-0000-000000000000}" id="{FAF9233C-3064-4BF8-807A-B184CE5C23F7}">
    <text xml:space="preserve">Copy the filtered in rows to notepad, remove last comma(,) and add );
</text>
  </threadedComment>
  <threadedComment ref="A129" dT="2024-03-15T09:54:05.73" personId="{00000000-0000-0000-0000-000000000000}" id="{F613C725-DB60-4EC2-8D11-8B90C55EE7AA}">
    <text xml:space="preserve">Inform Anand about addition of this missed field. </text>
  </threadedComment>
  <threadedComment ref="A152" dT="2024-03-14T11:58:01.22" personId="{00000000-0000-0000-0000-000000000000}" id="{AC5C20FE-7230-49EF-9EFA-9B7FF06E4952}">
    <text>Newly added column inform Anand</text>
  </threadedComment>
  <threadedComment ref="A153" dT="2024-03-14T11:59:53.75" personId="{00000000-0000-0000-0000-000000000000}" id="{5300CF45-9C8B-4B22-B1A9-038B789DCDB4}">
    <text>Newly added inform Anand</text>
  </threadedComment>
  <threadedComment ref="A162" dT="2024-04-18T09:04:15.84" personId="{00000000-0000-0000-0000-000000000000}" id="{58654DE1-D543-470A-AEC5-FFD9E37CCAB8}">
    <text>Converted Cash/Security level to single field</text>
  </threadedComment>
  <threadedComment ref="A193" dT="2024-03-20T18:53:51.75" personId="{00000000-0000-0000-0000-000000000000}" id="{979A3476-29E6-42EE-A926-6D982B03E156}">
    <text>Was Target transaction Id</text>
  </threadedComment>
  <threadedComment ref="A203" dT="2024-03-28T12:44:48.45" personId="{00000000-0000-0000-0000-000000000000}" id="{FDF715AD-895F-4537-B592-C515DE693FD7}">
    <text>Adding Reconciliation in name based on input from Olga. Inform Anand.</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D98F-BD6F-4A35-85AA-948B2307B1ED}">
  <dimension ref="A1:AH385"/>
  <sheetViews>
    <sheetView tabSelected="1" zoomScale="66" zoomScaleNormal="66" workbookViewId="0">
      <pane xSplit="2" ySplit="12" topLeftCell="C369" activePane="bottomRight" state="frozen"/>
      <selection pane="topRight" activeCell="C1" sqref="C1"/>
      <selection pane="bottomLeft" activeCell="A11" sqref="A11"/>
      <selection pane="bottomRight" activeCell="Z373" sqref="Z373"/>
    </sheetView>
  </sheetViews>
  <sheetFormatPr defaultRowHeight="14.4"/>
  <cols>
    <col min="1" max="1" width="57.33203125" bestFit="1" customWidth="1"/>
    <col min="2" max="2" width="39.109375" customWidth="1"/>
    <col min="3" max="3" width="48.5546875" customWidth="1"/>
    <col min="4" max="4" width="31.109375" customWidth="1"/>
    <col min="5" max="5" width="16.5546875" bestFit="1" customWidth="1"/>
    <col min="6" max="6" width="28.88671875" bestFit="1" customWidth="1"/>
    <col min="7" max="7" width="7.6640625" hidden="1" customWidth="1"/>
    <col min="8" max="8" width="95.6640625" hidden="1" customWidth="1"/>
    <col min="9" max="9" width="7.5546875" hidden="1" customWidth="1"/>
    <col min="10" max="10" width="11.88671875" hidden="1" customWidth="1"/>
    <col min="11" max="11" width="8" hidden="1" customWidth="1"/>
    <col min="12" max="12" width="11.6640625" customWidth="1"/>
    <col min="13" max="14" width="13.44140625" hidden="1" customWidth="1"/>
    <col min="15" max="15" width="20.88671875" hidden="1" customWidth="1"/>
    <col min="16" max="18" width="10.6640625" hidden="1" customWidth="1"/>
    <col min="19" max="19" width="7.6640625" hidden="1" customWidth="1"/>
    <col min="20" max="20" width="8.6640625" hidden="1" customWidth="1"/>
    <col min="21" max="23" width="10.6640625" hidden="1" customWidth="1"/>
    <col min="24" max="24" width="61.33203125" hidden="1" customWidth="1"/>
    <col min="25" max="25" width="24.33203125" customWidth="1"/>
    <col min="26" max="26" width="40.6640625" bestFit="1" customWidth="1"/>
    <col min="27" max="27" width="34.109375" customWidth="1"/>
    <col min="28" max="28" width="15.5546875" customWidth="1"/>
    <col min="29" max="29" width="14.44140625" customWidth="1"/>
    <col min="30" max="30" width="65.44140625" customWidth="1"/>
    <col min="31" max="31" width="42.44140625" style="2" customWidth="1"/>
    <col min="32" max="32" width="21.88671875" customWidth="1"/>
  </cols>
  <sheetData>
    <row r="1" spans="1:34">
      <c r="A1" s="122" t="s">
        <v>0</v>
      </c>
      <c r="B1" s="127"/>
      <c r="C1" s="3"/>
      <c r="D1" s="3"/>
      <c r="E1" s="3"/>
      <c r="F1" s="3"/>
      <c r="G1" s="3"/>
      <c r="H1" s="3"/>
      <c r="I1" s="138" t="s">
        <v>2</v>
      </c>
      <c r="J1" s="138"/>
      <c r="K1" s="138"/>
      <c r="L1" s="138"/>
      <c r="M1" s="138"/>
      <c r="N1" s="138"/>
      <c r="O1" s="138"/>
      <c r="P1" s="138"/>
      <c r="Q1" s="138"/>
      <c r="R1" s="138"/>
      <c r="S1" s="138"/>
      <c r="T1" s="138"/>
      <c r="U1" s="138"/>
      <c r="V1" s="138"/>
      <c r="W1" s="138"/>
      <c r="X1" s="138"/>
      <c r="Y1" s="138"/>
      <c r="Z1" s="138"/>
      <c r="AA1" s="138"/>
      <c r="AB1" s="138"/>
      <c r="AC1" s="138"/>
      <c r="AD1" s="138"/>
      <c r="AE1" s="6"/>
    </row>
    <row r="2" spans="1:34">
      <c r="A2" s="122" t="s">
        <v>3</v>
      </c>
      <c r="B2" s="127" t="s">
        <v>2698</v>
      </c>
      <c r="C2" s="3"/>
      <c r="D2" s="3"/>
      <c r="E2" s="3"/>
      <c r="F2" s="3"/>
      <c r="G2" s="3"/>
      <c r="H2" s="3"/>
      <c r="I2" s="138"/>
      <c r="J2" s="138"/>
      <c r="K2" s="138"/>
      <c r="L2" s="138"/>
      <c r="M2" s="138"/>
      <c r="N2" s="138"/>
      <c r="O2" s="138"/>
      <c r="P2" s="138"/>
      <c r="Q2" s="138"/>
      <c r="R2" s="138"/>
      <c r="S2" s="138"/>
      <c r="T2" s="138"/>
      <c r="U2" s="138"/>
      <c r="V2" s="138"/>
      <c r="W2" s="138"/>
      <c r="X2" s="138"/>
      <c r="Y2" s="138"/>
      <c r="Z2" s="138"/>
      <c r="AA2" s="138"/>
      <c r="AB2" s="138"/>
      <c r="AC2" s="138"/>
      <c r="AD2" s="138"/>
      <c r="AE2" s="6"/>
    </row>
    <row r="3" spans="1:34">
      <c r="A3" s="123" t="s">
        <v>5</v>
      </c>
      <c r="B3" s="128"/>
      <c r="C3" s="3"/>
      <c r="D3" s="3"/>
      <c r="E3" s="3"/>
      <c r="F3" s="3"/>
      <c r="G3" s="3"/>
      <c r="H3" s="3"/>
      <c r="I3" s="138"/>
      <c r="J3" s="138"/>
      <c r="K3" s="138"/>
      <c r="L3" s="138"/>
      <c r="M3" s="138"/>
      <c r="N3" s="138"/>
      <c r="O3" s="138"/>
      <c r="P3" s="138"/>
      <c r="Q3" s="138"/>
      <c r="R3" s="138"/>
      <c r="S3" s="138"/>
      <c r="T3" s="138"/>
      <c r="U3" s="138"/>
      <c r="V3" s="138"/>
      <c r="W3" s="138"/>
      <c r="X3" s="138"/>
      <c r="Y3" s="138"/>
      <c r="Z3" s="138"/>
      <c r="AA3" s="138"/>
      <c r="AB3" s="138"/>
      <c r="AC3" s="138"/>
      <c r="AD3" s="138"/>
      <c r="AE3" s="6"/>
    </row>
    <row r="4" spans="1:34">
      <c r="A4" s="122" t="s">
        <v>7</v>
      </c>
      <c r="B4" s="127" t="s">
        <v>8</v>
      </c>
      <c r="C4" s="3"/>
      <c r="D4" s="3"/>
      <c r="E4" s="3"/>
      <c r="F4" s="3"/>
      <c r="G4" s="3"/>
      <c r="H4" s="3"/>
      <c r="I4" s="138"/>
      <c r="J4" s="138"/>
      <c r="K4" s="138"/>
      <c r="L4" s="138"/>
      <c r="M4" s="138"/>
      <c r="N4" s="138"/>
      <c r="O4" s="138"/>
      <c r="P4" s="138"/>
      <c r="Q4" s="138"/>
      <c r="R4" s="138"/>
      <c r="S4" s="138"/>
      <c r="T4" s="138"/>
      <c r="U4" s="138"/>
      <c r="V4" s="138"/>
      <c r="W4" s="138"/>
      <c r="X4" s="138"/>
      <c r="Y4" s="138"/>
      <c r="Z4" s="138"/>
      <c r="AA4" s="138"/>
      <c r="AB4" s="138"/>
      <c r="AC4" s="138"/>
      <c r="AD4" s="138"/>
      <c r="AE4" s="6"/>
    </row>
    <row r="5" spans="1:34" ht="15" customHeight="1">
      <c r="A5" s="122" t="s">
        <v>9</v>
      </c>
      <c r="B5" s="127" t="s">
        <v>10</v>
      </c>
      <c r="C5" s="3"/>
      <c r="D5" s="3"/>
      <c r="E5" s="3"/>
      <c r="F5" s="3"/>
      <c r="G5" s="3"/>
      <c r="H5" s="3"/>
      <c r="I5" s="129" t="s">
        <v>11</v>
      </c>
      <c r="J5" s="130" t="s">
        <v>11</v>
      </c>
      <c r="K5" s="131" t="s">
        <v>11</v>
      </c>
      <c r="L5" s="132" t="s">
        <v>12</v>
      </c>
      <c r="M5" s="3"/>
      <c r="N5" s="3"/>
      <c r="O5" s="3"/>
      <c r="P5" s="3"/>
      <c r="Q5" s="3"/>
      <c r="R5" s="3"/>
      <c r="S5" s="3"/>
      <c r="T5" s="3"/>
      <c r="U5" s="3"/>
      <c r="V5" s="3"/>
      <c r="W5" s="3"/>
      <c r="X5" s="3"/>
      <c r="Y5" s="3"/>
      <c r="Z5" s="3"/>
      <c r="AA5" s="3"/>
      <c r="AB5" s="3"/>
      <c r="AC5" s="3"/>
      <c r="AD5" s="3"/>
      <c r="AE5" s="6"/>
    </row>
    <row r="6" spans="1:34" ht="15" customHeight="1">
      <c r="A6" s="122" t="s">
        <v>13</v>
      </c>
      <c r="B6" s="127" t="s">
        <v>14</v>
      </c>
      <c r="C6" s="3"/>
      <c r="D6" s="3"/>
      <c r="E6" s="3"/>
      <c r="F6" s="3"/>
      <c r="G6" s="3"/>
      <c r="H6" s="3"/>
      <c r="I6" s="3"/>
      <c r="J6" s="3"/>
      <c r="K6" s="3"/>
      <c r="L6" s="3"/>
      <c r="M6" s="3"/>
      <c r="N6" s="3"/>
      <c r="O6" s="3"/>
      <c r="P6" s="3"/>
      <c r="Q6" s="3"/>
      <c r="R6" s="3"/>
      <c r="S6" s="3"/>
      <c r="T6" s="3"/>
      <c r="U6" s="3"/>
      <c r="V6" s="3"/>
      <c r="W6" s="3"/>
      <c r="X6" s="3"/>
      <c r="Y6" s="3"/>
      <c r="Z6" s="3"/>
      <c r="AA6" s="3"/>
      <c r="AB6" s="3"/>
      <c r="AC6" s="3"/>
      <c r="AD6" s="3"/>
      <c r="AE6" s="6"/>
    </row>
    <row r="7" spans="1:34" ht="15" customHeight="1">
      <c r="A7" s="122" t="s">
        <v>15</v>
      </c>
      <c r="B7" s="127" t="s">
        <v>16</v>
      </c>
      <c r="C7" s="3"/>
      <c r="D7" s="3"/>
      <c r="E7" s="3"/>
      <c r="F7" s="3"/>
      <c r="G7" s="3"/>
      <c r="H7" s="3"/>
      <c r="I7" s="3"/>
      <c r="J7" s="3"/>
      <c r="K7" s="3"/>
      <c r="L7" s="3"/>
      <c r="M7" s="3"/>
      <c r="N7" s="3"/>
      <c r="O7" s="3"/>
      <c r="P7" s="3"/>
      <c r="Q7" s="3"/>
      <c r="R7" s="3"/>
      <c r="S7" s="3"/>
      <c r="T7" s="3"/>
      <c r="U7" s="3"/>
      <c r="V7" s="3"/>
      <c r="W7" s="3"/>
      <c r="X7" s="3"/>
      <c r="Y7" s="3"/>
      <c r="Z7" s="3"/>
      <c r="AA7" s="3"/>
      <c r="AB7" s="3"/>
      <c r="AC7" s="3"/>
      <c r="AD7" s="3"/>
      <c r="AE7" s="6"/>
    </row>
    <row r="8" spans="1:34">
      <c r="A8" s="122" t="s">
        <v>17</v>
      </c>
      <c r="B8" s="127"/>
      <c r="C8" s="3"/>
      <c r="D8" s="3"/>
      <c r="E8" s="3"/>
      <c r="F8" s="3"/>
      <c r="G8" s="3"/>
      <c r="H8" s="3"/>
      <c r="I8" s="3"/>
      <c r="J8" s="3"/>
      <c r="K8" s="3"/>
      <c r="L8" s="3"/>
      <c r="M8" s="3"/>
      <c r="N8" s="3"/>
      <c r="O8" s="3"/>
      <c r="P8" s="3"/>
      <c r="Q8" s="3"/>
      <c r="R8" s="3"/>
      <c r="S8" s="3"/>
      <c r="T8" s="3"/>
      <c r="U8" s="3"/>
      <c r="V8" s="3"/>
      <c r="W8" s="3"/>
      <c r="X8" s="3"/>
      <c r="Y8" s="3"/>
      <c r="Z8" s="3"/>
      <c r="AA8" s="3"/>
      <c r="AB8" s="3"/>
      <c r="AC8" s="3"/>
      <c r="AD8" s="3"/>
      <c r="AE8" s="6"/>
    </row>
    <row r="9" spans="1:34">
      <c r="A9" s="124" t="s">
        <v>19</v>
      </c>
      <c r="B9" s="127"/>
      <c r="C9" s="3"/>
      <c r="D9" s="3"/>
      <c r="E9" s="3"/>
      <c r="F9" s="3"/>
      <c r="G9" s="3"/>
      <c r="H9" s="3"/>
      <c r="I9" s="3"/>
      <c r="J9" s="3"/>
      <c r="K9" s="3"/>
      <c r="L9" s="3"/>
      <c r="M9" s="3"/>
      <c r="N9" s="3"/>
      <c r="O9" s="3"/>
      <c r="P9" s="3"/>
      <c r="Q9" s="3"/>
      <c r="R9" s="3"/>
      <c r="S9" s="3"/>
      <c r="T9" s="3"/>
      <c r="U9" s="3"/>
      <c r="V9" s="3"/>
      <c r="W9" s="3"/>
      <c r="X9" s="3"/>
      <c r="Y9" s="3"/>
      <c r="Z9" s="3"/>
      <c r="AA9" s="3"/>
      <c r="AB9" s="3"/>
      <c r="AC9" s="3"/>
      <c r="AD9" s="3"/>
      <c r="AE9" s="6"/>
    </row>
    <row r="10" spans="1:34">
      <c r="A10" s="124" t="s">
        <v>21</v>
      </c>
      <c r="B10" s="125"/>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6"/>
    </row>
    <row r="11" spans="1:34" ht="15" customHeight="1">
      <c r="A11" s="139" t="s">
        <v>22</v>
      </c>
      <c r="B11" s="140"/>
      <c r="C11" s="140"/>
      <c r="D11" s="140"/>
      <c r="E11" s="140"/>
      <c r="F11" s="140"/>
      <c r="G11" s="140"/>
      <c r="H11" s="140"/>
      <c r="I11" s="141"/>
      <c r="J11" s="7"/>
      <c r="K11" s="7"/>
      <c r="L11" s="7"/>
      <c r="M11" s="7"/>
      <c r="N11" s="7"/>
      <c r="O11" s="7"/>
      <c r="P11" s="7"/>
      <c r="Q11" s="7"/>
      <c r="R11" s="7"/>
      <c r="S11" s="7"/>
      <c r="T11" s="7"/>
      <c r="U11" s="7"/>
      <c r="V11" s="7"/>
      <c r="W11" s="7"/>
      <c r="X11" s="7"/>
      <c r="Y11" s="142" t="s">
        <v>23</v>
      </c>
      <c r="Z11" s="143"/>
      <c r="AA11" s="143"/>
      <c r="AB11" s="143"/>
      <c r="AC11" s="144"/>
      <c r="AD11" s="145" t="s">
        <v>24</v>
      </c>
      <c r="AE11" s="146"/>
    </row>
    <row r="12" spans="1:34" s="1" customFormat="1" ht="55.5" customHeight="1">
      <c r="A12" s="35" t="s">
        <v>25</v>
      </c>
      <c r="B12" s="72" t="s">
        <v>26</v>
      </c>
      <c r="C12" s="72" t="s">
        <v>27</v>
      </c>
      <c r="D12" s="35" t="s">
        <v>28</v>
      </c>
      <c r="E12" s="35" t="s">
        <v>29</v>
      </c>
      <c r="F12" s="36" t="s">
        <v>30</v>
      </c>
      <c r="G12" s="35" t="s">
        <v>31</v>
      </c>
      <c r="H12" s="35" t="s">
        <v>32</v>
      </c>
      <c r="I12" s="35" t="s">
        <v>33</v>
      </c>
      <c r="J12" s="35" t="s">
        <v>34</v>
      </c>
      <c r="K12" s="35" t="s">
        <v>35</v>
      </c>
      <c r="L12" s="35" t="s">
        <v>36</v>
      </c>
      <c r="M12" s="96" t="s">
        <v>37</v>
      </c>
      <c r="N12" s="35" t="s">
        <v>38</v>
      </c>
      <c r="O12" s="72" t="s">
        <v>39</v>
      </c>
      <c r="P12" s="72" t="s">
        <v>40</v>
      </c>
      <c r="Q12" s="72" t="s">
        <v>41</v>
      </c>
      <c r="R12" s="72" t="s">
        <v>42</v>
      </c>
      <c r="S12" s="72" t="s">
        <v>43</v>
      </c>
      <c r="T12" s="72" t="s">
        <v>44</v>
      </c>
      <c r="U12" s="72" t="s">
        <v>45</v>
      </c>
      <c r="V12" s="72" t="s">
        <v>46</v>
      </c>
      <c r="W12" s="72" t="s">
        <v>47</v>
      </c>
      <c r="X12" s="72" t="s">
        <v>48</v>
      </c>
      <c r="Y12" s="37" t="s">
        <v>49</v>
      </c>
      <c r="Z12" s="38" t="s">
        <v>50</v>
      </c>
      <c r="AA12" s="39" t="s">
        <v>51</v>
      </c>
      <c r="AB12" s="40" t="s">
        <v>52</v>
      </c>
      <c r="AC12" s="40" t="s">
        <v>53</v>
      </c>
      <c r="AD12" s="133" t="s">
        <v>54</v>
      </c>
      <c r="AE12" s="41" t="s">
        <v>55</v>
      </c>
      <c r="AF12" s="42" t="s">
        <v>56</v>
      </c>
      <c r="AG12" s="113" t="s">
        <v>57</v>
      </c>
      <c r="AH12" s="114" t="s">
        <v>58</v>
      </c>
    </row>
    <row r="13" spans="1:34" ht="27" customHeight="1">
      <c r="A13" s="51" t="s">
        <v>59</v>
      </c>
      <c r="B13" s="18" t="s">
        <v>60</v>
      </c>
      <c r="C13" s="18" t="s">
        <v>61</v>
      </c>
      <c r="D13" s="18" t="s">
        <v>62</v>
      </c>
      <c r="E13" s="18" t="s">
        <v>63</v>
      </c>
      <c r="F13" s="18" t="s">
        <v>64</v>
      </c>
      <c r="G13" s="45" t="s">
        <v>63</v>
      </c>
      <c r="H13" s="46" t="s">
        <v>65</v>
      </c>
      <c r="I13" s="18" t="s">
        <v>66</v>
      </c>
      <c r="J13" s="18" t="s">
        <v>67</v>
      </c>
      <c r="K13" s="18">
        <v>3</v>
      </c>
      <c r="L13" s="18"/>
      <c r="M13" s="18"/>
      <c r="N13" s="18"/>
      <c r="O13" s="18" t="b">
        <f>VLOOKUP(A13,[1]Model!C$2:J$559,2,FALSE)=B13</f>
        <v>1</v>
      </c>
      <c r="P13" s="18" t="e">
        <f>VLOOKUP(A13,Model!C$2:G$228,5,FALSE)=D13</f>
        <v>#N/A</v>
      </c>
      <c r="Q13" s="18">
        <f>VLOOKUP(A13,[2]Model!C$2:L$228,8,FALSE)</f>
        <v>179</v>
      </c>
      <c r="R13" s="18" t="e">
        <f>VLOOKUP(A13,[2]Model!C$2:G$228,3,FALSE)=[3]!Table14[[#This Row],[Business Definition (To go into comments and into Meta Data Hub)]]</f>
        <v>#REF!</v>
      </c>
      <c r="S13" s="18" t="e">
        <f>IF([3]!Table14[[#This Row],[Nullable in Table and in Oracle View
NULL, NOT NULL]]="No","NOT NULL","NULL")=VLOOKUP(A13,[2]Model!C$2:I$228,6,FALSE)</f>
        <v>#REF!</v>
      </c>
      <c r="T13" s="18" t="e">
        <f>VLOOKUP(B13,[2]Table!A$2:F$415,1,FALSE)=[3]!Table14[[#This Row],[Physical Name of Attribute (Name of column in Table)
Supplied by DA Team]]</f>
        <v>#REF!</v>
      </c>
      <c r="U13" s="18" t="b">
        <f>VLOOKUP(B13,Table!A$2:F$319,2,FALSE)=Table14[[#This Row],[Data type in Oracle
VARCHAR2(n), DATE, NUMBER(m,n), TIMETSTAMP(6)]]</f>
        <v>0</v>
      </c>
      <c r="V13" s="18" t="b">
        <f>VLOOKUP(B13,Table!A$2:F$231,3,FALSE)=Table14[[#This Row],[Nullable in Table and in Oracle View
NULL, NOT NULL]]</f>
        <v>1</v>
      </c>
      <c r="W13" s="18" t="b">
        <f>VLOOKUP(B13,Table!A$2:H$228,6,FALSE)=Table14[[#This Row],[Business Definition (To go into comments and into Meta Data Hub)]]</f>
        <v>1</v>
      </c>
      <c r="X13" s="55" t="str">
        <f>VLOOKUP((UPPER(SUBSTITUTE(A13," ","_"))),'[2]Consumer View'!A$2:I$329,1,FALSE)</f>
        <v>SHADOW_TRANSACTION_TYPE_CODE</v>
      </c>
      <c r="Y13" s="18" t="s">
        <v>68</v>
      </c>
      <c r="Z13" s="47" t="s">
        <v>69</v>
      </c>
      <c r="AA13" s="18" t="s">
        <v>70</v>
      </c>
      <c r="AB13" s="18"/>
      <c r="AC13" s="18"/>
      <c r="AD13" s="18"/>
      <c r="AE13" s="46"/>
      <c r="AF13" s="18"/>
      <c r="AG13" s="112"/>
      <c r="AH13" s="112" t="s">
        <v>71</v>
      </c>
    </row>
    <row r="14" spans="1:34" ht="27" customHeight="1">
      <c r="A14" s="51" t="s">
        <v>72</v>
      </c>
      <c r="B14" s="18" t="s">
        <v>73</v>
      </c>
      <c r="C14" s="18" t="s">
        <v>74</v>
      </c>
      <c r="D14" s="18" t="s">
        <v>62</v>
      </c>
      <c r="E14" s="18" t="s">
        <v>63</v>
      </c>
      <c r="F14" s="18" t="s">
        <v>64</v>
      </c>
      <c r="G14" s="45" t="s">
        <v>63</v>
      </c>
      <c r="H14" s="46" t="s">
        <v>75</v>
      </c>
      <c r="I14" s="18"/>
      <c r="J14" s="18" t="s">
        <v>67</v>
      </c>
      <c r="K14" s="18">
        <v>3</v>
      </c>
      <c r="L14" s="18"/>
      <c r="M14" s="18"/>
      <c r="N14" s="18"/>
      <c r="O14" s="18" t="b">
        <f>VLOOKUP(A14,[1]Model!C$2:J$559,2,FALSE)=B14</f>
        <v>1</v>
      </c>
      <c r="P14" s="18" t="e">
        <f>VLOOKUP(A14,Model!C$2:G$228,5,FALSE)=D14</f>
        <v>#N/A</v>
      </c>
      <c r="Q14" s="18">
        <f>VLOOKUP(A14,[2]Model!C$2:L$228,8,FALSE)</f>
        <v>177</v>
      </c>
      <c r="R14" s="18" t="e">
        <f>VLOOKUP(A14,[2]Model!C$2:G$228,3,FALSE)=[3]!Table14[[#This Row],[Business Definition (To go into comments and into Meta Data Hub)]]</f>
        <v>#REF!</v>
      </c>
      <c r="S14" s="18" t="e">
        <f>IF([3]!Table14[[#This Row],[Nullable in Table and in Oracle View
NULL, NOT NULL]]="No","NOT NULL","NULL")=VLOOKUP(A14,[2]Model!C$2:I$228,6,FALSE)</f>
        <v>#REF!</v>
      </c>
      <c r="T14" s="18" t="e">
        <f>VLOOKUP(B14,[2]Table!A$2:F$415,1,FALSE)=[3]!Table14[[#This Row],[Physical Name of Attribute (Name of column in Table)
Supplied by DA Team]]</f>
        <v>#REF!</v>
      </c>
      <c r="U14" s="18" t="b">
        <f>VLOOKUP(B14,Table!A$2:F$319,2,FALSE)=Table14[[#This Row],[Data type in Oracle
VARCHAR2(n), DATE, NUMBER(m,n), TIMETSTAMP(6)]]</f>
        <v>0</v>
      </c>
      <c r="V14" s="18" t="b">
        <f>VLOOKUP(B14,Table!A$2:F$231,3,FALSE)=Table14[[#This Row],[Nullable in Table and in Oracle View
NULL, NOT NULL]]</f>
        <v>1</v>
      </c>
      <c r="W14" s="18" t="b">
        <f>VLOOKUP(B14,Table!A$2:H$228,6,FALSE)=Table14[[#This Row],[Business Definition (To go into comments and into Meta Data Hub)]]</f>
        <v>1</v>
      </c>
      <c r="X14" s="18" t="str">
        <f>VLOOKUP((UPPER(SUBSTITUTE(A14," ","_"))),'[2]Consumer View'!A$2:I$329,1,FALSE)</f>
        <v>SHADOW_TRANSACTION_TYPE_NAME</v>
      </c>
      <c r="Y14" s="18" t="s">
        <v>68</v>
      </c>
      <c r="Z14" s="47" t="s">
        <v>76</v>
      </c>
      <c r="AA14" s="18" t="s">
        <v>77</v>
      </c>
      <c r="AB14" s="18"/>
      <c r="AC14" s="18"/>
      <c r="AD14" s="18" t="s">
        <v>78</v>
      </c>
      <c r="AE14" s="46"/>
      <c r="AF14" s="18"/>
      <c r="AG14" s="18"/>
      <c r="AH14" s="18" t="s">
        <v>71</v>
      </c>
    </row>
    <row r="15" spans="1:34" ht="27" customHeight="1">
      <c r="A15" s="51" t="s">
        <v>79</v>
      </c>
      <c r="B15" s="18" t="s">
        <v>80</v>
      </c>
      <c r="C15" s="18" t="s">
        <v>81</v>
      </c>
      <c r="D15" s="18" t="s">
        <v>82</v>
      </c>
      <c r="E15" s="18" t="s">
        <v>63</v>
      </c>
      <c r="F15" s="18" t="s">
        <v>83</v>
      </c>
      <c r="G15" s="45" t="s">
        <v>63</v>
      </c>
      <c r="H15" s="46" t="s">
        <v>84</v>
      </c>
      <c r="I15" s="48" t="s">
        <v>85</v>
      </c>
      <c r="J15" s="49" t="s">
        <v>67</v>
      </c>
      <c r="K15" s="18">
        <v>3</v>
      </c>
      <c r="L15" s="18"/>
      <c r="M15" s="18"/>
      <c r="N15" s="18"/>
      <c r="O15" s="18" t="b">
        <f>VLOOKUP(A15,[1]Model!C$2:J$559,2,FALSE)=B15</f>
        <v>1</v>
      </c>
      <c r="P15" s="18" t="b">
        <f>VLOOKUP(A15,Model!C$2:G$228,5,FALSE)=D15</f>
        <v>1</v>
      </c>
      <c r="Q15" s="18">
        <f>VLOOKUP(A15,[2]Model!C$2:L$228,8,FALSE)</f>
        <v>181</v>
      </c>
      <c r="R15" s="18" t="e">
        <f>VLOOKUP(A15,[2]Model!C$2:G$228,3,FALSE)=[3]!Table14[[#This Row],[Business Definition (To go into comments and into Meta Data Hub)]]</f>
        <v>#REF!</v>
      </c>
      <c r="S15" s="18" t="e">
        <f>IF([3]!Table14[[#This Row],[Nullable in Table and in Oracle View
NULL, NOT NULL]]="No","NOT NULL","NULL")=VLOOKUP(A15,[2]Model!C$2:I$228,6,FALSE)</f>
        <v>#REF!</v>
      </c>
      <c r="T15" s="18" t="e">
        <f>VLOOKUP(B15,[2]Table!A$2:F$415,1,FALSE)=[3]!Table14[[#This Row],[Physical Name of Attribute (Name of column in Table)
Supplied by DA Team]]</f>
        <v>#REF!</v>
      </c>
      <c r="U15" s="18" t="b">
        <f>VLOOKUP(B15,Table!A$2:F$319,2,FALSE)=Table14[[#This Row],[Data type in Oracle
VARCHAR2(n), DATE, NUMBER(m,n), TIMETSTAMP(6)]]</f>
        <v>0</v>
      </c>
      <c r="V15" s="18" t="b">
        <f>VLOOKUP(B15,Table!A$2:F$231,3,FALSE)=Table14[[#This Row],[Nullable in Table and in Oracle View
NULL, NOT NULL]]</f>
        <v>1</v>
      </c>
      <c r="W15" s="18" t="b">
        <f>VLOOKUP(B15,Table!A$2:H$228,6,FALSE)=Table14[[#This Row],[Business Definition (To go into comments and into Meta Data Hub)]]</f>
        <v>1</v>
      </c>
      <c r="X15" s="18" t="str">
        <f>VLOOKUP((UPPER(SUBSTITUTE(A15," ","_"))),'[2]Consumer View'!A$2:I$329,1,FALSE)</f>
        <v>IMPACT_SOURCE_ACTION_CODE</v>
      </c>
      <c r="Y15" s="18" t="s">
        <v>68</v>
      </c>
      <c r="Z15" s="47" t="s">
        <v>69</v>
      </c>
      <c r="AA15" s="18" t="s">
        <v>86</v>
      </c>
      <c r="AB15" s="18"/>
      <c r="AC15" s="18"/>
      <c r="AD15" s="18"/>
      <c r="AE15" s="46"/>
      <c r="AF15" s="18"/>
      <c r="AG15" s="18"/>
      <c r="AH15" s="18" t="s">
        <v>71</v>
      </c>
    </row>
    <row r="16" spans="1:34" ht="27" customHeight="1">
      <c r="A16" s="51" t="s">
        <v>87</v>
      </c>
      <c r="B16" s="18" t="s">
        <v>88</v>
      </c>
      <c r="C16" s="18" t="s">
        <v>89</v>
      </c>
      <c r="D16" s="18" t="s">
        <v>90</v>
      </c>
      <c r="E16" s="18" t="s">
        <v>63</v>
      </c>
      <c r="F16" s="18" t="s">
        <v>91</v>
      </c>
      <c r="G16" s="45" t="s">
        <v>63</v>
      </c>
      <c r="H16" s="46" t="s">
        <v>92</v>
      </c>
      <c r="I16" s="18" t="s">
        <v>93</v>
      </c>
      <c r="J16" s="18" t="s">
        <v>67</v>
      </c>
      <c r="K16" s="18">
        <v>3</v>
      </c>
      <c r="L16" s="18"/>
      <c r="M16" s="18"/>
      <c r="N16" s="18"/>
      <c r="O16" s="18" t="b">
        <f>VLOOKUP(A16,[1]Model!C$2:J$559,2,FALSE)=B16</f>
        <v>1</v>
      </c>
      <c r="P16" s="18" t="b">
        <f>VLOOKUP(A16,Model!C$2:G$228,5,FALSE)=D16</f>
        <v>1</v>
      </c>
      <c r="Q16" s="18">
        <f>VLOOKUP(A16,[2]Model!C$2:L$228,8,FALSE)</f>
        <v>183</v>
      </c>
      <c r="R16" s="18" t="e">
        <f>VLOOKUP(A16,[2]Model!C$2:G$228,3,FALSE)=[3]!Table14[[#This Row],[Business Definition (To go into comments and into Meta Data Hub)]]</f>
        <v>#REF!</v>
      </c>
      <c r="S16" s="18" t="e">
        <f>IF([3]!Table14[[#This Row],[Nullable in Table and in Oracle View
NULL, NOT NULL]]="No","NOT NULL","NULL")=VLOOKUP(A16,[2]Model!C$2:I$228,6,FALSE)</f>
        <v>#REF!</v>
      </c>
      <c r="T16" s="18" t="e">
        <f>VLOOKUP(B16,[2]Table!A$2:F$415,1,FALSE)=[3]!Table14[[#This Row],[Physical Name of Attribute (Name of column in Table)
Supplied by DA Team]]</f>
        <v>#REF!</v>
      </c>
      <c r="U16" s="18" t="b">
        <f>VLOOKUP(B16,Table!A$2:F$319,2,FALSE)=Table14[[#This Row],[Data type in Oracle
VARCHAR2(n), DATE, NUMBER(m,n), TIMETSTAMP(6)]]</f>
        <v>0</v>
      </c>
      <c r="V16" s="18" t="b">
        <f>VLOOKUP(B16,Table!A$2:F$231,3,FALSE)=Table14[[#This Row],[Nullable in Table and in Oracle View
NULL, NOT NULL]]</f>
        <v>1</v>
      </c>
      <c r="W16" s="18" t="b">
        <f>VLOOKUP(B16,Table!A$2:H$228,6,FALSE)=Table14[[#This Row],[Business Definition (To go into comments and into Meta Data Hub)]]</f>
        <v>1</v>
      </c>
      <c r="X16" s="18" t="str">
        <f>VLOOKUP((UPPER(SUBSTITUTE(A16," ","_"))),'[2]Consumer View'!A$2:I$329,1,FALSE)</f>
        <v>IMPACT_SOURCE_ACTION_NAME</v>
      </c>
      <c r="Y16" s="18" t="s">
        <v>94</v>
      </c>
      <c r="Z16" s="47" t="s">
        <v>95</v>
      </c>
      <c r="AA16" s="18" t="s">
        <v>96</v>
      </c>
      <c r="AB16" s="18"/>
      <c r="AC16" s="18"/>
      <c r="AD16" s="18" t="s">
        <v>97</v>
      </c>
      <c r="AE16" s="46" t="s">
        <v>98</v>
      </c>
      <c r="AF16" s="18"/>
      <c r="AG16" s="18"/>
      <c r="AH16" s="18" t="s">
        <v>71</v>
      </c>
    </row>
    <row r="17" spans="1:34" ht="27" customHeight="1">
      <c r="A17" s="51" t="s">
        <v>99</v>
      </c>
      <c r="B17" s="18" t="s">
        <v>100</v>
      </c>
      <c r="C17" s="18"/>
      <c r="D17" s="46" t="s">
        <v>101</v>
      </c>
      <c r="E17" s="18" t="s">
        <v>63</v>
      </c>
      <c r="F17" s="18" t="s">
        <v>102</v>
      </c>
      <c r="G17" s="45" t="s">
        <v>63</v>
      </c>
      <c r="H17" s="46" t="s">
        <v>103</v>
      </c>
      <c r="I17" s="18">
        <v>3214</v>
      </c>
      <c r="J17" s="18" t="s">
        <v>67</v>
      </c>
      <c r="K17" s="18">
        <v>3</v>
      </c>
      <c r="L17" s="18"/>
      <c r="M17" s="18"/>
      <c r="N17" s="18"/>
      <c r="O17" s="18" t="b">
        <f>VLOOKUP(A17,[1]Model!C$2:J$559,2,FALSE)=B17</f>
        <v>1</v>
      </c>
      <c r="P17" s="18" t="e">
        <f>VLOOKUP(A17,Model!C$2:G$228,5,FALSE)=D17</f>
        <v>#N/A</v>
      </c>
      <c r="Q17" s="18">
        <f>VLOOKUP(A17,[2]Model!C$2:L$228,8,FALSE)</f>
        <v>144</v>
      </c>
      <c r="R17" s="18" t="e">
        <f>VLOOKUP(A17,[2]Model!C$2:G$228,3,FALSE)=[3]!Table14[[#This Row],[Business Definition (To go into comments and into Meta Data Hub)]]</f>
        <v>#REF!</v>
      </c>
      <c r="S17" s="18" t="e">
        <f>IF([3]!Table14[[#This Row],[Nullable in Table and in Oracle View
NULL, NOT NULL]]="No","NOT NULL","NULL")=VLOOKUP(A17,[2]Model!C$2:I$228,6,FALSE)</f>
        <v>#REF!</v>
      </c>
      <c r="T17" s="18" t="e">
        <f>VLOOKUP(B17,[2]Table!A$2:F$415,1,FALSE)=[3]!Table14[[#This Row],[Physical Name of Attribute (Name of column in Table)
Supplied by DA Team]]</f>
        <v>#REF!</v>
      </c>
      <c r="U17" s="18" t="b">
        <f>VLOOKUP(B17,Table!A$2:F$319,2,FALSE)=Table14[[#This Row],[Data type in Oracle
VARCHAR2(n), DATE, NUMBER(m,n), TIMETSTAMP(6)]]</f>
        <v>1</v>
      </c>
      <c r="V17" s="18" t="b">
        <f>VLOOKUP(B17,Table!A$2:F$231,3,FALSE)=Table14[[#This Row],[Nullable in Table and in Oracle View
NULL, NOT NULL]]</f>
        <v>1</v>
      </c>
      <c r="W17" s="18" t="b">
        <f>VLOOKUP(B17,Table!A$2:H$228,6,FALSE)=Table14[[#This Row],[Business Definition (To go into comments and into Meta Data Hub)]]</f>
        <v>1</v>
      </c>
      <c r="X17" s="18" t="str">
        <f>VLOOKUP((UPPER(SUBSTITUTE(A17," ","_"))),'[2]Consumer View'!A$2:I$329,1,FALSE)</f>
        <v>SIS_DETAILED_EVENTS_ID</v>
      </c>
      <c r="Y17" s="18" t="s">
        <v>68</v>
      </c>
      <c r="Z17" s="47" t="s">
        <v>69</v>
      </c>
      <c r="AA17" s="18" t="s">
        <v>104</v>
      </c>
      <c r="AB17" s="18"/>
      <c r="AC17" s="18"/>
      <c r="AD17" s="18"/>
      <c r="AE17" s="46" t="s">
        <v>105</v>
      </c>
      <c r="AF17" s="18"/>
      <c r="AG17" s="18"/>
      <c r="AH17" s="18" t="s">
        <v>71</v>
      </c>
    </row>
    <row r="18" spans="1:34" s="8" customFormat="1" ht="27" customHeight="1">
      <c r="A18" s="51" t="s">
        <v>106</v>
      </c>
      <c r="B18" s="51" t="s">
        <v>107</v>
      </c>
      <c r="C18" s="51" t="s">
        <v>108</v>
      </c>
      <c r="D18" s="51" t="s">
        <v>109</v>
      </c>
      <c r="E18" s="51" t="s">
        <v>63</v>
      </c>
      <c r="F18" s="51" t="s">
        <v>110</v>
      </c>
      <c r="G18" s="45" t="s">
        <v>63</v>
      </c>
      <c r="H18" s="52" t="s">
        <v>111</v>
      </c>
      <c r="I18" s="51" t="s">
        <v>112</v>
      </c>
      <c r="J18" s="51" t="s">
        <v>67</v>
      </c>
      <c r="K18" s="18">
        <v>3</v>
      </c>
      <c r="L18" s="18"/>
      <c r="M18" s="18"/>
      <c r="N18" s="18"/>
      <c r="O18" s="18" t="b">
        <f>VLOOKUP(A18,[1]Model!C$2:J$559,2,FALSE)=B18</f>
        <v>1</v>
      </c>
      <c r="P18" s="18" t="e">
        <f>VLOOKUP(A18,Model!C$2:G$228,5,FALSE)=D18</f>
        <v>#N/A</v>
      </c>
      <c r="Q18" s="18">
        <f>VLOOKUP(A18,[2]Model!C$2:L$228,8,FALSE)</f>
        <v>145</v>
      </c>
      <c r="R18" s="18" t="e">
        <f>VLOOKUP(A18,[2]Model!C$2:G$228,3,FALSE)=[3]!Table14[[#This Row],[Business Definition (To go into comments and into Meta Data Hub)]]</f>
        <v>#REF!</v>
      </c>
      <c r="S18" s="18" t="e">
        <f>IF([3]!Table14[[#This Row],[Nullable in Table and in Oracle View
NULL, NOT NULL]]="No","NOT NULL","NULL")=VLOOKUP(A18,[2]Model!C$2:I$228,6,FALSE)</f>
        <v>#REF!</v>
      </c>
      <c r="T18" s="18" t="e">
        <f>VLOOKUP(B18,[2]Table!A$2:F$415,1,FALSE)=[3]!Table14[[#This Row],[Physical Name of Attribute (Name of column in Table)
Supplied by DA Team]]</f>
        <v>#REF!</v>
      </c>
      <c r="U18" s="18" t="b">
        <f>VLOOKUP(B18,Table!A$2:F$319,2,FALSE)=Table14[[#This Row],[Data type in Oracle
VARCHAR2(n), DATE, NUMBER(m,n), TIMETSTAMP(6)]]</f>
        <v>0</v>
      </c>
      <c r="V18" s="18" t="b">
        <f>VLOOKUP(B18,Table!A$2:F$231,3,FALSE)=Table14[[#This Row],[Nullable in Table and in Oracle View
NULL, NOT NULL]]</f>
        <v>1</v>
      </c>
      <c r="W18" s="18" t="b">
        <f>VLOOKUP(B18,Table!A$2:H$228,6,FALSE)=Table14[[#This Row],[Business Definition (To go into comments and into Meta Data Hub)]]</f>
        <v>1</v>
      </c>
      <c r="X18" s="18" t="str">
        <f>VLOOKUP((UPPER(SUBSTITUTE(A18," ","_"))),'[2]Consumer View'!A$2:I$329,1,FALSE)</f>
        <v>SIS_DETAILED_EVENTS_NAME</v>
      </c>
      <c r="Y18" s="51" t="s">
        <v>68</v>
      </c>
      <c r="Z18" s="51" t="s">
        <v>113</v>
      </c>
      <c r="AA18" s="51" t="s">
        <v>114</v>
      </c>
      <c r="AB18" s="51"/>
      <c r="AC18" s="51"/>
      <c r="AD18" s="51" t="s">
        <v>115</v>
      </c>
      <c r="AE18" s="46" t="s">
        <v>105</v>
      </c>
      <c r="AF18" s="18"/>
      <c r="AG18" s="51"/>
      <c r="AH18" s="51" t="s">
        <v>116</v>
      </c>
    </row>
    <row r="19" spans="1:34" ht="27" customHeight="1">
      <c r="A19" s="51" t="s">
        <v>117</v>
      </c>
      <c r="B19" s="18" t="s">
        <v>118</v>
      </c>
      <c r="C19" s="18" t="s">
        <v>119</v>
      </c>
      <c r="D19" s="18" t="s">
        <v>120</v>
      </c>
      <c r="E19" s="18" t="s">
        <v>63</v>
      </c>
      <c r="F19" s="18" t="s">
        <v>121</v>
      </c>
      <c r="G19" s="45" t="s">
        <v>63</v>
      </c>
      <c r="H19" s="46" t="s">
        <v>122</v>
      </c>
      <c r="I19" s="18" t="s">
        <v>123</v>
      </c>
      <c r="J19" s="18" t="s">
        <v>67</v>
      </c>
      <c r="K19" s="18">
        <v>3</v>
      </c>
      <c r="L19" s="18"/>
      <c r="M19" s="18"/>
      <c r="N19" s="18"/>
      <c r="O19" s="18" t="b">
        <f>VLOOKUP(A19,[1]Model!C$2:J$559,2,FALSE)=B19</f>
        <v>1</v>
      </c>
      <c r="P19" s="18" t="e">
        <f>VLOOKUP(A19,Model!C$2:G$228,5,FALSE)=D19</f>
        <v>#N/A</v>
      </c>
      <c r="Q19" s="18">
        <f>VLOOKUP(A19,[2]Model!C$2:L$228,8,FALSE)</f>
        <v>146</v>
      </c>
      <c r="R19" s="18" t="e">
        <f>VLOOKUP(A19,[2]Model!C$2:G$228,3,FALSE)=[3]!Table14[[#This Row],[Business Definition (To go into comments and into Meta Data Hub)]]</f>
        <v>#REF!</v>
      </c>
      <c r="S19" s="18" t="e">
        <f>IF([3]!Table14[[#This Row],[Nullable in Table and in Oracle View
NULL, NOT NULL]]="No","NOT NULL","NULL")=VLOOKUP(A19,[2]Model!C$2:I$228,6,FALSE)</f>
        <v>#REF!</v>
      </c>
      <c r="T19" s="18" t="e">
        <f>VLOOKUP(B19,[2]Table!A$2:F$415,1,FALSE)=[3]!Table14[[#This Row],[Physical Name of Attribute (Name of column in Table)
Supplied by DA Team]]</f>
        <v>#REF!</v>
      </c>
      <c r="U19" s="18" t="b">
        <f>VLOOKUP(B19,Table!A$2:F$319,2,FALSE)=Table14[[#This Row],[Data type in Oracle
VARCHAR2(n), DATE, NUMBER(m,n), TIMETSTAMP(6)]]</f>
        <v>0</v>
      </c>
      <c r="V19" s="18" t="b">
        <f>VLOOKUP(B19,Table!A$2:F$231,3,FALSE)=Table14[[#This Row],[Nullable in Table and in Oracle View
NULL, NOT NULL]]</f>
        <v>1</v>
      </c>
      <c r="W19" s="18" t="b">
        <f>VLOOKUP(B19,Table!A$2:H$228,6,FALSE)=Table14[[#This Row],[Business Definition (To go into comments and into Meta Data Hub)]]</f>
        <v>1</v>
      </c>
      <c r="X19" s="18" t="str">
        <f>VLOOKUP((UPPER(SUBSTITUTE(A19," ","_"))),'[2]Consumer View'!A$2:I$329,1,FALSE)</f>
        <v>SIS_USER_ID</v>
      </c>
      <c r="Y19" s="18" t="s">
        <v>68</v>
      </c>
      <c r="Z19" s="18" t="s">
        <v>69</v>
      </c>
      <c r="AA19" s="18" t="s">
        <v>124</v>
      </c>
      <c r="AB19" s="18"/>
      <c r="AC19" s="18"/>
      <c r="AD19" s="18"/>
      <c r="AE19" s="46"/>
      <c r="AF19" s="18"/>
      <c r="AG19" s="18"/>
      <c r="AH19" s="18" t="s">
        <v>71</v>
      </c>
    </row>
    <row r="20" spans="1:34" ht="27" customHeight="1">
      <c r="A20" s="51" t="s">
        <v>125</v>
      </c>
      <c r="B20" s="18" t="s">
        <v>126</v>
      </c>
      <c r="C20" s="18" t="s">
        <v>127</v>
      </c>
      <c r="D20" s="18" t="s">
        <v>62</v>
      </c>
      <c r="E20" s="18" t="s">
        <v>63</v>
      </c>
      <c r="F20" s="18" t="s">
        <v>64</v>
      </c>
      <c r="G20" s="45" t="s">
        <v>63</v>
      </c>
      <c r="H20" s="46" t="s">
        <v>128</v>
      </c>
      <c r="I20" s="18" t="s">
        <v>129</v>
      </c>
      <c r="J20" s="18" t="s">
        <v>67</v>
      </c>
      <c r="K20" s="18">
        <v>3</v>
      </c>
      <c r="L20" s="18"/>
      <c r="M20" s="18"/>
      <c r="N20" s="18"/>
      <c r="O20" s="18" t="b">
        <f>VLOOKUP(A20,[1]Model!C$2:J$559,2,FALSE)=B20</f>
        <v>1</v>
      </c>
      <c r="P20" s="18" t="e">
        <f>VLOOKUP(A20,Model!C$2:G$228,5,FALSE)=D20</f>
        <v>#N/A</v>
      </c>
      <c r="Q20" s="18">
        <f>VLOOKUP(A20,[2]Model!C$2:L$228,8,FALSE)</f>
        <v>147</v>
      </c>
      <c r="R20" s="18" t="e">
        <f>VLOOKUP(A20,[2]Model!C$2:G$228,3,FALSE)=[3]!Table14[[#This Row],[Business Definition (To go into comments and into Meta Data Hub)]]</f>
        <v>#REF!</v>
      </c>
      <c r="S20" s="18" t="e">
        <f>IF([3]!Table14[[#This Row],[Nullable in Table and in Oracle View
NULL, NOT NULL]]="No","NOT NULL","NULL")=VLOOKUP(A20,[2]Model!C$2:I$228,6,FALSE)</f>
        <v>#REF!</v>
      </c>
      <c r="T20" s="18" t="e">
        <f>VLOOKUP(B20,[2]Table!A$2:F$415,1,FALSE)=[3]!Table14[[#This Row],[Physical Name of Attribute (Name of column in Table)
Supplied by DA Team]]</f>
        <v>#REF!</v>
      </c>
      <c r="U20" s="18" t="b">
        <f>VLOOKUP(B20,Table!A$2:F$319,2,FALSE)=Table14[[#This Row],[Data type in Oracle
VARCHAR2(n), DATE, NUMBER(m,n), TIMETSTAMP(6)]]</f>
        <v>0</v>
      </c>
      <c r="V20" s="18" t="b">
        <f>VLOOKUP(B20,Table!A$2:F$231,3,FALSE)=Table14[[#This Row],[Nullable in Table and in Oracle View
NULL, NOT NULL]]</f>
        <v>1</v>
      </c>
      <c r="W20" s="18" t="b">
        <f>VLOOKUP(B20,Table!A$2:H$228,6,FALSE)=Table14[[#This Row],[Business Definition (To go into comments and into Meta Data Hub)]]</f>
        <v>1</v>
      </c>
      <c r="X20" s="18" t="str">
        <f>VLOOKUP((UPPER(SUBSTITUTE(A20," ","_"))),'[2]Consumer View'!A$2:I$329,1,FALSE)</f>
        <v>SIS_ACCOUNT_CLASSIFICATION_CODE</v>
      </c>
      <c r="Y20" s="18" t="s">
        <v>68</v>
      </c>
      <c r="Z20" s="18" t="s">
        <v>69</v>
      </c>
      <c r="AA20" s="18" t="s">
        <v>130</v>
      </c>
      <c r="AB20" s="18"/>
      <c r="AC20" s="18"/>
      <c r="AD20" s="18"/>
      <c r="AE20" s="46"/>
      <c r="AF20" s="18"/>
      <c r="AG20" s="18"/>
      <c r="AH20" s="18" t="s">
        <v>71</v>
      </c>
    </row>
    <row r="21" spans="1:34" ht="27" customHeight="1">
      <c r="A21" s="51" t="s">
        <v>131</v>
      </c>
      <c r="B21" s="18" t="s">
        <v>132</v>
      </c>
      <c r="C21" s="18"/>
      <c r="D21" s="18" t="s">
        <v>101</v>
      </c>
      <c r="E21" s="18" t="s">
        <v>63</v>
      </c>
      <c r="F21" s="18" t="s">
        <v>133</v>
      </c>
      <c r="G21" s="45" t="s">
        <v>63</v>
      </c>
      <c r="H21" s="46" t="s">
        <v>134</v>
      </c>
      <c r="I21" s="46" t="s">
        <v>135</v>
      </c>
      <c r="J21" s="18" t="s">
        <v>67</v>
      </c>
      <c r="K21" s="18">
        <v>3</v>
      </c>
      <c r="L21" s="18"/>
      <c r="M21" s="18"/>
      <c r="N21" s="18"/>
      <c r="O21" s="18" t="b">
        <f>VLOOKUP(A21,[1]Model!C$2:J$559,2,FALSE)=B21</f>
        <v>1</v>
      </c>
      <c r="P21" s="18" t="e">
        <f>VLOOKUP(A21,Model!C$2:G$228,5,FALSE)=D21</f>
        <v>#N/A</v>
      </c>
      <c r="Q21" s="18">
        <f>VLOOKUP(A21,[2]Model!C$2:L$228,8,FALSE)</f>
        <v>148</v>
      </c>
      <c r="R21" s="18" t="e">
        <f>VLOOKUP(A21,[2]Model!C$2:G$228,3,FALSE)=[3]!Table14[[#This Row],[Business Definition (To go into comments and into Meta Data Hub)]]</f>
        <v>#REF!</v>
      </c>
      <c r="S21" s="18" t="e">
        <f>IF([3]!Table14[[#This Row],[Nullable in Table and in Oracle View
NULL, NOT NULL]]="No","NOT NULL","NULL")=VLOOKUP(A21,[2]Model!C$2:I$228,6,FALSE)</f>
        <v>#REF!</v>
      </c>
      <c r="T21" s="18" t="e">
        <f>VLOOKUP(B21,[2]Table!A$2:F$415,1,FALSE)=[3]!Table14[[#This Row],[Physical Name of Attribute (Name of column in Table)
Supplied by DA Team]]</f>
        <v>#REF!</v>
      </c>
      <c r="U21" s="18" t="b">
        <f>VLOOKUP(B21,Table!A$2:F$319,2,FALSE)=Table14[[#This Row],[Data type in Oracle
VARCHAR2(n), DATE, NUMBER(m,n), TIMETSTAMP(6)]]</f>
        <v>1</v>
      </c>
      <c r="V21" s="18" t="b">
        <f>VLOOKUP(B21,Table!A$2:F$231,3,FALSE)=Table14[[#This Row],[Nullable in Table and in Oracle View
NULL, NOT NULL]]</f>
        <v>1</v>
      </c>
      <c r="W21" s="18" t="b">
        <f>VLOOKUP(B21,Table!A$2:H$228,6,FALSE)=Table14[[#This Row],[Business Definition (To go into comments and into Meta Data Hub)]]</f>
        <v>1</v>
      </c>
      <c r="X21" s="18" t="str">
        <f>VLOOKUP((UPPER(SUBSTITUTE(A21," ","_"))),'[2]Consumer View'!A$2:I$329,1,FALSE)</f>
        <v>SOURCE_CANCELLATION_REASON_ID</v>
      </c>
      <c r="Y21" s="18" t="s">
        <v>68</v>
      </c>
      <c r="Z21" s="47" t="s">
        <v>69</v>
      </c>
      <c r="AA21" s="18" t="s">
        <v>132</v>
      </c>
      <c r="AB21" s="18"/>
      <c r="AC21" s="18"/>
      <c r="AD21" s="18"/>
      <c r="AE21" s="46"/>
      <c r="AF21" s="18"/>
      <c r="AG21" s="18"/>
      <c r="AH21" s="18" t="s">
        <v>71</v>
      </c>
    </row>
    <row r="22" spans="1:34" ht="27" customHeight="1">
      <c r="A22" s="51" t="s">
        <v>136</v>
      </c>
      <c r="B22" s="18" t="s">
        <v>137</v>
      </c>
      <c r="C22" s="18" t="s">
        <v>138</v>
      </c>
      <c r="D22" s="18" t="s">
        <v>139</v>
      </c>
      <c r="E22" s="18" t="s">
        <v>63</v>
      </c>
      <c r="F22" s="18" t="s">
        <v>140</v>
      </c>
      <c r="G22" s="45" t="s">
        <v>63</v>
      </c>
      <c r="H22" s="53" t="s">
        <v>141</v>
      </c>
      <c r="I22" s="18" t="s">
        <v>142</v>
      </c>
      <c r="J22" s="18" t="s">
        <v>67</v>
      </c>
      <c r="K22" s="18">
        <v>3</v>
      </c>
      <c r="L22" s="18"/>
      <c r="M22" s="18"/>
      <c r="N22" s="18"/>
      <c r="O22" s="18" t="b">
        <f>VLOOKUP(A22,[1]Model!C$2:J$559,2,FALSE)=B22</f>
        <v>1</v>
      </c>
      <c r="P22" s="18" t="e">
        <f>VLOOKUP(A22,Model!C$2:G$228,5,FALSE)=D22</f>
        <v>#N/A</v>
      </c>
      <c r="Q22" s="18">
        <f>VLOOKUP(A22,[2]Model!C$2:L$228,8,FALSE)</f>
        <v>149</v>
      </c>
      <c r="R22" s="18" t="e">
        <f>VLOOKUP(A22,[2]Model!C$2:G$228,3,FALSE)=[3]!Table14[[#This Row],[Business Definition (To go into comments and into Meta Data Hub)]]</f>
        <v>#VALUE!</v>
      </c>
      <c r="S22" s="18" t="e">
        <f>IF([3]!Table14[[#This Row],[Nullable in Table and in Oracle View
NULL, NOT NULL]]="No","NOT NULL","NULL")=VLOOKUP(A22,[2]Model!C$2:I$228,6,FALSE)</f>
        <v>#REF!</v>
      </c>
      <c r="T22" s="18" t="e">
        <f>VLOOKUP(B22,[2]Table!A$2:F$415,1,FALSE)=[3]!Table14[[#This Row],[Physical Name of Attribute (Name of column in Table)
Supplied by DA Team]]</f>
        <v>#REF!</v>
      </c>
      <c r="U22" s="18" t="b">
        <f>VLOOKUP(B22,Table!A$2:F$319,2,FALSE)=Table14[[#This Row],[Data type in Oracle
VARCHAR2(n), DATE, NUMBER(m,n), TIMETSTAMP(6)]]</f>
        <v>0</v>
      </c>
      <c r="V22" s="18" t="b">
        <f>VLOOKUP(B22,Table!A$2:F$231,3,FALSE)=Table14[[#This Row],[Nullable in Table and in Oracle View
NULL, NOT NULL]]</f>
        <v>1</v>
      </c>
      <c r="W22" s="18" t="b">
        <f>VLOOKUP(B22,Table!A$2:H$228,6,FALSE)=Table14[[#This Row],[Business Definition (To go into comments and into Meta Data Hub)]]</f>
        <v>0</v>
      </c>
      <c r="X22" s="55" t="str">
        <f>VLOOKUP((UPPER(SUBSTITUTE(A22," ","_"))),'[2]Consumer View'!A$2:I$329,1,FALSE)</f>
        <v>SOURCE_CANCELLATION_REASON_CODE</v>
      </c>
      <c r="Y22" s="18" t="s">
        <v>68</v>
      </c>
      <c r="Z22" s="18" t="s">
        <v>113</v>
      </c>
      <c r="AA22" s="18" t="s">
        <v>143</v>
      </c>
      <c r="AB22" s="18"/>
      <c r="AC22" s="18"/>
      <c r="AD22" s="18" t="s">
        <v>144</v>
      </c>
      <c r="AE22" s="46" t="s">
        <v>105</v>
      </c>
      <c r="AF22" s="18"/>
      <c r="AG22" s="18"/>
      <c r="AH22" s="18" t="s">
        <v>71</v>
      </c>
    </row>
    <row r="23" spans="1:34" ht="27" customHeight="1">
      <c r="A23" s="51" t="s">
        <v>145</v>
      </c>
      <c r="B23" s="18" t="s">
        <v>146</v>
      </c>
      <c r="C23" s="18" t="s">
        <v>147</v>
      </c>
      <c r="D23" s="18" t="s">
        <v>109</v>
      </c>
      <c r="E23" s="18" t="s">
        <v>63</v>
      </c>
      <c r="F23" s="18" t="s">
        <v>110</v>
      </c>
      <c r="G23" s="45" t="s">
        <v>63</v>
      </c>
      <c r="H23" s="46" t="s">
        <v>148</v>
      </c>
      <c r="I23" s="18" t="s">
        <v>149</v>
      </c>
      <c r="J23" s="18" t="s">
        <v>67</v>
      </c>
      <c r="K23" s="18">
        <v>3</v>
      </c>
      <c r="L23" s="18"/>
      <c r="M23" s="18"/>
      <c r="N23" s="18"/>
      <c r="O23" s="18" t="b">
        <f>VLOOKUP(A23,[1]Model!C$2:J$559,2,FALSE)=B23</f>
        <v>1</v>
      </c>
      <c r="P23" s="18" t="e">
        <f>VLOOKUP(A23,Model!C$2:G$228,5,FALSE)=D23</f>
        <v>#N/A</v>
      </c>
      <c r="Q23" s="18">
        <f>VLOOKUP(A23,[2]Model!C$2:L$228,8,FALSE)</f>
        <v>150</v>
      </c>
      <c r="R23" s="18" t="e">
        <f>VLOOKUP(A23,[2]Model!C$2:G$228,3,FALSE)=[3]!Table14[[#This Row],[Business Definition (To go into comments and into Meta Data Hub)]]</f>
        <v>#REF!</v>
      </c>
      <c r="S23" s="18" t="e">
        <f>IF([3]!Table14[[#This Row],[Nullable in Table and in Oracle View
NULL, NOT NULL]]="No","NOT NULL","NULL")=VLOOKUP(A23,[2]Model!C$2:I$228,6,FALSE)</f>
        <v>#REF!</v>
      </c>
      <c r="T23" s="18" t="e">
        <f>VLOOKUP(B23,[2]Table!A$2:F$415,1,FALSE)=[3]!Table14[[#This Row],[Physical Name of Attribute (Name of column in Table)
Supplied by DA Team]]</f>
        <v>#REF!</v>
      </c>
      <c r="U23" s="18" t="b">
        <f>VLOOKUP(B23,Table!A$2:F$319,2,FALSE)=Table14[[#This Row],[Data type in Oracle
VARCHAR2(n), DATE, NUMBER(m,n), TIMETSTAMP(6)]]</f>
        <v>0</v>
      </c>
      <c r="V23" s="18" t="b">
        <f>VLOOKUP(B23,Table!A$2:F$231,3,FALSE)=Table14[[#This Row],[Nullable in Table and in Oracle View
NULL, NOT NULL]]</f>
        <v>1</v>
      </c>
      <c r="W23" s="18" t="b">
        <f>VLOOKUP(B23,Table!A$2:H$228,6,FALSE)=Table14[[#This Row],[Business Definition (To go into comments and into Meta Data Hub)]]</f>
        <v>1</v>
      </c>
      <c r="X23" s="18" t="str">
        <f>VLOOKUP((UPPER(SUBSTITUTE(A23," ","_"))),'[2]Consumer View'!A$2:I$329,1,FALSE)</f>
        <v>SOURCE_CANCELLATION_REASON_NAME</v>
      </c>
      <c r="Y23" s="18" t="s">
        <v>68</v>
      </c>
      <c r="Z23" s="18" t="s">
        <v>113</v>
      </c>
      <c r="AA23" s="51" t="s">
        <v>114</v>
      </c>
      <c r="AB23" s="18"/>
      <c r="AC23" s="18"/>
      <c r="AD23" s="18" t="s">
        <v>144</v>
      </c>
      <c r="AE23" s="46"/>
      <c r="AF23" s="18"/>
      <c r="AG23" s="18"/>
      <c r="AH23" s="18" t="s">
        <v>71</v>
      </c>
    </row>
    <row r="24" spans="1:34" ht="27" customHeight="1">
      <c r="A24" s="51" t="s">
        <v>150</v>
      </c>
      <c r="B24" s="18" t="s">
        <v>151</v>
      </c>
      <c r="C24" s="18" t="s">
        <v>152</v>
      </c>
      <c r="D24" s="18" t="s">
        <v>101</v>
      </c>
      <c r="E24" s="18" t="s">
        <v>63</v>
      </c>
      <c r="F24" s="18" t="s">
        <v>133</v>
      </c>
      <c r="G24" s="45" t="s">
        <v>63</v>
      </c>
      <c r="H24" s="46" t="s">
        <v>153</v>
      </c>
      <c r="I24" s="46">
        <v>2878</v>
      </c>
      <c r="J24" s="18" t="s">
        <v>67</v>
      </c>
      <c r="K24" s="18">
        <v>3</v>
      </c>
      <c r="L24" s="18"/>
      <c r="M24" s="18"/>
      <c r="N24" s="18"/>
      <c r="O24" s="18" t="b">
        <f>VLOOKUP(A24,[1]Model!C$2:J$559,2,FALSE)=B24</f>
        <v>1</v>
      </c>
      <c r="P24" s="18" t="e">
        <f>VLOOKUP(A24,Model!C$2:G$228,5,FALSE)=D24</f>
        <v>#N/A</v>
      </c>
      <c r="Q24" s="18">
        <f>VLOOKUP(A24,[2]Model!C$2:L$228,8,FALSE)</f>
        <v>151</v>
      </c>
      <c r="R24" s="18" t="e">
        <f>VLOOKUP(A24,[2]Model!C$2:G$228,3,FALSE)=[3]!Table14[[#This Row],[Business Definition (To go into comments and into Meta Data Hub)]]</f>
        <v>#REF!</v>
      </c>
      <c r="S24" s="18" t="e">
        <f>IF([3]!Table14[[#This Row],[Nullable in Table and in Oracle View
NULL, NOT NULL]]="No","NOT NULL","NULL")=VLOOKUP(A24,[2]Model!C$2:I$228,6,FALSE)</f>
        <v>#REF!</v>
      </c>
      <c r="T24" s="18" t="e">
        <f>VLOOKUP(B24,[2]Table!A$2:F$415,1,FALSE)=[3]!Table14[[#This Row],[Physical Name of Attribute (Name of column in Table)
Supplied by DA Team]]</f>
        <v>#REF!</v>
      </c>
      <c r="U24" s="18" t="b">
        <f>VLOOKUP(B24,Table!A$2:F$319,2,FALSE)=Table14[[#This Row],[Data type in Oracle
VARCHAR2(n), DATE, NUMBER(m,n), TIMETSTAMP(6)]]</f>
        <v>1</v>
      </c>
      <c r="V24" s="18" t="b">
        <f>VLOOKUP(B24,Table!A$2:F$231,3,FALSE)=Table14[[#This Row],[Nullable in Table and in Oracle View
NULL, NOT NULL]]</f>
        <v>1</v>
      </c>
      <c r="W24" s="18" t="b">
        <f>VLOOKUP(B24,Table!A$2:H$228,6,FALSE)=Table14[[#This Row],[Business Definition (To go into comments and into Meta Data Hub)]]</f>
        <v>1</v>
      </c>
      <c r="X24" s="18" t="str">
        <f>VLOOKUP((UPPER(SUBSTITUTE(A24," ","_"))),'[2]Consumer View'!A$2:I$329,1,FALSE)</f>
        <v>SOURCE_TRANSACTION_SEQUENCE_NUMBER</v>
      </c>
      <c r="Y24" s="18" t="s">
        <v>68</v>
      </c>
      <c r="Z24" s="18" t="s">
        <v>69</v>
      </c>
      <c r="AA24" s="18" t="s">
        <v>151</v>
      </c>
      <c r="AB24" s="18"/>
      <c r="AC24" s="18"/>
      <c r="AD24" s="18"/>
      <c r="AE24" s="46"/>
      <c r="AF24" s="18"/>
      <c r="AG24" s="18"/>
      <c r="AH24" s="18" t="s">
        <v>71</v>
      </c>
    </row>
    <row r="25" spans="1:34" ht="27" customHeight="1">
      <c r="A25" s="51" t="s">
        <v>154</v>
      </c>
      <c r="B25" s="18" t="s">
        <v>155</v>
      </c>
      <c r="C25" s="18" t="s">
        <v>156</v>
      </c>
      <c r="D25" s="18" t="s">
        <v>157</v>
      </c>
      <c r="E25" s="18" t="s">
        <v>63</v>
      </c>
      <c r="F25" s="18" t="s">
        <v>158</v>
      </c>
      <c r="G25" s="45" t="s">
        <v>63</v>
      </c>
      <c r="H25" s="46" t="s">
        <v>159</v>
      </c>
      <c r="I25" s="18">
        <v>42398</v>
      </c>
      <c r="J25" s="18" t="s">
        <v>67</v>
      </c>
      <c r="K25" s="18">
        <v>3</v>
      </c>
      <c r="L25" s="18"/>
      <c r="M25" s="18"/>
      <c r="N25" s="18"/>
      <c r="O25" s="18" t="b">
        <f>VLOOKUP(A25,[1]Model!C$2:J$559,2,FALSE)=B25</f>
        <v>1</v>
      </c>
      <c r="P25" s="18" t="b">
        <f>VLOOKUP(A25,Model!C$2:G$228,5,FALSE)=D25</f>
        <v>1</v>
      </c>
      <c r="Q25" s="18">
        <f>VLOOKUP(A25,[2]Model!C$2:L$228,8,FALSE)</f>
        <v>152</v>
      </c>
      <c r="R25" s="18" t="e">
        <f>VLOOKUP(A25,[2]Model!C$2:G$228,3,FALSE)=[3]!Table14[[#This Row],[Business Definition (To go into comments and into Meta Data Hub)]]</f>
        <v>#REF!</v>
      </c>
      <c r="S25" s="18" t="e">
        <f>IF([3]!Table14[[#This Row],[Nullable in Table and in Oracle View
NULL, NOT NULL]]="No","NOT NULL","NULL")=VLOOKUP(A25,[2]Model!C$2:I$228,6,FALSE)</f>
        <v>#REF!</v>
      </c>
      <c r="T25" s="18" t="e">
        <f>VLOOKUP(B25,[2]Table!A$2:F$415,1,FALSE)=[3]!Table14[[#This Row],[Physical Name of Attribute (Name of column in Table)
Supplied by DA Team]]</f>
        <v>#REF!</v>
      </c>
      <c r="U25" s="18" t="b">
        <f>VLOOKUP(B25,Table!A$2:F$319,2,FALSE)=Table14[[#This Row],[Data type in Oracle
VARCHAR2(n), DATE, NUMBER(m,n), TIMETSTAMP(6)]]</f>
        <v>1</v>
      </c>
      <c r="V25" s="18" t="b">
        <f>VLOOKUP(B25,Table!A$2:F$231,3,FALSE)=Table14[[#This Row],[Nullable in Table and in Oracle View
NULL, NOT NULL]]</f>
        <v>1</v>
      </c>
      <c r="W25" s="18" t="b">
        <f>VLOOKUP(B25,Table!A$2:H$228,6,FALSE)=Table14[[#This Row],[Business Definition (To go into comments and into Meta Data Hub)]]</f>
        <v>1</v>
      </c>
      <c r="X25" s="18" t="str">
        <f>VLOOKUP((UPPER(SUBSTITUTE(A25," ","_"))),'[2]Consumer View'!A$2:I$329,1,FALSE)</f>
        <v>DIVIDEND_RECORD_DATE</v>
      </c>
      <c r="Y25" s="18" t="s">
        <v>68</v>
      </c>
      <c r="Z25" s="18" t="s">
        <v>69</v>
      </c>
      <c r="AA25" s="18" t="s">
        <v>155</v>
      </c>
      <c r="AB25" s="18"/>
      <c r="AC25" s="18"/>
      <c r="AD25" s="18"/>
      <c r="AE25" s="46"/>
      <c r="AF25" s="18"/>
      <c r="AG25" s="18"/>
      <c r="AH25" s="18" t="s">
        <v>71</v>
      </c>
    </row>
    <row r="26" spans="1:34" ht="27" customHeight="1">
      <c r="A26" s="51" t="s">
        <v>160</v>
      </c>
      <c r="B26" s="18" t="s">
        <v>161</v>
      </c>
      <c r="C26" s="18" t="s">
        <v>162</v>
      </c>
      <c r="D26" s="18" t="s">
        <v>139</v>
      </c>
      <c r="E26" s="18" t="s">
        <v>63</v>
      </c>
      <c r="F26" s="18" t="s">
        <v>140</v>
      </c>
      <c r="G26" s="45" t="s">
        <v>63</v>
      </c>
      <c r="H26" s="46" t="s">
        <v>163</v>
      </c>
      <c r="I26" s="46" t="s">
        <v>164</v>
      </c>
      <c r="J26" s="18" t="s">
        <v>67</v>
      </c>
      <c r="K26" s="18">
        <v>3</v>
      </c>
      <c r="L26" s="18"/>
      <c r="M26" s="18"/>
      <c r="N26" s="18"/>
      <c r="O26" s="18" t="b">
        <f>VLOOKUP(A26,[1]Model!C$2:J$559,2,FALSE)=B26</f>
        <v>1</v>
      </c>
      <c r="P26" s="18" t="b">
        <f>VLOOKUP(A26,Model!C$2:G$228,5,FALSE)=D26</f>
        <v>1</v>
      </c>
      <c r="Q26" s="18">
        <f>VLOOKUP(A26,[2]Model!C$2:L$228,8,FALSE)</f>
        <v>153</v>
      </c>
      <c r="R26" s="18" t="e">
        <f>VLOOKUP(A26,[2]Model!C$2:G$228,3,FALSE)=[3]!Table14[[#This Row],[Business Definition (To go into comments and into Meta Data Hub)]]</f>
        <v>#REF!</v>
      </c>
      <c r="S26" s="18" t="e">
        <f>IF([3]!Table14[[#This Row],[Nullable in Table and in Oracle View
NULL, NOT NULL]]="No","NOT NULL","NULL")=VLOOKUP(A26,[2]Model!C$2:I$228,6,FALSE)</f>
        <v>#REF!</v>
      </c>
      <c r="T26" s="18" t="e">
        <f>VLOOKUP(B26,[2]Table!A$2:F$415,1,FALSE)=[3]!Table14[[#This Row],[Physical Name of Attribute (Name of column in Table)
Supplied by DA Team]]</f>
        <v>#REF!</v>
      </c>
      <c r="U26" s="18" t="b">
        <f>VLOOKUP(B26,Table!A$2:F$319,2,FALSE)=Table14[[#This Row],[Data type in Oracle
VARCHAR2(n), DATE, NUMBER(m,n), TIMETSTAMP(6)]]</f>
        <v>0</v>
      </c>
      <c r="V26" s="18" t="b">
        <f>VLOOKUP(B26,Table!A$2:F$231,3,FALSE)=Table14[[#This Row],[Nullable in Table and in Oracle View
NULL, NOT NULL]]</f>
        <v>1</v>
      </c>
      <c r="W26" s="18" t="b">
        <f>VLOOKUP(B26,Table!A$2:H$228,6,FALSE)=Table14[[#This Row],[Business Definition (To go into comments and into Meta Data Hub)]]</f>
        <v>1</v>
      </c>
      <c r="X26" s="18" t="str">
        <f>VLOOKUP((UPPER(SUBSTITUTE(A26," ","_"))),'[2]Consumer View'!A$2:I$329,1,FALSE)</f>
        <v>OWNER_IMPACT_FA_NUMBER</v>
      </c>
      <c r="Y26" s="18" t="s">
        <v>68</v>
      </c>
      <c r="Z26" s="47" t="s">
        <v>69</v>
      </c>
      <c r="AA26" s="46" t="s">
        <v>165</v>
      </c>
      <c r="AB26" s="18"/>
      <c r="AC26" s="18"/>
      <c r="AD26" s="18"/>
      <c r="AE26" s="46"/>
      <c r="AF26" s="18"/>
      <c r="AG26" s="18"/>
      <c r="AH26" s="18" t="s">
        <v>71</v>
      </c>
    </row>
    <row r="27" spans="1:34" ht="27" customHeight="1">
      <c r="A27" s="51" t="s">
        <v>166</v>
      </c>
      <c r="B27" s="18" t="s">
        <v>167</v>
      </c>
      <c r="C27" s="18" t="s">
        <v>168</v>
      </c>
      <c r="D27" s="18" t="s">
        <v>169</v>
      </c>
      <c r="E27" s="18" t="s">
        <v>63</v>
      </c>
      <c r="F27" s="18" t="s">
        <v>170</v>
      </c>
      <c r="G27" s="45" t="s">
        <v>63</v>
      </c>
      <c r="H27" s="46" t="s">
        <v>171</v>
      </c>
      <c r="I27" s="18" t="s">
        <v>172</v>
      </c>
      <c r="J27" s="18" t="s">
        <v>67</v>
      </c>
      <c r="K27" s="18">
        <v>3</v>
      </c>
      <c r="L27" s="18"/>
      <c r="M27" s="18"/>
      <c r="N27" s="18"/>
      <c r="O27" s="18" t="b">
        <f>VLOOKUP(A27,[1]Model!C$2:J$559,2,FALSE)=B27</f>
        <v>1</v>
      </c>
      <c r="P27" s="18" t="b">
        <f>VLOOKUP(A27,Model!C$2:G$228,5,FALSE)=D27</f>
        <v>1</v>
      </c>
      <c r="Q27" s="18">
        <f>VLOOKUP(A27,[2]Model!C$2:L$228,8,FALSE)</f>
        <v>154</v>
      </c>
      <c r="R27" s="18" t="e">
        <f>VLOOKUP(A27,[2]Model!C$2:G$228,3,FALSE)=[3]!Table14[[#This Row],[Business Definition (To go into comments and into Meta Data Hub)]]</f>
        <v>#REF!</v>
      </c>
      <c r="S27" s="18" t="e">
        <f>IF([3]!Table14[[#This Row],[Nullable in Table and in Oracle View
NULL, NOT NULL]]="No","NOT NULL","NULL")=VLOOKUP(A27,[2]Model!C$2:I$228,6,FALSE)</f>
        <v>#REF!</v>
      </c>
      <c r="T27" s="18" t="e">
        <f>VLOOKUP(B27,[2]Table!A$2:F$415,1,FALSE)=[3]!Table14[[#This Row],[Physical Name of Attribute (Name of column in Table)
Supplied by DA Team]]</f>
        <v>#REF!</v>
      </c>
      <c r="U27" s="18" t="b">
        <f>VLOOKUP(B27,Table!A$2:F$319,2,FALSE)=Table14[[#This Row],[Data type in Oracle
VARCHAR2(n), DATE, NUMBER(m,n), TIMETSTAMP(6)]]</f>
        <v>0</v>
      </c>
      <c r="V27" s="18" t="b">
        <f>VLOOKUP(B27,Table!A$2:F$231,3,FALSE)=Table14[[#This Row],[Nullable in Table and in Oracle View
NULL, NOT NULL]]</f>
        <v>1</v>
      </c>
      <c r="W27" s="18" t="b">
        <f>VLOOKUP(B27,Table!A$2:H$228,6,FALSE)=Table14[[#This Row],[Business Definition (To go into comments and into Meta Data Hub)]]</f>
        <v>1</v>
      </c>
      <c r="X27" s="18" t="str">
        <f>VLOOKUP((UPPER(SUBSTITUTE(A27," ","_"))),'[2]Consumer View'!A$2:I$329,1,FALSE)</f>
        <v>OWNER_FA_NUMBER</v>
      </c>
      <c r="Y27" s="18" t="s">
        <v>173</v>
      </c>
      <c r="Z27" s="18" t="s">
        <v>174</v>
      </c>
      <c r="AA27" s="18" t="s">
        <v>175</v>
      </c>
      <c r="AB27" s="18"/>
      <c r="AC27" s="18"/>
      <c r="AD27" s="18" t="s">
        <v>176</v>
      </c>
      <c r="AE27" s="52" t="s">
        <v>177</v>
      </c>
      <c r="AF27" s="18"/>
      <c r="AG27" s="18"/>
      <c r="AH27" s="18" t="s">
        <v>178</v>
      </c>
    </row>
    <row r="28" spans="1:34" ht="27" customHeight="1">
      <c r="A28" s="51" t="s">
        <v>179</v>
      </c>
      <c r="B28" s="18" t="s">
        <v>180</v>
      </c>
      <c r="C28" s="18" t="s">
        <v>181</v>
      </c>
      <c r="D28" s="18" t="s">
        <v>139</v>
      </c>
      <c r="E28" s="18" t="s">
        <v>63</v>
      </c>
      <c r="F28" s="18" t="s">
        <v>140</v>
      </c>
      <c r="G28" s="45" t="s">
        <v>63</v>
      </c>
      <c r="H28" s="46" t="s">
        <v>182</v>
      </c>
      <c r="I28" s="46" t="s">
        <v>183</v>
      </c>
      <c r="J28" s="18" t="s">
        <v>67</v>
      </c>
      <c r="K28" s="18">
        <v>3</v>
      </c>
      <c r="L28" s="18"/>
      <c r="M28" s="18"/>
      <c r="N28" s="18"/>
      <c r="O28" s="18" t="b">
        <f>VLOOKUP(A28,[1]Model!C$2:J$559,2,FALSE)=B28</f>
        <v>1</v>
      </c>
      <c r="P28" s="18" t="b">
        <f>VLOOKUP(A28,Model!C$2:G$228,5,FALSE)=D28</f>
        <v>1</v>
      </c>
      <c r="Q28" s="18">
        <f>VLOOKUP(A28,[2]Model!C$2:L$228,8,FALSE)</f>
        <v>155</v>
      </c>
      <c r="R28" s="18" t="e">
        <f>VLOOKUP(A28,[2]Model!C$2:G$228,3,FALSE)=[3]!Table14[[#This Row],[Business Definition (To go into comments and into Meta Data Hub)]]</f>
        <v>#REF!</v>
      </c>
      <c r="S28" s="18" t="e">
        <f>IF([3]!Table14[[#This Row],[Nullable in Table and in Oracle View
NULL, NOT NULL]]="No","NOT NULL","NULL")=VLOOKUP(A28,[2]Model!C$2:I$228,6,FALSE)</f>
        <v>#REF!</v>
      </c>
      <c r="T28" s="18" t="e">
        <f>VLOOKUP(B28,[2]Table!A$2:F$415,1,FALSE)=[3]!Table14[[#This Row],[Physical Name of Attribute (Name of column in Table)
Supplied by DA Team]]</f>
        <v>#REF!</v>
      </c>
      <c r="U28" s="18" t="b">
        <f>VLOOKUP(B28,Table!A$2:F$319,2,FALSE)=Table14[[#This Row],[Data type in Oracle
VARCHAR2(n), DATE, NUMBER(m,n), TIMETSTAMP(6)]]</f>
        <v>0</v>
      </c>
      <c r="V28" s="18" t="b">
        <f>VLOOKUP(B28,Table!A$2:F$231,3,FALSE)=Table14[[#This Row],[Nullable in Table and in Oracle View
NULL, NOT NULL]]</f>
        <v>1</v>
      </c>
      <c r="W28" s="18" t="b">
        <f>VLOOKUP(B28,Table!A$2:H$228,6,FALSE)=Table14[[#This Row],[Business Definition (To go into comments and into Meta Data Hub)]]</f>
        <v>1</v>
      </c>
      <c r="X28" s="18" t="str">
        <f>VLOOKUP((UPPER(SUBSTITUTE(A28," ","_"))),'[2]Consumer View'!A$2:I$329,1,FALSE)</f>
        <v>OWNER_FA_NUMBER_ENTITY_CODE</v>
      </c>
      <c r="Y28" s="18" t="s">
        <v>6</v>
      </c>
      <c r="Z28" s="47" t="s">
        <v>184</v>
      </c>
      <c r="AA28" s="18" t="s">
        <v>185</v>
      </c>
      <c r="AB28" s="18"/>
      <c r="AC28" s="18"/>
      <c r="AD28" s="101" t="s">
        <v>186</v>
      </c>
      <c r="AE28" s="52" t="s">
        <v>187</v>
      </c>
      <c r="AF28" s="18"/>
      <c r="AG28" s="18"/>
      <c r="AH28" s="18" t="s">
        <v>178</v>
      </c>
    </row>
    <row r="29" spans="1:34" ht="27" customHeight="1">
      <c r="A29" s="51" t="s">
        <v>188</v>
      </c>
      <c r="B29" s="18" t="s">
        <v>189</v>
      </c>
      <c r="C29" s="18" t="s">
        <v>190</v>
      </c>
      <c r="D29" s="18" t="s">
        <v>191</v>
      </c>
      <c r="E29" s="18" t="s">
        <v>63</v>
      </c>
      <c r="F29" s="18" t="s">
        <v>192</v>
      </c>
      <c r="G29" s="45" t="s">
        <v>63</v>
      </c>
      <c r="H29" s="46" t="s">
        <v>193</v>
      </c>
      <c r="I29" s="18">
        <v>49139</v>
      </c>
      <c r="J29" s="18" t="s">
        <v>67</v>
      </c>
      <c r="K29" s="18">
        <v>3</v>
      </c>
      <c r="L29" s="18"/>
      <c r="M29" s="18"/>
      <c r="N29" s="18"/>
      <c r="O29" s="18" t="b">
        <f>VLOOKUP(A29,[1]Model!C$2:J$559,2,FALSE)=B29</f>
        <v>1</v>
      </c>
      <c r="P29" s="18" t="b">
        <f>VLOOKUP(A29,Model!C$2:G$228,5,FALSE)=D29</f>
        <v>1</v>
      </c>
      <c r="Q29" s="18">
        <f>VLOOKUP(A29,[2]Model!C$2:L$228,8,FALSE)</f>
        <v>156</v>
      </c>
      <c r="R29" s="18" t="e">
        <f>VLOOKUP(A29,[2]Model!C$2:G$228,3,FALSE)=[3]!Table14[[#This Row],[Business Definition (To go into comments and into Meta Data Hub)]]</f>
        <v>#REF!</v>
      </c>
      <c r="S29" s="18" t="e">
        <f>IF([3]!Table14[[#This Row],[Nullable in Table and in Oracle View
NULL, NOT NULL]]="No","NOT NULL","NULL")=VLOOKUP(A29,[2]Model!C$2:I$228,6,FALSE)</f>
        <v>#REF!</v>
      </c>
      <c r="T29" s="18" t="e">
        <f>VLOOKUP(B29,[2]Table!A$2:F$415,1,FALSE)=[3]!Table14[[#This Row],[Physical Name of Attribute (Name of column in Table)
Supplied by DA Team]]</f>
        <v>#REF!</v>
      </c>
      <c r="U29" s="18" t="b">
        <f>VLOOKUP(B29,Table!A$2:F$319,2,FALSE)=Table14[[#This Row],[Data type in Oracle
VARCHAR2(n), DATE, NUMBER(m,n), TIMETSTAMP(6)]]</f>
        <v>0</v>
      </c>
      <c r="V29" s="18" t="b">
        <f>VLOOKUP(B29,Table!A$2:F$231,3,FALSE)=Table14[[#This Row],[Nullable in Table and in Oracle View
NULL, NOT NULL]]</f>
        <v>1</v>
      </c>
      <c r="W29" s="18" t="b">
        <f>VLOOKUP(B29,Table!A$2:H$228,6,FALSE)=Table14[[#This Row],[Business Definition (To go into comments and into Meta Data Hub)]]</f>
        <v>1</v>
      </c>
      <c r="X29" s="18" t="str">
        <f>VLOOKUP((UPPER(SUBSTITUTE(A29," ","_"))),'[2]Consumer View'!A$2:I$329,1,FALSE)</f>
        <v>OWNER_FA_EMPLOYEE_ID</v>
      </c>
      <c r="Y29" s="18" t="s">
        <v>6</v>
      </c>
      <c r="Z29" s="18" t="s">
        <v>184</v>
      </c>
      <c r="AA29" s="18" t="s">
        <v>194</v>
      </c>
      <c r="AB29" s="18"/>
      <c r="AC29" s="18"/>
      <c r="AD29" s="134"/>
      <c r="AE29" s="46" t="s">
        <v>195</v>
      </c>
      <c r="AF29" s="18"/>
      <c r="AG29" s="18"/>
      <c r="AH29" s="18" t="s">
        <v>178</v>
      </c>
    </row>
    <row r="30" spans="1:34" ht="27" customHeight="1">
      <c r="A30" s="51" t="s">
        <v>196</v>
      </c>
      <c r="B30" s="18" t="s">
        <v>197</v>
      </c>
      <c r="C30" s="18" t="s">
        <v>198</v>
      </c>
      <c r="D30" s="18" t="s">
        <v>199</v>
      </c>
      <c r="E30" s="18" t="s">
        <v>63</v>
      </c>
      <c r="F30" s="18" t="s">
        <v>200</v>
      </c>
      <c r="G30" s="45" t="s">
        <v>63</v>
      </c>
      <c r="H30" s="46" t="s">
        <v>201</v>
      </c>
      <c r="I30" s="46" t="s">
        <v>202</v>
      </c>
      <c r="J30" s="18" t="s">
        <v>67</v>
      </c>
      <c r="K30" s="18">
        <v>3</v>
      </c>
      <c r="L30" s="18"/>
      <c r="M30" s="18"/>
      <c r="N30" s="18"/>
      <c r="O30" s="18" t="b">
        <f>VLOOKUP(A30,[1]Model!C$2:J$559,2,FALSE)=B30</f>
        <v>1</v>
      </c>
      <c r="P30" s="18" t="b">
        <f>VLOOKUP(A30,Model!C$2:G$228,5,FALSE)=D30</f>
        <v>1</v>
      </c>
      <c r="Q30" s="18">
        <f>VLOOKUP(A30,[2]Model!C$2:L$228,8,FALSE)</f>
        <v>157</v>
      </c>
      <c r="R30" s="18" t="e">
        <f>VLOOKUP(A30,[2]Model!C$2:G$228,3,FALSE)=[3]!Table14[[#This Row],[Business Definition (To go into comments and into Meta Data Hub)]]</f>
        <v>#REF!</v>
      </c>
      <c r="S30" s="18" t="e">
        <f>IF([3]!Table14[[#This Row],[Nullable in Table and in Oracle View
NULL, NOT NULL]]="No","NOT NULL","NULL")=VLOOKUP(A30,[2]Model!C$2:I$228,6,FALSE)</f>
        <v>#REF!</v>
      </c>
      <c r="T30" s="18" t="e">
        <f>VLOOKUP(B30,[2]Table!A$2:F$415,1,FALSE)=[3]!Table14[[#This Row],[Physical Name of Attribute (Name of column in Table)
Supplied by DA Team]]</f>
        <v>#REF!</v>
      </c>
      <c r="U30" s="18" t="b">
        <f>VLOOKUP(B30,Table!A$2:F$319,2,FALSE)=Table14[[#This Row],[Data type in Oracle
VARCHAR2(n), DATE, NUMBER(m,n), TIMETSTAMP(6)]]</f>
        <v>1</v>
      </c>
      <c r="V30" s="18" t="b">
        <f>VLOOKUP(B30,Table!A$2:F$231,3,FALSE)=Table14[[#This Row],[Nullable in Table and in Oracle View
NULL, NOT NULL]]</f>
        <v>1</v>
      </c>
      <c r="W30" s="18" t="b">
        <f>VLOOKUP(B30,Table!A$2:H$228,6,FALSE)=Table14[[#This Row],[Business Definition (To go into comments and into Meta Data Hub)]]</f>
        <v>1</v>
      </c>
      <c r="X30" s="18" t="str">
        <f>VLOOKUP((UPPER(SUBSTITUTE(A30," ","_"))),'[2]Consumer View'!A$2:I$329,1,FALSE)</f>
        <v>OWNER_FA_NUMBER_ENTITY_ENTERPRISE_ID</v>
      </c>
      <c r="Y30" s="18" t="s">
        <v>6</v>
      </c>
      <c r="Z30" s="18" t="s">
        <v>203</v>
      </c>
      <c r="AA30" s="18" t="s">
        <v>204</v>
      </c>
      <c r="AB30" s="18"/>
      <c r="AC30" s="18"/>
      <c r="AD30" s="18" t="s">
        <v>205</v>
      </c>
      <c r="AE30" s="52" t="s">
        <v>206</v>
      </c>
      <c r="AF30" s="18"/>
      <c r="AG30" s="18"/>
      <c r="AH30" s="18" t="s">
        <v>207</v>
      </c>
    </row>
    <row r="31" spans="1:34" ht="27" customHeight="1">
      <c r="A31" s="51" t="s">
        <v>208</v>
      </c>
      <c r="B31" s="18" t="s">
        <v>209</v>
      </c>
      <c r="C31" s="18" t="s">
        <v>210</v>
      </c>
      <c r="D31" s="18" t="s">
        <v>211</v>
      </c>
      <c r="E31" s="18" t="s">
        <v>63</v>
      </c>
      <c r="F31" s="18" t="s">
        <v>212</v>
      </c>
      <c r="G31" s="45" t="s">
        <v>63</v>
      </c>
      <c r="H31" s="46" t="s">
        <v>213</v>
      </c>
      <c r="I31" s="18" t="s">
        <v>214</v>
      </c>
      <c r="J31" s="18" t="s">
        <v>67</v>
      </c>
      <c r="K31" s="18">
        <v>3</v>
      </c>
      <c r="L31" s="18"/>
      <c r="M31" s="18"/>
      <c r="N31" s="18"/>
      <c r="O31" s="18" t="b">
        <f>VLOOKUP(A31,[1]Model!C$2:J$559,2,FALSE)=B31</f>
        <v>1</v>
      </c>
      <c r="P31" s="18" t="b">
        <f>VLOOKUP(A31,Model!C$2:G$228,5,FALSE)=D31</f>
        <v>1</v>
      </c>
      <c r="Q31" s="18">
        <f>VLOOKUP(A31,[2]Model!C$2:L$228,8,FALSE)</f>
        <v>158</v>
      </c>
      <c r="R31" s="18" t="e">
        <f>VLOOKUP(A31,[2]Model!C$2:G$228,3,FALSE)=[3]!Table14[[#This Row],[Business Definition (To go into comments and into Meta Data Hub)]]</f>
        <v>#VALUE!</v>
      </c>
      <c r="S31" s="18" t="e">
        <f>IF([3]!Table14[[#This Row],[Nullable in Table and in Oracle View
NULL, NOT NULL]]="No","NOT NULL","NULL")=VLOOKUP(A31,[2]Model!C$2:I$228,6,FALSE)</f>
        <v>#REF!</v>
      </c>
      <c r="T31" s="18" t="e">
        <f>VLOOKUP(B31,[2]Table!A$2:F$415,1,FALSE)=[3]!Table14[[#This Row],[Physical Name of Attribute (Name of column in Table)
Supplied by DA Team]]</f>
        <v>#REF!</v>
      </c>
      <c r="U31" s="18" t="b">
        <f>VLOOKUP(B31,Table!A$2:F$319,2,FALSE)=Table14[[#This Row],[Data type in Oracle
VARCHAR2(n), DATE, NUMBER(m,n), TIMETSTAMP(6)]]</f>
        <v>0</v>
      </c>
      <c r="V31" s="18" t="b">
        <f>VLOOKUP(B31,Table!A$2:F$231,3,FALSE)=Table14[[#This Row],[Nullable in Table and in Oracle View
NULL, NOT NULL]]</f>
        <v>1</v>
      </c>
      <c r="W31" s="18" t="b">
        <f>VLOOKUP(B31,Table!A$2:H$228,6,FALSE)=Table14[[#This Row],[Business Definition (To go into comments and into Meta Data Hub)]]</f>
        <v>0</v>
      </c>
      <c r="X31" s="55" t="str">
        <f>VLOOKUP((UPPER(SUBSTITUTE(A31," ","_"))),'[2]Consumer View'!A$2:I$329,1,FALSE)</f>
        <v>ACAT_CONTRA_FIRM_CLEARING_NUMBER</v>
      </c>
      <c r="Y31" s="18" t="s">
        <v>68</v>
      </c>
      <c r="Z31" s="47" t="s">
        <v>69</v>
      </c>
      <c r="AA31" s="18" t="s">
        <v>215</v>
      </c>
      <c r="AB31" s="18"/>
      <c r="AC31" s="18"/>
      <c r="AD31" s="18" t="s">
        <v>216</v>
      </c>
      <c r="AE31" s="46"/>
      <c r="AF31" s="18"/>
      <c r="AG31" s="18"/>
      <c r="AH31" s="18" t="s">
        <v>71</v>
      </c>
    </row>
    <row r="32" spans="1:34" ht="27" customHeight="1">
      <c r="A32" s="51" t="s">
        <v>217</v>
      </c>
      <c r="B32" s="18" t="s">
        <v>218</v>
      </c>
      <c r="C32" s="18" t="s">
        <v>219</v>
      </c>
      <c r="D32" s="18" t="s">
        <v>62</v>
      </c>
      <c r="E32" s="18" t="s">
        <v>63</v>
      </c>
      <c r="F32" s="18" t="s">
        <v>64</v>
      </c>
      <c r="G32" s="45" t="s">
        <v>63</v>
      </c>
      <c r="H32" s="46" t="s">
        <v>220</v>
      </c>
      <c r="I32" s="46" t="s">
        <v>214</v>
      </c>
      <c r="J32" s="18" t="s">
        <v>67</v>
      </c>
      <c r="K32" s="18">
        <v>3</v>
      </c>
      <c r="L32" s="18"/>
      <c r="M32" s="18"/>
      <c r="N32" s="18"/>
      <c r="O32" s="18" t="b">
        <f>VLOOKUP(A32,[1]Model!C$2:J$559,2,FALSE)=B32</f>
        <v>1</v>
      </c>
      <c r="P32" s="18" t="b">
        <f>VLOOKUP(A32,Model!C$2:G$228,5,FALSE)=D32</f>
        <v>1</v>
      </c>
      <c r="Q32" s="18">
        <f>VLOOKUP(A32,[2]Model!C$2:L$228,8,FALSE)</f>
        <v>159</v>
      </c>
      <c r="R32" s="18" t="e">
        <f>VLOOKUP(A32,[2]Model!C$2:G$228,3,FALSE)=[3]!Table14[[#This Row],[Business Definition (To go into comments and into Meta Data Hub)]]</f>
        <v>#REF!</v>
      </c>
      <c r="S32" s="18" t="e">
        <f>IF([3]!Table14[[#This Row],[Nullable in Table and in Oracle View
NULL, NOT NULL]]="No","NOT NULL","NULL")=VLOOKUP(A32,[2]Model!C$2:I$228,6,FALSE)</f>
        <v>#REF!</v>
      </c>
      <c r="T32" s="18" t="e">
        <f>VLOOKUP(B32,[2]Table!A$2:F$415,1,FALSE)=[3]!Table14[[#This Row],[Physical Name of Attribute (Name of column in Table)
Supplied by DA Team]]</f>
        <v>#REF!</v>
      </c>
      <c r="U32" s="18" t="b">
        <f>VLOOKUP(B32,Table!A$2:F$319,2,FALSE)=Table14[[#This Row],[Data type in Oracle
VARCHAR2(n), DATE, NUMBER(m,n), TIMETSTAMP(6)]]</f>
        <v>0</v>
      </c>
      <c r="V32" s="18" t="b">
        <f>VLOOKUP(B32,Table!A$2:F$231,3,FALSE)=Table14[[#This Row],[Nullable in Table and in Oracle View
NULL, NOT NULL]]</f>
        <v>1</v>
      </c>
      <c r="W32" s="18" t="b">
        <f>VLOOKUP(B32,Table!A$2:H$228,6,FALSE)=Table14[[#This Row],[Business Definition (To go into comments and into Meta Data Hub)]]</f>
        <v>1</v>
      </c>
      <c r="X32" s="18" t="str">
        <f>VLOOKUP((UPPER(SUBSTITUTE(A32," ","_"))),'[2]Consumer View'!A$2:I$329,1,FALSE)</f>
        <v>ACAT_CONTRA_FIRM_NAME</v>
      </c>
      <c r="Y32" s="18" t="s">
        <v>68</v>
      </c>
      <c r="Z32" s="47" t="s">
        <v>221</v>
      </c>
      <c r="AA32" s="18" t="s">
        <v>222</v>
      </c>
      <c r="AB32" s="18"/>
      <c r="AC32" s="18"/>
      <c r="AD32" s="18" t="s">
        <v>223</v>
      </c>
      <c r="AE32" s="46" t="s">
        <v>224</v>
      </c>
      <c r="AF32" s="18"/>
      <c r="AG32" s="18"/>
      <c r="AH32" s="18" t="s">
        <v>71</v>
      </c>
    </row>
    <row r="33" spans="1:34" ht="27" customHeight="1">
      <c r="A33" s="51" t="s">
        <v>225</v>
      </c>
      <c r="B33" s="18" t="s">
        <v>226</v>
      </c>
      <c r="C33" s="18"/>
      <c r="D33" s="18" t="s">
        <v>227</v>
      </c>
      <c r="E33" s="18" t="s">
        <v>63</v>
      </c>
      <c r="F33" s="18" t="s">
        <v>228</v>
      </c>
      <c r="G33" s="45" t="s">
        <v>63</v>
      </c>
      <c r="H33" s="46" t="s">
        <v>229</v>
      </c>
      <c r="I33" s="46" t="s">
        <v>214</v>
      </c>
      <c r="J33" s="18" t="s">
        <v>67</v>
      </c>
      <c r="K33" s="18">
        <v>3</v>
      </c>
      <c r="L33" s="18"/>
      <c r="M33" s="18"/>
      <c r="N33" s="18"/>
      <c r="O33" s="18" t="b">
        <f>VLOOKUP(A33,[1]Model!C$2:J$559,2,FALSE)=B33</f>
        <v>1</v>
      </c>
      <c r="P33" s="18" t="b">
        <f>VLOOKUP(A33,Model!C$2:G$228,5,FALSE)=D33</f>
        <v>1</v>
      </c>
      <c r="Q33" s="18">
        <f>VLOOKUP(A33,[2]Model!C$2:L$228,8,FALSE)</f>
        <v>160</v>
      </c>
      <c r="R33" s="18" t="e">
        <f>VLOOKUP(A33,[2]Model!C$2:G$228,3,FALSE)=[3]!Table14[[#This Row],[Business Definition (To go into comments and into Meta Data Hub)]]</f>
        <v>#REF!</v>
      </c>
      <c r="S33" s="18" t="e">
        <f>IF([3]!Table14[[#This Row],[Nullable in Table and in Oracle View
NULL, NOT NULL]]="No","NOT NULL","NULL")=VLOOKUP(A33,[2]Model!C$2:I$228,6,FALSE)</f>
        <v>#REF!</v>
      </c>
      <c r="T33" s="18" t="e">
        <f>VLOOKUP(B33,[2]Table!A$2:F$415,1,FALSE)=[3]!Table14[[#This Row],[Physical Name of Attribute (Name of column in Table)
Supplied by DA Team]]</f>
        <v>#REF!</v>
      </c>
      <c r="U33" s="18" t="b">
        <f>VLOOKUP(B33,Table!A$2:F$319,2,FALSE)=Table14[[#This Row],[Data type in Oracle
VARCHAR2(n), DATE, NUMBER(m,n), TIMETSTAMP(6)]]</f>
        <v>0</v>
      </c>
      <c r="V33" s="18" t="b">
        <f>VLOOKUP(B33,Table!A$2:F$231,3,FALSE)=Table14[[#This Row],[Nullable in Table and in Oracle View
NULL, NOT NULL]]</f>
        <v>1</v>
      </c>
      <c r="W33" s="18" t="b">
        <f>VLOOKUP(B33,Table!A$2:H$228,6,FALSE)=Table14[[#This Row],[Business Definition (To go into comments and into Meta Data Hub)]]</f>
        <v>1</v>
      </c>
      <c r="X33" s="18" t="str">
        <f>VLOOKUP((UPPER(SUBSTITUTE(A33," ","_"))),'[2]Consumer View'!A$2:I$329,1,FALSE)</f>
        <v>ACAT_CONTRA_FIRM_SHORT_NAME</v>
      </c>
      <c r="Y33" s="18" t="s">
        <v>68</v>
      </c>
      <c r="Z33" s="47" t="s">
        <v>221</v>
      </c>
      <c r="AA33" s="18" t="s">
        <v>230</v>
      </c>
      <c r="AB33" s="18"/>
      <c r="AC33" s="18"/>
      <c r="AD33" s="18" t="s">
        <v>223</v>
      </c>
      <c r="AE33" s="46" t="s">
        <v>231</v>
      </c>
      <c r="AF33" s="18"/>
      <c r="AG33" s="18"/>
      <c r="AH33" s="18" t="s">
        <v>71</v>
      </c>
    </row>
    <row r="34" spans="1:34" ht="27" customHeight="1">
      <c r="A34" s="92" t="s">
        <v>232</v>
      </c>
      <c r="B34" s="18" t="s">
        <v>233</v>
      </c>
      <c r="C34" s="18"/>
      <c r="D34" s="18" t="s">
        <v>82</v>
      </c>
      <c r="E34" s="18" t="s">
        <v>63</v>
      </c>
      <c r="F34" s="18" t="s">
        <v>83</v>
      </c>
      <c r="G34" s="45" t="s">
        <v>63</v>
      </c>
      <c r="H34" s="46" t="s">
        <v>234</v>
      </c>
      <c r="I34" s="18">
        <v>2</v>
      </c>
      <c r="J34" s="18" t="s">
        <v>67</v>
      </c>
      <c r="K34" s="18">
        <v>3</v>
      </c>
      <c r="L34" s="18"/>
      <c r="M34" s="18"/>
      <c r="N34" s="18"/>
      <c r="O34" s="18" t="b">
        <f>VLOOKUP(A34,[1]Model!C$2:J$559,2,FALSE)=B34</f>
        <v>1</v>
      </c>
      <c r="P34" s="18" t="b">
        <f>VLOOKUP(A34,Model!C$2:G$228,5,FALSE)=D34</f>
        <v>1</v>
      </c>
      <c r="Q34" s="18">
        <f>VLOOKUP(A34,[2]Model!C$2:L$228,8,FALSE)</f>
        <v>161</v>
      </c>
      <c r="R34" s="18" t="e">
        <f>VLOOKUP(A34,[2]Model!C$2:G$228,3,FALSE)=[3]!Table14[[#This Row],[Business Definition (To go into comments and into Meta Data Hub)]]</f>
        <v>#REF!</v>
      </c>
      <c r="S34" s="18" t="e">
        <f>IF([3]!Table14[[#This Row],[Nullable in Table and in Oracle View
NULL, NOT NULL]]="No","NOT NULL","NULL")=VLOOKUP(A34,[2]Model!C$2:I$228,6,FALSE)</f>
        <v>#REF!</v>
      </c>
      <c r="T34" s="18" t="e">
        <f>VLOOKUP(B34,[2]Table!A$2:F$415,1,FALSE)=[3]!Table14[[#This Row],[Physical Name of Attribute (Name of column in Table)
Supplied by DA Team]]</f>
        <v>#REF!</v>
      </c>
      <c r="U34" s="18" t="b">
        <f>VLOOKUP(B34,Table!A$2:F$319,2,FALSE)=Table14[[#This Row],[Data type in Oracle
VARCHAR2(n), DATE, NUMBER(m,n), TIMETSTAMP(6)]]</f>
        <v>0</v>
      </c>
      <c r="V34" s="18" t="b">
        <f>VLOOKUP(B34,Table!A$2:F$231,3,FALSE)=Table14[[#This Row],[Nullable in Table and in Oracle View
NULL, NOT NULL]]</f>
        <v>1</v>
      </c>
      <c r="W34" s="18" t="b">
        <f>VLOOKUP(B34,Table!A$2:H$228,6,FALSE)=Table14[[#This Row],[Business Definition (To go into comments and into Meta Data Hub)]]</f>
        <v>1</v>
      </c>
      <c r="X34" s="18" t="str">
        <f>VLOOKUP((UPPER(SUBSTITUTE(A34," ","_"))),'[2]Consumer View'!A$2:I$329,1,FALSE)</f>
        <v>ACAT_CONTRA_FIRM_CLEARING_ID_TYPE_CODE</v>
      </c>
      <c r="Y34" s="18" t="s">
        <v>68</v>
      </c>
      <c r="Z34" s="18" t="s">
        <v>221</v>
      </c>
      <c r="AA34" s="18" t="s">
        <v>235</v>
      </c>
      <c r="AB34" s="18"/>
      <c r="AC34" s="18"/>
      <c r="AD34" s="18" t="s">
        <v>236</v>
      </c>
      <c r="AE34" s="46" t="s">
        <v>231</v>
      </c>
      <c r="AF34" s="18"/>
      <c r="AG34" s="18"/>
      <c r="AH34" s="18" t="s">
        <v>71</v>
      </c>
    </row>
    <row r="35" spans="1:34" ht="27" customHeight="1">
      <c r="A35" s="51" t="s">
        <v>237</v>
      </c>
      <c r="B35" s="18" t="s">
        <v>238</v>
      </c>
      <c r="C35" s="18" t="s">
        <v>239</v>
      </c>
      <c r="D35" s="18" t="s">
        <v>62</v>
      </c>
      <c r="E35" s="18" t="s">
        <v>63</v>
      </c>
      <c r="F35" s="18" t="s">
        <v>64</v>
      </c>
      <c r="G35" s="45" t="s">
        <v>63</v>
      </c>
      <c r="H35" s="46" t="s">
        <v>240</v>
      </c>
      <c r="I35" s="46" t="s">
        <v>241</v>
      </c>
      <c r="J35" s="18" t="s">
        <v>67</v>
      </c>
      <c r="K35" s="18">
        <v>3</v>
      </c>
      <c r="L35" s="18"/>
      <c r="M35" s="18"/>
      <c r="N35" s="18"/>
      <c r="O35" s="18" t="b">
        <f>VLOOKUP(A35,[1]Model!C$2:J$559,2,FALSE)=B35</f>
        <v>1</v>
      </c>
      <c r="P35" s="18" t="b">
        <f>VLOOKUP(A35,Model!C$2:G$228,5,FALSE)=D35</f>
        <v>1</v>
      </c>
      <c r="Q35" s="18">
        <f>VLOOKUP(A35,[2]Model!C$2:L$228,8,FALSE)</f>
        <v>162</v>
      </c>
      <c r="R35" s="18" t="e">
        <f>VLOOKUP(A35,[2]Model!C$2:G$228,3,FALSE)=[3]!Table14[[#This Row],[Business Definition (To go into comments and into Meta Data Hub)]]</f>
        <v>#REF!</v>
      </c>
      <c r="S35" s="18" t="e">
        <f>IF([3]!Table14[[#This Row],[Nullable in Table and in Oracle View
NULL, NOT NULL]]="No","NOT NULL","NULL")=VLOOKUP(A35,[2]Model!C$2:I$228,6,FALSE)</f>
        <v>#REF!</v>
      </c>
      <c r="T35" s="18" t="e">
        <f>VLOOKUP(B35,[2]Table!A$2:F$415,1,FALSE)=[3]!Table14[[#This Row],[Physical Name of Attribute (Name of column in Table)
Supplied by DA Team]]</f>
        <v>#REF!</v>
      </c>
      <c r="U35" s="18" t="b">
        <f>VLOOKUP(B35,Table!A$2:F$319,2,FALSE)=Table14[[#This Row],[Data type in Oracle
VARCHAR2(n), DATE, NUMBER(m,n), TIMETSTAMP(6)]]</f>
        <v>0</v>
      </c>
      <c r="V35" s="18" t="b">
        <f>VLOOKUP(B35,Table!A$2:F$231,3,FALSE)=Table14[[#This Row],[Nullable in Table and in Oracle View
NULL, NOT NULL]]</f>
        <v>1</v>
      </c>
      <c r="W35" s="18" t="b">
        <f>VLOOKUP(B35,Table!A$2:H$228,6,FALSE)=Table14[[#This Row],[Business Definition (To go into comments and into Meta Data Hub)]]</f>
        <v>1</v>
      </c>
      <c r="X35" s="18" t="str">
        <f>VLOOKUP((UPPER(SUBSTITUTE(A35," ","_"))),'[2]Consumer View'!A$2:I$329,1,FALSE)</f>
        <v>MONEY_MOVEMENT_ALTERNATE_ID</v>
      </c>
      <c r="Y35" s="18" t="s">
        <v>68</v>
      </c>
      <c r="Z35" s="47" t="s">
        <v>69</v>
      </c>
      <c r="AA35" s="18" t="s">
        <v>215</v>
      </c>
      <c r="AB35" s="18"/>
      <c r="AC35" s="18"/>
      <c r="AD35" s="18" t="s">
        <v>242</v>
      </c>
      <c r="AE35" s="46"/>
      <c r="AF35" s="18"/>
      <c r="AG35" s="18"/>
      <c r="AH35" s="18" t="s">
        <v>71</v>
      </c>
    </row>
    <row r="36" spans="1:34" ht="27" customHeight="1">
      <c r="A36" s="51" t="s">
        <v>243</v>
      </c>
      <c r="B36" s="18" t="s">
        <v>244</v>
      </c>
      <c r="C36" s="18" t="s">
        <v>245</v>
      </c>
      <c r="D36" s="18" t="s">
        <v>139</v>
      </c>
      <c r="E36" s="18" t="s">
        <v>63</v>
      </c>
      <c r="F36" s="18" t="s">
        <v>140</v>
      </c>
      <c r="G36" s="45" t="s">
        <v>63</v>
      </c>
      <c r="H36" s="46" t="s">
        <v>246</v>
      </c>
      <c r="I36" s="18" t="s">
        <v>247</v>
      </c>
      <c r="J36" s="18" t="s">
        <v>67</v>
      </c>
      <c r="K36" s="18">
        <v>3</v>
      </c>
      <c r="L36" s="18"/>
      <c r="M36" s="18"/>
      <c r="N36" s="18"/>
      <c r="O36" s="18" t="b">
        <f>VLOOKUP(A36,[1]Model!C$2:J$559,2,FALSE)=B36</f>
        <v>1</v>
      </c>
      <c r="P36" s="18" t="b">
        <f>VLOOKUP(A36,Model!C$2:G$228,5,FALSE)=D36</f>
        <v>1</v>
      </c>
      <c r="Q36" s="18">
        <f>VLOOKUP(A36,[2]Model!C$2:L$228,8,FALSE)</f>
        <v>185</v>
      </c>
      <c r="R36" s="18" t="e">
        <f>VLOOKUP(A36,[2]Model!C$2:G$228,3,FALSE)=[3]!Table14[[#This Row],[Business Definition (To go into comments and into Meta Data Hub)]]</f>
        <v>#REF!</v>
      </c>
      <c r="S36" s="18" t="e">
        <f>IF([3]!Table14[[#This Row],[Nullable in Table and in Oracle View
NULL, NOT NULL]]="No","NOT NULL","NULL")=VLOOKUP(A36,[2]Model!C$2:I$228,6,FALSE)</f>
        <v>#REF!</v>
      </c>
      <c r="T36" s="18" t="e">
        <f>VLOOKUP(B36,[2]Table!A$2:F$415,1,FALSE)=[3]!Table14[[#This Row],[Physical Name of Attribute (Name of column in Table)
Supplied by DA Team]]</f>
        <v>#REF!</v>
      </c>
      <c r="U36" s="18" t="b">
        <f>VLOOKUP(B36,Table!A$2:F$319,2,FALSE)=Table14[[#This Row],[Data type in Oracle
VARCHAR2(n), DATE, NUMBER(m,n), TIMETSTAMP(6)]]</f>
        <v>0</v>
      </c>
      <c r="V36" s="18" t="b">
        <f>VLOOKUP(B36,Table!A$2:F$231,3,FALSE)=Table14[[#This Row],[Nullable in Table and in Oracle View
NULL, NOT NULL]]</f>
        <v>1</v>
      </c>
      <c r="W36" s="18" t="b">
        <f>VLOOKUP(B36,Table!A$2:H$228,6,FALSE)=Table14[[#This Row],[Business Definition (To go into comments and into Meta Data Hub)]]</f>
        <v>1</v>
      </c>
      <c r="X36" s="18" t="str">
        <f>VLOOKUP((UPPER(SUBSTITUTE(A36," ","_"))),'[2]Consumer View'!A$2:I$329,1,FALSE)</f>
        <v>ARRANGEMENT_ORIGINATING_SOURCE_SYSTEM_CODE</v>
      </c>
      <c r="Y36" s="18" t="s">
        <v>173</v>
      </c>
      <c r="Z36" s="18" t="s">
        <v>248</v>
      </c>
      <c r="AA36" s="18" t="s">
        <v>249</v>
      </c>
      <c r="AB36" s="18"/>
      <c r="AC36" s="18"/>
      <c r="AD36" s="18" t="s">
        <v>250</v>
      </c>
      <c r="AE36" s="46" t="s">
        <v>251</v>
      </c>
      <c r="AF36" s="18"/>
      <c r="AG36" s="18"/>
      <c r="AH36" s="18" t="s">
        <v>178</v>
      </c>
    </row>
    <row r="37" spans="1:34" ht="27" customHeight="1">
      <c r="A37" s="51" t="s">
        <v>252</v>
      </c>
      <c r="B37" s="18" t="s">
        <v>253</v>
      </c>
      <c r="C37" s="18"/>
      <c r="D37" s="18" t="s">
        <v>101</v>
      </c>
      <c r="E37" s="18" t="s">
        <v>63</v>
      </c>
      <c r="F37" s="18" t="s">
        <v>133</v>
      </c>
      <c r="G37" s="45" t="s">
        <v>63</v>
      </c>
      <c r="H37" s="46" t="s">
        <v>254</v>
      </c>
      <c r="I37" s="18">
        <v>3</v>
      </c>
      <c r="J37" s="18" t="s">
        <v>67</v>
      </c>
      <c r="K37" s="18">
        <v>3</v>
      </c>
      <c r="L37" s="18"/>
      <c r="M37" s="18"/>
      <c r="N37" s="18"/>
      <c r="O37" s="18" t="b">
        <f>VLOOKUP(A37,[1]Model!C$2:J$559,2,FALSE)=B37</f>
        <v>1</v>
      </c>
      <c r="P37" s="18" t="e">
        <f>VLOOKUP(A37,Model!C$2:G$228,5,FALSE)=D37</f>
        <v>#N/A</v>
      </c>
      <c r="Q37" s="18">
        <f>VLOOKUP(A37,[2]Model!C$2:L$228,8,FALSE)</f>
        <v>163</v>
      </c>
      <c r="R37" s="18" t="e">
        <f>VLOOKUP(A37,[2]Model!C$2:G$228,3,FALSE)=[3]!Table14[[#This Row],[Business Definition (To go into comments and into Meta Data Hub)]]</f>
        <v>#REF!</v>
      </c>
      <c r="S37" s="18" t="e">
        <f>IF([3]!Table14[[#This Row],[Nullable in Table and in Oracle View
NULL, NOT NULL]]="No","NOT NULL","NULL")=VLOOKUP(A37,[2]Model!C$2:I$228,6,FALSE)</f>
        <v>#REF!</v>
      </c>
      <c r="T37" s="18" t="e">
        <f>VLOOKUP(B37,[2]Table!A$2:F$415,1,FALSE)=[3]!Table14[[#This Row],[Physical Name of Attribute (Name of column in Table)
Supplied by DA Team]]</f>
        <v>#REF!</v>
      </c>
      <c r="U37" s="18" t="b">
        <f>VLOOKUP(B37,Table!A$2:F$319,2,FALSE)=Table14[[#This Row],[Data type in Oracle
VARCHAR2(n), DATE, NUMBER(m,n), TIMETSTAMP(6)]]</f>
        <v>1</v>
      </c>
      <c r="V37" s="18" t="b">
        <f>VLOOKUP(B37,Table!A$2:F$231,3,FALSE)=Table14[[#This Row],[Nullable in Table and in Oracle View
NULL, NOT NULL]]</f>
        <v>1</v>
      </c>
      <c r="W37" s="18" t="b">
        <f>VLOOKUP(B37,Table!A$2:H$228,6,FALSE)=Table14[[#This Row],[Business Definition (To go into comments and into Meta Data Hub)]]</f>
        <v>1</v>
      </c>
      <c r="X37" s="18" t="str">
        <f>VLOOKUP((UPPER(SUBSTITUTE(A37," ","_"))),'[2]Consumer View'!A$2:I$329,1,FALSE)</f>
        <v>SOURCE_SYSTEM_ID</v>
      </c>
      <c r="Y37" s="18" t="s">
        <v>68</v>
      </c>
      <c r="Z37" s="18" t="s">
        <v>69</v>
      </c>
      <c r="AA37" s="18" t="s">
        <v>253</v>
      </c>
      <c r="AB37" s="18"/>
      <c r="AC37" s="18"/>
      <c r="AD37" s="18"/>
      <c r="AE37" s="46"/>
      <c r="AF37" s="18"/>
      <c r="AG37" s="18"/>
      <c r="AH37" s="18" t="s">
        <v>71</v>
      </c>
    </row>
    <row r="38" spans="1:34" ht="27" customHeight="1">
      <c r="A38" s="51" t="s">
        <v>255</v>
      </c>
      <c r="B38" s="18" t="s">
        <v>256</v>
      </c>
      <c r="C38" s="18" t="s">
        <v>257</v>
      </c>
      <c r="D38" s="18" t="s">
        <v>258</v>
      </c>
      <c r="E38" s="18" t="s">
        <v>63</v>
      </c>
      <c r="F38" s="18" t="s">
        <v>259</v>
      </c>
      <c r="G38" s="45" t="s">
        <v>63</v>
      </c>
      <c r="H38" s="46" t="s">
        <v>260</v>
      </c>
      <c r="I38" s="18" t="s">
        <v>261</v>
      </c>
      <c r="J38" s="18" t="s">
        <v>67</v>
      </c>
      <c r="K38" s="18">
        <v>3</v>
      </c>
      <c r="L38" s="18"/>
      <c r="M38" s="18"/>
      <c r="N38" s="18"/>
      <c r="O38" s="18" t="b">
        <f>VLOOKUP(A38,[1]Model!C$2:J$559,2,FALSE)=B38</f>
        <v>1</v>
      </c>
      <c r="P38" s="18" t="e">
        <f>VLOOKUP(A38,Model!C$2:G$228,5,FALSE)=D38</f>
        <v>#N/A</v>
      </c>
      <c r="Q38" s="18">
        <f>VLOOKUP(A38,[2]Model!C$2:L$228,8,FALSE)</f>
        <v>165</v>
      </c>
      <c r="R38" s="18" t="e">
        <f>VLOOKUP(A38,[2]Model!C$2:G$228,3,FALSE)=[3]!Table14[[#This Row],[Business Definition (To go into comments and into Meta Data Hub)]]</f>
        <v>#REF!</v>
      </c>
      <c r="S38" s="18" t="e">
        <f>IF([3]!Table14[[#This Row],[Nullable in Table and in Oracle View
NULL, NOT NULL]]="No","NOT NULL","NULL")=VLOOKUP(A38,[2]Model!C$2:I$228,6,FALSE)</f>
        <v>#REF!</v>
      </c>
      <c r="T38" s="18" t="e">
        <f>VLOOKUP(B38,[2]Table!A$2:F$415,1,FALSE)=[3]!Table14[[#This Row],[Physical Name of Attribute (Name of column in Table)
Supplied by DA Team]]</f>
        <v>#REF!</v>
      </c>
      <c r="U38" s="18" t="b">
        <f>VLOOKUP(B38,Table!A$2:F$319,2,FALSE)=Table14[[#This Row],[Data type in Oracle
VARCHAR2(n), DATE, NUMBER(m,n), TIMETSTAMP(6)]]</f>
        <v>0</v>
      </c>
      <c r="V38" s="18" t="b">
        <f>VLOOKUP(B38,Table!A$2:F$231,3,FALSE)=Table14[[#This Row],[Nullable in Table and in Oracle View
NULL, NOT NULL]]</f>
        <v>1</v>
      </c>
      <c r="W38" s="18" t="b">
        <f>VLOOKUP(B38,Table!A$2:H$228,6,FALSE)=Table14[[#This Row],[Business Definition (To go into comments and into Meta Data Hub)]]</f>
        <v>1</v>
      </c>
      <c r="X38" s="18" t="str">
        <f>VLOOKUP((UPPER(SUBSTITUTE(A38," ","_"))),'[2]Consumer View'!A$2:I$329,1,FALSE)</f>
        <v>SOURCE_SYSTEM_NAME</v>
      </c>
      <c r="Y38" s="18" t="s">
        <v>262</v>
      </c>
      <c r="Z38" s="18" t="s">
        <v>263</v>
      </c>
      <c r="AA38" s="18" t="s">
        <v>256</v>
      </c>
      <c r="AB38" s="18"/>
      <c r="AC38" s="18"/>
      <c r="AD38" s="18" t="s">
        <v>264</v>
      </c>
      <c r="AE38" s="46"/>
      <c r="AF38" s="18"/>
      <c r="AG38" s="18"/>
      <c r="AH38" s="18" t="s">
        <v>71</v>
      </c>
    </row>
    <row r="39" spans="1:34" ht="27" customHeight="1">
      <c r="A39" s="51" t="s">
        <v>265</v>
      </c>
      <c r="B39" s="18" t="s">
        <v>266</v>
      </c>
      <c r="C39" s="18" t="s">
        <v>267</v>
      </c>
      <c r="D39" s="51" t="s">
        <v>268</v>
      </c>
      <c r="E39" s="18" t="s">
        <v>63</v>
      </c>
      <c r="F39" s="18" t="s">
        <v>269</v>
      </c>
      <c r="G39" s="45" t="s">
        <v>63</v>
      </c>
      <c r="H39" s="46" t="s">
        <v>270</v>
      </c>
      <c r="I39" s="18" t="s">
        <v>271</v>
      </c>
      <c r="J39" s="18" t="s">
        <v>67</v>
      </c>
      <c r="K39" s="18">
        <v>3</v>
      </c>
      <c r="L39" s="18"/>
      <c r="M39" s="18"/>
      <c r="N39" s="18"/>
      <c r="O39" s="18" t="b">
        <f>VLOOKUP(A39,[1]Model!C$2:J$559,2,FALSE)=B39</f>
        <v>1</v>
      </c>
      <c r="P39" s="18" t="e">
        <f>VLOOKUP(A39,Model!C$2:G$228,5,FALSE)=D39</f>
        <v>#N/A</v>
      </c>
      <c r="Q39" s="18">
        <f>VLOOKUP(A39,[2]Model!C$2:L$228,8,FALSE)</f>
        <v>166</v>
      </c>
      <c r="R39" s="18" t="e">
        <f>VLOOKUP(A39,[2]Model!C$2:G$228,3,FALSE)=[3]!Table14[[#This Row],[Business Definition (To go into comments and into Meta Data Hub)]]</f>
        <v>#REF!</v>
      </c>
      <c r="S39" s="18" t="e">
        <f>IF([3]!Table14[[#This Row],[Nullable in Table and in Oracle View
NULL, NOT NULL]]="No","NOT NULL","NULL")=VLOOKUP(A39,[2]Model!C$2:I$228,6,FALSE)</f>
        <v>#REF!</v>
      </c>
      <c r="T39" s="18" t="e">
        <f>VLOOKUP(B39,[2]Table!A$2:F$415,1,FALSE)=[3]!Table14[[#This Row],[Physical Name of Attribute (Name of column in Table)
Supplied by DA Team]]</f>
        <v>#REF!</v>
      </c>
      <c r="U39" s="18" t="b">
        <f>VLOOKUP(B39,Table!A$2:F$319,2,FALSE)=Table14[[#This Row],[Data type in Oracle
VARCHAR2(n), DATE, NUMBER(m,n), TIMETSTAMP(6)]]</f>
        <v>0</v>
      </c>
      <c r="V39" s="18" t="b">
        <f>VLOOKUP(B39,Table!A$2:F$231,3,FALSE)=Table14[[#This Row],[Nullable in Table and in Oracle View
NULL, NOT NULL]]</f>
        <v>1</v>
      </c>
      <c r="W39" s="18" t="b">
        <f>VLOOKUP(B39,Table!A$2:H$228,6,FALSE)=Table14[[#This Row],[Business Definition (To go into comments and into Meta Data Hub)]]</f>
        <v>1</v>
      </c>
      <c r="X39" s="18" t="e">
        <f>VLOOKUP((UPPER(SUBSTITUTE(A39," ","_"))),'[2]Consumer View'!A$2:I$329,1,FALSE)</f>
        <v>#N/A</v>
      </c>
      <c r="Y39" s="18" t="s">
        <v>68</v>
      </c>
      <c r="Z39" s="18" t="s">
        <v>69</v>
      </c>
      <c r="AA39" s="18" t="s">
        <v>272</v>
      </c>
      <c r="AB39" s="18"/>
      <c r="AC39" s="18"/>
      <c r="AD39" s="18"/>
      <c r="AE39" s="46" t="s">
        <v>273</v>
      </c>
      <c r="AF39" s="18"/>
      <c r="AG39" s="18"/>
      <c r="AH39" s="18" t="s">
        <v>71</v>
      </c>
    </row>
    <row r="40" spans="1:34" ht="27" customHeight="1">
      <c r="A40" s="51" t="s">
        <v>274</v>
      </c>
      <c r="B40" s="18" t="s">
        <v>275</v>
      </c>
      <c r="C40" s="18" t="s">
        <v>276</v>
      </c>
      <c r="D40" s="18" t="s">
        <v>62</v>
      </c>
      <c r="E40" s="18" t="s">
        <v>63</v>
      </c>
      <c r="F40" s="18" t="s">
        <v>64</v>
      </c>
      <c r="G40" s="45" t="s">
        <v>63</v>
      </c>
      <c r="H40" s="46" t="s">
        <v>277</v>
      </c>
      <c r="I40" s="46" t="s">
        <v>278</v>
      </c>
      <c r="J40" s="18" t="s">
        <v>67</v>
      </c>
      <c r="K40" s="18">
        <v>3</v>
      </c>
      <c r="L40" s="18"/>
      <c r="M40" s="18"/>
      <c r="N40" s="18"/>
      <c r="O40" s="18" t="b">
        <f>VLOOKUP(A40,[1]Model!C$2:J$559,2,FALSE)=B40</f>
        <v>1</v>
      </c>
      <c r="P40" s="18" t="e">
        <f>VLOOKUP(A40,Model!C$2:G$228,5,FALSE)=D40</f>
        <v>#N/A</v>
      </c>
      <c r="Q40" s="18">
        <f>VLOOKUP(A40,[2]Model!C$2:L$228,8,FALSE)</f>
        <v>167</v>
      </c>
      <c r="R40" s="18" t="e">
        <f>VLOOKUP(A40,[2]Model!C$2:G$228,3,FALSE)=[3]!Table14[[#This Row],[Business Definition (To go into comments and into Meta Data Hub)]]</f>
        <v>#REF!</v>
      </c>
      <c r="S40" s="18" t="e">
        <f>IF([3]!Table14[[#This Row],[Nullable in Table and in Oracle View
NULL, NOT NULL]]="No","NOT NULL","NULL")=VLOOKUP(A40,[2]Model!C$2:I$228,6,FALSE)</f>
        <v>#REF!</v>
      </c>
      <c r="T40" s="18" t="e">
        <f>VLOOKUP(B40,[2]Table!A$2:F$415,1,FALSE)=[3]!Table14[[#This Row],[Physical Name of Attribute (Name of column in Table)
Supplied by DA Team]]</f>
        <v>#REF!</v>
      </c>
      <c r="U40" s="18" t="b">
        <f>VLOOKUP(B40,Table!A$2:F$319,2,FALSE)=Table14[[#This Row],[Data type in Oracle
VARCHAR2(n), DATE, NUMBER(m,n), TIMETSTAMP(6)]]</f>
        <v>0</v>
      </c>
      <c r="V40" s="18" t="b">
        <f>VLOOKUP(B40,Table!A$2:F$231,3,FALSE)=Table14[[#This Row],[Nullable in Table and in Oracle View
NULL, NOT NULL]]</f>
        <v>1</v>
      </c>
      <c r="W40" s="18" t="b">
        <f>VLOOKUP(B40,Table!A$2:H$228,6,FALSE)=Table14[[#This Row],[Business Definition (To go into comments and into Meta Data Hub)]]</f>
        <v>1</v>
      </c>
      <c r="X40" s="18" t="str">
        <f>VLOOKUP((UPPER(SUBSTITUTE(A40," ","_"))),'[2]Consumer View'!A$2:I$329,1,FALSE)</f>
        <v>SOURCE_OPTION_CLASS_CODE</v>
      </c>
      <c r="Y40" s="18" t="s">
        <v>68</v>
      </c>
      <c r="Z40" s="18" t="s">
        <v>69</v>
      </c>
      <c r="AA40" s="18" t="s">
        <v>279</v>
      </c>
      <c r="AB40" s="18"/>
      <c r="AC40" s="18"/>
      <c r="AD40" s="18"/>
      <c r="AE40" s="46"/>
      <c r="AF40" s="18"/>
      <c r="AG40" s="18"/>
      <c r="AH40" s="18" t="s">
        <v>71</v>
      </c>
    </row>
    <row r="41" spans="1:34" ht="27" customHeight="1">
      <c r="A41" s="51" t="s">
        <v>280</v>
      </c>
      <c r="B41" s="18" t="s">
        <v>281</v>
      </c>
      <c r="C41" s="18"/>
      <c r="D41" s="18" t="s">
        <v>101</v>
      </c>
      <c r="E41" s="18" t="s">
        <v>63</v>
      </c>
      <c r="F41" s="18" t="s">
        <v>133</v>
      </c>
      <c r="G41" s="45" t="s">
        <v>63</v>
      </c>
      <c r="H41" s="46" t="s">
        <v>282</v>
      </c>
      <c r="I41" s="18">
        <v>3</v>
      </c>
      <c r="J41" s="18" t="s">
        <v>67</v>
      </c>
      <c r="K41" s="18">
        <v>3</v>
      </c>
      <c r="L41" s="18"/>
      <c r="M41" s="18"/>
      <c r="N41" s="18"/>
      <c r="O41" s="18" t="b">
        <f>VLOOKUP(A41,[1]Model!C$2:J$559,2,FALSE)=B41</f>
        <v>1</v>
      </c>
      <c r="P41" s="18" t="e">
        <f>VLOOKUP(A41,Model!C$2:G$228,5,FALSE)=D41</f>
        <v>#N/A</v>
      </c>
      <c r="Q41" s="18">
        <f>VLOOKUP(A41,[2]Model!C$2:L$228,8,FALSE)</f>
        <v>168</v>
      </c>
      <c r="R41" s="18" t="e">
        <f>VLOOKUP(A41,[2]Model!C$2:G$228,3,FALSE)=[3]!Table14[[#This Row],[Business Definition (To go into comments and into Meta Data Hub)]]</f>
        <v>#REF!</v>
      </c>
      <c r="S41" s="18" t="e">
        <f>IF([3]!Table14[[#This Row],[Nullable in Table and in Oracle View
NULL, NOT NULL]]="No","NOT NULL","NULL")=VLOOKUP(A41,[2]Model!C$2:I$228,6,FALSE)</f>
        <v>#REF!</v>
      </c>
      <c r="T41" s="18" t="e">
        <f>VLOOKUP(B41,[2]Table!A$2:F$415,1,FALSE)=[3]!Table14[[#This Row],[Physical Name of Attribute (Name of column in Table)
Supplied by DA Team]]</f>
        <v>#REF!</v>
      </c>
      <c r="U41" s="18" t="b">
        <f>VLOOKUP(B41,Table!A$2:F$319,2,FALSE)=Table14[[#This Row],[Data type in Oracle
VARCHAR2(n), DATE, NUMBER(m,n), TIMETSTAMP(6)]]</f>
        <v>1</v>
      </c>
      <c r="V41" s="18" t="b">
        <f>VLOOKUP(B41,Table!A$2:F$231,3,FALSE)=Table14[[#This Row],[Nullable in Table and in Oracle View
NULL, NOT NULL]]</f>
        <v>1</v>
      </c>
      <c r="W41" s="18" t="b">
        <f>VLOOKUP(B41,Table!A$2:H$228,6,FALSE)=Table14[[#This Row],[Business Definition (To go into comments and into Meta Data Hub)]]</f>
        <v>0</v>
      </c>
      <c r="X41" s="55" t="e">
        <f>VLOOKUP((UPPER(SUBSTITUTE(A41," ","_"))),'[2]Consumer View'!A$2:I$329,1,FALSE)</f>
        <v>#N/A</v>
      </c>
      <c r="Y41" s="18" t="s">
        <v>68</v>
      </c>
      <c r="Z41" s="18" t="s">
        <v>69</v>
      </c>
      <c r="AA41" s="18" t="s">
        <v>283</v>
      </c>
      <c r="AB41" s="18"/>
      <c r="AC41" s="18"/>
      <c r="AD41" s="18"/>
      <c r="AE41" s="46" t="s">
        <v>284</v>
      </c>
      <c r="AF41" s="18"/>
      <c r="AG41" s="18"/>
      <c r="AH41" s="18" t="s">
        <v>71</v>
      </c>
    </row>
    <row r="42" spans="1:34" ht="27" customHeight="1">
      <c r="A42" s="51" t="s">
        <v>285</v>
      </c>
      <c r="B42" s="18" t="s">
        <v>286</v>
      </c>
      <c r="C42" s="18"/>
      <c r="D42" s="18" t="s">
        <v>101</v>
      </c>
      <c r="E42" s="18" t="s">
        <v>63</v>
      </c>
      <c r="F42" s="18" t="s">
        <v>133</v>
      </c>
      <c r="G42" s="45" t="s">
        <v>63</v>
      </c>
      <c r="H42" s="46" t="s">
        <v>287</v>
      </c>
      <c r="I42" s="18">
        <v>1029</v>
      </c>
      <c r="J42" s="18" t="s">
        <v>67</v>
      </c>
      <c r="K42" s="18">
        <v>3</v>
      </c>
      <c r="L42" s="18"/>
      <c r="M42" s="18"/>
      <c r="N42" s="18"/>
      <c r="O42" s="18" t="b">
        <f>VLOOKUP(A42,[1]Model!C$2:J$559,2,FALSE)=B42</f>
        <v>1</v>
      </c>
      <c r="P42" s="18" t="e">
        <f>VLOOKUP(A42,Model!C$2:G$228,5,FALSE)=D42</f>
        <v>#N/A</v>
      </c>
      <c r="Q42" s="18">
        <f>VLOOKUP(A42,[2]Model!C$2:L$228,8,FALSE)</f>
        <v>171</v>
      </c>
      <c r="R42" s="18" t="e">
        <f>VLOOKUP(A42,[2]Model!C$2:G$228,3,FALSE)=[3]!Table14[[#This Row],[Business Definition (To go into comments and into Meta Data Hub)]]</f>
        <v>#VALUE!</v>
      </c>
      <c r="S42" s="18" t="e">
        <f>IF([3]!Table14[[#This Row],[Nullable in Table and in Oracle View
NULL, NOT NULL]]="No","NOT NULL","NULL")=VLOOKUP(A42,[2]Model!C$2:I$228,6,FALSE)</f>
        <v>#REF!</v>
      </c>
      <c r="T42" s="18" t="e">
        <f>VLOOKUP(B42,[2]Table!A$2:F$415,1,FALSE)=[3]!Table14[[#This Row],[Physical Name of Attribute (Name of column in Table)
Supplied by DA Team]]</f>
        <v>#REF!</v>
      </c>
      <c r="U42" s="18" t="b">
        <f>VLOOKUP(B42,Table!A$2:F$319,2,FALSE)=Table14[[#This Row],[Data type in Oracle
VARCHAR2(n), DATE, NUMBER(m,n), TIMETSTAMP(6)]]</f>
        <v>1</v>
      </c>
      <c r="V42" s="18" t="b">
        <f>VLOOKUP(B42,Table!A$2:F$231,3,FALSE)=Table14[[#This Row],[Nullable in Table and in Oracle View
NULL, NOT NULL]]</f>
        <v>1</v>
      </c>
      <c r="W42" s="18" t="b">
        <f>VLOOKUP(B42,Table!A$2:H$228,6,FALSE)=Table14[[#This Row],[Business Definition (To go into comments and into Meta Data Hub)]]</f>
        <v>1</v>
      </c>
      <c r="X42" s="18" t="e">
        <f>VLOOKUP((UPPER(SUBSTITUTE(A42," ","_"))),'[2]Consumer View'!A$2:I$329,1,FALSE)</f>
        <v>#N/A</v>
      </c>
      <c r="Y42" s="18" t="s">
        <v>68</v>
      </c>
      <c r="Z42" s="18" t="s">
        <v>69</v>
      </c>
      <c r="AA42" s="18" t="s">
        <v>288</v>
      </c>
      <c r="AB42" s="18"/>
      <c r="AC42" s="18"/>
      <c r="AD42" s="18"/>
      <c r="AE42" s="46" t="s">
        <v>284</v>
      </c>
      <c r="AF42" s="18"/>
      <c r="AG42" s="18"/>
      <c r="AH42" s="18" t="s">
        <v>71</v>
      </c>
    </row>
    <row r="43" spans="1:34" ht="27" customHeight="1">
      <c r="A43" s="51" t="s">
        <v>289</v>
      </c>
      <c r="B43" s="18" t="s">
        <v>290</v>
      </c>
      <c r="C43" s="18"/>
      <c r="D43" s="18" t="s">
        <v>139</v>
      </c>
      <c r="E43" s="18" t="s">
        <v>63</v>
      </c>
      <c r="F43" s="18" t="s">
        <v>140</v>
      </c>
      <c r="G43" s="45" t="s">
        <v>63</v>
      </c>
      <c r="H43" s="46" t="s">
        <v>291</v>
      </c>
      <c r="I43" s="18" t="s">
        <v>292</v>
      </c>
      <c r="J43" s="18" t="s">
        <v>67</v>
      </c>
      <c r="K43" s="18">
        <v>3</v>
      </c>
      <c r="L43" s="18"/>
      <c r="M43" s="18"/>
      <c r="N43" s="18"/>
      <c r="O43" s="18" t="b">
        <f>VLOOKUP(A43,[1]Model!C$2:J$559,2,FALSE)=B43</f>
        <v>1</v>
      </c>
      <c r="P43" s="18" t="e">
        <f>VLOOKUP(A43,Model!C$2:G$228,5,FALSE)=D43</f>
        <v>#N/A</v>
      </c>
      <c r="Q43" s="18">
        <f>VLOOKUP(A43,[2]Model!C$2:L$228,8,FALSE)</f>
        <v>172</v>
      </c>
      <c r="R43" s="18" t="e">
        <f>VLOOKUP(A43,[2]Model!C$2:G$228,3,FALSE)=[3]!Table14[[#This Row],[Business Definition (To go into comments and into Meta Data Hub)]]</f>
        <v>#VALUE!</v>
      </c>
      <c r="S43" s="18" t="e">
        <f>IF([3]!Table14[[#This Row],[Nullable in Table and in Oracle View
NULL, NOT NULL]]="No","NOT NULL","NULL")=VLOOKUP(A43,[2]Model!C$2:I$228,6,FALSE)</f>
        <v>#REF!</v>
      </c>
      <c r="T43" s="18" t="e">
        <f>VLOOKUP(B43,[2]Table!A$2:F$415,1,FALSE)=[3]!Table14[[#This Row],[Physical Name of Attribute (Name of column in Table)
Supplied by DA Team]]</f>
        <v>#REF!</v>
      </c>
      <c r="U43" s="18" t="b">
        <f>VLOOKUP(B43,Table!A$2:F$319,2,FALSE)=Table14[[#This Row],[Data type in Oracle
VARCHAR2(n), DATE, NUMBER(m,n), TIMETSTAMP(6)]]</f>
        <v>0</v>
      </c>
      <c r="V43" s="18" t="b">
        <f>VLOOKUP(B43,Table!A$2:F$231,3,FALSE)=Table14[[#This Row],[Nullable in Table and in Oracle View
NULL, NOT NULL]]</f>
        <v>1</v>
      </c>
      <c r="W43" s="18" t="b">
        <f>VLOOKUP(B43,Table!A$2:H$228,6,FALSE)=Table14[[#This Row],[Business Definition (To go into comments and into Meta Data Hub)]]</f>
        <v>1</v>
      </c>
      <c r="X43" s="18" t="e">
        <f>VLOOKUP((UPPER(SUBSTITUTE(A43," ","_"))),'[2]Consumer View'!A$2:I$329,1,FALSE)</f>
        <v>#N/A</v>
      </c>
      <c r="Y43" s="18" t="s">
        <v>68</v>
      </c>
      <c r="Z43" s="18" t="s">
        <v>113</v>
      </c>
      <c r="AA43" s="18" t="s">
        <v>143</v>
      </c>
      <c r="AB43" s="18"/>
      <c r="AC43" s="18"/>
      <c r="AD43" s="18" t="s">
        <v>293</v>
      </c>
      <c r="AE43" s="46" t="s">
        <v>284</v>
      </c>
      <c r="AF43" s="18"/>
      <c r="AG43" s="18"/>
      <c r="AH43" s="18" t="s">
        <v>294</v>
      </c>
    </row>
    <row r="44" spans="1:34" ht="27" customHeight="1">
      <c r="A44" s="51" t="s">
        <v>295</v>
      </c>
      <c r="B44" s="18" t="s">
        <v>296</v>
      </c>
      <c r="C44" s="18"/>
      <c r="D44" s="18" t="s">
        <v>109</v>
      </c>
      <c r="E44" s="18" t="s">
        <v>63</v>
      </c>
      <c r="F44" s="18" t="s">
        <v>110</v>
      </c>
      <c r="G44" s="45" t="s">
        <v>63</v>
      </c>
      <c r="H44" s="46" t="s">
        <v>297</v>
      </c>
      <c r="I44" s="18" t="s">
        <v>298</v>
      </c>
      <c r="J44" s="18" t="s">
        <v>67</v>
      </c>
      <c r="K44" s="18">
        <v>3</v>
      </c>
      <c r="L44" s="18"/>
      <c r="M44" s="18"/>
      <c r="N44" s="18"/>
      <c r="O44" s="18" t="b">
        <f>VLOOKUP(A44,[1]Model!C$2:J$559,2,FALSE)=B44</f>
        <v>1</v>
      </c>
      <c r="P44" s="18" t="e">
        <f>VLOOKUP(A44,Model!C$2:G$228,5,FALSE)=D44</f>
        <v>#N/A</v>
      </c>
      <c r="Q44" s="18">
        <f>VLOOKUP(A44,[2]Model!C$2:L$228,8,FALSE)</f>
        <v>173</v>
      </c>
      <c r="R44" s="18" t="e">
        <f>VLOOKUP(A44,[2]Model!C$2:G$228,3,FALSE)=[3]!Table14[[#This Row],[Business Definition (To go into comments and into Meta Data Hub)]]</f>
        <v>#VALUE!</v>
      </c>
      <c r="S44" s="18" t="e">
        <f>IF([3]!Table14[[#This Row],[Nullable in Table and in Oracle View
NULL, NOT NULL]]="No","NOT NULL","NULL")=VLOOKUP(A44,[2]Model!C$2:I$228,6,FALSE)</f>
        <v>#REF!</v>
      </c>
      <c r="T44" s="18" t="e">
        <f>VLOOKUP(B44,[2]Table!A$2:F$415,1,FALSE)=[3]!Table14[[#This Row],[Physical Name of Attribute (Name of column in Table)
Supplied by DA Team]]</f>
        <v>#REF!</v>
      </c>
      <c r="U44" s="18" t="b">
        <f>VLOOKUP(B44,Table!A$2:F$319,2,FALSE)=Table14[[#This Row],[Data type in Oracle
VARCHAR2(n), DATE, NUMBER(m,n), TIMETSTAMP(6)]]</f>
        <v>0</v>
      </c>
      <c r="V44" s="18" t="b">
        <f>VLOOKUP(B44,Table!A$2:F$231,3,FALSE)=Table14[[#This Row],[Nullable in Table and in Oracle View
NULL, NOT NULL]]</f>
        <v>1</v>
      </c>
      <c r="W44" s="18" t="b">
        <f>VLOOKUP(B44,Table!A$2:H$228,6,FALSE)=Table14[[#This Row],[Business Definition (To go into comments and into Meta Data Hub)]]</f>
        <v>1</v>
      </c>
      <c r="X44" s="18" t="e">
        <f>VLOOKUP((UPPER(SUBSTITUTE(A44," ","_"))),'[2]Consumer View'!A$2:I$329,1,FALSE)</f>
        <v>#N/A</v>
      </c>
      <c r="Y44" s="18" t="s">
        <v>68</v>
      </c>
      <c r="Z44" s="18" t="s">
        <v>113</v>
      </c>
      <c r="AA44" s="18" t="s">
        <v>114</v>
      </c>
      <c r="AB44" s="18"/>
      <c r="AC44" s="18"/>
      <c r="AD44" s="18" t="s">
        <v>293</v>
      </c>
      <c r="AE44" s="46" t="s">
        <v>284</v>
      </c>
      <c r="AF44" s="18"/>
      <c r="AG44" s="18"/>
      <c r="AH44" s="18" t="s">
        <v>294</v>
      </c>
    </row>
    <row r="45" spans="1:34" ht="27" customHeight="1">
      <c r="A45" s="51" t="s">
        <v>299</v>
      </c>
      <c r="B45" s="18" t="s">
        <v>300</v>
      </c>
      <c r="C45" s="18" t="s">
        <v>301</v>
      </c>
      <c r="D45" s="18" t="s">
        <v>302</v>
      </c>
      <c r="E45" s="18" t="s">
        <v>63</v>
      </c>
      <c r="F45" s="18" t="s">
        <v>303</v>
      </c>
      <c r="G45" s="45" t="s">
        <v>63</v>
      </c>
      <c r="H45" s="46" t="s">
        <v>304</v>
      </c>
      <c r="I45" s="18"/>
      <c r="J45" s="18" t="s">
        <v>67</v>
      </c>
      <c r="K45" s="18">
        <v>3</v>
      </c>
      <c r="L45" s="18"/>
      <c r="M45" s="18"/>
      <c r="N45" s="18"/>
      <c r="O45" s="18" t="b">
        <f>VLOOKUP(A45,[1]Model!C$2:J$559,2,FALSE)=B45</f>
        <v>1</v>
      </c>
      <c r="P45" s="18" t="b">
        <f>VLOOKUP(A45,Model!C$2:G$228,5,FALSE)=D45</f>
        <v>1</v>
      </c>
      <c r="Q45" s="18">
        <f>VLOOKUP(A45,[2]Model!C$2:L$228,8,FALSE)</f>
        <v>195</v>
      </c>
      <c r="R45" s="18" t="e">
        <f>VLOOKUP(A45,[2]Model!C$2:G$228,3,FALSE)=[3]!Table14[[#This Row],[Business Definition (To go into comments and into Meta Data Hub)]]</f>
        <v>#REF!</v>
      </c>
      <c r="S45" s="18" t="e">
        <f>IF([3]!Table14[[#This Row],[Nullable in Table and in Oracle View
NULL, NOT NULL]]="No","NOT NULL","NULL")=VLOOKUP(A45,[2]Model!C$2:I$228,6,FALSE)</f>
        <v>#REF!</v>
      </c>
      <c r="T45" s="18" t="e">
        <f>VLOOKUP(B45,[2]Table!A$2:F$415,1,FALSE)=[3]!Table14[[#This Row],[Physical Name of Attribute (Name of column in Table)
Supplied by DA Team]]</f>
        <v>#REF!</v>
      </c>
      <c r="U45" s="18" t="b">
        <f>VLOOKUP(B45,Table!A$2:F$319,2,FALSE)=Table14[[#This Row],[Data type in Oracle
VARCHAR2(n), DATE, NUMBER(m,n), TIMETSTAMP(6)]]</f>
        <v>0</v>
      </c>
      <c r="V45" s="18" t="b">
        <f>VLOOKUP(B45,Table!A$2:F$231,3,FALSE)=Table14[[#This Row],[Nullable in Table and in Oracle View
NULL, NOT NULL]]</f>
        <v>1</v>
      </c>
      <c r="W45" s="18" t="b">
        <f>VLOOKUP(B45,Table!A$2:H$228,6,FALSE)=Table14[[#This Row],[Business Definition (To go into comments and into Meta Data Hub)]]</f>
        <v>1</v>
      </c>
      <c r="X45" s="18" t="str">
        <f>VLOOKUP((UPPER(SUBSTITUTE(A45," ","_"))),'[2]Consumer View'!A$2:I$329,1,FALSE)</f>
        <v>MF_ACCOUNT_NUMBER</v>
      </c>
      <c r="Y45" s="18" t="s">
        <v>173</v>
      </c>
      <c r="Z45" s="18" t="s">
        <v>248</v>
      </c>
      <c r="AA45" s="18" t="s">
        <v>305</v>
      </c>
      <c r="AB45" s="18"/>
      <c r="AC45" s="18"/>
      <c r="AD45" s="18" t="s">
        <v>306</v>
      </c>
      <c r="AE45" s="46" t="s">
        <v>251</v>
      </c>
      <c r="AF45" s="18"/>
      <c r="AG45" s="18"/>
      <c r="AH45" s="18" t="s">
        <v>178</v>
      </c>
    </row>
    <row r="46" spans="1:34" ht="27" customHeight="1">
      <c r="A46" s="51" t="s">
        <v>307</v>
      </c>
      <c r="B46" s="18" t="s">
        <v>308</v>
      </c>
      <c r="C46" s="18" t="s">
        <v>309</v>
      </c>
      <c r="D46" s="18" t="s">
        <v>62</v>
      </c>
      <c r="E46" s="18" t="s">
        <v>63</v>
      </c>
      <c r="F46" s="18" t="s">
        <v>64</v>
      </c>
      <c r="G46" s="45" t="s">
        <v>63</v>
      </c>
      <c r="H46" s="46" t="s">
        <v>310</v>
      </c>
      <c r="I46" s="18"/>
      <c r="J46" s="18" t="s">
        <v>67</v>
      </c>
      <c r="K46" s="18">
        <v>3</v>
      </c>
      <c r="L46" s="18"/>
      <c r="M46" s="18"/>
      <c r="N46" s="18"/>
      <c r="O46" s="18" t="b">
        <f>VLOOKUP(A46,[1]Model!C$2:J$559,2,FALSE)=B46</f>
        <v>1</v>
      </c>
      <c r="P46" s="18" t="b">
        <f>VLOOKUP(A46,Model!C$2:G$228,5,FALSE)=D46</f>
        <v>1</v>
      </c>
      <c r="Q46" s="18">
        <f>VLOOKUP(A46,[2]Model!C$2:L$228,8,FALSE)</f>
        <v>186</v>
      </c>
      <c r="R46" s="18" t="e">
        <f>VLOOKUP(A46,[2]Model!C$2:G$228,3,FALSE)=[3]!Table14[[#This Row],[Business Definition (To go into comments and into Meta Data Hub)]]</f>
        <v>#VALUE!</v>
      </c>
      <c r="S46" s="18" t="e">
        <f>IF([3]!Table14[[#This Row],[Nullable in Table and in Oracle View
NULL, NOT NULL]]="No","NOT NULL","NULL")=VLOOKUP(A46,[2]Model!C$2:I$228,6,FALSE)</f>
        <v>#REF!</v>
      </c>
      <c r="T46" s="18" t="e">
        <f>VLOOKUP(B46,[2]Table!A$2:F$415,1,FALSE)=[3]!Table14[[#This Row],[Physical Name of Attribute (Name of column in Table)
Supplied by DA Team]]</f>
        <v>#REF!</v>
      </c>
      <c r="U46" s="18" t="b">
        <f>VLOOKUP(B46,Table!A$2:F$319,2,FALSE)=Table14[[#This Row],[Data type in Oracle
VARCHAR2(n), DATE, NUMBER(m,n), TIMETSTAMP(6)]]</f>
        <v>0</v>
      </c>
      <c r="V46" s="18" t="b">
        <f>VLOOKUP(B46,Table!A$2:F$231,3,FALSE)=Table14[[#This Row],[Nullable in Table and in Oracle View
NULL, NOT NULL]]</f>
        <v>1</v>
      </c>
      <c r="W46" s="18" t="b">
        <f>VLOOKUP(B46,Table!A$2:H$228,6,FALSE)=Table14[[#This Row],[Business Definition (To go into comments and into Meta Data Hub)]]</f>
        <v>1</v>
      </c>
      <c r="X46" s="18" t="str">
        <f>VLOOKUP((UPPER(SUBSTITUTE(A46," ","_"))),'[2]Consumer View'!A$2:I$329,1,FALSE)</f>
        <v>OFFSET_ORIGINATING_SOURCE_SYSTEM_ARRANGEMENT_ID</v>
      </c>
      <c r="Y46" s="18" t="s">
        <v>173</v>
      </c>
      <c r="Z46" s="18" t="s">
        <v>248</v>
      </c>
      <c r="AA46" s="18" t="s">
        <v>311</v>
      </c>
      <c r="AB46" s="18"/>
      <c r="AC46" s="18"/>
      <c r="AD46" s="18" t="s">
        <v>312</v>
      </c>
      <c r="AE46" s="46" t="s">
        <v>313</v>
      </c>
      <c r="AF46" s="18"/>
      <c r="AG46" s="18"/>
      <c r="AH46" s="18" t="s">
        <v>178</v>
      </c>
    </row>
    <row r="47" spans="1:34" ht="27" customHeight="1">
      <c r="A47" s="51" t="s">
        <v>314</v>
      </c>
      <c r="B47" s="18" t="s">
        <v>315</v>
      </c>
      <c r="C47" s="18" t="s">
        <v>316</v>
      </c>
      <c r="D47" s="18" t="s">
        <v>139</v>
      </c>
      <c r="E47" s="18" t="s">
        <v>63</v>
      </c>
      <c r="F47" s="18" t="s">
        <v>140</v>
      </c>
      <c r="G47" s="45" t="s">
        <v>63</v>
      </c>
      <c r="H47" s="46" t="s">
        <v>317</v>
      </c>
      <c r="I47" s="18"/>
      <c r="J47" s="18" t="s">
        <v>67</v>
      </c>
      <c r="K47" s="18">
        <v>3</v>
      </c>
      <c r="L47" s="18"/>
      <c r="M47" s="18"/>
      <c r="N47" s="18"/>
      <c r="O47" s="18" t="b">
        <f>VLOOKUP(A47,[1]Model!C$2:J$559,2,FALSE)=B47</f>
        <v>1</v>
      </c>
      <c r="P47" s="18" t="b">
        <f>VLOOKUP(A47,Model!C$2:G$228,5,FALSE)=D47</f>
        <v>1</v>
      </c>
      <c r="Q47" s="18">
        <f>VLOOKUP(A47,[2]Model!C$2:L$228,8,FALSE)</f>
        <v>187</v>
      </c>
      <c r="R47" s="18" t="e">
        <f>VLOOKUP(A47,[2]Model!C$2:G$228,3,FALSE)=[3]!Table14[[#This Row],[Business Definition (To go into comments and into Meta Data Hub)]]</f>
        <v>#VALUE!</v>
      </c>
      <c r="S47" s="18" t="e">
        <f>IF([3]!Table14[[#This Row],[Nullable in Table and in Oracle View
NULL, NOT NULL]]="No","NOT NULL","NULL")=VLOOKUP(A47,[2]Model!C$2:I$228,6,FALSE)</f>
        <v>#REF!</v>
      </c>
      <c r="T47" s="18" t="e">
        <f>VLOOKUP(B47,[2]Table!A$2:F$415,1,FALSE)=[3]!Table14[[#This Row],[Physical Name of Attribute (Name of column in Table)
Supplied by DA Team]]</f>
        <v>#REF!</v>
      </c>
      <c r="U47" s="18" t="b">
        <f>VLOOKUP(B47,Table!A$2:F$319,2,FALSE)=Table14[[#This Row],[Data type in Oracle
VARCHAR2(n), DATE, NUMBER(m,n), TIMETSTAMP(6)]]</f>
        <v>0</v>
      </c>
      <c r="V47" s="18" t="b">
        <f>VLOOKUP(B47,Table!A$2:F$231,3,FALSE)=Table14[[#This Row],[Nullable in Table and in Oracle View
NULL, NOT NULL]]</f>
        <v>1</v>
      </c>
      <c r="W47" s="18" t="b">
        <f>VLOOKUP(B47,Table!A$2:H$228,6,FALSE)=Table14[[#This Row],[Business Definition (To go into comments and into Meta Data Hub)]]</f>
        <v>1</v>
      </c>
      <c r="X47" s="18" t="str">
        <f>VLOOKUP((UPPER(SUBSTITUTE(A47," ","_"))),'[2]Consumer View'!A$2:I$329,1,FALSE)</f>
        <v>OFFSET_ARRANGEMENT_ORIGINATING_SOURCE_SYSTEM_CODE</v>
      </c>
      <c r="Y47" s="18" t="s">
        <v>173</v>
      </c>
      <c r="Z47" s="18" t="s">
        <v>248</v>
      </c>
      <c r="AA47" s="18" t="s">
        <v>249</v>
      </c>
      <c r="AB47" s="18"/>
      <c r="AC47" s="18"/>
      <c r="AD47" s="18" t="s">
        <v>312</v>
      </c>
      <c r="AE47" s="46" t="s">
        <v>313</v>
      </c>
      <c r="AF47" s="18"/>
      <c r="AG47" s="18"/>
      <c r="AH47" s="18" t="s">
        <v>178</v>
      </c>
    </row>
    <row r="48" spans="1:34" ht="27" customHeight="1">
      <c r="A48" s="51" t="s">
        <v>318</v>
      </c>
      <c r="B48" s="18" t="s">
        <v>319</v>
      </c>
      <c r="C48" s="18" t="s">
        <v>320</v>
      </c>
      <c r="D48" s="18" t="s">
        <v>139</v>
      </c>
      <c r="E48" s="18" t="s">
        <v>63</v>
      </c>
      <c r="F48" s="18" t="s">
        <v>140</v>
      </c>
      <c r="G48" s="45" t="s">
        <v>63</v>
      </c>
      <c r="H48" s="46" t="s">
        <v>321</v>
      </c>
      <c r="I48" s="18"/>
      <c r="J48" s="18" t="s">
        <v>67</v>
      </c>
      <c r="K48" s="18">
        <v>3</v>
      </c>
      <c r="L48" s="18"/>
      <c r="M48" s="18"/>
      <c r="N48" s="18"/>
      <c r="O48" s="18" t="b">
        <f>VLOOKUP(A48,[1]Model!C$2:J$559,2,FALSE)=B48</f>
        <v>1</v>
      </c>
      <c r="P48" s="18" t="b">
        <f>VLOOKUP(A48,Model!C$2:G$228,5,FALSE)=D48</f>
        <v>1</v>
      </c>
      <c r="Q48" s="18">
        <f>VLOOKUP(A48,[2]Model!C$2:L$228,8,FALSE)</f>
        <v>188</v>
      </c>
      <c r="R48" s="18" t="e">
        <f>VLOOKUP(A48,[2]Model!C$2:G$228,3,FALSE)=[3]!Table14[[#This Row],[Business Definition (To go into comments and into Meta Data Hub)]]</f>
        <v>#VALUE!</v>
      </c>
      <c r="S48" s="18" t="e">
        <f>IF([3]!Table14[[#This Row],[Nullable in Table and in Oracle View
NULL, NOT NULL]]="No","NOT NULL","NULL")=VLOOKUP(A48,[2]Model!C$2:I$228,6,FALSE)</f>
        <v>#REF!</v>
      </c>
      <c r="T48" s="18" t="e">
        <f>VLOOKUP(B48,[2]Table!A$2:F$415,1,FALSE)=[3]!Table14[[#This Row],[Physical Name of Attribute (Name of column in Table)
Supplied by DA Team]]</f>
        <v>#REF!</v>
      </c>
      <c r="U48" s="18" t="b">
        <f>VLOOKUP(B48,Table!A$2:F$319,2,FALSE)=Table14[[#This Row],[Data type in Oracle
VARCHAR2(n), DATE, NUMBER(m,n), TIMETSTAMP(6)]]</f>
        <v>0</v>
      </c>
      <c r="V48" s="18" t="b">
        <f>VLOOKUP(B48,Table!A$2:F$231,3,FALSE)=Table14[[#This Row],[Nullable in Table and in Oracle View
NULL, NOT NULL]]</f>
        <v>1</v>
      </c>
      <c r="W48" s="18" t="b">
        <f>VLOOKUP(B48,Table!A$2:H$228,6,FALSE)=Table14[[#This Row],[Business Definition (To go into comments and into Meta Data Hub)]]</f>
        <v>0</v>
      </c>
      <c r="X48" s="55" t="str">
        <f>VLOOKUP((UPPER(SUBSTITUTE(A48," ","_"))),'[2]Consumer View'!A$2:I$329,1,FALSE)</f>
        <v>OFFSET_ARRANGEMENT_SETTLEMENT_TYPE_CODE</v>
      </c>
      <c r="Y48" s="18" t="s">
        <v>173</v>
      </c>
      <c r="Z48" s="18" t="s">
        <v>248</v>
      </c>
      <c r="AA48" s="18" t="s">
        <v>322</v>
      </c>
      <c r="AB48" s="18"/>
      <c r="AC48" s="18"/>
      <c r="AD48" s="18" t="s">
        <v>312</v>
      </c>
      <c r="AE48" s="46" t="s">
        <v>313</v>
      </c>
      <c r="AF48" s="18"/>
      <c r="AG48" s="18"/>
      <c r="AH48" s="18" t="s">
        <v>178</v>
      </c>
    </row>
    <row r="49" spans="1:34" ht="27" customHeight="1">
      <c r="A49" s="51" t="s">
        <v>323</v>
      </c>
      <c r="B49" s="18" t="s">
        <v>324</v>
      </c>
      <c r="C49" s="18" t="s">
        <v>325</v>
      </c>
      <c r="D49" s="18" t="s">
        <v>90</v>
      </c>
      <c r="E49" s="18" t="s">
        <v>63</v>
      </c>
      <c r="F49" s="18" t="s">
        <v>91</v>
      </c>
      <c r="G49" s="45" t="s">
        <v>63</v>
      </c>
      <c r="H49" s="46" t="s">
        <v>326</v>
      </c>
      <c r="I49" s="18"/>
      <c r="J49" s="18" t="s">
        <v>67</v>
      </c>
      <c r="K49" s="18">
        <v>3</v>
      </c>
      <c r="L49" s="18"/>
      <c r="M49" s="18"/>
      <c r="N49" s="18"/>
      <c r="O49" s="18" t="b">
        <f>VLOOKUP(A49,[1]Model!C$2:J$559,2,FALSE)=B49</f>
        <v>1</v>
      </c>
      <c r="P49" s="18" t="b">
        <f>VLOOKUP(A49,Model!C$2:G$228,5,FALSE)=D49</f>
        <v>1</v>
      </c>
      <c r="Q49" s="18">
        <f>VLOOKUP(A49,[2]Model!C$2:L$228,8,FALSE)</f>
        <v>189</v>
      </c>
      <c r="R49" s="18" t="e">
        <f>VLOOKUP(A49,[2]Model!C$2:G$228,3,FALSE)=[3]!Table14[[#This Row],[Business Definition (To go into comments and into Meta Data Hub)]]</f>
        <v>#VALUE!</v>
      </c>
      <c r="S49" s="18" t="e">
        <f>IF([3]!Table14[[#This Row],[Nullable in Table and in Oracle View
NULL, NOT NULL]]="No","NOT NULL","NULL")=VLOOKUP(A49,[2]Model!C$2:I$228,6,FALSE)</f>
        <v>#REF!</v>
      </c>
      <c r="T49" s="18" t="e">
        <f>VLOOKUP(B49,[2]Table!A$2:F$415,1,FALSE)=[3]!Table14[[#This Row],[Physical Name of Attribute (Name of column in Table)
Supplied by DA Team]]</f>
        <v>#REF!</v>
      </c>
      <c r="U49" s="18" t="b">
        <f>VLOOKUP(B49,Table!A$2:F$319,2,FALSE)=Table14[[#This Row],[Data type in Oracle
VARCHAR2(n), DATE, NUMBER(m,n), TIMETSTAMP(6)]]</f>
        <v>0</v>
      </c>
      <c r="V49" s="18" t="b">
        <f>VLOOKUP(B49,Table!A$2:F$231,3,FALSE)=Table14[[#This Row],[Nullable in Table and in Oracle View
NULL, NOT NULL]]</f>
        <v>1</v>
      </c>
      <c r="W49" s="18" t="b">
        <f>VLOOKUP(B49,Table!A$2:H$228,6,FALSE)=Table14[[#This Row],[Business Definition (To go into comments and into Meta Data Hub)]]</f>
        <v>0</v>
      </c>
      <c r="X49" s="55" t="str">
        <f>VLOOKUP((UPPER(SUBSTITUTE(A49," ","_"))),'[2]Consumer View'!A$2:I$329,1,FALSE)</f>
        <v>OFFSET_ARRANGEMENT_SETTLEMENT_TYPE_DESCRIPTION</v>
      </c>
      <c r="Y49" s="18" t="s">
        <v>173</v>
      </c>
      <c r="Z49" s="18" t="s">
        <v>248</v>
      </c>
      <c r="AA49" s="18" t="s">
        <v>327</v>
      </c>
      <c r="AB49" s="18"/>
      <c r="AC49" s="18"/>
      <c r="AD49" s="18" t="s">
        <v>312</v>
      </c>
      <c r="AE49" s="46" t="s">
        <v>313</v>
      </c>
      <c r="AF49" s="18"/>
      <c r="AG49" s="18"/>
      <c r="AH49" s="18" t="s">
        <v>178</v>
      </c>
    </row>
    <row r="50" spans="1:34" ht="27" customHeight="1">
      <c r="A50" s="51" t="s">
        <v>328</v>
      </c>
      <c r="B50" s="18" t="s">
        <v>329</v>
      </c>
      <c r="C50" s="18" t="s">
        <v>330</v>
      </c>
      <c r="D50" s="18" t="s">
        <v>139</v>
      </c>
      <c r="E50" s="18" t="s">
        <v>63</v>
      </c>
      <c r="F50" s="18" t="s">
        <v>140</v>
      </c>
      <c r="G50" s="45" t="s">
        <v>63</v>
      </c>
      <c r="H50" s="46" t="s">
        <v>331</v>
      </c>
      <c r="I50" s="18"/>
      <c r="J50" s="18" t="s">
        <v>67</v>
      </c>
      <c r="K50" s="18">
        <v>3</v>
      </c>
      <c r="L50" s="18"/>
      <c r="M50" s="18"/>
      <c r="N50" s="18"/>
      <c r="O50" s="18" t="b">
        <f>VLOOKUP(A50,[1]Model!C$2:J$559,2,FALSE)=B50</f>
        <v>1</v>
      </c>
      <c r="P50" s="18" t="b">
        <f>VLOOKUP(A50,Model!C$2:G$228,5,FALSE)=D50</f>
        <v>1</v>
      </c>
      <c r="Q50" s="18">
        <f>VLOOKUP(A50,[2]Model!C$2:L$228,8,FALSE)</f>
        <v>190</v>
      </c>
      <c r="R50" s="18" t="e">
        <f>VLOOKUP(A50,[2]Model!C$2:G$228,3,FALSE)=[3]!Table14[[#This Row],[Business Definition (To go into comments and into Meta Data Hub)]]</f>
        <v>#REF!</v>
      </c>
      <c r="S50" s="18" t="e">
        <f>IF([3]!Table14[[#This Row],[Nullable in Table and in Oracle View
NULL, NOT NULL]]="No","NOT NULL","NULL")=VLOOKUP(A50,[2]Model!C$2:I$228,6,FALSE)</f>
        <v>#REF!</v>
      </c>
      <c r="T50" s="18" t="e">
        <f>VLOOKUP(B50,[2]Table!A$2:F$415,1,FALSE)=[3]!Table14[[#This Row],[Physical Name of Attribute (Name of column in Table)
Supplied by DA Team]]</f>
        <v>#REF!</v>
      </c>
      <c r="U50" s="18" t="b">
        <f>VLOOKUP(B50,Table!A$2:F$319,2,FALSE)=Table14[[#This Row],[Data type in Oracle
VARCHAR2(n), DATE, NUMBER(m,n), TIMETSTAMP(6)]]</f>
        <v>0</v>
      </c>
      <c r="V50" s="18" t="b">
        <f>VLOOKUP(B50,Table!A$2:F$231,3,FALSE)=Table14[[#This Row],[Nullable in Table and in Oracle View
NULL, NOT NULL]]</f>
        <v>1</v>
      </c>
      <c r="W50" s="18" t="b">
        <f>VLOOKUP(B50,Table!A$2:H$228,6,FALSE)=Table14[[#This Row],[Business Definition (To go into comments and into Meta Data Hub)]]</f>
        <v>0</v>
      </c>
      <c r="X50" s="18" t="str">
        <f>VLOOKUP((UPPER(SUBSTITUTE(A50," ","_"))),'[2]Consumer View'!A$2:I$329,1,FALSE)</f>
        <v>ARRANGEMENT_SETTLEMENT_TYPE_CODE</v>
      </c>
      <c r="Y50" s="18" t="s">
        <v>173</v>
      </c>
      <c r="Z50" s="18" t="s">
        <v>248</v>
      </c>
      <c r="AA50" s="18" t="s">
        <v>322</v>
      </c>
      <c r="AB50" s="18"/>
      <c r="AC50" s="18"/>
      <c r="AD50" s="18" t="s">
        <v>306</v>
      </c>
      <c r="AE50" s="46" t="s">
        <v>251</v>
      </c>
      <c r="AF50" s="18"/>
      <c r="AG50" s="18"/>
      <c r="AH50" s="18" t="s">
        <v>178</v>
      </c>
    </row>
    <row r="51" spans="1:34" ht="27" customHeight="1">
      <c r="A51" s="51" t="s">
        <v>332</v>
      </c>
      <c r="B51" s="18" t="s">
        <v>333</v>
      </c>
      <c r="C51" s="18" t="s">
        <v>334</v>
      </c>
      <c r="D51" s="18" t="s">
        <v>90</v>
      </c>
      <c r="E51" s="18" t="s">
        <v>63</v>
      </c>
      <c r="F51" s="18" t="s">
        <v>91</v>
      </c>
      <c r="G51" s="45" t="s">
        <v>63</v>
      </c>
      <c r="H51" s="46" t="s">
        <v>335</v>
      </c>
      <c r="I51" s="18"/>
      <c r="J51" s="18" t="s">
        <v>67</v>
      </c>
      <c r="K51" s="18">
        <v>3</v>
      </c>
      <c r="L51" s="18"/>
      <c r="M51" s="18"/>
      <c r="N51" s="18"/>
      <c r="O51" s="18" t="b">
        <f>VLOOKUP(A51,[1]Model!C$2:J$559,2,FALSE)=B51</f>
        <v>1</v>
      </c>
      <c r="P51" s="18" t="b">
        <f>VLOOKUP(A51,Model!C$2:G$228,5,FALSE)=D51</f>
        <v>1</v>
      </c>
      <c r="Q51" s="18">
        <f>VLOOKUP(A51,[2]Model!C$2:L$228,8,FALSE)</f>
        <v>191</v>
      </c>
      <c r="R51" s="18" t="e">
        <f>VLOOKUP(A51,[2]Model!C$2:G$228,3,FALSE)=[3]!Table14[[#This Row],[Business Definition (To go into comments and into Meta Data Hub)]]</f>
        <v>#REF!</v>
      </c>
      <c r="S51" s="18" t="e">
        <f>IF([3]!Table14[[#This Row],[Nullable in Table and in Oracle View
NULL, NOT NULL]]="No","NOT NULL","NULL")=VLOOKUP(A51,[2]Model!C$2:I$228,6,FALSE)</f>
        <v>#REF!</v>
      </c>
      <c r="T51" s="18" t="e">
        <f>VLOOKUP(B51,[2]Table!A$2:F$415,1,FALSE)=[3]!Table14[[#This Row],[Physical Name of Attribute (Name of column in Table)
Supplied by DA Team]]</f>
        <v>#REF!</v>
      </c>
      <c r="U51" s="18" t="b">
        <f>VLOOKUP(B51,Table!A$2:F$319,2,FALSE)=Table14[[#This Row],[Data type in Oracle
VARCHAR2(n), DATE, NUMBER(m,n), TIMETSTAMP(6)]]</f>
        <v>0</v>
      </c>
      <c r="V51" s="18" t="b">
        <f>VLOOKUP(B51,Table!A$2:F$231,3,FALSE)=Table14[[#This Row],[Nullable in Table and in Oracle View
NULL, NOT NULL]]</f>
        <v>1</v>
      </c>
      <c r="W51" s="18" t="b">
        <f>VLOOKUP(B51,Table!A$2:H$228,6,FALSE)=Table14[[#This Row],[Business Definition (To go into comments and into Meta Data Hub)]]</f>
        <v>1</v>
      </c>
      <c r="X51" s="18" t="str">
        <f>VLOOKUP((UPPER(SUBSTITUTE(A51," ","_"))),'[2]Consumer View'!A$2:I$329,1,FALSE)</f>
        <v>ARRANGEMENT_SETTLEMENT_TYPE_DESCRIPTION</v>
      </c>
      <c r="Y51" s="18" t="s">
        <v>173</v>
      </c>
      <c r="Z51" s="18" t="s">
        <v>248</v>
      </c>
      <c r="AA51" s="18" t="s">
        <v>327</v>
      </c>
      <c r="AB51" s="18"/>
      <c r="AC51" s="18"/>
      <c r="AD51" s="18" t="s">
        <v>306</v>
      </c>
      <c r="AE51" s="46" t="s">
        <v>251</v>
      </c>
      <c r="AF51" s="18"/>
      <c r="AG51" s="18"/>
      <c r="AH51" s="18" t="s">
        <v>178</v>
      </c>
    </row>
    <row r="52" spans="1:34" ht="27" customHeight="1">
      <c r="A52" s="51" t="s">
        <v>336</v>
      </c>
      <c r="B52" s="18" t="s">
        <v>311</v>
      </c>
      <c r="C52" s="18" t="s">
        <v>337</v>
      </c>
      <c r="D52" s="18" t="s">
        <v>62</v>
      </c>
      <c r="E52" s="18" t="s">
        <v>63</v>
      </c>
      <c r="F52" s="18" t="s">
        <v>64</v>
      </c>
      <c r="G52" s="45" t="s">
        <v>63</v>
      </c>
      <c r="H52" s="46" t="s">
        <v>338</v>
      </c>
      <c r="I52" s="18"/>
      <c r="J52" s="18" t="s">
        <v>67</v>
      </c>
      <c r="K52" s="18">
        <v>3</v>
      </c>
      <c r="L52" s="18"/>
      <c r="M52" s="18"/>
      <c r="N52" s="18"/>
      <c r="O52" s="18" t="b">
        <f>VLOOKUP(A52,[1]Model!C$2:J$559,2,FALSE)=B52</f>
        <v>1</v>
      </c>
      <c r="P52" s="18" t="b">
        <f>VLOOKUP(A52,Model!C$2:G$228,5,FALSE)=D52</f>
        <v>1</v>
      </c>
      <c r="Q52" s="18">
        <f>VLOOKUP(A52,[2]Model!C$2:L$228,8,FALSE)</f>
        <v>184</v>
      </c>
      <c r="R52" s="18" t="e">
        <f>VLOOKUP(A52,[2]Model!C$2:G$228,3,FALSE)=[3]!Table14[[#This Row],[Business Definition (To go into comments and into Meta Data Hub)]]</f>
        <v>#REF!</v>
      </c>
      <c r="S52" s="18" t="e">
        <f>IF([3]!Table14[[#This Row],[Nullable in Table and in Oracle View
NULL, NOT NULL]]="No","NOT NULL","NULL")=VLOOKUP(A52,[2]Model!C$2:I$228,6,FALSE)</f>
        <v>#REF!</v>
      </c>
      <c r="T52" s="18" t="e">
        <f>VLOOKUP(B52,[2]Table!A$2:F$415,1,FALSE)=[3]!Table14[[#This Row],[Physical Name of Attribute (Name of column in Table)
Supplied by DA Team]]</f>
        <v>#REF!</v>
      </c>
      <c r="U52" s="18" t="b">
        <f>VLOOKUP(B52,Table!A$2:F$319,2,FALSE)=Table14[[#This Row],[Data type in Oracle
VARCHAR2(n), DATE, NUMBER(m,n), TIMETSTAMP(6)]]</f>
        <v>0</v>
      </c>
      <c r="V52" s="18" t="b">
        <f>VLOOKUP(B52,Table!A$2:F$231,3,FALSE)=Table14[[#This Row],[Nullable in Table and in Oracle View
NULL, NOT NULL]]</f>
        <v>1</v>
      </c>
      <c r="W52" s="18" t="b">
        <f>VLOOKUP(B52,Table!A$2:H$228,6,FALSE)=Table14[[#This Row],[Business Definition (To go into comments and into Meta Data Hub)]]</f>
        <v>1</v>
      </c>
      <c r="X52" s="18" t="str">
        <f>VLOOKUP((UPPER(SUBSTITUTE(A52," ","_"))),'[2]Consumer View'!A$2:I$329,1,FALSE)</f>
        <v>ORIGINATING_SOURCE_SYSTEM_ARRANGEMENT_ID</v>
      </c>
      <c r="Y52" s="18" t="s">
        <v>173</v>
      </c>
      <c r="Z52" s="46" t="s">
        <v>339</v>
      </c>
      <c r="AA52" s="46" t="s">
        <v>340</v>
      </c>
      <c r="AB52" s="18"/>
      <c r="AC52" s="18"/>
      <c r="AD52" s="18" t="s">
        <v>341</v>
      </c>
      <c r="AE52" s="46" t="s">
        <v>342</v>
      </c>
      <c r="AF52" s="18"/>
      <c r="AG52" s="18"/>
      <c r="AH52" s="18" t="s">
        <v>178</v>
      </c>
    </row>
    <row r="53" spans="1:34" ht="27" hidden="1" customHeight="1">
      <c r="A53" s="51" t="s">
        <v>343</v>
      </c>
      <c r="B53" s="18" t="s">
        <v>344</v>
      </c>
      <c r="C53" s="18"/>
      <c r="D53" s="18" t="s">
        <v>101</v>
      </c>
      <c r="E53" s="18" t="s">
        <v>345</v>
      </c>
      <c r="F53" s="18" t="s">
        <v>133</v>
      </c>
      <c r="G53" s="45" t="s">
        <v>63</v>
      </c>
      <c r="H53" s="46" t="s">
        <v>346</v>
      </c>
      <c r="I53" s="18"/>
      <c r="J53" s="18" t="s">
        <v>347</v>
      </c>
      <c r="K53" s="18">
        <v>3</v>
      </c>
      <c r="L53" s="18"/>
      <c r="M53" s="18"/>
      <c r="N53" s="18"/>
      <c r="O53" s="18" t="b">
        <f>VLOOKUP(A53,[1]Model!C$2:J$559,2,FALSE)=B53</f>
        <v>1</v>
      </c>
      <c r="P53" s="18" t="e">
        <f>VLOOKUP(A53,Model!C$2:G$228,5,FALSE)=D53</f>
        <v>#N/A</v>
      </c>
      <c r="Q53" s="18">
        <f>VLOOKUP(A53,[2]Model!C$2:L$228,8,FALSE)</f>
        <v>37</v>
      </c>
      <c r="R53" s="18" t="e">
        <f>VLOOKUP(A53,[2]Model!C$2:G$228,3,FALSE)=[3]!Table14[[#This Row],[Business Definition (To go into comments and into Meta Data Hub)]]</f>
        <v>#REF!</v>
      </c>
      <c r="S53" s="18" t="e">
        <f>IF([3]!Table14[[#This Row],[Nullable in Table and in Oracle View
NULL, NOT NULL]]="No","NOT NULL","NULL")=VLOOKUP(A53,[2]Model!C$2:I$228,6,FALSE)</f>
        <v>#REF!</v>
      </c>
      <c r="T53" s="18" t="e">
        <f>VLOOKUP(B53,[2]Table!A$2:F$415,1,FALSE)=[3]!Table14[[#This Row],[Physical Name of Attribute (Name of column in Table)
Supplied by DA Team]]</f>
        <v>#REF!</v>
      </c>
      <c r="U53" s="18" t="b">
        <f>VLOOKUP(B53,Table!A$2:F$319,2,FALSE)=Table14[[#This Row],[Data type in Oracle
VARCHAR2(n), DATE, NUMBER(m,n), TIMETSTAMP(6)]]</f>
        <v>1</v>
      </c>
      <c r="V53" s="18" t="b">
        <f>VLOOKUP(B53,Table!A$2:F$231,3,FALSE)=Table14[[#This Row],[Nullable in Table and in Oracle View
NULL, NOT NULL]]</f>
        <v>1</v>
      </c>
      <c r="W53" s="18" t="b">
        <f>VLOOKUP(B53,Table!A$2:H$228,6,FALSE)=Table14[[#This Row],[Business Definition (To go into comments and into Meta Data Hub)]]</f>
        <v>1</v>
      </c>
      <c r="X53" s="55" t="str">
        <f>VLOOKUP((UPPER(SUBSTITUTE(A53," ","_"))),'[2]Consumer View'!A$2:I$329,1,FALSE)</f>
        <v>TRADE_DATE_DIMENSION_ID</v>
      </c>
      <c r="Y53" s="18" t="s">
        <v>262</v>
      </c>
      <c r="Z53" s="18" t="s">
        <v>348</v>
      </c>
      <c r="AA53" s="18" t="s">
        <v>349</v>
      </c>
      <c r="AB53" s="18"/>
      <c r="AC53" s="18"/>
      <c r="AD53" s="18" t="s">
        <v>350</v>
      </c>
      <c r="AE53" s="46"/>
      <c r="AF53" s="18"/>
      <c r="AG53" s="18"/>
      <c r="AH53" s="18" t="s">
        <v>351</v>
      </c>
    </row>
    <row r="54" spans="1:34" ht="27" hidden="1" customHeight="1">
      <c r="A54" s="51" t="s">
        <v>352</v>
      </c>
      <c r="B54" s="18" t="s">
        <v>353</v>
      </c>
      <c r="C54" s="18"/>
      <c r="D54" s="18" t="s">
        <v>101</v>
      </c>
      <c r="E54" s="18" t="s">
        <v>345</v>
      </c>
      <c r="F54" s="18" t="s">
        <v>133</v>
      </c>
      <c r="G54" s="45" t="s">
        <v>63</v>
      </c>
      <c r="H54" s="46" t="s">
        <v>354</v>
      </c>
      <c r="I54" s="18"/>
      <c r="J54" s="18" t="s">
        <v>347</v>
      </c>
      <c r="K54" s="18">
        <v>3</v>
      </c>
      <c r="L54" s="18"/>
      <c r="M54" s="18"/>
      <c r="N54" s="18"/>
      <c r="O54" s="18" t="b">
        <f>VLOOKUP(A54,[1]Model!C$2:J$559,2,FALSE)=B54</f>
        <v>1</v>
      </c>
      <c r="P54" s="18" t="b">
        <f>VLOOKUP(A54,Model!C$2:G$228,5,FALSE)=D54</f>
        <v>1</v>
      </c>
      <c r="Q54" s="18">
        <f>VLOOKUP(A54,[2]Model!C$2:L$228,8,FALSE)</f>
        <v>38</v>
      </c>
      <c r="R54" s="18" t="e">
        <f>VLOOKUP(A54,[2]Model!C$2:G$228,3,FALSE)=[3]!Table14[[#This Row],[Business Definition (To go into comments and into Meta Data Hub)]]</f>
        <v>#REF!</v>
      </c>
      <c r="S54" s="18" t="e">
        <f>IF([3]!Table14[[#This Row],[Nullable in Table and in Oracle View
NULL, NOT NULL]]="No","NOT NULL","NULL")=VLOOKUP(A54,[2]Model!C$2:I$228,6,FALSE)</f>
        <v>#REF!</v>
      </c>
      <c r="T54" s="18" t="e">
        <f>VLOOKUP(B54,[2]Table!A$2:F$415,1,FALSE)=[3]!Table14[[#This Row],[Physical Name of Attribute (Name of column in Table)
Supplied by DA Team]]</f>
        <v>#REF!</v>
      </c>
      <c r="U54" s="18" t="b">
        <f>VLOOKUP(B54,Table!A$2:F$319,2,FALSE)=Table14[[#This Row],[Data type in Oracle
VARCHAR2(n), DATE, NUMBER(m,n), TIMETSTAMP(6)]]</f>
        <v>1</v>
      </c>
      <c r="V54" s="18" t="b">
        <f>VLOOKUP(B54,Table!A$2:F$231,3,FALSE)=Table14[[#This Row],[Nullable in Table and in Oracle View
NULL, NOT NULL]]</f>
        <v>1</v>
      </c>
      <c r="W54" s="18" t="b">
        <f>VLOOKUP(B54,Table!A$2:H$228,6,FALSE)=Table14[[#This Row],[Business Definition (To go into comments and into Meta Data Hub)]]</f>
        <v>1</v>
      </c>
      <c r="X54" s="18" t="str">
        <f>VLOOKUP((UPPER(SUBSTITUTE(A54," ","_"))),'[2]Consumer View'!A$2:I$329,1,FALSE)</f>
        <v>EXCHANGE_DIMENSION_ID</v>
      </c>
      <c r="Y54" s="18" t="s">
        <v>355</v>
      </c>
      <c r="Z54" s="18" t="s">
        <v>356</v>
      </c>
      <c r="AA54" s="18" t="s">
        <v>353</v>
      </c>
      <c r="AB54" s="18"/>
      <c r="AC54" s="18"/>
      <c r="AD54" s="18" t="s">
        <v>357</v>
      </c>
      <c r="AE54" s="46" t="s">
        <v>358</v>
      </c>
      <c r="AF54" s="18"/>
      <c r="AG54" s="18"/>
      <c r="AH54" s="18" t="s">
        <v>351</v>
      </c>
    </row>
    <row r="55" spans="1:34" ht="27" customHeight="1">
      <c r="A55" s="51" t="s">
        <v>359</v>
      </c>
      <c r="B55" s="18" t="s">
        <v>360</v>
      </c>
      <c r="C55" s="18" t="s">
        <v>361</v>
      </c>
      <c r="D55" s="18" t="s">
        <v>82</v>
      </c>
      <c r="E55" s="18" t="s">
        <v>63</v>
      </c>
      <c r="F55" s="18" t="s">
        <v>83</v>
      </c>
      <c r="G55" s="45" t="s">
        <v>63</v>
      </c>
      <c r="H55" s="46" t="s">
        <v>362</v>
      </c>
      <c r="I55" s="18"/>
      <c r="J55" s="18" t="s">
        <v>347</v>
      </c>
      <c r="K55" s="18">
        <v>3</v>
      </c>
      <c r="L55" s="18"/>
      <c r="M55" s="18"/>
      <c r="N55" s="18"/>
      <c r="O55" s="18" t="b">
        <f>VLOOKUP(A55,[1]Model!C$2:J$559,2,FALSE)=B55</f>
        <v>1</v>
      </c>
      <c r="P55" s="18" t="b">
        <f>VLOOKUP(A55,Model!C$2:G$228,5,FALSE)=D55</f>
        <v>1</v>
      </c>
      <c r="Q55" s="18">
        <f>VLOOKUP(A55,[2]Model!C$2:L$228,8,FALSE)</f>
        <v>102</v>
      </c>
      <c r="R55" s="18" t="e">
        <f>VLOOKUP(A55,[2]Model!C$2:G$228,3,FALSE)=[3]!Table14[[#This Row],[Business Definition (To go into comments and into Meta Data Hub)]]</f>
        <v>#REF!</v>
      </c>
      <c r="S55" s="18" t="e">
        <f>IF([3]!Table14[[#This Row],[Nullable in Table and in Oracle View
NULL, NOT NULL]]="No","NOT NULL","NULL")=VLOOKUP(A55,[2]Model!C$2:I$228,6,FALSE)</f>
        <v>#REF!</v>
      </c>
      <c r="T55" s="18" t="e">
        <f>VLOOKUP(B55,[2]Table!A$2:F$415,1,FALSE)=[3]!Table14[[#This Row],[Physical Name of Attribute (Name of column in Table)
Supplied by DA Team]]</f>
        <v>#REF!</v>
      </c>
      <c r="U55" s="18" t="b">
        <f>VLOOKUP(B55,Table!A$2:F$319,2,FALSE)=Table14[[#This Row],[Data type in Oracle
VARCHAR2(n), DATE, NUMBER(m,n), TIMETSTAMP(6)]]</f>
        <v>0</v>
      </c>
      <c r="V55" s="18" t="b">
        <f>VLOOKUP(B55,Table!A$2:F$231,3,FALSE)=Table14[[#This Row],[Nullable in Table and in Oracle View
NULL, NOT NULL]]</f>
        <v>1</v>
      </c>
      <c r="W55" s="18" t="b">
        <f>VLOOKUP(B55,Table!A$2:H$228,6,FALSE)=Table14[[#This Row],[Business Definition (To go into comments and into Meta Data Hub)]]</f>
        <v>1</v>
      </c>
      <c r="X55" s="55" t="str">
        <f>VLOOKUP((UPPER(SUBSTITUTE(A55," ","_"))),'[2]Consumer View'!A$2:I$329,1,FALSE)</f>
        <v>ACCOUNTING_TYPE_CODE</v>
      </c>
      <c r="Y55" s="18" t="s">
        <v>262</v>
      </c>
      <c r="Z55" s="18" t="s">
        <v>363</v>
      </c>
      <c r="AA55" s="18" t="s">
        <v>360</v>
      </c>
      <c r="AB55" s="18"/>
      <c r="AC55" s="18"/>
      <c r="AD55" s="18" t="s">
        <v>364</v>
      </c>
      <c r="AE55" s="46"/>
      <c r="AF55" s="18"/>
      <c r="AG55" s="18"/>
      <c r="AH55" s="18" t="s">
        <v>71</v>
      </c>
    </row>
    <row r="56" spans="1:34" ht="27" hidden="1" customHeight="1">
      <c r="A56" s="51" t="s">
        <v>365</v>
      </c>
      <c r="B56" s="18" t="s">
        <v>366</v>
      </c>
      <c r="C56" s="18"/>
      <c r="D56" s="18" t="s">
        <v>101</v>
      </c>
      <c r="E56" s="18" t="s">
        <v>345</v>
      </c>
      <c r="F56" s="18" t="s">
        <v>133</v>
      </c>
      <c r="G56" s="45" t="s">
        <v>63</v>
      </c>
      <c r="H56" s="46" t="s">
        <v>367</v>
      </c>
      <c r="I56" s="18"/>
      <c r="J56" s="18" t="s">
        <v>347</v>
      </c>
      <c r="K56" s="18">
        <v>3</v>
      </c>
      <c r="L56" s="18"/>
      <c r="M56" s="18"/>
      <c r="N56" s="18"/>
      <c r="O56" s="18" t="b">
        <f>VLOOKUP(A56,[1]Model!C$2:J$559,2,FALSE)=B56</f>
        <v>1</v>
      </c>
      <c r="P56" s="18" t="b">
        <f>VLOOKUP(A56,Model!C$2:G$228,5,FALSE)=D56</f>
        <v>1</v>
      </c>
      <c r="Q56" s="18">
        <f>VLOOKUP(A56,[2]Model!C$2:L$228,8,FALSE)</f>
        <v>41</v>
      </c>
      <c r="R56" s="18" t="e">
        <f>VLOOKUP(A56,[2]Model!C$2:G$228,3,FALSE)=[3]!Table14[[#This Row],[Business Definition (To go into comments and into Meta Data Hub)]]</f>
        <v>#REF!</v>
      </c>
      <c r="S56" s="18" t="e">
        <f>IF([3]!Table14[[#This Row],[Nullable in Table and in Oracle View
NULL, NOT NULL]]="No","NOT NULL","NULL")=VLOOKUP(A56,[2]Model!C$2:I$228,6,FALSE)</f>
        <v>#REF!</v>
      </c>
      <c r="T56" s="18" t="e">
        <f>VLOOKUP(B56,[2]Table!A$2:F$415,1,FALSE)=[3]!Table14[[#This Row],[Physical Name of Attribute (Name of column in Table)
Supplied by DA Team]]</f>
        <v>#REF!</v>
      </c>
      <c r="U56" s="18" t="b">
        <f>VLOOKUP(B56,Table!A$2:F$319,2,FALSE)=Table14[[#This Row],[Data type in Oracle
VARCHAR2(n), DATE, NUMBER(m,n), TIMETSTAMP(6)]]</f>
        <v>1</v>
      </c>
      <c r="V56" s="18" t="b">
        <f>VLOOKUP(B56,Table!A$2:F$231,3,FALSE)=Table14[[#This Row],[Nullable in Table and in Oracle View
NULL, NOT NULL]]</f>
        <v>1</v>
      </c>
      <c r="W56" s="18" t="b">
        <f>VLOOKUP(B56,Table!A$2:H$228,6,FALSE)=Table14[[#This Row],[Business Definition (To go into comments and into Meta Data Hub)]]</f>
        <v>1</v>
      </c>
      <c r="X56" s="18" t="str">
        <f>VLOOKUP((UPPER(SUBSTITUTE(A56," ","_"))),'[2]Consumer View'!A$2:I$329,1,FALSE)</f>
        <v>ACCOUNTING_TYPE_DIMENSION_ID</v>
      </c>
      <c r="Y56" s="18" t="s">
        <v>262</v>
      </c>
      <c r="Z56" s="18" t="s">
        <v>363</v>
      </c>
      <c r="AA56" s="18" t="s">
        <v>366</v>
      </c>
      <c r="AB56" s="18"/>
      <c r="AC56" s="18"/>
      <c r="AD56" s="18" t="s">
        <v>364</v>
      </c>
      <c r="AE56" s="46"/>
      <c r="AF56" s="18"/>
      <c r="AG56" s="18"/>
      <c r="AH56" s="18" t="s">
        <v>351</v>
      </c>
    </row>
    <row r="57" spans="1:34" ht="27" customHeight="1">
      <c r="A57" s="51" t="s">
        <v>368</v>
      </c>
      <c r="B57" s="18" t="s">
        <v>369</v>
      </c>
      <c r="C57" s="18" t="s">
        <v>370</v>
      </c>
      <c r="D57" s="18" t="s">
        <v>302</v>
      </c>
      <c r="E57" s="18" t="s">
        <v>63</v>
      </c>
      <c r="F57" s="18" t="s">
        <v>303</v>
      </c>
      <c r="G57" s="45" t="s">
        <v>63</v>
      </c>
      <c r="H57" s="46" t="s">
        <v>371</v>
      </c>
      <c r="I57" s="18"/>
      <c r="J57" s="18" t="s">
        <v>347</v>
      </c>
      <c r="K57" s="18">
        <v>3</v>
      </c>
      <c r="L57" s="18"/>
      <c r="M57" s="18"/>
      <c r="N57" s="18"/>
      <c r="O57" s="18" t="b">
        <f>VLOOKUP(A57,[1]Model!C$2:J$559,2,FALSE)=B57</f>
        <v>1</v>
      </c>
      <c r="P57" s="18" t="b">
        <f>VLOOKUP(A57,Model!C$2:G$228,5,FALSE)=D57</f>
        <v>1</v>
      </c>
      <c r="Q57" s="18">
        <f>VLOOKUP(A57,[2]Model!C$2:L$228,8,FALSE)</f>
        <v>101</v>
      </c>
      <c r="R57" s="18" t="e">
        <f>VLOOKUP(A57,[2]Model!C$2:G$228,3,FALSE)=[3]!Table14[[#This Row],[Business Definition (To go into comments and into Meta Data Hub)]]</f>
        <v>#REF!</v>
      </c>
      <c r="S57" s="18" t="e">
        <f>IF([3]!Table14[[#This Row],[Nullable in Table and in Oracle View
NULL, NOT NULL]]="No","NOT NULL","NULL")=VLOOKUP(A57,[2]Model!C$2:I$228,6,FALSE)</f>
        <v>#REF!</v>
      </c>
      <c r="T57" s="18" t="e">
        <f>VLOOKUP(B57,[2]Table!A$2:F$415,1,FALSE)=[3]!Table14[[#This Row],[Physical Name of Attribute (Name of column in Table)
Supplied by DA Team]]</f>
        <v>#REF!</v>
      </c>
      <c r="U57" s="18" t="b">
        <f>VLOOKUP(B57,Table!A$2:F$319,2,FALSE)=Table14[[#This Row],[Data type in Oracle
VARCHAR2(n), DATE, NUMBER(m,n), TIMETSTAMP(6)]]</f>
        <v>0</v>
      </c>
      <c r="V57" s="18" t="b">
        <f>VLOOKUP(B57,Table!A$2:F$231,3,FALSE)=Table14[[#This Row],[Nullable in Table and in Oracle View
NULL, NOT NULL]]</f>
        <v>1</v>
      </c>
      <c r="W57" s="18" t="b">
        <f>VLOOKUP(B57,Table!A$2:H$228,6,FALSE)=Table14[[#This Row],[Business Definition (To go into comments and into Meta Data Hub)]]</f>
        <v>1</v>
      </c>
      <c r="X57" s="55" t="str">
        <f>VLOOKUP((UPPER(SUBSTITUTE(A57," ","_"))),'[2]Consumer View'!A$2:I$329,1,FALSE)</f>
        <v>ACCOUNTING_TYPE_NAME</v>
      </c>
      <c r="Y57" s="18" t="s">
        <v>262</v>
      </c>
      <c r="Z57" s="18" t="s">
        <v>363</v>
      </c>
      <c r="AA57" s="18" t="s">
        <v>369</v>
      </c>
      <c r="AB57" s="18"/>
      <c r="AC57" s="18"/>
      <c r="AD57" s="18" t="s">
        <v>364</v>
      </c>
      <c r="AE57" s="46"/>
      <c r="AF57" s="18"/>
      <c r="AG57" s="18"/>
      <c r="AH57" s="18" t="s">
        <v>71</v>
      </c>
    </row>
    <row r="58" spans="1:34" ht="27" customHeight="1">
      <c r="A58" s="51" t="s">
        <v>372</v>
      </c>
      <c r="B58" s="18" t="s">
        <v>373</v>
      </c>
      <c r="C58" s="18"/>
      <c r="D58" s="18" t="s">
        <v>101</v>
      </c>
      <c r="E58" s="18" t="s">
        <v>63</v>
      </c>
      <c r="F58" s="18" t="s">
        <v>133</v>
      </c>
      <c r="G58" s="45" t="s">
        <v>63</v>
      </c>
      <c r="H58" s="46" t="s">
        <v>374</v>
      </c>
      <c r="I58" s="18"/>
      <c r="J58" s="18" t="s">
        <v>67</v>
      </c>
      <c r="K58" s="18">
        <v>3</v>
      </c>
      <c r="L58" s="18"/>
      <c r="M58" s="18"/>
      <c r="N58" s="18"/>
      <c r="O58" s="18" t="b">
        <f>VLOOKUP(A58,[1]Model!C$2:J$559,2,FALSE)=B58</f>
        <v>1</v>
      </c>
      <c r="P58" s="18" t="b">
        <f>VLOOKUP(A58,Model!C$2:G$228,5,FALSE)=D58</f>
        <v>1</v>
      </c>
      <c r="Q58" s="18">
        <f>VLOOKUP(A58,[2]Model!C$2:L$228,8,FALSE)</f>
        <v>192</v>
      </c>
      <c r="R58" s="18" t="e">
        <f>VLOOKUP(A58,[2]Model!C$2:G$228,3,FALSE)=[3]!Table14[[#This Row],[Business Definition (To go into comments and into Meta Data Hub)]]</f>
        <v>#REF!</v>
      </c>
      <c r="S58" s="18" t="e">
        <f>IF([3]!Table14[[#This Row],[Nullable in Table and in Oracle View
NULL, NOT NULL]]="No","NOT NULL","NULL")=VLOOKUP(A58,[2]Model!C$2:I$228,6,FALSE)</f>
        <v>#REF!</v>
      </c>
      <c r="T58" s="18" t="e">
        <f>VLOOKUP(B58,[2]Table!A$2:F$415,1,FALSE)=[3]!Table14[[#This Row],[Physical Name of Attribute (Name of column in Table)
Supplied by DA Team]]</f>
        <v>#REF!</v>
      </c>
      <c r="U58" s="18" t="b">
        <f>VLOOKUP(B58,Table!A$2:F$319,2,FALSE)=Table14[[#This Row],[Data type in Oracle
VARCHAR2(n), DATE, NUMBER(m,n), TIMETSTAMP(6)]]</f>
        <v>1</v>
      </c>
      <c r="V58" s="18" t="b">
        <f>VLOOKUP(B58,Table!A$2:F$231,3,FALSE)=Table14[[#This Row],[Nullable in Table and in Oracle View
NULL, NOT NULL]]</f>
        <v>1</v>
      </c>
      <c r="W58" s="18" t="b">
        <f>VLOOKUP(B58,Table!A$2:H$228,6,FALSE)=Table14[[#This Row],[Business Definition (To go into comments and into Meta Data Hub)]]</f>
        <v>1</v>
      </c>
      <c r="X58" s="18" t="str">
        <f>VLOOKUP((UPPER(SUBSTITUTE(A58," ","_"))),'[2]Consumer View'!A$2:I$329,1,FALSE)</f>
        <v>ACCOUNTING_TYPE_ID</v>
      </c>
      <c r="Y58" s="18" t="s">
        <v>68</v>
      </c>
      <c r="Z58" s="18" t="s">
        <v>375</v>
      </c>
      <c r="AA58" s="18" t="s">
        <v>373</v>
      </c>
      <c r="AB58" s="18"/>
      <c r="AC58" s="18"/>
      <c r="AD58" s="18" t="s">
        <v>376</v>
      </c>
      <c r="AE58" s="46"/>
      <c r="AF58" s="18"/>
      <c r="AG58" s="18"/>
      <c r="AH58" s="18" t="s">
        <v>71</v>
      </c>
    </row>
    <row r="59" spans="1:34" ht="27" customHeight="1">
      <c r="A59" s="51" t="s">
        <v>377</v>
      </c>
      <c r="B59" s="18" t="s">
        <v>378</v>
      </c>
      <c r="C59" s="18" t="s">
        <v>379</v>
      </c>
      <c r="D59" s="55" t="s">
        <v>82</v>
      </c>
      <c r="E59" s="18" t="s">
        <v>345</v>
      </c>
      <c r="F59" s="18" t="s">
        <v>83</v>
      </c>
      <c r="G59" s="45" t="s">
        <v>63</v>
      </c>
      <c r="H59" s="46" t="s">
        <v>380</v>
      </c>
      <c r="I59" s="18"/>
      <c r="J59" s="18" t="s">
        <v>381</v>
      </c>
      <c r="K59" s="18">
        <v>3</v>
      </c>
      <c r="L59" s="18"/>
      <c r="M59" s="18"/>
      <c r="N59" s="18"/>
      <c r="O59" s="18" t="b">
        <f>VLOOKUP(A59,[1]Model!C$2:J$559,2,FALSE)=B59</f>
        <v>1</v>
      </c>
      <c r="P59" s="18" t="b">
        <f>VLOOKUP(A59,Model!C$2:G$228,5,FALSE)=D59</f>
        <v>1</v>
      </c>
      <c r="Q59" s="18">
        <f>VLOOKUP(A59,[2]Model!C$2:L$228,8,FALSE)</f>
        <v>95</v>
      </c>
      <c r="R59" s="18" t="e">
        <f>VLOOKUP(A59,[2]Model!C$2:G$228,3,FALSE)=[3]!Table14[[#This Row],[Business Definition (To go into comments and into Meta Data Hub)]]</f>
        <v>#REF!</v>
      </c>
      <c r="S59" s="18" t="e">
        <f>IF([3]!Table14[[#This Row],[Nullable in Table and in Oracle View
NULL, NOT NULL]]="No","NOT NULL","NULL")=VLOOKUP(A59,[2]Model!C$2:I$228,6,FALSE)</f>
        <v>#REF!</v>
      </c>
      <c r="T59" s="18" t="e">
        <f>VLOOKUP(B59,[2]Table!A$2:F$415,1,FALSE)=[3]!Table14[[#This Row],[Physical Name of Attribute (Name of column in Table)
Supplied by DA Team]]</f>
        <v>#REF!</v>
      </c>
      <c r="U59" s="18" t="b">
        <f>VLOOKUP(B59,Table!A$2:F$319,2,FALSE)=Table14[[#This Row],[Data type in Oracle
VARCHAR2(n), DATE, NUMBER(m,n), TIMETSTAMP(6)]]</f>
        <v>0</v>
      </c>
      <c r="V59" s="18" t="b">
        <f>VLOOKUP(B59,Table!A$2:F$231,3,FALSE)=Table14[[#This Row],[Nullable in Table and in Oracle View
NULL, NOT NULL]]</f>
        <v>1</v>
      </c>
      <c r="W59" s="18" t="b">
        <f>VLOOKUP(B59,Table!A$2:H$228,6,FALSE)=Table14[[#This Row],[Business Definition (To go into comments and into Meta Data Hub)]]</f>
        <v>1</v>
      </c>
      <c r="X59" s="55" t="str">
        <f>VLOOKUP((UPPER(SUBSTITUTE(A59," ","_"))),'[2]Consumer View'!A$2:I$329,1,FALSE)</f>
        <v>ACTIVE_FLAG</v>
      </c>
      <c r="Y59" s="18" t="s">
        <v>68</v>
      </c>
      <c r="Z59" s="18" t="s">
        <v>69</v>
      </c>
      <c r="AA59" s="18" t="s">
        <v>378</v>
      </c>
      <c r="AB59" s="18"/>
      <c r="AC59" s="18"/>
      <c r="AD59" s="18"/>
      <c r="AE59" s="46"/>
      <c r="AF59" s="18"/>
      <c r="AG59" s="18"/>
      <c r="AH59" s="18" t="s">
        <v>71</v>
      </c>
    </row>
    <row r="60" spans="1:34" ht="27" customHeight="1">
      <c r="A60" s="51" t="s">
        <v>382</v>
      </c>
      <c r="B60" s="18" t="s">
        <v>383</v>
      </c>
      <c r="C60" s="18" t="s">
        <v>384</v>
      </c>
      <c r="D60" s="18" t="s">
        <v>385</v>
      </c>
      <c r="E60" s="18" t="s">
        <v>63</v>
      </c>
      <c r="F60" s="18" t="s">
        <v>385</v>
      </c>
      <c r="G60" s="45" t="s">
        <v>63</v>
      </c>
      <c r="H60" s="57" t="s">
        <v>386</v>
      </c>
      <c r="I60" s="46"/>
      <c r="J60" s="46" t="s">
        <v>387</v>
      </c>
      <c r="K60" s="18">
        <v>3</v>
      </c>
      <c r="L60" s="18"/>
      <c r="M60" s="18"/>
      <c r="N60" s="18"/>
      <c r="O60" s="18" t="b">
        <f>VLOOKUP(A60,[1]Model!C$2:J$559,2,FALSE)=B60</f>
        <v>1</v>
      </c>
      <c r="P60" s="18" t="b">
        <f>VLOOKUP(A60,Model!C$2:G$228,5,FALSE)=D60</f>
        <v>0</v>
      </c>
      <c r="Q60" s="18">
        <f>VLOOKUP(A60,[2]Model!C$2:L$228,8,FALSE)</f>
        <v>87</v>
      </c>
      <c r="R60" s="18" t="e">
        <f>VLOOKUP(A60,[2]Model!C$2:G$228,3,FALSE)=[3]!Table14[[#This Row],[Business Definition (To go into comments and into Meta Data Hub)]]</f>
        <v>#REF!</v>
      </c>
      <c r="S60" s="18" t="e">
        <f>IF([3]!Table14[[#This Row],[Nullable in Table and in Oracle View
NULL, NOT NULL]]="No","NOT NULL","NULL")=VLOOKUP(A60,[2]Model!C$2:I$228,6,FALSE)</f>
        <v>#REF!</v>
      </c>
      <c r="T60" s="18" t="e">
        <f>VLOOKUP(B60,[2]Table!A$2:F$415,1,FALSE)=[3]!Table14[[#This Row],[Physical Name of Attribute (Name of column in Table)
Supplied by DA Team]]</f>
        <v>#REF!</v>
      </c>
      <c r="U60" s="18" t="b">
        <f>VLOOKUP(B60,Table!A$2:F$319,2,FALSE)=Table14[[#This Row],[Data type in Oracle
VARCHAR2(n), DATE, NUMBER(m,n), TIMETSTAMP(6)]]</f>
        <v>1</v>
      </c>
      <c r="V60" s="18" t="b">
        <f>VLOOKUP(B60,Table!A$2:F$231,3,FALSE)=Table14[[#This Row],[Nullable in Table and in Oracle View
NULL, NOT NULL]]</f>
        <v>1</v>
      </c>
      <c r="W60" s="18" t="b">
        <f>VLOOKUP(B60,Table!A$2:H$228,6,FALSE)=Table14[[#This Row],[Business Definition (To go into comments and into Meta Data Hub)]]</f>
        <v>0</v>
      </c>
      <c r="X60" s="55" t="str">
        <f>VLOOKUP((UPPER(SUBSTITUTE(A60," ","_"))),'[2]Consumer View'!A$2:I$329,1,FALSE)</f>
        <v>AGGREGATE_ORIGINAL_FEES</v>
      </c>
      <c r="Y60" s="58" t="s">
        <v>68</v>
      </c>
      <c r="Z60" s="58" t="s">
        <v>388</v>
      </c>
      <c r="AA60" s="58" t="s">
        <v>389</v>
      </c>
      <c r="AB60" s="58"/>
      <c r="AC60" s="58"/>
      <c r="AD60" s="58" t="s">
        <v>390</v>
      </c>
      <c r="AE60" s="57" t="s">
        <v>391</v>
      </c>
      <c r="AF60" s="18"/>
      <c r="AG60" s="18"/>
      <c r="AH60" s="18" t="s">
        <v>71</v>
      </c>
    </row>
    <row r="61" spans="1:34" ht="27" customHeight="1">
      <c r="A61" s="51" t="s">
        <v>392</v>
      </c>
      <c r="B61" s="18" t="s">
        <v>393</v>
      </c>
      <c r="C61" s="18" t="s">
        <v>394</v>
      </c>
      <c r="D61" s="18" t="s">
        <v>385</v>
      </c>
      <c r="E61" s="18" t="s">
        <v>63</v>
      </c>
      <c r="F61" s="18" t="s">
        <v>385</v>
      </c>
      <c r="G61" s="45" t="s">
        <v>63</v>
      </c>
      <c r="H61" s="57" t="s">
        <v>386</v>
      </c>
      <c r="I61" s="18"/>
      <c r="J61" s="46" t="s">
        <v>387</v>
      </c>
      <c r="K61" s="18">
        <v>3</v>
      </c>
      <c r="L61" s="18"/>
      <c r="M61" s="18"/>
      <c r="N61" s="18"/>
      <c r="O61" s="18" t="b">
        <f>VLOOKUP(A61,[1]Model!C$2:J$559,2,FALSE)=B61</f>
        <v>1</v>
      </c>
      <c r="P61" s="18" t="b">
        <f>VLOOKUP(A61,Model!C$2:G$228,5,FALSE)=D61</f>
        <v>0</v>
      </c>
      <c r="Q61" s="18">
        <f>VLOOKUP(A61,[2]Model!C$2:L$228,8,FALSE)</f>
        <v>88</v>
      </c>
      <c r="R61" s="18" t="e">
        <f>VLOOKUP(A61,[2]Model!C$2:G$228,3,FALSE)=[3]!Table14[[#This Row],[Business Definition (To go into comments and into Meta Data Hub)]]</f>
        <v>#REF!</v>
      </c>
      <c r="S61" s="18" t="e">
        <f>IF([3]!Table14[[#This Row],[Nullable in Table and in Oracle View
NULL, NOT NULL]]="No","NOT NULL","NULL")=VLOOKUP(A61,[2]Model!C$2:I$228,6,FALSE)</f>
        <v>#REF!</v>
      </c>
      <c r="T61" s="18" t="e">
        <f>VLOOKUP(B61,[2]Table!A$2:F$415,1,FALSE)=[3]!Table14[[#This Row],[Physical Name of Attribute (Name of column in Table)
Supplied by DA Team]]</f>
        <v>#REF!</v>
      </c>
      <c r="U61" s="18" t="b">
        <f>VLOOKUP(B61,Table!A$2:F$319,2,FALSE)=Table14[[#This Row],[Data type in Oracle
VARCHAR2(n), DATE, NUMBER(m,n), TIMETSTAMP(6)]]</f>
        <v>1</v>
      </c>
      <c r="V61" s="18" t="b">
        <f>VLOOKUP(B61,Table!A$2:F$231,3,FALSE)=Table14[[#This Row],[Nullable in Table and in Oracle View
NULL, NOT NULL]]</f>
        <v>1</v>
      </c>
      <c r="W61" s="18" t="b">
        <f>VLOOKUP(B61,Table!A$2:H$228,6,FALSE)=Table14[[#This Row],[Business Definition (To go into comments and into Meta Data Hub)]]</f>
        <v>0</v>
      </c>
      <c r="X61" s="55" t="str">
        <f>VLOOKUP((UPPER(SUBSTITUTE(A61," ","_"))),'[2]Consumer View'!A$2:I$329,1,FALSE)</f>
        <v>AGGREGATE_STATEMENT_FEES</v>
      </c>
      <c r="Y61" s="58" t="s">
        <v>68</v>
      </c>
      <c r="Z61" s="58" t="s">
        <v>388</v>
      </c>
      <c r="AA61" s="58" t="s">
        <v>395</v>
      </c>
      <c r="AB61" s="58"/>
      <c r="AC61" s="58"/>
      <c r="AD61" s="58" t="s">
        <v>390</v>
      </c>
      <c r="AE61" s="57" t="s">
        <v>391</v>
      </c>
      <c r="AF61" s="18"/>
      <c r="AG61" s="18"/>
      <c r="AH61" s="18" t="s">
        <v>71</v>
      </c>
    </row>
    <row r="62" spans="1:34" ht="27" customHeight="1">
      <c r="A62" s="51" t="s">
        <v>396</v>
      </c>
      <c r="B62" s="18" t="s">
        <v>397</v>
      </c>
      <c r="C62" s="18" t="s">
        <v>398</v>
      </c>
      <c r="D62" s="18" t="s">
        <v>101</v>
      </c>
      <c r="E62" s="18" t="s">
        <v>63</v>
      </c>
      <c r="F62" s="18" t="s">
        <v>133</v>
      </c>
      <c r="G62" s="45" t="s">
        <v>63</v>
      </c>
      <c r="H62" s="46" t="s">
        <v>399</v>
      </c>
      <c r="I62" s="18"/>
      <c r="J62" s="18" t="s">
        <v>347</v>
      </c>
      <c r="K62" s="18">
        <v>3</v>
      </c>
      <c r="L62" s="18"/>
      <c r="M62" s="18"/>
      <c r="N62" s="18"/>
      <c r="O62" s="18" t="b">
        <f>VLOOKUP(A62,[1]Model!C$2:J$559,2,FALSE)=B62</f>
        <v>1</v>
      </c>
      <c r="P62" s="18" t="b">
        <f>VLOOKUP(A62,Model!C$2:G$228,5,FALSE)=D62</f>
        <v>1</v>
      </c>
      <c r="Q62" s="18">
        <f>VLOOKUP(A62,[2]Model!C$2:L$228,8,FALSE)</f>
        <v>103</v>
      </c>
      <c r="R62" s="18" t="e">
        <f>VLOOKUP(A62,[2]Model!C$2:G$228,3,FALSE)=[3]!Table14[[#This Row],[Business Definition (To go into comments and into Meta Data Hub)]]</f>
        <v>#REF!</v>
      </c>
      <c r="S62" s="18" t="e">
        <f>IF([3]!Table14[[#This Row],[Nullable in Table and in Oracle View
NULL, NOT NULL]]="No","NOT NULL","NULL")=VLOOKUP(A62,[2]Model!C$2:I$228,6,FALSE)</f>
        <v>#REF!</v>
      </c>
      <c r="T62" s="18" t="e">
        <f>VLOOKUP(B62,[2]Table!A$2:F$415,1,FALSE)=[3]!Table14[[#This Row],[Physical Name of Attribute (Name of column in Table)
Supplied by DA Team]]</f>
        <v>#REF!</v>
      </c>
      <c r="U62" s="18" t="b">
        <f>VLOOKUP(B62,Table!A$2:F$319,2,FALSE)=Table14[[#This Row],[Data type in Oracle
VARCHAR2(n), DATE, NUMBER(m,n), TIMETSTAMP(6)]]</f>
        <v>1</v>
      </c>
      <c r="V62" s="18" t="b">
        <f>VLOOKUP(B62,Table!A$2:F$231,3,FALSE)=Table14[[#This Row],[Nullable in Table and in Oracle View
NULL, NOT NULL]]</f>
        <v>1</v>
      </c>
      <c r="W62" s="18" t="b">
        <f>VLOOKUP(B62,Table!A$2:H$228,6,FALSE)=Table14[[#This Row],[Business Definition (To go into comments and into Meta Data Hub)]]</f>
        <v>1</v>
      </c>
      <c r="X62" s="55" t="str">
        <f>VLOOKUP((UPPER(SUBSTITUTE(A62," ","_"))),'[2]Consumer View'!A$2:I$329,1,FALSE)</f>
        <v>ARRANGEMENT_ID</v>
      </c>
      <c r="Y62" s="18" t="s">
        <v>68</v>
      </c>
      <c r="Z62" s="18" t="s">
        <v>69</v>
      </c>
      <c r="AA62" s="18" t="s">
        <v>397</v>
      </c>
      <c r="AB62" s="18"/>
      <c r="AC62" s="18"/>
      <c r="AD62" s="18"/>
      <c r="AE62" s="46" t="s">
        <v>400</v>
      </c>
      <c r="AF62" s="18"/>
      <c r="AG62" s="18"/>
      <c r="AH62" s="18" t="s">
        <v>71</v>
      </c>
    </row>
    <row r="63" spans="1:34" ht="27" customHeight="1">
      <c r="A63" s="51" t="s">
        <v>401</v>
      </c>
      <c r="B63" s="18" t="s">
        <v>402</v>
      </c>
      <c r="C63" s="18" t="s">
        <v>403</v>
      </c>
      <c r="D63" s="18" t="s">
        <v>157</v>
      </c>
      <c r="E63" s="18" t="s">
        <v>63</v>
      </c>
      <c r="F63" s="18" t="s">
        <v>158</v>
      </c>
      <c r="G63" s="45" t="s">
        <v>63</v>
      </c>
      <c r="H63" s="46" t="s">
        <v>404</v>
      </c>
      <c r="I63" s="18"/>
      <c r="J63" s="18" t="s">
        <v>347</v>
      </c>
      <c r="K63" s="18">
        <v>3</v>
      </c>
      <c r="L63" s="18"/>
      <c r="M63" s="18"/>
      <c r="N63" s="18"/>
      <c r="O63" s="18" t="b">
        <f>VLOOKUP(A63,[1]Model!C$2:J$559,2,FALSE)=B63</f>
        <v>1</v>
      </c>
      <c r="P63" s="18" t="b">
        <f>VLOOKUP(A63,Model!C$2:G$228,5,FALSE)=D63</f>
        <v>1</v>
      </c>
      <c r="Q63" s="18">
        <f>VLOOKUP(A63,[2]Model!C$2:L$228,8,FALSE)</f>
        <v>104</v>
      </c>
      <c r="R63" s="18" t="e">
        <f>VLOOKUP(A63,[2]Model!C$2:G$228,3,FALSE)=[3]!Table14[[#This Row],[Business Definition (To go into comments and into Meta Data Hub)]]</f>
        <v>#REF!</v>
      </c>
      <c r="S63" s="18" t="e">
        <f>IF([3]!Table14[[#This Row],[Nullable in Table and in Oracle View
NULL, NOT NULL]]="No","NOT NULL","NULL")=VLOOKUP(A63,[2]Model!C$2:I$228,6,FALSE)</f>
        <v>#REF!</v>
      </c>
      <c r="T63" s="18" t="e">
        <f>VLOOKUP(B63,[2]Table!A$2:F$415,1,FALSE)=[3]!Table14[[#This Row],[Physical Name of Attribute (Name of column in Table)
Supplied by DA Team]]</f>
        <v>#REF!</v>
      </c>
      <c r="U63" s="18" t="b">
        <f>VLOOKUP(B63,Table!A$2:F$319,2,FALSE)=Table14[[#This Row],[Data type in Oracle
VARCHAR2(n), DATE, NUMBER(m,n), TIMETSTAMP(6)]]</f>
        <v>1</v>
      </c>
      <c r="V63" s="18" t="b">
        <f>VLOOKUP(B63,Table!A$2:F$231,3,FALSE)=Table14[[#This Row],[Nullable in Table and in Oracle View
NULL, NOT NULL]]</f>
        <v>1</v>
      </c>
      <c r="W63" s="18" t="b">
        <f>VLOOKUP(B63,Table!A$2:H$228,6,FALSE)=Table14[[#This Row],[Business Definition (To go into comments and into Meta Data Hub)]]</f>
        <v>0</v>
      </c>
      <c r="X63" s="55" t="str">
        <f>VLOOKUP((UPPER(SUBSTITUTE(A63," ","_"))),'[2]Consumer View'!A$2:I$329,1,FALSE)</f>
        <v>BATCH_DATE</v>
      </c>
      <c r="Y63" s="18" t="s">
        <v>68</v>
      </c>
      <c r="Z63" s="18" t="s">
        <v>405</v>
      </c>
      <c r="AA63" s="18" t="s">
        <v>402</v>
      </c>
      <c r="AB63" s="18"/>
      <c r="AC63" s="18"/>
      <c r="AD63" s="18" t="s">
        <v>406</v>
      </c>
      <c r="AE63" s="46"/>
      <c r="AF63" s="18"/>
      <c r="AG63" s="18"/>
      <c r="AH63" s="18" t="s">
        <v>71</v>
      </c>
    </row>
    <row r="64" spans="1:34" ht="27" customHeight="1">
      <c r="A64" s="51" t="s">
        <v>407</v>
      </c>
      <c r="B64" s="18" t="s">
        <v>408</v>
      </c>
      <c r="C64" s="18" t="s">
        <v>409</v>
      </c>
      <c r="D64" s="18" t="s">
        <v>157</v>
      </c>
      <c r="E64" s="18" t="s">
        <v>63</v>
      </c>
      <c r="F64" s="18" t="s">
        <v>158</v>
      </c>
      <c r="G64" s="45" t="s">
        <v>63</v>
      </c>
      <c r="H64" s="46" t="s">
        <v>410</v>
      </c>
      <c r="I64" s="18"/>
      <c r="J64" s="18" t="s">
        <v>347</v>
      </c>
      <c r="K64" s="18">
        <v>3</v>
      </c>
      <c r="L64" s="18"/>
      <c r="M64" s="18"/>
      <c r="N64" s="18"/>
      <c r="O64" s="18" t="b">
        <f>VLOOKUP(A64,[1]Model!C$2:J$559,2,FALSE)=B64</f>
        <v>1</v>
      </c>
      <c r="P64" s="18" t="b">
        <f>VLOOKUP(A64,Model!C$2:G$228,5,FALSE)=D64</f>
        <v>1</v>
      </c>
      <c r="Q64" s="18">
        <f>VLOOKUP(A64,[2]Model!C$2:L$228,8,FALSE)</f>
        <v>21</v>
      </c>
      <c r="R64" s="18" t="e">
        <f>VLOOKUP(A64,[2]Model!C$2:G$228,3,FALSE)=[3]!Table14[[#This Row],[Business Definition (To go into comments and into Meta Data Hub)]]</f>
        <v>#REF!</v>
      </c>
      <c r="S64" s="18" t="e">
        <f>IF([3]!Table14[[#This Row],[Nullable in Table and in Oracle View
NULL, NOT NULL]]="No","NOT NULL","NULL")=VLOOKUP(A64,[2]Model!C$2:I$228,6,FALSE)</f>
        <v>#REF!</v>
      </c>
      <c r="T64" s="18" t="e">
        <f>VLOOKUP(B64,[2]Table!A$2:F$415,1,FALSE)=[3]!Table14[[#This Row],[Physical Name of Attribute (Name of column in Table)
Supplied by DA Team]]</f>
        <v>#REF!</v>
      </c>
      <c r="U64" s="18" t="b">
        <f>VLOOKUP(B64,Table!A$2:F$319,2,FALSE)=Table14[[#This Row],[Data type in Oracle
VARCHAR2(n), DATE, NUMBER(m,n), TIMETSTAMP(6)]]</f>
        <v>1</v>
      </c>
      <c r="V64" s="18" t="b">
        <f>VLOOKUP(B64,Table!A$2:F$231,3,FALSE)=Table14[[#This Row],[Nullable in Table and in Oracle View
NULL, NOT NULL]]</f>
        <v>1</v>
      </c>
      <c r="W64" s="18" t="b">
        <f>VLOOKUP(B64,Table!A$2:H$228,6,FALSE)=Table14[[#This Row],[Business Definition (To go into comments and into Meta Data Hub)]]</f>
        <v>1</v>
      </c>
      <c r="X64" s="18" t="str">
        <f>VLOOKUP((UPPER(SUBSTITUTE(A64," ","_"))),'[2]Consumer View'!A$2:I$329,1,FALSE)</f>
        <v>BOOKING_DATE</v>
      </c>
      <c r="Y64" s="18" t="s">
        <v>68</v>
      </c>
      <c r="Z64" s="18" t="s">
        <v>69</v>
      </c>
      <c r="AA64" s="18" t="s">
        <v>408</v>
      </c>
      <c r="AB64" s="18"/>
      <c r="AC64" s="18"/>
      <c r="AD64" s="18"/>
      <c r="AE64" s="46"/>
      <c r="AF64" s="18"/>
      <c r="AG64" s="18"/>
      <c r="AH64" s="18" t="s">
        <v>71</v>
      </c>
    </row>
    <row r="65" spans="1:34" ht="27" customHeight="1">
      <c r="A65" s="51" t="s">
        <v>411</v>
      </c>
      <c r="B65" s="18" t="s">
        <v>412</v>
      </c>
      <c r="C65" s="18" t="s">
        <v>413</v>
      </c>
      <c r="D65" s="18" t="s">
        <v>139</v>
      </c>
      <c r="E65" s="18" t="s">
        <v>63</v>
      </c>
      <c r="F65" s="18" t="s">
        <v>140</v>
      </c>
      <c r="G65" s="45" t="s">
        <v>63</v>
      </c>
      <c r="H65" s="46" t="s">
        <v>414</v>
      </c>
      <c r="I65" s="18"/>
      <c r="J65" s="18" t="s">
        <v>347</v>
      </c>
      <c r="K65" s="18">
        <v>3</v>
      </c>
      <c r="L65" s="18"/>
      <c r="M65" s="18"/>
      <c r="N65" s="18"/>
      <c r="O65" s="18" t="b">
        <f>VLOOKUP(A65,[1]Model!C$2:J$559,2,FALSE)=B65</f>
        <v>1</v>
      </c>
      <c r="P65" s="18" t="b">
        <f>VLOOKUP(A65,Model!C$2:G$228,5,FALSE)=D65</f>
        <v>1</v>
      </c>
      <c r="Q65" s="18">
        <f>VLOOKUP(A65,[2]Model!C$2:L$228,8,FALSE)</f>
        <v>92</v>
      </c>
      <c r="R65" s="18" t="e">
        <f>VLOOKUP(A65,[2]Model!C$2:G$228,3,FALSE)=[3]!Table14[[#This Row],[Business Definition (To go into comments and into Meta Data Hub)]]</f>
        <v>#REF!</v>
      </c>
      <c r="S65" s="18" t="e">
        <f>IF([3]!Table14[[#This Row],[Nullable in Table and in Oracle View
NULL, NOT NULL]]="No","NOT NULL","NULL")=VLOOKUP(A65,[2]Model!C$2:I$228,6,FALSE)</f>
        <v>#REF!</v>
      </c>
      <c r="T65" s="18" t="e">
        <f>VLOOKUP(B65,[2]Table!A$2:F$415,1,FALSE)=[3]!Table14[[#This Row],[Physical Name of Attribute (Name of column in Table)
Supplied by DA Team]]</f>
        <v>#REF!</v>
      </c>
      <c r="U65" s="18" t="b">
        <f>VLOOKUP(B65,Table!A$2:F$319,2,FALSE)=Table14[[#This Row],[Data type in Oracle
VARCHAR2(n), DATE, NUMBER(m,n), TIMETSTAMP(6)]]</f>
        <v>0</v>
      </c>
      <c r="V65" s="18" t="b">
        <f>VLOOKUP(B65,Table!A$2:F$231,3,FALSE)=Table14[[#This Row],[Nullable in Table and in Oracle View
NULL, NOT NULL]]</f>
        <v>1</v>
      </c>
      <c r="W65" s="18" t="b">
        <f>VLOOKUP(B65,Table!A$2:H$228,6,FALSE)=Table14[[#This Row],[Business Definition (To go into comments and into Meta Data Hub)]]</f>
        <v>1</v>
      </c>
      <c r="X65" s="55" t="str">
        <f>VLOOKUP((UPPER(SUBSTITUTE(A65," ","_"))),'[2]Consumer View'!A$2:I$329,1,FALSE)</f>
        <v>BRANCH_CODE</v>
      </c>
      <c r="Y65" s="18" t="s">
        <v>68</v>
      </c>
      <c r="Z65" s="18" t="s">
        <v>69</v>
      </c>
      <c r="AA65" s="18" t="s">
        <v>415</v>
      </c>
      <c r="AB65" s="18"/>
      <c r="AC65" s="18"/>
      <c r="AD65" s="18"/>
      <c r="AE65" s="46"/>
      <c r="AF65" s="18"/>
      <c r="AG65" s="18"/>
      <c r="AH65" s="18" t="s">
        <v>71</v>
      </c>
    </row>
    <row r="66" spans="1:34" ht="27" customHeight="1">
      <c r="A66" s="51" t="s">
        <v>416</v>
      </c>
      <c r="B66" s="18" t="s">
        <v>417</v>
      </c>
      <c r="C66" s="18" t="s">
        <v>418</v>
      </c>
      <c r="D66" s="18" t="s">
        <v>101</v>
      </c>
      <c r="E66" s="18" t="s">
        <v>63</v>
      </c>
      <c r="F66" s="18" t="s">
        <v>133</v>
      </c>
      <c r="G66" s="45" t="s">
        <v>63</v>
      </c>
      <c r="H66" s="46" t="s">
        <v>419</v>
      </c>
      <c r="I66" s="18"/>
      <c r="J66" s="18" t="s">
        <v>347</v>
      </c>
      <c r="K66" s="18">
        <v>3</v>
      </c>
      <c r="L66" s="18"/>
      <c r="M66" s="18"/>
      <c r="N66" s="18"/>
      <c r="O66" s="18" t="b">
        <f>VLOOKUP(A66,[1]Model!C$2:J$559,2,FALSE)=B66</f>
        <v>1</v>
      </c>
      <c r="P66" s="18" t="b">
        <f>VLOOKUP(A66,Model!C$2:G$228,5,FALSE)=D66</f>
        <v>1</v>
      </c>
      <c r="Q66" s="18">
        <f>VLOOKUP(A66,[2]Model!C$2:L$228,8,FALSE)</f>
        <v>105</v>
      </c>
      <c r="R66" s="18" t="e">
        <f>VLOOKUP(A66,[2]Model!C$2:G$228,3,FALSE)=[3]!Table14[[#This Row],[Business Definition (To go into comments and into Meta Data Hub)]]</f>
        <v>#REF!</v>
      </c>
      <c r="S66" s="18" t="e">
        <f>IF([3]!Table14[[#This Row],[Nullable in Table and in Oracle View
NULL, NOT NULL]]="No","NOT NULL","NULL")=VLOOKUP(A66,[2]Model!C$2:I$228,6,FALSE)</f>
        <v>#REF!</v>
      </c>
      <c r="T66" s="18" t="e">
        <f>VLOOKUP(B66,[2]Table!A$2:F$415,1,FALSE)=[3]!Table14[[#This Row],[Physical Name of Attribute (Name of column in Table)
Supplied by DA Team]]</f>
        <v>#REF!</v>
      </c>
      <c r="U66" s="18" t="b">
        <f>VLOOKUP(B66,Table!A$2:F$319,2,FALSE)=Table14[[#This Row],[Data type in Oracle
VARCHAR2(n), DATE, NUMBER(m,n), TIMETSTAMP(6)]]</f>
        <v>1</v>
      </c>
      <c r="V66" s="18" t="b">
        <f>VLOOKUP(B66,Table!A$2:F$231,3,FALSE)=Table14[[#This Row],[Nullable in Table and in Oracle View
NULL, NOT NULL]]</f>
        <v>1</v>
      </c>
      <c r="W66" s="18" t="b">
        <f>VLOOKUP(B66,Table!A$2:H$228,6,FALSE)=Table14[[#This Row],[Business Definition (To go into comments and into Meta Data Hub)]]</f>
        <v>1</v>
      </c>
      <c r="X66" s="55" t="str">
        <f>VLOOKUP((UPPER(SUBSTITUTE(A66," ","_"))),'[2]Consumer View'!A$2:I$329,1,FALSE)</f>
        <v>BROKERAGE_ARRANGEMENT_ID</v>
      </c>
      <c r="Y66" s="18" t="s">
        <v>68</v>
      </c>
      <c r="Z66" s="46" t="s">
        <v>420</v>
      </c>
      <c r="AA66" s="46" t="s">
        <v>421</v>
      </c>
      <c r="AB66" s="18"/>
      <c r="AC66" s="18"/>
      <c r="AD66" s="18" t="s">
        <v>422</v>
      </c>
      <c r="AE66" s="46" t="s">
        <v>423</v>
      </c>
      <c r="AF66" s="18"/>
      <c r="AG66" s="18"/>
      <c r="AH66" s="18" t="s">
        <v>71</v>
      </c>
    </row>
    <row r="67" spans="1:34" ht="27" customHeight="1">
      <c r="A67" s="51" t="s">
        <v>424</v>
      </c>
      <c r="B67" s="18" t="s">
        <v>425</v>
      </c>
      <c r="C67" s="18" t="s">
        <v>426</v>
      </c>
      <c r="D67" s="55" t="s">
        <v>427</v>
      </c>
      <c r="E67" s="18" t="s">
        <v>63</v>
      </c>
      <c r="F67" s="18" t="s">
        <v>428</v>
      </c>
      <c r="G67" s="45" t="s">
        <v>63</v>
      </c>
      <c r="H67" s="46" t="s">
        <v>429</v>
      </c>
      <c r="I67" s="18"/>
      <c r="J67" s="18" t="s">
        <v>347</v>
      </c>
      <c r="K67" s="18">
        <v>3</v>
      </c>
      <c r="L67" s="18"/>
      <c r="M67" s="18"/>
      <c r="N67" s="18"/>
      <c r="O67" s="18" t="b">
        <f>VLOOKUP(A67,[1]Model!C$2:J$559,2,FALSE)=B67</f>
        <v>1</v>
      </c>
      <c r="P67" s="18" t="b">
        <f>VLOOKUP(A67,Model!C$2:G$228,5,FALSE)=D67</f>
        <v>1</v>
      </c>
      <c r="Q67" s="18">
        <f>VLOOKUP(A67,[2]Model!C$2:L$228,8,FALSE)</f>
        <v>52</v>
      </c>
      <c r="R67" s="18" t="e">
        <f>VLOOKUP(A67,[2]Model!C$2:G$228,3,FALSE)=[3]!Table14[[#This Row],[Business Definition (To go into comments and into Meta Data Hub)]]</f>
        <v>#REF!</v>
      </c>
      <c r="S67" s="18" t="e">
        <f>IF([3]!Table14[[#This Row],[Nullable in Table and in Oracle View
NULL, NOT NULL]]="No","NOT NULL","NULL")=VLOOKUP(A67,[2]Model!C$2:I$228,6,FALSE)</f>
        <v>#REF!</v>
      </c>
      <c r="T67" s="18" t="e">
        <f>VLOOKUP(B67,[2]Table!A$2:F$415,1,FALSE)=[3]!Table14[[#This Row],[Physical Name of Attribute (Name of column in Table)
Supplied by DA Team]]</f>
        <v>#REF!</v>
      </c>
      <c r="U67" s="18" t="b">
        <f>VLOOKUP(B67,Table!A$2:F$319,2,FALSE)=Table14[[#This Row],[Data type in Oracle
VARCHAR2(n), DATE, NUMBER(m,n), TIMETSTAMP(6)]]</f>
        <v>0</v>
      </c>
      <c r="V67" s="18" t="b">
        <f>VLOOKUP(B67,Table!A$2:F$231,3,FALSE)=Table14[[#This Row],[Nullable in Table and in Oracle View
NULL, NOT NULL]]</f>
        <v>1</v>
      </c>
      <c r="W67" s="18" t="b">
        <f>VLOOKUP(B67,Table!A$2:H$228,6,FALSE)=Table14[[#This Row],[Business Definition (To go into comments and into Meta Data Hub)]]</f>
        <v>1</v>
      </c>
      <c r="X67" s="18" t="str">
        <f>VLOOKUP((UPPER(SUBSTITUTE(A67," ","_"))),'[2]Consumer View'!A$2:I$329,1,FALSE)</f>
        <v>BUY_SELL_INDICATOR</v>
      </c>
      <c r="Y67" s="18" t="s">
        <v>68</v>
      </c>
      <c r="Z67" s="18" t="s">
        <v>69</v>
      </c>
      <c r="AA67" s="18" t="s">
        <v>425</v>
      </c>
      <c r="AB67" s="18"/>
      <c r="AC67" s="18"/>
      <c r="AD67" s="18"/>
      <c r="AE67" s="46" t="s">
        <v>105</v>
      </c>
      <c r="AF67" s="18"/>
      <c r="AG67" s="18"/>
      <c r="AH67" s="18" t="s">
        <v>71</v>
      </c>
    </row>
    <row r="68" spans="1:34" ht="27" customHeight="1">
      <c r="A68" s="51" t="s">
        <v>430</v>
      </c>
      <c r="B68" s="18" t="s">
        <v>431</v>
      </c>
      <c r="C68" s="18" t="s">
        <v>432</v>
      </c>
      <c r="D68" s="55" t="s">
        <v>433</v>
      </c>
      <c r="E68" s="18" t="s">
        <v>63</v>
      </c>
      <c r="F68" s="18" t="s">
        <v>434</v>
      </c>
      <c r="G68" s="45" t="s">
        <v>63</v>
      </c>
      <c r="H68" s="46" t="s">
        <v>435</v>
      </c>
      <c r="I68" s="18"/>
      <c r="J68" s="18" t="s">
        <v>381</v>
      </c>
      <c r="K68" s="18">
        <v>3</v>
      </c>
      <c r="L68" s="18"/>
      <c r="M68" s="18"/>
      <c r="N68" s="18"/>
      <c r="O68" s="18" t="b">
        <f>VLOOKUP(A68,[1]Model!C$2:J$559,2,FALSE)=B68</f>
        <v>1</v>
      </c>
      <c r="P68" s="18" t="b">
        <f>VLOOKUP(A68,Model!C$2:G$228,5,FALSE)=D68</f>
        <v>1</v>
      </c>
      <c r="Q68" s="18">
        <f>VLOOKUP(A68,[2]Model!C$2:L$228,8,FALSE)</f>
        <v>85</v>
      </c>
      <c r="R68" s="18" t="e">
        <f>VLOOKUP(A68,[2]Model!C$2:G$228,3,FALSE)=[3]!Table14[[#This Row],[Business Definition (To go into comments and into Meta Data Hub)]]</f>
        <v>#REF!</v>
      </c>
      <c r="S68" s="18" t="e">
        <f>IF([3]!Table14[[#This Row],[Nullable in Table and in Oracle View
NULL, NOT NULL]]="No","NOT NULL","NULL")=VLOOKUP(A68,[2]Model!C$2:I$228,6,FALSE)</f>
        <v>#REF!</v>
      </c>
      <c r="T68" s="18" t="e">
        <f>VLOOKUP(B68,[2]Table!A$2:F$415,1,FALSE)=[3]!Table14[[#This Row],[Physical Name of Attribute (Name of column in Table)
Supplied by DA Team]]</f>
        <v>#REF!</v>
      </c>
      <c r="U68" s="18" t="b">
        <f>VLOOKUP(B68,Table!A$2:F$319,2,FALSE)=Table14[[#This Row],[Data type in Oracle
VARCHAR2(n), DATE, NUMBER(m,n), TIMETSTAMP(6)]]</f>
        <v>0</v>
      </c>
      <c r="V68" s="18" t="b">
        <f>VLOOKUP(B68,Table!A$2:F$231,3,FALSE)=Table14[[#This Row],[Nullable in Table and in Oracle View
NULL, NOT NULL]]</f>
        <v>1</v>
      </c>
      <c r="W68" s="18" t="b">
        <f>VLOOKUP(B68,Table!A$2:H$228,6,FALSE)=Table14[[#This Row],[Business Definition (To go into comments and into Meta Data Hub)]]</f>
        <v>0</v>
      </c>
      <c r="X68" s="55" t="str">
        <f>VLOOKUP((UPPER(SUBSTITUTE(A68," ","_"))),'[2]Consumer View'!A$2:I$329,1,FALSE)</f>
        <v>CASH_ACTIVITY_CATEGORY</v>
      </c>
      <c r="Y68" s="18" t="s">
        <v>68</v>
      </c>
      <c r="Z68" s="18" t="s">
        <v>436</v>
      </c>
      <c r="AA68" s="18" t="s">
        <v>437</v>
      </c>
      <c r="AB68" s="18"/>
      <c r="AC68" s="18"/>
      <c r="AD68" s="18" t="s">
        <v>438</v>
      </c>
      <c r="AE68" s="46"/>
      <c r="AF68" s="18"/>
      <c r="AG68" s="18"/>
      <c r="AH68" s="18" t="s">
        <v>71</v>
      </c>
    </row>
    <row r="69" spans="1:34" ht="27" customHeight="1">
      <c r="A69" s="51" t="s">
        <v>439</v>
      </c>
      <c r="B69" s="18" t="s">
        <v>440</v>
      </c>
      <c r="C69" s="18" t="s">
        <v>441</v>
      </c>
      <c r="D69" s="18" t="s">
        <v>433</v>
      </c>
      <c r="E69" s="18" t="s">
        <v>63</v>
      </c>
      <c r="F69" s="18" t="s">
        <v>434</v>
      </c>
      <c r="G69" s="45" t="s">
        <v>63</v>
      </c>
      <c r="H69" s="12" t="s">
        <v>442</v>
      </c>
      <c r="I69" s="18"/>
      <c r="J69" s="18" t="s">
        <v>67</v>
      </c>
      <c r="K69" s="18">
        <v>3</v>
      </c>
      <c r="L69" s="18"/>
      <c r="M69" s="18"/>
      <c r="N69" s="18"/>
      <c r="O69" s="18" t="b">
        <f>VLOOKUP(A69,[1]Model!C$2:J$559,2,FALSE)=B69</f>
        <v>1</v>
      </c>
      <c r="P69" s="18" t="b">
        <f>VLOOKUP(A69,Model!C$2:G$228,5,FALSE)=D69</f>
        <v>1</v>
      </c>
      <c r="Q69" s="18">
        <f>VLOOKUP(A69,[2]Model!C$2:L$228,8,FALSE)</f>
        <v>174</v>
      </c>
      <c r="R69" s="18" t="e">
        <f>VLOOKUP(A69,[2]Model!C$2:G$228,3,FALSE)=[3]!Table14[[#This Row],[Business Definition (To go into comments and into Meta Data Hub)]]</f>
        <v>#REF!</v>
      </c>
      <c r="S69" s="18" t="e">
        <f>IF([3]!Table14[[#This Row],[Nullable in Table and in Oracle View
NULL, NOT NULL]]="No","NOT NULL","NULL")=VLOOKUP(A69,[2]Model!C$2:I$228,6,FALSE)</f>
        <v>#REF!</v>
      </c>
      <c r="T69" s="18" t="e">
        <f>VLOOKUP(B69,[2]Table!A$2:F$415,1,FALSE)=[3]!Table14[[#This Row],[Physical Name of Attribute (Name of column in Table)
Supplied by DA Team]]</f>
        <v>#REF!</v>
      </c>
      <c r="U69" s="18" t="b">
        <f>VLOOKUP(B69,Table!A$2:F$319,2,FALSE)=Table14[[#This Row],[Data type in Oracle
VARCHAR2(n), DATE, NUMBER(m,n), TIMETSTAMP(6)]]</f>
        <v>0</v>
      </c>
      <c r="V69" s="18" t="b">
        <f>VLOOKUP(B69,Table!A$2:F$231,3,FALSE)=Table14[[#This Row],[Nullable in Table and in Oracle View
NULL, NOT NULL]]</f>
        <v>1</v>
      </c>
      <c r="W69" s="18" t="b">
        <f>VLOOKUP(B69,Table!A$2:H$228,6,FALSE)=Table14[[#This Row],[Business Definition (To go into comments and into Meta Data Hub)]]</f>
        <v>0</v>
      </c>
      <c r="X69" s="55" t="str">
        <f>VLOOKUP((UPPER(SUBSTITUTE(A69," ","_"))),'[2]Consumer View'!A$2:I$329,1,FALSE)</f>
        <v>CASH_SIMPLIFIED_DISPLAY_ACTIVITY_CATEGORY</v>
      </c>
      <c r="Y69" s="18" t="s">
        <v>68</v>
      </c>
      <c r="Z69" s="18" t="s">
        <v>436</v>
      </c>
      <c r="AA69" s="18" t="s">
        <v>443</v>
      </c>
      <c r="AB69" s="18"/>
      <c r="AC69" s="18"/>
      <c r="AD69" s="18" t="s">
        <v>438</v>
      </c>
      <c r="AE69" s="46"/>
      <c r="AF69" s="18"/>
      <c r="AG69" s="18"/>
      <c r="AH69" s="18" t="s">
        <v>71</v>
      </c>
    </row>
    <row r="70" spans="1:34" ht="27" customHeight="1">
      <c r="A70" s="51" t="s">
        <v>444</v>
      </c>
      <c r="B70" s="18" t="s">
        <v>445</v>
      </c>
      <c r="C70" s="1" t="s">
        <v>446</v>
      </c>
      <c r="D70" s="60" t="s">
        <v>101</v>
      </c>
      <c r="E70" s="18" t="s">
        <v>63</v>
      </c>
      <c r="F70" s="60" t="s">
        <v>133</v>
      </c>
      <c r="G70" s="45" t="s">
        <v>63</v>
      </c>
      <c r="H70" s="46" t="s">
        <v>447</v>
      </c>
      <c r="I70" s="18"/>
      <c r="J70" s="18" t="s">
        <v>347</v>
      </c>
      <c r="K70" s="18">
        <v>3</v>
      </c>
      <c r="L70" s="18"/>
      <c r="M70" s="18"/>
      <c r="N70" s="18"/>
      <c r="O70" s="18" t="b">
        <f>VLOOKUP(A70,[1]Model!C$2:J$559,2,FALSE)=B70</f>
        <v>1</v>
      </c>
      <c r="P70" s="18" t="b">
        <f>VLOOKUP(A70,Model!C$2:G$228,5,FALSE)=D70</f>
        <v>1</v>
      </c>
      <c r="Q70" s="18">
        <f>VLOOKUP(A70,[2]Model!C$2:L$228,8,FALSE)</f>
        <v>84</v>
      </c>
      <c r="R70" s="18" t="e">
        <f>VLOOKUP(A70,[2]Model!C$2:G$228,3,FALSE)=[3]!Table14[[#This Row],[Business Definition (To go into comments and into Meta Data Hub)]]</f>
        <v>#REF!</v>
      </c>
      <c r="S70" s="18" t="e">
        <f>IF([3]!Table14[[#This Row],[Nullable in Table and in Oracle View
NULL, NOT NULL]]="No","NOT NULL","NULL")=VLOOKUP(A70,[2]Model!C$2:I$228,6,FALSE)</f>
        <v>#REF!</v>
      </c>
      <c r="T70" s="18" t="e">
        <f>VLOOKUP(B70,[2]Table!A$2:F$415,1,FALSE)=[3]!Table14[[#This Row],[Physical Name of Attribute (Name of column in Table)
Supplied by DA Team]]</f>
        <v>#REF!</v>
      </c>
      <c r="U70" s="18" t="b">
        <f>VLOOKUP(B70,Table!A$2:F$319,2,FALSE)=Table14[[#This Row],[Data type in Oracle
VARCHAR2(n), DATE, NUMBER(m,n), TIMETSTAMP(6)]]</f>
        <v>1</v>
      </c>
      <c r="V70" s="18" t="b">
        <f>VLOOKUP(B70,Table!A$2:F$231,3,FALSE)=Table14[[#This Row],[Nullable in Table and in Oracle View
NULL, NOT NULL]]</f>
        <v>1</v>
      </c>
      <c r="W70" s="18" t="b">
        <f>VLOOKUP(B70,Table!A$2:H$228,6,FALSE)=Table14[[#This Row],[Business Definition (To go into comments and into Meta Data Hub)]]</f>
        <v>0</v>
      </c>
      <c r="X70" s="55" t="str">
        <f>VLOOKUP((UPPER(SUBSTITUTE(A70," ","_"))),'[2]Consumer View'!A$2:I$329,1,FALSE)</f>
        <v>CASH_ACTIVITY_CLASSIFICATION_ID</v>
      </c>
      <c r="Y70" s="18" t="s">
        <v>68</v>
      </c>
      <c r="Z70" s="18" t="s">
        <v>448</v>
      </c>
      <c r="AA70" s="18" t="s">
        <v>449</v>
      </c>
      <c r="AB70" s="18"/>
      <c r="AC70" s="18"/>
      <c r="AD70" s="18" t="s">
        <v>450</v>
      </c>
      <c r="AE70" s="46"/>
      <c r="AF70" s="18"/>
      <c r="AG70" s="18"/>
      <c r="AH70" s="18" t="s">
        <v>71</v>
      </c>
    </row>
    <row r="71" spans="1:34" ht="27" customHeight="1">
      <c r="A71" s="51" t="s">
        <v>451</v>
      </c>
      <c r="B71" s="18" t="s">
        <v>452</v>
      </c>
      <c r="C71" s="18" t="s">
        <v>453</v>
      </c>
      <c r="D71" s="18" t="s">
        <v>90</v>
      </c>
      <c r="E71" s="18" t="s">
        <v>63</v>
      </c>
      <c r="F71" s="18" t="s">
        <v>91</v>
      </c>
      <c r="G71" s="45" t="s">
        <v>63</v>
      </c>
      <c r="H71" s="46" t="s">
        <v>454</v>
      </c>
      <c r="I71" s="18"/>
      <c r="J71" s="18" t="s">
        <v>347</v>
      </c>
      <c r="K71" s="18">
        <v>3</v>
      </c>
      <c r="L71" s="18"/>
      <c r="M71" s="18"/>
      <c r="N71" s="18"/>
      <c r="O71" s="18" t="b">
        <f>VLOOKUP(A71,[1]Model!C$2:J$559,2,FALSE)=B71</f>
        <v>1</v>
      </c>
      <c r="P71" s="18" t="b">
        <f>VLOOKUP(A71,Model!C$2:G$228,5,FALSE)=D71</f>
        <v>1</v>
      </c>
      <c r="Q71" s="18">
        <f>VLOOKUP(A71,[2]Model!C$2:L$228,8,FALSE)</f>
        <v>86</v>
      </c>
      <c r="R71" s="18" t="e">
        <f>VLOOKUP(A71,[2]Model!C$2:G$228,3,FALSE)=[3]!Table14[[#This Row],[Business Definition (To go into comments and into Meta Data Hub)]]</f>
        <v>#REF!</v>
      </c>
      <c r="S71" s="18" t="e">
        <f>IF([3]!Table14[[#This Row],[Nullable in Table and in Oracle View
NULL, NOT NULL]]="No","NOT NULL","NULL")=VLOOKUP(A71,[2]Model!C$2:I$228,6,FALSE)</f>
        <v>#REF!</v>
      </c>
      <c r="T71" s="18" t="e">
        <f>VLOOKUP(B71,[2]Table!A$2:F$415,1,FALSE)=[3]!Table14[[#This Row],[Physical Name of Attribute (Name of column in Table)
Supplied by DA Team]]</f>
        <v>#REF!</v>
      </c>
      <c r="U71" s="18" t="b">
        <f>VLOOKUP(B71,Table!A$2:F$319,2,FALSE)=Table14[[#This Row],[Data type in Oracle
VARCHAR2(n), DATE, NUMBER(m,n), TIMETSTAMP(6)]]</f>
        <v>0</v>
      </c>
      <c r="V71" s="18" t="b">
        <f>VLOOKUP(B71,Table!A$2:F$231,3,FALSE)=Table14[[#This Row],[Nullable in Table and in Oracle View
NULL, NOT NULL]]</f>
        <v>1</v>
      </c>
      <c r="W71" s="18" t="b">
        <f>VLOOKUP(B71,Table!A$2:H$228,6,FALSE)=Table14[[#This Row],[Business Definition (To go into comments and into Meta Data Hub)]]</f>
        <v>0</v>
      </c>
      <c r="X71" s="55" t="str">
        <f>VLOOKUP((UPPER(SUBSTITUTE(A71," ","_"))),'[2]Consumer View'!A$2:I$329,1,FALSE)</f>
        <v>CASH_ACTIVITY_TYPE</v>
      </c>
      <c r="Y71" s="18" t="s">
        <v>68</v>
      </c>
      <c r="Z71" s="18" t="s">
        <v>436</v>
      </c>
      <c r="AA71" s="18" t="s">
        <v>455</v>
      </c>
      <c r="AB71" s="18"/>
      <c r="AC71" s="18"/>
      <c r="AD71" s="18" t="s">
        <v>438</v>
      </c>
      <c r="AE71" s="46"/>
      <c r="AF71" s="18"/>
      <c r="AG71" s="18"/>
      <c r="AH71" s="18" t="s">
        <v>71</v>
      </c>
    </row>
    <row r="72" spans="1:34" ht="27" customHeight="1">
      <c r="A72" s="51" t="s">
        <v>456</v>
      </c>
      <c r="B72" s="18" t="s">
        <v>457</v>
      </c>
      <c r="C72" s="18" t="s">
        <v>458</v>
      </c>
      <c r="D72" s="18" t="s">
        <v>90</v>
      </c>
      <c r="E72" s="18" t="s">
        <v>63</v>
      </c>
      <c r="F72" s="18" t="s">
        <v>91</v>
      </c>
      <c r="G72" s="45" t="s">
        <v>63</v>
      </c>
      <c r="H72" s="12" t="s">
        <v>459</v>
      </c>
      <c r="I72" s="18"/>
      <c r="J72" s="18" t="s">
        <v>67</v>
      </c>
      <c r="K72" s="18">
        <v>3</v>
      </c>
      <c r="L72" s="18"/>
      <c r="M72" s="18"/>
      <c r="N72" s="18"/>
      <c r="O72" s="18" t="b">
        <f>VLOOKUP(A72,[1]Model!C$2:J$559,2,FALSE)=B72</f>
        <v>1</v>
      </c>
      <c r="P72" s="18" t="b">
        <f>VLOOKUP(A72,Model!C$2:G$228,5,FALSE)=D72</f>
        <v>1</v>
      </c>
      <c r="Q72" s="18">
        <f>VLOOKUP(A72,[2]Model!C$2:L$228,8,FALSE)</f>
        <v>175</v>
      </c>
      <c r="R72" s="18" t="e">
        <f>VLOOKUP(A72,[2]Model!C$2:G$228,3,FALSE)=[3]!Table14[[#This Row],[Business Definition (To go into comments and into Meta Data Hub)]]</f>
        <v>#REF!</v>
      </c>
      <c r="S72" s="18" t="e">
        <f>IF([3]!Table14[[#This Row],[Nullable in Table and in Oracle View
NULL, NOT NULL]]="No","NOT NULL","NULL")=VLOOKUP(A72,[2]Model!C$2:I$228,6,FALSE)</f>
        <v>#REF!</v>
      </c>
      <c r="T72" s="18" t="e">
        <f>VLOOKUP(B72,[2]Table!A$2:F$415,1,FALSE)=[3]!Table14[[#This Row],[Physical Name of Attribute (Name of column in Table)
Supplied by DA Team]]</f>
        <v>#REF!</v>
      </c>
      <c r="U72" s="18" t="b">
        <f>VLOOKUP(B72,Table!A$2:F$319,2,FALSE)=Table14[[#This Row],[Data type in Oracle
VARCHAR2(n), DATE, NUMBER(m,n), TIMETSTAMP(6)]]</f>
        <v>0</v>
      </c>
      <c r="V72" s="18" t="b">
        <f>VLOOKUP(B72,Table!A$2:F$231,3,FALSE)=Table14[[#This Row],[Nullable in Table and in Oracle View
NULL, NOT NULL]]</f>
        <v>1</v>
      </c>
      <c r="W72" s="18" t="b">
        <f>VLOOKUP(B72,Table!A$2:H$228,6,FALSE)=Table14[[#This Row],[Business Definition (To go into comments and into Meta Data Hub)]]</f>
        <v>0</v>
      </c>
      <c r="X72" s="55" t="str">
        <f>VLOOKUP((UPPER(SUBSTITUTE(A72," ","_"))),'[2]Consumer View'!A$2:I$329,1,FALSE)</f>
        <v>CASH_SIMPLIFIED_DISPLAY_ACTIVITY_TYPE</v>
      </c>
      <c r="Y72" s="18" t="s">
        <v>68</v>
      </c>
      <c r="Z72" s="18" t="s">
        <v>436</v>
      </c>
      <c r="AA72" s="18" t="s">
        <v>460</v>
      </c>
      <c r="AB72" s="18"/>
      <c r="AC72" s="18"/>
      <c r="AD72" s="18" t="s">
        <v>438</v>
      </c>
      <c r="AE72" s="46"/>
      <c r="AF72" s="18"/>
      <c r="AG72" s="18"/>
      <c r="AH72" s="18" t="s">
        <v>71</v>
      </c>
    </row>
    <row r="73" spans="1:34" ht="27" customHeight="1">
      <c r="A73" s="51" t="s">
        <v>461</v>
      </c>
      <c r="B73" s="18" t="s">
        <v>462</v>
      </c>
      <c r="C73" s="18" t="s">
        <v>463</v>
      </c>
      <c r="D73" s="18" t="s">
        <v>464</v>
      </c>
      <c r="E73" s="18" t="s">
        <v>63</v>
      </c>
      <c r="F73" s="18" t="s">
        <v>465</v>
      </c>
      <c r="G73" s="45" t="s">
        <v>63</v>
      </c>
      <c r="H73" s="46" t="s">
        <v>466</v>
      </c>
      <c r="I73" s="18"/>
      <c r="J73" s="18" t="s">
        <v>347</v>
      </c>
      <c r="K73" s="18">
        <v>3</v>
      </c>
      <c r="L73" s="18"/>
      <c r="M73" s="18"/>
      <c r="N73" s="18"/>
      <c r="O73" s="18" t="b">
        <f>VLOOKUP(A73,[1]Model!C$2:J$559,2,FALSE)=B73</f>
        <v>1</v>
      </c>
      <c r="P73" s="18" t="b">
        <f>VLOOKUP(A73,Model!C$2:G$228,5,FALSE)=D73</f>
        <v>1</v>
      </c>
      <c r="Q73" s="18">
        <f>VLOOKUP(A73,[2]Model!C$2:L$228,8,FALSE)</f>
        <v>50</v>
      </c>
      <c r="R73" s="18" t="e">
        <f>VLOOKUP(A73,[2]Model!C$2:G$228,3,FALSE)=[3]!Table14[[#This Row],[Business Definition (To go into comments and into Meta Data Hub)]]</f>
        <v>#REF!</v>
      </c>
      <c r="S73" s="18" t="e">
        <f>IF([3]!Table14[[#This Row],[Nullable in Table and in Oracle View
NULL, NOT NULL]]="No","NOT NULL","NULL")=VLOOKUP(A73,[2]Model!C$2:I$228,6,FALSE)</f>
        <v>#REF!</v>
      </c>
      <c r="T73" s="18" t="e">
        <f>VLOOKUP(B73,[2]Table!A$2:F$415,1,FALSE)=[3]!Table14[[#This Row],[Physical Name of Attribute (Name of column in Table)
Supplied by DA Team]]</f>
        <v>#REF!</v>
      </c>
      <c r="U73" s="18" t="b">
        <f>VLOOKUP(B73,Table!A$2:F$319,2,FALSE)=Table14[[#This Row],[Data type in Oracle
VARCHAR2(n), DATE, NUMBER(m,n), TIMETSTAMP(6)]]</f>
        <v>0</v>
      </c>
      <c r="V73" s="18" t="b">
        <f>VLOOKUP(B73,Table!A$2:F$231,3,FALSE)=Table14[[#This Row],[Nullable in Table and in Oracle View
NULL, NOT NULL]]</f>
        <v>1</v>
      </c>
      <c r="W73" s="18" t="b">
        <f>VLOOKUP(B73,Table!A$2:H$228,6,FALSE)=Table14[[#This Row],[Business Definition (To go into comments and into Meta Data Hub)]]</f>
        <v>0</v>
      </c>
      <c r="X73" s="55" t="str">
        <f>VLOOKUP((UPPER(SUBSTITUTE(A73," ","_"))),'[2]Consumer View'!A$2:I$329,1,FALSE)</f>
        <v>CASH_ALTERNATE_DESCRIPTION_TRAILER_2</v>
      </c>
      <c r="Y73" s="18" t="s">
        <v>68</v>
      </c>
      <c r="Z73" s="18" t="s">
        <v>375</v>
      </c>
      <c r="AA73" s="18" t="s">
        <v>467</v>
      </c>
      <c r="AB73" s="18"/>
      <c r="AC73" s="18"/>
      <c r="AD73" s="18" t="s">
        <v>468</v>
      </c>
      <c r="AE73" s="46"/>
      <c r="AF73" s="18"/>
      <c r="AG73" s="18"/>
      <c r="AH73" s="18" t="s">
        <v>71</v>
      </c>
    </row>
    <row r="74" spans="1:34" ht="27" customHeight="1">
      <c r="A74" s="51" t="s">
        <v>469</v>
      </c>
      <c r="B74" s="18" t="s">
        <v>470</v>
      </c>
      <c r="C74" s="18" t="s">
        <v>471</v>
      </c>
      <c r="D74" s="18" t="s">
        <v>62</v>
      </c>
      <c r="E74" s="18" t="s">
        <v>63</v>
      </c>
      <c r="F74" s="18" t="s">
        <v>64</v>
      </c>
      <c r="G74" s="45" t="s">
        <v>63</v>
      </c>
      <c r="H74" s="46" t="s">
        <v>472</v>
      </c>
      <c r="I74" s="18"/>
      <c r="J74" s="18" t="s">
        <v>67</v>
      </c>
      <c r="K74" s="18">
        <v>3</v>
      </c>
      <c r="L74" s="18"/>
      <c r="M74" s="18"/>
      <c r="N74" s="18"/>
      <c r="O74" s="18" t="b">
        <f>VLOOKUP(A74,[1]Model!C$2:J$559,2,FALSE)=B74</f>
        <v>1</v>
      </c>
      <c r="P74" s="18" t="b">
        <f>VLOOKUP(A74,Model!C$2:G$228,5,FALSE)=D74</f>
        <v>1</v>
      </c>
      <c r="Q74" s="18">
        <f>VLOOKUP(A74,[2]Model!C$2:L$228,8,FALSE)</f>
        <v>51</v>
      </c>
      <c r="R74" s="18" t="e">
        <f>VLOOKUP(A74,[2]Model!C$2:G$228,3,FALSE)=[3]!Table14[[#This Row],[Business Definition (To go into comments and into Meta Data Hub)]]</f>
        <v>#REF!</v>
      </c>
      <c r="S74" s="18" t="e">
        <f>IF([3]!Table14[[#This Row],[Nullable in Table and in Oracle View
NULL, NOT NULL]]="No","NOT NULL","NULL")=VLOOKUP(A74,[2]Model!C$2:I$228,6,FALSE)</f>
        <v>#REF!</v>
      </c>
      <c r="T74" s="18" t="e">
        <f>VLOOKUP(B74,[2]Table!A$2:F$415,1,FALSE)=[3]!Table14[[#This Row],[Physical Name of Attribute (Name of column in Table)
Supplied by DA Team]]</f>
        <v>#REF!</v>
      </c>
      <c r="U74" s="18" t="b">
        <f>VLOOKUP(B74,Table!A$2:F$319,2,FALSE)=Table14[[#This Row],[Data type in Oracle
VARCHAR2(n), DATE, NUMBER(m,n), TIMETSTAMP(6)]]</f>
        <v>0</v>
      </c>
      <c r="V74" s="18" t="b">
        <f>VLOOKUP(B74,Table!A$2:F$231,3,FALSE)=Table14[[#This Row],[Nullable in Table and in Oracle View
NULL, NOT NULL]]</f>
        <v>1</v>
      </c>
      <c r="W74" s="18" t="b">
        <f>VLOOKUP(B74,Table!A$2:H$228,6,FALSE)=Table14[[#This Row],[Business Definition (To go into comments and into Meta Data Hub)]]</f>
        <v>0</v>
      </c>
      <c r="X74" s="55" t="str">
        <f>VLOOKUP((UPPER(SUBSTITUTE(A74," ","_"))),'[2]Consumer View'!A$2:I$329,1,FALSE)</f>
        <v>CASH_ASSET_PACKAGE_EXTERNAL_QUALIFIER</v>
      </c>
      <c r="Y74" s="18" t="s">
        <v>68</v>
      </c>
      <c r="Z74" s="18" t="s">
        <v>375</v>
      </c>
      <c r="AA74" s="18" t="s">
        <v>473</v>
      </c>
      <c r="AB74" s="18"/>
      <c r="AC74" s="18"/>
      <c r="AD74" s="18" t="s">
        <v>468</v>
      </c>
      <c r="AE74" s="46"/>
      <c r="AF74" s="18"/>
      <c r="AG74" s="18"/>
      <c r="AH74" s="18" t="s">
        <v>71</v>
      </c>
    </row>
    <row r="75" spans="1:34" ht="27" customHeight="1">
      <c r="A75" s="51" t="s">
        <v>474</v>
      </c>
      <c r="B75" s="18" t="s">
        <v>475</v>
      </c>
      <c r="C75" s="18"/>
      <c r="D75" s="18" t="s">
        <v>101</v>
      </c>
      <c r="E75" s="18" t="s">
        <v>63</v>
      </c>
      <c r="F75" s="18" t="s">
        <v>133</v>
      </c>
      <c r="G75" s="45" t="s">
        <v>63</v>
      </c>
      <c r="H75" s="46" t="s">
        <v>476</v>
      </c>
      <c r="I75" s="18"/>
      <c r="J75" s="18" t="s">
        <v>347</v>
      </c>
      <c r="K75" s="18">
        <v>3</v>
      </c>
      <c r="L75" s="18"/>
      <c r="M75" s="18"/>
      <c r="N75" s="18"/>
      <c r="O75" s="18" t="b">
        <f>VLOOKUP(A75,[1]Model!C$2:J$559,2,FALSE)=B75</f>
        <v>1</v>
      </c>
      <c r="P75" s="18" t="b">
        <f>VLOOKUP(A75,Model!C$2:G$228,5,FALSE)=D75</f>
        <v>1</v>
      </c>
      <c r="Q75" s="18">
        <f>VLOOKUP(A75,[2]Model!C$2:L$228,8,FALSE)</f>
        <v>24</v>
      </c>
      <c r="R75" s="18" t="e">
        <f>VLOOKUP(A75,[2]Model!C$2:G$228,3,FALSE)=[3]!Table14[[#This Row],[Business Definition (To go into comments and into Meta Data Hub)]]</f>
        <v>#REF!</v>
      </c>
      <c r="S75" s="18" t="e">
        <f>IF([3]!Table14[[#This Row],[Nullable in Table and in Oracle View
NULL, NOT NULL]]="No","NOT NULL","NULL")=VLOOKUP(A75,[2]Model!C$2:I$228,6,FALSE)</f>
        <v>#REF!</v>
      </c>
      <c r="T75" s="18" t="e">
        <f>VLOOKUP(B75,[2]Table!A$2:F$415,1,FALSE)=[3]!Table14[[#This Row],[Physical Name of Attribute (Name of column in Table)
Supplied by DA Team]]</f>
        <v>#REF!</v>
      </c>
      <c r="U75" s="18" t="b">
        <f>VLOOKUP(B75,Table!A$2:F$319,2,FALSE)=Table14[[#This Row],[Data type in Oracle
VARCHAR2(n), DATE, NUMBER(m,n), TIMETSTAMP(6)]]</f>
        <v>1</v>
      </c>
      <c r="V75" s="18" t="b">
        <f>VLOOKUP(B75,Table!A$2:F$231,3,FALSE)=Table14[[#This Row],[Nullable in Table and in Oracle View
NULL, NOT NULL]]</f>
        <v>1</v>
      </c>
      <c r="W75" s="18" t="b">
        <f>VLOOKUP(B75,Table!A$2:H$228,6,FALSE)=Table14[[#This Row],[Business Definition (To go into comments and into Meta Data Hub)]]</f>
        <v>0</v>
      </c>
      <c r="X75" s="55" t="str">
        <f>VLOOKUP((UPPER(SUBSTITUTE(A75," ","_"))),'[2]Consumer View'!A$2:I$329,1,FALSE)</f>
        <v>CASH_ASSET_PACKAGE_ID</v>
      </c>
      <c r="Y75" s="18" t="s">
        <v>68</v>
      </c>
      <c r="Z75" s="18" t="s">
        <v>375</v>
      </c>
      <c r="AA75" s="18" t="s">
        <v>477</v>
      </c>
      <c r="AB75" s="18"/>
      <c r="AC75" s="18"/>
      <c r="AD75" s="18" t="s">
        <v>468</v>
      </c>
      <c r="AE75" s="46"/>
      <c r="AF75" s="18"/>
      <c r="AG75" s="18"/>
      <c r="AH75" s="18" t="s">
        <v>71</v>
      </c>
    </row>
    <row r="76" spans="1:34" ht="27" customHeight="1">
      <c r="A76" s="51" t="s">
        <v>478</v>
      </c>
      <c r="B76" s="18" t="s">
        <v>479</v>
      </c>
      <c r="C76" s="18" t="s">
        <v>480</v>
      </c>
      <c r="D76" s="18" t="s">
        <v>139</v>
      </c>
      <c r="E76" s="18" t="s">
        <v>63</v>
      </c>
      <c r="F76" s="18" t="s">
        <v>140</v>
      </c>
      <c r="G76" s="45" t="s">
        <v>63</v>
      </c>
      <c r="H76" s="46" t="s">
        <v>481</v>
      </c>
      <c r="I76" s="18"/>
      <c r="J76" s="18" t="s">
        <v>347</v>
      </c>
      <c r="K76" s="18">
        <v>3</v>
      </c>
      <c r="L76" s="18"/>
      <c r="M76" s="18"/>
      <c r="N76" s="18"/>
      <c r="O76" s="18" t="b">
        <f>VLOOKUP(A76,[1]Model!C$2:J$559,2,FALSE)=B76</f>
        <v>1</v>
      </c>
      <c r="P76" s="18" t="b">
        <f>VLOOKUP(A76,Model!C$2:G$228,5,FALSE)=D76</f>
        <v>1</v>
      </c>
      <c r="Q76" s="18">
        <f>VLOOKUP(A76,[2]Model!C$2:L$228,8,FALSE)</f>
        <v>81</v>
      </c>
      <c r="R76" s="18" t="e">
        <f>VLOOKUP(A76,[2]Model!C$2:G$228,3,FALSE)=[3]!Table14[[#This Row],[Business Definition (To go into comments and into Meta Data Hub)]]</f>
        <v>#REF!</v>
      </c>
      <c r="S76" s="18" t="e">
        <f>IF([3]!Table14[[#This Row],[Nullable in Table and in Oracle View
NULL, NOT NULL]]="No","NOT NULL","NULL")=VLOOKUP(A76,[2]Model!C$2:I$228,6,FALSE)</f>
        <v>#REF!</v>
      </c>
      <c r="T76" s="18" t="e">
        <f>VLOOKUP(B76,[2]Table!A$2:F$415,1,FALSE)=[3]!Table14[[#This Row],[Physical Name of Attribute (Name of column in Table)
Supplied by DA Team]]</f>
        <v>#REF!</v>
      </c>
      <c r="U76" s="18" t="b">
        <f>VLOOKUP(B76,Table!A$2:F$319,2,FALSE)=Table14[[#This Row],[Data type in Oracle
VARCHAR2(n), DATE, NUMBER(m,n), TIMETSTAMP(6)]]</f>
        <v>0</v>
      </c>
      <c r="V76" s="18" t="b">
        <f>VLOOKUP(B76,Table!A$2:F$231,3,FALSE)=Table14[[#This Row],[Nullable in Table and in Oracle View
NULL, NOT NULL]]</f>
        <v>1</v>
      </c>
      <c r="W76" s="18" t="b">
        <f>VLOOKUP(B76,Table!A$2:H$228,6,FALSE)=Table14[[#This Row],[Business Definition (To go into comments and into Meta Data Hub)]]</f>
        <v>0</v>
      </c>
      <c r="X76" s="55" t="str">
        <f>VLOOKUP((UPPER(SUBSTITUTE(A76," ","_"))),'[2]Consumer View'!A$2:I$329,1,FALSE)</f>
        <v>CASH_ASSET_PACKAGE_TYPE_CODE</v>
      </c>
      <c r="Y76" s="18" t="s">
        <v>68</v>
      </c>
      <c r="Z76" s="18" t="s">
        <v>113</v>
      </c>
      <c r="AA76" s="18" t="s">
        <v>143</v>
      </c>
      <c r="AB76" s="18"/>
      <c r="AC76" s="18"/>
      <c r="AD76" s="18" t="s">
        <v>468</v>
      </c>
      <c r="AE76" s="46"/>
      <c r="AF76" s="18"/>
      <c r="AG76" s="18"/>
      <c r="AH76" s="18" t="s">
        <v>71</v>
      </c>
    </row>
    <row r="77" spans="1:34" ht="27" customHeight="1">
      <c r="A77" s="51" t="s">
        <v>482</v>
      </c>
      <c r="B77" s="18" t="s">
        <v>483</v>
      </c>
      <c r="C77" s="18" t="s">
        <v>484</v>
      </c>
      <c r="D77" s="18" t="s">
        <v>485</v>
      </c>
      <c r="E77" s="18" t="s">
        <v>63</v>
      </c>
      <c r="F77" s="18" t="s">
        <v>486</v>
      </c>
      <c r="G77" s="45" t="s">
        <v>63</v>
      </c>
      <c r="H77" s="46" t="s">
        <v>487</v>
      </c>
      <c r="I77" s="18"/>
      <c r="J77" s="18" t="s">
        <v>347</v>
      </c>
      <c r="K77" s="18">
        <v>3</v>
      </c>
      <c r="L77" s="18"/>
      <c r="M77" s="18"/>
      <c r="N77" s="18"/>
      <c r="O77" s="18" t="b">
        <f>VLOOKUP(A77,[1]Model!C$2:J$559,2,FALSE)=B77</f>
        <v>1</v>
      </c>
      <c r="P77" s="18" t="b">
        <f>VLOOKUP(A77,Model!C$2:G$228,5,FALSE)=D77</f>
        <v>1</v>
      </c>
      <c r="Q77" s="18">
        <f>VLOOKUP(A77,[2]Model!C$2:L$228,8,FALSE)</f>
        <v>83</v>
      </c>
      <c r="R77" s="18" t="e">
        <f>VLOOKUP(A77,[2]Model!C$2:G$228,3,FALSE)=[3]!Table14[[#This Row],[Business Definition (To go into comments and into Meta Data Hub)]]</f>
        <v>#REF!</v>
      </c>
      <c r="S77" s="18" t="e">
        <f>IF([3]!Table14[[#This Row],[Nullable in Table and in Oracle View
NULL, NOT NULL]]="No","NOT NULL","NULL")=VLOOKUP(A77,[2]Model!C$2:I$228,6,FALSE)</f>
        <v>#REF!</v>
      </c>
      <c r="T77" s="18" t="e">
        <f>VLOOKUP(B77,[2]Table!A$2:F$415,1,FALSE)=[3]!Table14[[#This Row],[Physical Name of Attribute (Name of column in Table)
Supplied by DA Team]]</f>
        <v>#REF!</v>
      </c>
      <c r="U77" s="18" t="b">
        <f>VLOOKUP(B77,Table!A$2:F$319,2,FALSE)=Table14[[#This Row],[Data type in Oracle
VARCHAR2(n), DATE, NUMBER(m,n), TIMETSTAMP(6)]]</f>
        <v>0</v>
      </c>
      <c r="V77" s="18" t="b">
        <f>VLOOKUP(B77,Table!A$2:F$231,3,FALSE)=Table14[[#This Row],[Nullable in Table and in Oracle View
NULL, NOT NULL]]</f>
        <v>1</v>
      </c>
      <c r="W77" s="18" t="b">
        <f>VLOOKUP(B77,Table!A$2:H$228,6,FALSE)=Table14[[#This Row],[Business Definition (To go into comments and into Meta Data Hub)]]</f>
        <v>0</v>
      </c>
      <c r="X77" s="55" t="str">
        <f>VLOOKUP((UPPER(SUBSTITUTE(A77," ","_"))),'[2]Consumer View'!A$2:I$329,1,FALSE)</f>
        <v>CASH_ASSET_PACKAGE_TYPE_DESCRIPTION</v>
      </c>
      <c r="Y77" s="18" t="s">
        <v>68</v>
      </c>
      <c r="Z77" s="18" t="s">
        <v>113</v>
      </c>
      <c r="AA77" s="18" t="s">
        <v>488</v>
      </c>
      <c r="AB77" s="18"/>
      <c r="AC77" s="18"/>
      <c r="AD77" s="18" t="s">
        <v>468</v>
      </c>
      <c r="AE77" s="46"/>
      <c r="AF77" s="18"/>
      <c r="AG77" s="18"/>
      <c r="AH77" s="18" t="s">
        <v>71</v>
      </c>
    </row>
    <row r="78" spans="1:34" ht="27" customHeight="1">
      <c r="A78" s="51" t="s">
        <v>489</v>
      </c>
      <c r="B78" s="18" t="s">
        <v>490</v>
      </c>
      <c r="C78" s="18"/>
      <c r="D78" s="18" t="s">
        <v>101</v>
      </c>
      <c r="E78" s="18" t="s">
        <v>63</v>
      </c>
      <c r="F78" s="18" t="s">
        <v>133</v>
      </c>
      <c r="G78" s="45" t="s">
        <v>63</v>
      </c>
      <c r="H78" s="46" t="s">
        <v>491</v>
      </c>
      <c r="I78" s="18"/>
      <c r="J78" s="18" t="s">
        <v>347</v>
      </c>
      <c r="K78" s="18">
        <v>3</v>
      </c>
      <c r="L78" s="18"/>
      <c r="M78" s="18"/>
      <c r="N78" s="18"/>
      <c r="O78" s="18" t="b">
        <f>VLOOKUP(A78,[1]Model!C$2:J$559,2,FALSE)=B78</f>
        <v>1</v>
      </c>
      <c r="P78" s="18" t="b">
        <f>VLOOKUP(A78,Model!C$2:G$228,5,FALSE)=D78</f>
        <v>1</v>
      </c>
      <c r="Q78" s="18">
        <f>VLOOKUP(A78,[2]Model!C$2:L$228,8,FALSE)</f>
        <v>80</v>
      </c>
      <c r="R78" s="18" t="e">
        <f>VLOOKUP(A78,[2]Model!C$2:G$228,3,FALSE)=[3]!Table14[[#This Row],[Business Definition (To go into comments and into Meta Data Hub)]]</f>
        <v>#REF!</v>
      </c>
      <c r="S78" s="18" t="e">
        <f>IF([3]!Table14[[#This Row],[Nullable in Table and in Oracle View
NULL, NOT NULL]]="No","NOT NULL","NULL")=VLOOKUP(A78,[2]Model!C$2:I$228,6,FALSE)</f>
        <v>#REF!</v>
      </c>
      <c r="T78" s="18" t="e">
        <f>VLOOKUP(B78,[2]Table!A$2:F$415,1,FALSE)=[3]!Table14[[#This Row],[Physical Name of Attribute (Name of column in Table)
Supplied by DA Team]]</f>
        <v>#REF!</v>
      </c>
      <c r="U78" s="18" t="b">
        <f>VLOOKUP(B78,Table!A$2:F$319,2,FALSE)=Table14[[#This Row],[Data type in Oracle
VARCHAR2(n), DATE, NUMBER(m,n), TIMETSTAMP(6)]]</f>
        <v>1</v>
      </c>
      <c r="V78" s="18" t="b">
        <f>VLOOKUP(B78,Table!A$2:F$231,3,FALSE)=Table14[[#This Row],[Nullable in Table and in Oracle View
NULL, NOT NULL]]</f>
        <v>1</v>
      </c>
      <c r="W78" s="18" t="b">
        <f>VLOOKUP(B78,Table!A$2:H$228,6,FALSE)=Table14[[#This Row],[Business Definition (To go into comments and into Meta Data Hub)]]</f>
        <v>0</v>
      </c>
      <c r="X78" s="55" t="str">
        <f>VLOOKUP((UPPER(SUBSTITUTE(A78," ","_"))),'[2]Consumer View'!A$2:I$329,1,FALSE)</f>
        <v>CASH_ASSET_PACKAGE_TYPE_ID</v>
      </c>
      <c r="Y78" s="18" t="s">
        <v>68</v>
      </c>
      <c r="Z78" s="18" t="s">
        <v>375</v>
      </c>
      <c r="AA78" s="18" t="s">
        <v>492</v>
      </c>
      <c r="AB78" s="18"/>
      <c r="AC78" s="18"/>
      <c r="AD78" s="18" t="s">
        <v>468</v>
      </c>
      <c r="AE78" s="46"/>
      <c r="AF78" s="18"/>
      <c r="AG78" s="18"/>
      <c r="AH78" s="18" t="s">
        <v>71</v>
      </c>
    </row>
    <row r="79" spans="1:34" ht="27" customHeight="1">
      <c r="A79" s="51" t="s">
        <v>493</v>
      </c>
      <c r="B79" s="18" t="s">
        <v>494</v>
      </c>
      <c r="C79" s="18" t="s">
        <v>495</v>
      </c>
      <c r="D79" s="55" t="s">
        <v>109</v>
      </c>
      <c r="E79" s="18" t="s">
        <v>63</v>
      </c>
      <c r="F79" s="18" t="s">
        <v>110</v>
      </c>
      <c r="G79" s="45" t="s">
        <v>63</v>
      </c>
      <c r="H79" s="46" t="s">
        <v>496</v>
      </c>
      <c r="I79" s="18"/>
      <c r="J79" s="18" t="s">
        <v>381</v>
      </c>
      <c r="K79" s="18">
        <v>3</v>
      </c>
      <c r="L79" s="18"/>
      <c r="M79" s="18"/>
      <c r="N79" s="18"/>
      <c r="O79" s="18" t="b">
        <f>VLOOKUP(A79,[1]Model!C$2:J$559,2,FALSE)=B79</f>
        <v>1</v>
      </c>
      <c r="P79" s="18" t="b">
        <f>VLOOKUP(A79,Model!C$2:G$228,5,FALSE)=D79</f>
        <v>1</v>
      </c>
      <c r="Q79" s="18">
        <f>VLOOKUP(A79,[2]Model!C$2:L$228,8,FALSE)</f>
        <v>82</v>
      </c>
      <c r="R79" s="18" t="e">
        <f>VLOOKUP(A79,[2]Model!C$2:G$228,3,FALSE)=[3]!Table14[[#This Row],[Business Definition (To go into comments and into Meta Data Hub)]]</f>
        <v>#REF!</v>
      </c>
      <c r="S79" s="18" t="e">
        <f>IF([3]!Table14[[#This Row],[Nullable in Table and in Oracle View
NULL, NOT NULL]]="No","NOT NULL","NULL")=VLOOKUP(A79,[2]Model!C$2:I$228,6,FALSE)</f>
        <v>#REF!</v>
      </c>
      <c r="T79" s="18" t="e">
        <f>VLOOKUP(B79,[2]Table!A$2:F$415,1,FALSE)=[3]!Table14[[#This Row],[Physical Name of Attribute (Name of column in Table)
Supplied by DA Team]]</f>
        <v>#REF!</v>
      </c>
      <c r="U79" s="18" t="b">
        <f>VLOOKUP(B79,Table!A$2:F$319,2,FALSE)=Table14[[#This Row],[Data type in Oracle
VARCHAR2(n), DATE, NUMBER(m,n), TIMETSTAMP(6)]]</f>
        <v>0</v>
      </c>
      <c r="V79" s="18" t="b">
        <f>VLOOKUP(B79,Table!A$2:F$231,3,FALSE)=Table14[[#This Row],[Nullable in Table and in Oracle View
NULL, NOT NULL]]</f>
        <v>1</v>
      </c>
      <c r="W79" s="18" t="b">
        <f>VLOOKUP(B79,Table!A$2:H$228,6,FALSE)=Table14[[#This Row],[Business Definition (To go into comments and into Meta Data Hub)]]</f>
        <v>0</v>
      </c>
      <c r="X79" s="55" t="str">
        <f>VLOOKUP((UPPER(SUBSTITUTE(A79," ","_"))),'[2]Consumer View'!A$2:I$329,1,FALSE)</f>
        <v>CASH_ASSET_PACKAGE_TYPE_NAME</v>
      </c>
      <c r="Y79" s="18" t="s">
        <v>68</v>
      </c>
      <c r="Z79" s="18" t="s">
        <v>113</v>
      </c>
      <c r="AA79" s="18" t="s">
        <v>114</v>
      </c>
      <c r="AB79" s="18"/>
      <c r="AC79" s="18"/>
      <c r="AD79" s="18" t="s">
        <v>468</v>
      </c>
      <c r="AE79" s="46" t="s">
        <v>105</v>
      </c>
      <c r="AF79" s="18"/>
      <c r="AG79" s="18"/>
      <c r="AH79" s="18" t="s">
        <v>71</v>
      </c>
    </row>
    <row r="80" spans="1:34" ht="27" customHeight="1">
      <c r="A80" s="51" t="s">
        <v>497</v>
      </c>
      <c r="B80" s="18" t="s">
        <v>498</v>
      </c>
      <c r="C80" s="18" t="s">
        <v>499</v>
      </c>
      <c r="D80" s="18" t="s">
        <v>101</v>
      </c>
      <c r="E80" s="18" t="s">
        <v>63</v>
      </c>
      <c r="F80" s="18" t="s">
        <v>133</v>
      </c>
      <c r="G80" s="45" t="s">
        <v>63</v>
      </c>
      <c r="H80" s="46" t="s">
        <v>500</v>
      </c>
      <c r="I80" s="18"/>
      <c r="J80" s="18" t="s">
        <v>347</v>
      </c>
      <c r="K80" s="18">
        <v>3</v>
      </c>
      <c r="L80" s="18"/>
      <c r="M80" s="18"/>
      <c r="N80" s="18"/>
      <c r="O80" s="18" t="b">
        <f>VLOOKUP(A80,[1]Model!C$2:J$559,2,FALSE)=B80</f>
        <v>1</v>
      </c>
      <c r="P80" s="18" t="b">
        <f>VLOOKUP(A80,Model!C$2:G$228,5,FALSE)=D80</f>
        <v>1</v>
      </c>
      <c r="Q80" s="18">
        <f>VLOOKUP(A80,[2]Model!C$2:L$228,8,FALSE)</f>
        <v>106</v>
      </c>
      <c r="R80" s="18" t="e">
        <f>VLOOKUP(A80,[2]Model!C$2:G$228,3,FALSE)=[3]!Table14[[#This Row],[Business Definition (To go into comments and into Meta Data Hub)]]</f>
        <v>#REF!</v>
      </c>
      <c r="S80" s="18" t="e">
        <f>IF([3]!Table14[[#This Row],[Nullable in Table and in Oracle View
NULL, NOT NULL]]="No","NOT NULL","NULL")=VLOOKUP(A80,[2]Model!C$2:I$228,6,FALSE)</f>
        <v>#REF!</v>
      </c>
      <c r="T80" s="18" t="e">
        <f>VLOOKUP(B80,[2]Table!A$2:F$415,1,FALSE)=[3]!Table14[[#This Row],[Physical Name of Attribute (Name of column in Table)
Supplied by DA Team]]</f>
        <v>#REF!</v>
      </c>
      <c r="U80" s="18" t="b">
        <f>VLOOKUP(B80,Table!A$2:F$319,2,FALSE)=Table14[[#This Row],[Data type in Oracle
VARCHAR2(n), DATE, NUMBER(m,n), TIMETSTAMP(6)]]</f>
        <v>1</v>
      </c>
      <c r="V80" s="18" t="b">
        <f>VLOOKUP(B80,Table!A$2:F$231,3,FALSE)=Table14[[#This Row],[Nullable in Table and in Oracle View
NULL, NOT NULL]]</f>
        <v>1</v>
      </c>
      <c r="W80" s="18" t="b">
        <f>VLOOKUP(B80,Table!A$2:H$228,6,FALSE)=Table14[[#This Row],[Business Definition (To go into comments and into Meta Data Hub)]]</f>
        <v>0</v>
      </c>
      <c r="X80" s="55" t="str">
        <f>VLOOKUP((UPPER(SUBSTITUTE(A80," ","_"))),'[2]Consumer View'!A$2:I$329,1,FALSE)</f>
        <v>CASH_CIRD_PRODUCT_ID</v>
      </c>
      <c r="Y80" s="18" t="s">
        <v>68</v>
      </c>
      <c r="Z80" s="18" t="s">
        <v>501</v>
      </c>
      <c r="AA80" s="18" t="s">
        <v>502</v>
      </c>
      <c r="AB80" s="18"/>
      <c r="AC80" s="18"/>
      <c r="AD80" s="46" t="s">
        <v>503</v>
      </c>
      <c r="AE80" s="46"/>
      <c r="AF80" s="18"/>
      <c r="AG80" s="18"/>
      <c r="AH80" s="106" t="s">
        <v>178</v>
      </c>
    </row>
    <row r="81" spans="1:34" ht="27" customHeight="1">
      <c r="A81" s="51" t="s">
        <v>504</v>
      </c>
      <c r="B81" s="18" t="s">
        <v>505</v>
      </c>
      <c r="C81" s="18"/>
      <c r="D81" s="55" t="s">
        <v>139</v>
      </c>
      <c r="E81" s="18" t="s">
        <v>63</v>
      </c>
      <c r="F81" s="18" t="s">
        <v>140</v>
      </c>
      <c r="G81" s="45" t="s">
        <v>63</v>
      </c>
      <c r="H81" s="46" t="s">
        <v>506</v>
      </c>
      <c r="I81" s="18"/>
      <c r="J81" s="18" t="s">
        <v>381</v>
      </c>
      <c r="K81" s="18">
        <v>3</v>
      </c>
      <c r="L81" s="18"/>
      <c r="M81" s="18"/>
      <c r="N81" s="18"/>
      <c r="O81" s="18" t="b">
        <f>VLOOKUP(A81,[1]Model!C$2:J$559,2,FALSE)=B81</f>
        <v>1</v>
      </c>
      <c r="P81" s="18" t="b">
        <f>VLOOKUP(A81,Model!C$2:G$228,5,FALSE)=D81</f>
        <v>1</v>
      </c>
      <c r="Q81" s="18">
        <f>VLOOKUP(A81,[2]Model!C$2:L$228,8,FALSE)</f>
        <v>107</v>
      </c>
      <c r="R81" s="18" t="e">
        <f>VLOOKUP(A81,[2]Model!C$2:G$228,3,FALSE)=[3]!Table14[[#This Row],[Business Definition (To go into comments and into Meta Data Hub)]]</f>
        <v>#REF!</v>
      </c>
      <c r="S81" s="18" t="e">
        <f>IF([3]!Table14[[#This Row],[Nullable in Table and in Oracle View
NULL, NOT NULL]]="No","NOT NULL","NULL")=VLOOKUP(A81,[2]Model!C$2:I$228,6,FALSE)</f>
        <v>#REF!</v>
      </c>
      <c r="T81" s="18" t="e">
        <f>VLOOKUP(B81,[2]Table!A$2:F$415,1,FALSE)=[3]!Table14[[#This Row],[Physical Name of Attribute (Name of column in Table)
Supplied by DA Team]]</f>
        <v>#REF!</v>
      </c>
      <c r="U81" s="18" t="b">
        <f>VLOOKUP(B81,Table!A$2:F$319,2,FALSE)=Table14[[#This Row],[Data type in Oracle
VARCHAR2(n), DATE, NUMBER(m,n), TIMETSTAMP(6)]]</f>
        <v>0</v>
      </c>
      <c r="V81" s="18" t="b">
        <f>VLOOKUP(B81,Table!A$2:F$231,3,FALSE)=Table14[[#This Row],[Nullable in Table and in Oracle View
NULL, NOT NULL]]</f>
        <v>1</v>
      </c>
      <c r="W81" s="18" t="b">
        <f>VLOOKUP(B81,Table!A$2:H$228,6,FALSE)=Table14[[#This Row],[Business Definition (To go into comments and into Meta Data Hub)]]</f>
        <v>0</v>
      </c>
      <c r="X81" s="55" t="str">
        <f>VLOOKUP((UPPER(SUBSTITUTE(A81," ","_"))),'[2]Consumer View'!A$2:I$329,1,FALSE)</f>
        <v>CASH_DEBIT_CREDIT_CODE</v>
      </c>
      <c r="Y81" s="18" t="s">
        <v>68</v>
      </c>
      <c r="Z81" s="18" t="s">
        <v>113</v>
      </c>
      <c r="AA81" s="18" t="s">
        <v>143</v>
      </c>
      <c r="AB81" s="18"/>
      <c r="AC81" s="18"/>
      <c r="AD81" s="18" t="s">
        <v>507</v>
      </c>
      <c r="AE81" s="46"/>
      <c r="AF81" s="18"/>
      <c r="AG81" s="18"/>
      <c r="AH81" s="18" t="s">
        <v>71</v>
      </c>
    </row>
    <row r="82" spans="1:34" ht="27" customHeight="1">
      <c r="A82" s="51" t="s">
        <v>508</v>
      </c>
      <c r="B82" s="18" t="s">
        <v>509</v>
      </c>
      <c r="C82" s="18" t="s">
        <v>510</v>
      </c>
      <c r="D82" s="55" t="s">
        <v>90</v>
      </c>
      <c r="E82" s="18" t="s">
        <v>63</v>
      </c>
      <c r="F82" s="18" t="s">
        <v>91</v>
      </c>
      <c r="G82" s="45" t="s">
        <v>63</v>
      </c>
      <c r="H82" s="46" t="s">
        <v>511</v>
      </c>
      <c r="I82" s="18"/>
      <c r="J82" s="18" t="s">
        <v>381</v>
      </c>
      <c r="K82" s="18">
        <v>3</v>
      </c>
      <c r="L82" s="18"/>
      <c r="M82" s="18"/>
      <c r="N82" s="18"/>
      <c r="O82" s="18" t="b">
        <f>VLOOKUP(A82,[1]Model!C$2:J$559,2,FALSE)=B82</f>
        <v>1</v>
      </c>
      <c r="P82" s="18" t="b">
        <f>VLOOKUP(A82,Model!C$2:G$228,5,FALSE)=D82</f>
        <v>1</v>
      </c>
      <c r="Q82" s="18">
        <f>VLOOKUP(A82,[2]Model!C$2:L$228,8,FALSE)</f>
        <v>108</v>
      </c>
      <c r="R82" s="18" t="e">
        <f>VLOOKUP(A82,[2]Model!C$2:G$228,3,FALSE)=[3]!Table14[[#This Row],[Business Definition (To go into comments and into Meta Data Hub)]]</f>
        <v>#REF!</v>
      </c>
      <c r="S82" s="18" t="e">
        <f>IF([3]!Table14[[#This Row],[Nullable in Table and in Oracle View
NULL, NOT NULL]]="No","NOT NULL","NULL")=VLOOKUP(A82,[2]Model!C$2:I$228,6,FALSE)</f>
        <v>#REF!</v>
      </c>
      <c r="T82" s="18" t="e">
        <f>VLOOKUP(B82,[2]Table!A$2:F$415,1,FALSE)=[3]!Table14[[#This Row],[Physical Name of Attribute (Name of column in Table)
Supplied by DA Team]]</f>
        <v>#REF!</v>
      </c>
      <c r="U82" s="18" t="b">
        <f>VLOOKUP(B82,Table!A$2:F$319,2,FALSE)=Table14[[#This Row],[Data type in Oracle
VARCHAR2(n), DATE, NUMBER(m,n), TIMETSTAMP(6)]]</f>
        <v>0</v>
      </c>
      <c r="V82" s="18" t="b">
        <f>VLOOKUP(B82,Table!A$2:F$231,3,FALSE)=Table14[[#This Row],[Nullable in Table and in Oracle View
NULL, NOT NULL]]</f>
        <v>1</v>
      </c>
      <c r="W82" s="18" t="b">
        <f>VLOOKUP(B82,Table!A$2:H$228,6,FALSE)=Table14[[#This Row],[Business Definition (To go into comments and into Meta Data Hub)]]</f>
        <v>0</v>
      </c>
      <c r="X82" s="55" t="str">
        <f>VLOOKUP((UPPER(SUBSTITUTE(A82," ","_"))),'[2]Consumer View'!A$2:I$329,1,FALSE)</f>
        <v>CASH_DEBIT_CREDIT_NAME</v>
      </c>
      <c r="Y82" s="18" t="s">
        <v>68</v>
      </c>
      <c r="Z82" s="18" t="s">
        <v>113</v>
      </c>
      <c r="AA82" s="18" t="s">
        <v>114</v>
      </c>
      <c r="AB82" s="18"/>
      <c r="AC82" s="18"/>
      <c r="AD82" s="18" t="s">
        <v>507</v>
      </c>
      <c r="AE82" s="46"/>
      <c r="AF82" s="18"/>
      <c r="AG82" s="18"/>
      <c r="AH82" s="18" t="s">
        <v>71</v>
      </c>
    </row>
    <row r="83" spans="1:34" ht="27" customHeight="1">
      <c r="A83" s="51" t="s">
        <v>512</v>
      </c>
      <c r="B83" s="18" t="s">
        <v>513</v>
      </c>
      <c r="C83" s="18" t="s">
        <v>514</v>
      </c>
      <c r="D83" s="18" t="s">
        <v>464</v>
      </c>
      <c r="E83" s="18" t="s">
        <v>63</v>
      </c>
      <c r="F83" s="18" t="s">
        <v>465</v>
      </c>
      <c r="G83" s="45" t="s">
        <v>63</v>
      </c>
      <c r="H83" s="46" t="s">
        <v>515</v>
      </c>
      <c r="I83" s="18"/>
      <c r="J83" s="18" t="s">
        <v>347</v>
      </c>
      <c r="K83" s="18">
        <v>3</v>
      </c>
      <c r="L83" s="18"/>
      <c r="M83" s="18"/>
      <c r="N83" s="18"/>
      <c r="O83" s="18" t="b">
        <f>VLOOKUP(A83,[1]Model!C$2:J$559,2,FALSE)=B83</f>
        <v>1</v>
      </c>
      <c r="P83" s="18" t="b">
        <f>VLOOKUP(A83,Model!C$2:G$228,5,FALSE)=D83</f>
        <v>1</v>
      </c>
      <c r="Q83" s="18">
        <f>VLOOKUP(A83,[2]Model!C$2:L$228,8,FALSE)</f>
        <v>49</v>
      </c>
      <c r="R83" s="18" t="e">
        <f>VLOOKUP(A83,[2]Model!C$2:G$228,3,FALSE)=[3]!Table14[[#This Row],[Business Definition (To go into comments and into Meta Data Hub)]]</f>
        <v>#REF!</v>
      </c>
      <c r="S83" s="18" t="e">
        <f>IF([3]!Table14[[#This Row],[Nullable in Table and in Oracle View
NULL, NOT NULL]]="No","NOT NULL","NULL")=VLOOKUP(A83,[2]Model!C$2:I$228,6,FALSE)</f>
        <v>#REF!</v>
      </c>
      <c r="T83" s="18" t="e">
        <f>VLOOKUP(B83,[2]Table!A$2:F$415,1,FALSE)=[3]!Table14[[#This Row],[Physical Name of Attribute (Name of column in Table)
Supplied by DA Team]]</f>
        <v>#REF!</v>
      </c>
      <c r="U83" s="18" t="b">
        <f>VLOOKUP(B83,Table!A$2:F$319,2,FALSE)=Table14[[#This Row],[Data type in Oracle
VARCHAR2(n), DATE, NUMBER(m,n), TIMETSTAMP(6)]]</f>
        <v>0</v>
      </c>
      <c r="V83" s="18" t="b">
        <f>VLOOKUP(B83,Table!A$2:F$231,3,FALSE)=Table14[[#This Row],[Nullable in Table and in Oracle View
NULL, NOT NULL]]</f>
        <v>1</v>
      </c>
      <c r="W83" s="18" t="b">
        <f>VLOOKUP(B83,Table!A$2:H$228,6,FALSE)=Table14[[#This Row],[Business Definition (To go into comments and into Meta Data Hub)]]</f>
        <v>0</v>
      </c>
      <c r="X83" s="55" t="str">
        <f>VLOOKUP((UPPER(SUBSTITUTE(A83," ","_"))),'[2]Consumer View'!A$2:I$329,1,FALSE)</f>
        <v>CASH_DESCRIPTION_TRAILER_1</v>
      </c>
      <c r="Y83" s="18" t="s">
        <v>68</v>
      </c>
      <c r="Z83" s="18" t="s">
        <v>375</v>
      </c>
      <c r="AA83" s="18" t="s">
        <v>516</v>
      </c>
      <c r="AB83" s="18"/>
      <c r="AC83" s="18"/>
      <c r="AD83" s="18" t="s">
        <v>468</v>
      </c>
      <c r="AE83" s="46"/>
      <c r="AF83" s="18"/>
      <c r="AG83" s="18"/>
      <c r="AH83" s="18" t="s">
        <v>71</v>
      </c>
    </row>
    <row r="84" spans="1:34" ht="27" customHeight="1">
      <c r="A84" s="51" t="s">
        <v>517</v>
      </c>
      <c r="B84" s="18" t="s">
        <v>518</v>
      </c>
      <c r="C84" s="18"/>
      <c r="D84" s="18" t="s">
        <v>519</v>
      </c>
      <c r="E84" s="18" t="s">
        <v>63</v>
      </c>
      <c r="F84" s="18" t="s">
        <v>520</v>
      </c>
      <c r="G84" s="45" t="s">
        <v>63</v>
      </c>
      <c r="H84" s="46" t="s">
        <v>517</v>
      </c>
      <c r="I84" s="18"/>
      <c r="J84" s="18" t="s">
        <v>347</v>
      </c>
      <c r="K84" s="18">
        <v>3</v>
      </c>
      <c r="L84" s="18"/>
      <c r="M84" s="18"/>
      <c r="N84" s="18"/>
      <c r="O84" s="18" t="b">
        <f>VLOOKUP(A84,[1]Model!C$2:J$559,2,FALSE)=B84</f>
        <v>1</v>
      </c>
      <c r="P84" s="18" t="b">
        <f>VLOOKUP(A84,Model!C$2:G$228,5,FALSE)=D84</f>
        <v>1</v>
      </c>
      <c r="Q84" s="18">
        <f>VLOOKUP(A84,[2]Model!C$2:L$228,8,FALSE)</f>
        <v>53</v>
      </c>
      <c r="R84" s="18" t="e">
        <f>VLOOKUP(A84,[2]Model!C$2:G$228,3,FALSE)=[3]!Table14[[#This Row],[Business Definition (To go into comments and into Meta Data Hub)]]</f>
        <v>#REF!</v>
      </c>
      <c r="S84" s="18" t="e">
        <f>IF([3]!Table14[[#This Row],[Nullable in Table and in Oracle View
NULL, NOT NULL]]="No","NOT NULL","NULL")=VLOOKUP(A84,[2]Model!C$2:I$228,6,FALSE)</f>
        <v>#REF!</v>
      </c>
      <c r="T84" s="18" t="e">
        <f>VLOOKUP(B84,[2]Table!A$2:F$415,1,FALSE)=[3]!Table14[[#This Row],[Physical Name of Attribute (Name of column in Table)
Supplied by DA Team]]</f>
        <v>#REF!</v>
      </c>
      <c r="U84" s="18" t="b">
        <f>VLOOKUP(B84,Table!A$2:F$319,2,FALSE)=Table14[[#This Row],[Data type in Oracle
VARCHAR2(n), DATE, NUMBER(m,n), TIMETSTAMP(6)]]</f>
        <v>0</v>
      </c>
      <c r="V84" s="18" t="b">
        <f>VLOOKUP(B84,Table!A$2:F$231,3,FALSE)=Table14[[#This Row],[Nullable in Table and in Oracle View
NULL, NOT NULL]]</f>
        <v>1</v>
      </c>
      <c r="W84" s="18" t="b">
        <f>VLOOKUP(B84,Table!A$2:H$228,6,FALSE)=Table14[[#This Row],[Business Definition (To go into comments and into Meta Data Hub)]]</f>
        <v>1</v>
      </c>
      <c r="X84" s="18" t="str">
        <f>VLOOKUP((UPPER(SUBSTITUTE(A84," ","_"))),'[2]Consumer View'!A$2:I$329,1,FALSE)</f>
        <v>CASH_FLOW_GENERATION_FLAG</v>
      </c>
      <c r="Y84" s="18" t="s">
        <v>68</v>
      </c>
      <c r="Z84" s="18" t="s">
        <v>69</v>
      </c>
      <c r="AA84" s="18" t="s">
        <v>518</v>
      </c>
      <c r="AB84" s="18"/>
      <c r="AC84" s="18"/>
      <c r="AD84" s="18"/>
      <c r="AE84" s="46"/>
      <c r="AF84" s="18"/>
      <c r="AG84" s="18"/>
      <c r="AH84" s="18" t="s">
        <v>71</v>
      </c>
    </row>
    <row r="85" spans="1:34" ht="27" customHeight="1">
      <c r="A85" s="51" t="s">
        <v>521</v>
      </c>
      <c r="B85" s="18" t="s">
        <v>522</v>
      </c>
      <c r="C85" s="18" t="s">
        <v>523</v>
      </c>
      <c r="D85" s="18" t="s">
        <v>427</v>
      </c>
      <c r="E85" s="18" t="s">
        <v>63</v>
      </c>
      <c r="F85" s="18" t="s">
        <v>428</v>
      </c>
      <c r="G85" s="45" t="s">
        <v>63</v>
      </c>
      <c r="H85" s="46" t="s">
        <v>524</v>
      </c>
      <c r="I85" s="18"/>
      <c r="J85" s="18" t="s">
        <v>347</v>
      </c>
      <c r="K85" s="18">
        <v>3</v>
      </c>
      <c r="L85" s="18"/>
      <c r="M85" s="18"/>
      <c r="N85" s="18"/>
      <c r="O85" s="18" t="b">
        <f>VLOOKUP(A85,[1]Model!C$2:J$559,2,FALSE)=B85</f>
        <v>1</v>
      </c>
      <c r="P85" s="18" t="b">
        <f>VLOOKUP(A85,Model!C$2:G$228,5,FALSE)=D85</f>
        <v>1</v>
      </c>
      <c r="Q85" s="18">
        <f>VLOOKUP(A85,[2]Model!C$2:L$228,8,FALSE)</f>
        <v>110</v>
      </c>
      <c r="R85" s="18" t="e">
        <f>VLOOKUP(A85,[2]Model!C$2:G$228,3,FALSE)=[3]!Table14[[#This Row],[Business Definition (To go into comments and into Meta Data Hub)]]</f>
        <v>#REF!</v>
      </c>
      <c r="S85" s="18" t="e">
        <f>IF([3]!Table14[[#This Row],[Nullable in Table and in Oracle View
NULL, NOT NULL]]="No","NOT NULL","NULL")=VLOOKUP(A85,[2]Model!C$2:I$228,6,FALSE)</f>
        <v>#REF!</v>
      </c>
      <c r="T85" s="18" t="e">
        <f>VLOOKUP(B85,[2]Table!A$2:F$415,1,FALSE)=[3]!Table14[[#This Row],[Physical Name of Attribute (Name of column in Table)
Supplied by DA Team]]</f>
        <v>#REF!</v>
      </c>
      <c r="U85" s="18" t="b">
        <f>VLOOKUP(B85,Table!A$2:F$319,2,FALSE)=Table14[[#This Row],[Data type in Oracle
VARCHAR2(n), DATE, NUMBER(m,n), TIMETSTAMP(6)]]</f>
        <v>0</v>
      </c>
      <c r="V85" s="18" t="b">
        <f>VLOOKUP(B85,Table!A$2:F$231,3,FALSE)=Table14[[#This Row],[Nullable in Table and in Oracle View
NULL, NOT NULL]]</f>
        <v>1</v>
      </c>
      <c r="W85" s="18" t="b">
        <f>VLOOKUP(B85,Table!A$2:H$228,6,FALSE)=Table14[[#This Row],[Business Definition (To go into comments and into Meta Data Hub)]]</f>
        <v>1</v>
      </c>
      <c r="X85" s="55" t="str">
        <f>VLOOKUP((UPPER(SUBSTITUTE(A85," ","_"))),'[2]Consumer View'!A$2:I$329,1,FALSE)</f>
        <v>CASH_POSITION_TYPE_CODE</v>
      </c>
      <c r="Y85" s="18" t="s">
        <v>262</v>
      </c>
      <c r="Z85" s="18" t="s">
        <v>525</v>
      </c>
      <c r="AA85" s="18" t="s">
        <v>522</v>
      </c>
      <c r="AB85" s="18"/>
      <c r="AC85" s="18"/>
      <c r="AD85" s="18" t="s">
        <v>526</v>
      </c>
      <c r="AE85" s="46"/>
      <c r="AF85" s="18"/>
      <c r="AG85" s="18"/>
      <c r="AH85" s="18" t="s">
        <v>71</v>
      </c>
    </row>
    <row r="86" spans="1:34" ht="27" hidden="1" customHeight="1">
      <c r="A86" s="86" t="s">
        <v>527</v>
      </c>
      <c r="B86" s="18" t="s">
        <v>528</v>
      </c>
      <c r="C86" s="18"/>
      <c r="D86" s="18" t="s">
        <v>101</v>
      </c>
      <c r="E86" s="18" t="s">
        <v>345</v>
      </c>
      <c r="F86" s="18" t="s">
        <v>133</v>
      </c>
      <c r="G86" s="45" t="s">
        <v>63</v>
      </c>
      <c r="H86" s="46" t="s">
        <v>529</v>
      </c>
      <c r="I86" s="18"/>
      <c r="J86" s="18" t="s">
        <v>347</v>
      </c>
      <c r="K86" s="18">
        <v>3</v>
      </c>
      <c r="L86" s="18"/>
      <c r="M86" s="18"/>
      <c r="N86" s="18"/>
      <c r="O86" s="18" t="b">
        <f>VLOOKUP(A86,[1]Model!C$2:J$559,2,FALSE)=B86</f>
        <v>1</v>
      </c>
      <c r="P86" s="18" t="b">
        <f>VLOOKUP(A86,Model!C$2:G$228,5,FALSE)=D86</f>
        <v>1</v>
      </c>
      <c r="Q86" s="18">
        <f>VLOOKUP(A86,[2]Model!C$2:L$228,8,FALSE)</f>
        <v>6</v>
      </c>
      <c r="R86" s="18" t="e">
        <f>VLOOKUP(A86,[2]Model!C$2:G$228,3,FALSE)=[3]!Table14[[#This Row],[Business Definition (To go into comments and into Meta Data Hub)]]</f>
        <v>#REF!</v>
      </c>
      <c r="S86" s="18" t="e">
        <f>IF([3]!Table14[[#This Row],[Nullable in Table and in Oracle View
NULL, NOT NULL]]="No","NOT NULL","NULL")=VLOOKUP(A86,[2]Model!C$2:I$228,6,FALSE)</f>
        <v>#REF!</v>
      </c>
      <c r="T86" s="18" t="e">
        <f>VLOOKUP(B86,[2]Table!A$2:F$415,1,FALSE)=[3]!Table14[[#This Row],[Physical Name of Attribute (Name of column in Table)
Supplied by DA Team]]</f>
        <v>#REF!</v>
      </c>
      <c r="U86" s="18" t="b">
        <f>VLOOKUP(B86,Table!A$2:F$319,2,FALSE)=Table14[[#This Row],[Data type in Oracle
VARCHAR2(n), DATE, NUMBER(m,n), TIMETSTAMP(6)]]</f>
        <v>1</v>
      </c>
      <c r="V86" s="18" t="b">
        <f>VLOOKUP(B86,Table!A$2:F$231,3,FALSE)=Table14[[#This Row],[Nullable in Table and in Oracle View
NULL, NOT NULL]]</f>
        <v>1</v>
      </c>
      <c r="W86" s="18" t="b">
        <f>VLOOKUP(B86,Table!A$2:H$228,6,FALSE)=Table14[[#This Row],[Business Definition (To go into comments and into Meta Data Hub)]]</f>
        <v>1</v>
      </c>
      <c r="X86" s="55" t="str">
        <f>VLOOKUP((UPPER(SUBSTITUTE(A86," ","_"))),'[2]Consumer View'!A$2:I$329,1,FALSE)</f>
        <v>CASH_POSITION_TYPE_DIMENSION_ID</v>
      </c>
      <c r="Y86" s="18" t="s">
        <v>262</v>
      </c>
      <c r="Z86" s="18" t="s">
        <v>525</v>
      </c>
      <c r="AA86" s="18" t="s">
        <v>528</v>
      </c>
      <c r="AB86" s="18"/>
      <c r="AC86" s="18"/>
      <c r="AD86" s="18" t="s">
        <v>526</v>
      </c>
      <c r="AE86" s="46"/>
      <c r="AF86" s="18"/>
      <c r="AG86" s="18"/>
      <c r="AH86" s="18" t="s">
        <v>351</v>
      </c>
    </row>
    <row r="87" spans="1:34" ht="27" customHeight="1">
      <c r="A87" s="51" t="s">
        <v>530</v>
      </c>
      <c r="B87" s="18" t="s">
        <v>531</v>
      </c>
      <c r="C87" s="18" t="s">
        <v>532</v>
      </c>
      <c r="D87" s="18" t="s">
        <v>533</v>
      </c>
      <c r="E87" s="18" t="s">
        <v>63</v>
      </c>
      <c r="F87" s="18" t="s">
        <v>534</v>
      </c>
      <c r="G87" s="45" t="s">
        <v>63</v>
      </c>
      <c r="H87" s="46" t="s">
        <v>535</v>
      </c>
      <c r="I87" s="18"/>
      <c r="J87" s="18" t="s">
        <v>347</v>
      </c>
      <c r="K87" s="18">
        <v>3</v>
      </c>
      <c r="L87" s="18"/>
      <c r="M87" s="18"/>
      <c r="N87" s="18"/>
      <c r="O87" s="18" t="b">
        <f>VLOOKUP(A87,[1]Model!C$2:J$559,2,FALSE)=B87</f>
        <v>1</v>
      </c>
      <c r="P87" s="18" t="b">
        <f>VLOOKUP(A87,Model!C$2:G$228,5,FALSE)=D87</f>
        <v>1</v>
      </c>
      <c r="Q87" s="18">
        <f>VLOOKUP(A87,[2]Model!C$2:L$228,8,FALSE)</f>
        <v>111</v>
      </c>
      <c r="R87" s="18" t="e">
        <f>VLOOKUP(A87,[2]Model!C$2:G$228,3,FALSE)=[3]!Table14[[#This Row],[Business Definition (To go into comments and into Meta Data Hub)]]</f>
        <v>#REF!</v>
      </c>
      <c r="S87" s="18" t="e">
        <f>IF([3]!Table14[[#This Row],[Nullable in Table and in Oracle View
NULL, NOT NULL]]="No","NOT NULL","NULL")=VLOOKUP(A87,[2]Model!C$2:I$228,6,FALSE)</f>
        <v>#REF!</v>
      </c>
      <c r="T87" s="18" t="e">
        <f>VLOOKUP(B87,[2]Table!A$2:F$415,1,FALSE)=[3]!Table14[[#This Row],[Physical Name of Attribute (Name of column in Table)
Supplied by DA Team]]</f>
        <v>#REF!</v>
      </c>
      <c r="U87" s="18" t="b">
        <f>VLOOKUP(B87,Table!A$2:F$319,2,FALSE)=Table14[[#This Row],[Data type in Oracle
VARCHAR2(n), DATE, NUMBER(m,n), TIMETSTAMP(6)]]</f>
        <v>0</v>
      </c>
      <c r="V87" s="18" t="b">
        <f>VLOOKUP(B87,Table!A$2:F$231,3,FALSE)=Table14[[#This Row],[Nullable in Table and in Oracle View
NULL, NOT NULL]]</f>
        <v>1</v>
      </c>
      <c r="W87" s="18" t="b">
        <f>VLOOKUP(B87,Table!A$2:H$228,6,FALSE)=Table14[[#This Row],[Business Definition (To go into comments and into Meta Data Hub)]]</f>
        <v>1</v>
      </c>
      <c r="X87" s="55" t="str">
        <f>VLOOKUP((UPPER(SUBSTITUTE(A87," ","_"))),'[2]Consumer View'!A$2:I$329,1,FALSE)</f>
        <v>CASH_POSITION_TYPE_NAME</v>
      </c>
      <c r="Y87" s="18" t="s">
        <v>262</v>
      </c>
      <c r="Z87" s="18" t="s">
        <v>525</v>
      </c>
      <c r="AA87" s="18" t="s">
        <v>531</v>
      </c>
      <c r="AB87" s="18"/>
      <c r="AC87" s="18"/>
      <c r="AD87" s="18" t="s">
        <v>526</v>
      </c>
      <c r="AE87" s="46"/>
      <c r="AF87" s="18"/>
      <c r="AG87" s="18"/>
      <c r="AH87" s="18" t="s">
        <v>71</v>
      </c>
    </row>
    <row r="88" spans="1:34" ht="27" customHeight="1">
      <c r="A88" s="51" t="s">
        <v>536</v>
      </c>
      <c r="B88" s="18" t="s">
        <v>537</v>
      </c>
      <c r="C88" s="18"/>
      <c r="D88" s="18" t="s">
        <v>101</v>
      </c>
      <c r="E88" s="18" t="s">
        <v>63</v>
      </c>
      <c r="F88" s="18" t="s">
        <v>133</v>
      </c>
      <c r="G88" s="45" t="s">
        <v>63</v>
      </c>
      <c r="H88" s="46" t="s">
        <v>538</v>
      </c>
      <c r="I88" s="18"/>
      <c r="J88" s="18" t="s">
        <v>67</v>
      </c>
      <c r="K88" s="18">
        <v>3</v>
      </c>
      <c r="L88" s="18"/>
      <c r="M88" s="18"/>
      <c r="N88" s="18"/>
      <c r="O88" s="18" t="b">
        <f>VLOOKUP(A88,[1]Model!C$2:J$559,2,FALSE)=B88</f>
        <v>1</v>
      </c>
      <c r="P88" s="18" t="b">
        <f>VLOOKUP(A88,Model!C$2:G$228,5,FALSE)=D88</f>
        <v>1</v>
      </c>
      <c r="Q88" s="18">
        <f>VLOOKUP(A88,[2]Model!C$2:L$228,8,FALSE)</f>
        <v>196</v>
      </c>
      <c r="R88" s="18" t="e">
        <f>VLOOKUP(A88,[2]Model!C$2:G$228,3,FALSE)=[3]!Table14[[#This Row],[Business Definition (To go into comments and into Meta Data Hub)]]</f>
        <v>#REF!</v>
      </c>
      <c r="S88" s="18" t="e">
        <f>IF([3]!Table14[[#This Row],[Nullable in Table and in Oracle View
NULL, NOT NULL]]="No","NOT NULL","NULL")=VLOOKUP(A88,[2]Model!C$2:I$228,6,FALSE)</f>
        <v>#REF!</v>
      </c>
      <c r="T88" s="18" t="e">
        <f>VLOOKUP(B88,[2]Table!A$2:F$415,1,FALSE)=[3]!Table14[[#This Row],[Physical Name of Attribute (Name of column in Table)
Supplied by DA Team]]</f>
        <v>#REF!</v>
      </c>
      <c r="U88" s="18" t="b">
        <f>VLOOKUP(B88,Table!A$2:F$319,2,FALSE)=Table14[[#This Row],[Data type in Oracle
VARCHAR2(n), DATE, NUMBER(m,n), TIMETSTAMP(6)]]</f>
        <v>1</v>
      </c>
      <c r="V88" s="18" t="b">
        <f>VLOOKUP(B88,Table!A$2:F$231,3,FALSE)=Table14[[#This Row],[Nullable in Table and in Oracle View
NULL, NOT NULL]]</f>
        <v>1</v>
      </c>
      <c r="W88" s="18" t="b">
        <f>VLOOKUP(B88,Table!A$2:H$228,6,FALSE)=Table14[[#This Row],[Business Definition (To go into comments and into Meta Data Hub)]]</f>
        <v>1</v>
      </c>
      <c r="X88" s="18" t="str">
        <f>VLOOKUP((UPPER(SUBSTITUTE(A88," ","_"))),'[2]Consumer View'!A$2:I$329,1,FALSE)</f>
        <v>CASH_POSITION_TYPE_ID</v>
      </c>
      <c r="Y88" s="18" t="s">
        <v>68</v>
      </c>
      <c r="Z88" s="18" t="s">
        <v>375</v>
      </c>
      <c r="AA88" s="18" t="s">
        <v>537</v>
      </c>
      <c r="AB88" s="18"/>
      <c r="AC88" s="18"/>
      <c r="AD88" s="18" t="s">
        <v>539</v>
      </c>
      <c r="AE88" s="46"/>
      <c r="AF88" s="18"/>
      <c r="AG88" s="18"/>
      <c r="AH88" s="18" t="s">
        <v>71</v>
      </c>
    </row>
    <row r="89" spans="1:34" ht="27" customHeight="1">
      <c r="A89" s="51" t="s">
        <v>540</v>
      </c>
      <c r="B89" s="18" t="s">
        <v>541</v>
      </c>
      <c r="C89" s="18" t="s">
        <v>542</v>
      </c>
      <c r="D89" s="18" t="s">
        <v>101</v>
      </c>
      <c r="E89" s="18" t="s">
        <v>63</v>
      </c>
      <c r="F89" s="18" t="s">
        <v>133</v>
      </c>
      <c r="G89" s="45" t="s">
        <v>63</v>
      </c>
      <c r="H89" s="46" t="s">
        <v>543</v>
      </c>
      <c r="I89" s="18"/>
      <c r="J89" s="18" t="s">
        <v>347</v>
      </c>
      <c r="K89" s="18">
        <v>3</v>
      </c>
      <c r="L89" s="18"/>
      <c r="M89" s="18"/>
      <c r="N89" s="18"/>
      <c r="O89" s="18" t="b">
        <f>VLOOKUP(A89,[1]Model!C$2:J$559,2,FALSE)=B89</f>
        <v>1</v>
      </c>
      <c r="P89" s="18" t="b">
        <f>VLOOKUP(A89,Model!C$2:G$228,5,FALSE)=D89</f>
        <v>1</v>
      </c>
      <c r="Q89" s="18">
        <f>VLOOKUP(A89,[2]Model!C$2:L$228,8,FALSE)</f>
        <v>109</v>
      </c>
      <c r="R89" s="18" t="e">
        <f>VLOOKUP(A89,[2]Model!C$2:G$228,3,FALSE)=[3]!Table14[[#This Row],[Business Definition (To go into comments and into Meta Data Hub)]]</f>
        <v>#REF!</v>
      </c>
      <c r="S89" s="18" t="e">
        <f>IF([3]!Table14[[#This Row],[Nullable in Table and in Oracle View
NULL, NOT NULL]]="No","NOT NULL","NULL")=VLOOKUP(A89,[2]Model!C$2:I$228,6,FALSE)</f>
        <v>#REF!</v>
      </c>
      <c r="T89" s="18" t="e">
        <f>VLOOKUP(B89,[2]Table!A$2:F$415,1,FALSE)=[3]!Table14[[#This Row],[Physical Name of Attribute (Name of column in Table)
Supplied by DA Team]]</f>
        <v>#REF!</v>
      </c>
      <c r="U89" s="18" t="b">
        <f>VLOOKUP(B89,Table!A$2:F$319,2,FALSE)=Table14[[#This Row],[Data type in Oracle
VARCHAR2(n), DATE, NUMBER(m,n), TIMETSTAMP(6)]]</f>
        <v>1</v>
      </c>
      <c r="V89" s="18" t="b">
        <f>VLOOKUP(B89,Table!A$2:F$231,3,FALSE)=Table14[[#This Row],[Nullable in Table and in Oracle View
NULL, NOT NULL]]</f>
        <v>1</v>
      </c>
      <c r="W89" s="18" t="b">
        <f>VLOOKUP(B89,Table!A$2:H$228,6,FALSE)=Table14[[#This Row],[Business Definition (To go into comments and into Meta Data Hub)]]</f>
        <v>1</v>
      </c>
      <c r="X89" s="55" t="e">
        <f>VLOOKUP((UPPER(SUBSTITUTE(A89," ","_"))),'[2]Consumer View'!A$2:I$329,1,FALSE)</f>
        <v>#N/A</v>
      </c>
      <c r="Y89" s="18" t="s">
        <v>68</v>
      </c>
      <c r="Z89" s="18" t="s">
        <v>375</v>
      </c>
      <c r="AA89" s="18" t="s">
        <v>544</v>
      </c>
      <c r="AB89" s="18"/>
      <c r="AC89" s="18"/>
      <c r="AD89" s="18" t="s">
        <v>468</v>
      </c>
      <c r="AE89" s="46"/>
      <c r="AF89" s="18"/>
      <c r="AG89" s="18"/>
      <c r="AH89" s="18" t="s">
        <v>71</v>
      </c>
    </row>
    <row r="90" spans="1:34" ht="27" hidden="1" customHeight="1">
      <c r="A90" s="51" t="s">
        <v>545</v>
      </c>
      <c r="B90" s="18" t="s">
        <v>546</v>
      </c>
      <c r="C90" s="18"/>
      <c r="D90" s="18" t="s">
        <v>101</v>
      </c>
      <c r="E90" s="18" t="s">
        <v>345</v>
      </c>
      <c r="F90" s="18" t="s">
        <v>133</v>
      </c>
      <c r="G90" s="45" t="s">
        <v>63</v>
      </c>
      <c r="H90" s="46" t="s">
        <v>547</v>
      </c>
      <c r="I90" s="18"/>
      <c r="J90" s="18" t="s">
        <v>347</v>
      </c>
      <c r="K90" s="18">
        <v>3</v>
      </c>
      <c r="L90" s="18"/>
      <c r="M90" s="18"/>
      <c r="N90" s="18"/>
      <c r="O90" s="18" t="b">
        <f>VLOOKUP(A90,[1]Model!C$2:J$559,2,FALSE)=B90</f>
        <v>1</v>
      </c>
      <c r="P90" s="18" t="b">
        <f>VLOOKUP(A90,Model!C$2:G$228,5,FALSE)=D90</f>
        <v>1</v>
      </c>
      <c r="Q90" s="18">
        <f>VLOOKUP(A90,[2]Model!C$2:L$228,8,FALSE)</f>
        <v>2</v>
      </c>
      <c r="R90" s="18" t="e">
        <f>VLOOKUP(A90,[2]Model!C$2:G$228,3,FALSE)=[3]!Table14[[#This Row],[Business Definition (To go into comments and into Meta Data Hub)]]</f>
        <v>#REF!</v>
      </c>
      <c r="S90" s="18" t="e">
        <f>IF([3]!Table14[[#This Row],[Nullable in Table and in Oracle View
NULL, NOT NULL]]="No","NOT NULL","NULL")=VLOOKUP(A90,[2]Model!C$2:I$228,6,FALSE)</f>
        <v>#REF!</v>
      </c>
      <c r="T90" s="18" t="e">
        <f>VLOOKUP(B90,[2]Table!A$2:F$415,1,FALSE)=[3]!Table14[[#This Row],[Physical Name of Attribute (Name of column in Table)
Supplied by DA Team]]</f>
        <v>#REF!</v>
      </c>
      <c r="U90" s="18" t="b">
        <f>VLOOKUP(B90,Table!A$2:F$319,2,FALSE)=Table14[[#This Row],[Data type in Oracle
VARCHAR2(n), DATE, NUMBER(m,n), TIMETSTAMP(6)]]</f>
        <v>1</v>
      </c>
      <c r="V90" s="18" t="b">
        <f>VLOOKUP(B90,Table!A$2:F$231,3,FALSE)=Table14[[#This Row],[Nullable in Table and in Oracle View
NULL, NOT NULL]]</f>
        <v>1</v>
      </c>
      <c r="W90" s="18" t="b">
        <f>VLOOKUP(B90,Table!A$2:H$228,6,FALSE)=Table14[[#This Row],[Business Definition (To go into comments and into Meta Data Hub)]]</f>
        <v>0</v>
      </c>
      <c r="X90" s="55" t="e">
        <f>VLOOKUP((UPPER(SUBSTITUTE(A90," ","_"))),'[2]Consumer View'!A$2:I$329,1,FALSE)</f>
        <v>#N/A</v>
      </c>
      <c r="Y90" s="18" t="s">
        <v>355</v>
      </c>
      <c r="Z90" s="18" t="s">
        <v>548</v>
      </c>
      <c r="AA90" s="18" t="s">
        <v>549</v>
      </c>
      <c r="AB90" s="18"/>
      <c r="AC90" s="18"/>
      <c r="AD90" s="18" t="s">
        <v>550</v>
      </c>
      <c r="AE90" s="46" t="s">
        <v>313</v>
      </c>
      <c r="AF90" s="18"/>
      <c r="AG90" s="18"/>
      <c r="AH90" s="18" t="s">
        <v>351</v>
      </c>
    </row>
    <row r="91" spans="1:34" ht="27" customHeight="1">
      <c r="A91" s="51" t="s">
        <v>551</v>
      </c>
      <c r="B91" s="18" t="s">
        <v>552</v>
      </c>
      <c r="C91" s="18" t="s">
        <v>553</v>
      </c>
      <c r="D91" s="55" t="s">
        <v>101</v>
      </c>
      <c r="E91" s="18" t="s">
        <v>63</v>
      </c>
      <c r="F91" s="18" t="s">
        <v>133</v>
      </c>
      <c r="G91" s="45" t="s">
        <v>63</v>
      </c>
      <c r="H91" s="46" t="s">
        <v>554</v>
      </c>
      <c r="I91" s="18"/>
      <c r="J91" s="18" t="s">
        <v>381</v>
      </c>
      <c r="K91" s="18">
        <v>3</v>
      </c>
      <c r="L91" s="18"/>
      <c r="M91" s="18"/>
      <c r="N91" s="18"/>
      <c r="O91" s="18" t="b">
        <f>VLOOKUP(A91,[1]Model!C$2:J$559,2,FALSE)=B91</f>
        <v>1</v>
      </c>
      <c r="P91" s="18" t="b">
        <f>VLOOKUP(A91,Model!C$2:G$228,5,FALSE)=D91</f>
        <v>1</v>
      </c>
      <c r="Q91" s="18">
        <f>VLOOKUP(A91,[2]Model!C$2:L$228,8,FALSE)</f>
        <v>45</v>
      </c>
      <c r="R91" s="18" t="e">
        <f>VLOOKUP(A91,[2]Model!C$2:G$228,3,FALSE)=[3]!Table14[[#This Row],[Business Definition (To go into comments and into Meta Data Hub)]]</f>
        <v>#REF!</v>
      </c>
      <c r="S91" s="18" t="e">
        <f>IF([3]!Table14[[#This Row],[Nullable in Table and in Oracle View
NULL, NOT NULL]]="No","NOT NULL","NULL")=VLOOKUP(A91,[2]Model!C$2:I$228,6,FALSE)</f>
        <v>#REF!</v>
      </c>
      <c r="T91" s="18" t="e">
        <f>VLOOKUP(B91,[2]Table!A$2:F$415,1,FALSE)=[3]!Table14[[#This Row],[Physical Name of Attribute (Name of column in Table)
Supplied by DA Team]]</f>
        <v>#REF!</v>
      </c>
      <c r="U91" s="18" t="b">
        <f>VLOOKUP(B91,Table!A$2:F$319,2,FALSE)=Table14[[#This Row],[Data type in Oracle
VARCHAR2(n), DATE, NUMBER(m,n), TIMETSTAMP(6)]]</f>
        <v>1</v>
      </c>
      <c r="V91" s="18" t="b">
        <f>VLOOKUP(B91,Table!A$2:F$231,3,FALSE)=Table14[[#This Row],[Nullable in Table and in Oracle View
NULL, NOT NULL]]</f>
        <v>1</v>
      </c>
      <c r="W91" s="18" t="b">
        <f>VLOOKUP(B91,Table!A$2:H$228,6,FALSE)=Table14[[#This Row],[Business Definition (To go into comments and into Meta Data Hub)]]</f>
        <v>0</v>
      </c>
      <c r="X91" s="55" t="str">
        <f>VLOOKUP((UPPER(SUBSTITUTE(A91," ","_"))),'[2]Consumer View'!A$2:I$329,1,FALSE)</f>
        <v>CASH_SOURCE_SEQUENCE_NUMBER</v>
      </c>
      <c r="Y91" s="18" t="s">
        <v>68</v>
      </c>
      <c r="Z91" s="18" t="s">
        <v>375</v>
      </c>
      <c r="AA91" s="18" t="s">
        <v>555</v>
      </c>
      <c r="AB91" s="18"/>
      <c r="AC91" s="18"/>
      <c r="AD91" s="18" t="s">
        <v>468</v>
      </c>
      <c r="AE91" s="46"/>
      <c r="AF91" s="18"/>
      <c r="AG91" s="18"/>
      <c r="AH91" s="18" t="s">
        <v>71</v>
      </c>
    </row>
    <row r="92" spans="1:34" ht="27" customHeight="1">
      <c r="A92" s="51" t="s">
        <v>556</v>
      </c>
      <c r="B92" s="18" t="s">
        <v>557</v>
      </c>
      <c r="C92" s="18" t="s">
        <v>558</v>
      </c>
      <c r="D92" s="55" t="s">
        <v>559</v>
      </c>
      <c r="E92" s="18" t="s">
        <v>63</v>
      </c>
      <c r="F92" s="18" t="s">
        <v>560</v>
      </c>
      <c r="G92" s="45" t="s">
        <v>63</v>
      </c>
      <c r="H92" s="46" t="s">
        <v>561</v>
      </c>
      <c r="I92" s="18"/>
      <c r="J92" s="18" t="s">
        <v>381</v>
      </c>
      <c r="K92" s="18">
        <v>3</v>
      </c>
      <c r="L92" s="18"/>
      <c r="M92" s="18"/>
      <c r="N92" s="18"/>
      <c r="O92" s="18" t="b">
        <f>VLOOKUP(A92,[1]Model!C$2:J$559,2,FALSE)=B92</f>
        <v>1</v>
      </c>
      <c r="P92" s="18" t="b">
        <f>VLOOKUP(A92,Model!C$2:G$228,5,FALSE)=D92</f>
        <v>1</v>
      </c>
      <c r="Q92" s="18">
        <f>VLOOKUP(A92,[2]Model!C$2:L$228,8,FALSE)</f>
        <v>40</v>
      </c>
      <c r="R92" s="18" t="e">
        <f>VLOOKUP(A92,[2]Model!C$2:G$228,3,FALSE)=[3]!Table14[[#This Row],[Business Definition (To go into comments and into Meta Data Hub)]]</f>
        <v>#REF!</v>
      </c>
      <c r="S92" s="18" t="e">
        <f>IF([3]!Table14[[#This Row],[Nullable in Table and in Oracle View
NULL, NOT NULL]]="No","NOT NULL","NULL")=VLOOKUP(A92,[2]Model!C$2:I$228,6,FALSE)</f>
        <v>#REF!</v>
      </c>
      <c r="T92" s="18" t="e">
        <f>VLOOKUP(B92,[2]Table!A$2:F$415,1,FALSE)=[3]!Table14[[#This Row],[Physical Name of Attribute (Name of column in Table)
Supplied by DA Team]]</f>
        <v>#REF!</v>
      </c>
      <c r="U92" s="18" t="b">
        <f>VLOOKUP(B92,Table!A$2:F$319,2,FALSE)=Table14[[#This Row],[Data type in Oracle
VARCHAR2(n), DATE, NUMBER(m,n), TIMETSTAMP(6)]]</f>
        <v>1</v>
      </c>
      <c r="V92" s="18" t="b">
        <f>VLOOKUP(B92,Table!A$2:F$231,3,FALSE)=Table14[[#This Row],[Nullable in Table and in Oracle View
NULL, NOT NULL]]</f>
        <v>1</v>
      </c>
      <c r="W92" s="18" t="b">
        <f>VLOOKUP(B92,Table!A$2:H$228,6,FALSE)=Table14[[#This Row],[Business Definition (To go into comments and into Meta Data Hub)]]</f>
        <v>0</v>
      </c>
      <c r="X92" s="55" t="str">
        <f>VLOOKUP((UPPER(SUBSTITUTE(A92," ","_"))),'[2]Consumer View'!A$2:I$329,1,FALSE)</f>
        <v>CASH_SYSTEM_BASE_CURRENCY_AMOUNT</v>
      </c>
      <c r="Y92" s="18" t="s">
        <v>68</v>
      </c>
      <c r="Z92" s="18" t="s">
        <v>375</v>
      </c>
      <c r="AA92" s="18" t="s">
        <v>562</v>
      </c>
      <c r="AB92" s="18"/>
      <c r="AC92" s="18"/>
      <c r="AD92" s="46" t="s">
        <v>563</v>
      </c>
      <c r="AE92" s="46"/>
      <c r="AF92" s="18"/>
      <c r="AG92" s="18"/>
      <c r="AH92" s="18" t="s">
        <v>71</v>
      </c>
    </row>
    <row r="93" spans="1:34" ht="27" customHeight="1">
      <c r="A93" s="51" t="s">
        <v>564</v>
      </c>
      <c r="B93" s="18" t="s">
        <v>565</v>
      </c>
      <c r="C93" s="18" t="s">
        <v>566</v>
      </c>
      <c r="D93" s="55" t="s">
        <v>559</v>
      </c>
      <c r="E93" s="18" t="s">
        <v>63</v>
      </c>
      <c r="F93" s="18" t="s">
        <v>560</v>
      </c>
      <c r="G93" s="45" t="s">
        <v>63</v>
      </c>
      <c r="H93" s="46" t="s">
        <v>567</v>
      </c>
      <c r="I93" s="18"/>
      <c r="J93" s="18" t="s">
        <v>381</v>
      </c>
      <c r="K93" s="18">
        <v>3</v>
      </c>
      <c r="L93" s="18"/>
      <c r="M93" s="18"/>
      <c r="N93" s="18"/>
      <c r="O93" s="18" t="b">
        <f>VLOOKUP(A93,[1]Model!C$2:J$559,2,FALSE)=B93</f>
        <v>1</v>
      </c>
      <c r="P93" s="18" t="b">
        <f>VLOOKUP(A93,Model!C$2:G$228,5,FALSE)=D93</f>
        <v>1</v>
      </c>
      <c r="Q93" s="18">
        <f>VLOOKUP(A93,[2]Model!C$2:L$228,8,FALSE)</f>
        <v>30</v>
      </c>
      <c r="R93" s="18" t="e">
        <f>VLOOKUP(A93,[2]Model!C$2:G$228,3,FALSE)=[3]!Table14[[#This Row],[Business Definition (To go into comments and into Meta Data Hub)]]</f>
        <v>#REF!</v>
      </c>
      <c r="S93" s="18" t="e">
        <f>IF([3]!Table14[[#This Row],[Nullable in Table and in Oracle View
NULL, NOT NULL]]="No","NOT NULL","NULL")=VLOOKUP(A93,[2]Model!C$2:I$228,6,FALSE)</f>
        <v>#REF!</v>
      </c>
      <c r="T93" s="18" t="e">
        <f>VLOOKUP(B93,[2]Table!A$2:F$415,1,FALSE)=[3]!Table14[[#This Row],[Physical Name of Attribute (Name of column in Table)
Supplied by DA Team]]</f>
        <v>#REF!</v>
      </c>
      <c r="U93" s="18" t="b">
        <f>VLOOKUP(B93,Table!A$2:F$319,2,FALSE)=Table14[[#This Row],[Data type in Oracle
VARCHAR2(n), DATE, NUMBER(m,n), TIMETSTAMP(6)]]</f>
        <v>1</v>
      </c>
      <c r="V93" s="18" t="b">
        <f>VLOOKUP(B93,Table!A$2:F$231,3,FALSE)=Table14[[#This Row],[Nullable in Table and in Oracle View
NULL, NOT NULL]]</f>
        <v>1</v>
      </c>
      <c r="W93" s="18" t="b">
        <f>VLOOKUP(B93,Table!A$2:H$228,6,FALSE)=Table14[[#This Row],[Business Definition (To go into comments and into Meta Data Hub)]]</f>
        <v>0</v>
      </c>
      <c r="X93" s="55" t="str">
        <f>VLOOKUP((UPPER(SUBSTITUTE(A93," ","_"))),'[2]Consumer View'!A$2:I$329,1,FALSE)</f>
        <v>CASH_TRANSACTION_AMOUNT</v>
      </c>
      <c r="Y93" s="18" t="s">
        <v>68</v>
      </c>
      <c r="Z93" s="18" t="s">
        <v>375</v>
      </c>
      <c r="AA93" s="18" t="s">
        <v>568</v>
      </c>
      <c r="AB93" s="18"/>
      <c r="AC93" s="18"/>
      <c r="AD93" s="46" t="s">
        <v>563</v>
      </c>
      <c r="AE93" s="46"/>
      <c r="AF93" s="18"/>
      <c r="AG93" s="18"/>
      <c r="AH93" s="18" t="s">
        <v>71</v>
      </c>
    </row>
    <row r="94" spans="1:34" ht="27" customHeight="1">
      <c r="A94" s="51" t="s">
        <v>569</v>
      </c>
      <c r="B94" s="18" t="s">
        <v>570</v>
      </c>
      <c r="C94" s="18" t="s">
        <v>571</v>
      </c>
      <c r="D94" s="18" t="s">
        <v>464</v>
      </c>
      <c r="E94" s="18" t="s">
        <v>63</v>
      </c>
      <c r="F94" s="18" t="s">
        <v>465</v>
      </c>
      <c r="G94" s="45" t="s">
        <v>63</v>
      </c>
      <c r="H94" s="46" t="s">
        <v>572</v>
      </c>
      <c r="I94" s="18"/>
      <c r="J94" s="18" t="s">
        <v>347</v>
      </c>
      <c r="K94" s="18">
        <v>3</v>
      </c>
      <c r="L94" s="18"/>
      <c r="M94" s="18"/>
      <c r="N94" s="18"/>
      <c r="O94" s="18" t="b">
        <f>VLOOKUP(A94,[1]Model!C$2:J$559,2,FALSE)=B94</f>
        <v>1</v>
      </c>
      <c r="P94" s="18" t="b">
        <f>VLOOKUP(A94,Model!C$2:G$228,5,FALSE)=D94</f>
        <v>1</v>
      </c>
      <c r="Q94" s="18">
        <f>VLOOKUP(A94,[2]Model!C$2:L$228,8,FALSE)</f>
        <v>100</v>
      </c>
      <c r="R94" s="18" t="e">
        <f>VLOOKUP(A94,[2]Model!C$2:G$228,3,FALSE)=[3]!Table14[[#This Row],[Business Definition (To go into comments and into Meta Data Hub)]]</f>
        <v>#REF!</v>
      </c>
      <c r="S94" s="18" t="e">
        <f>IF([3]!Table14[[#This Row],[Nullable in Table and in Oracle View
NULL, NOT NULL]]="No","NOT NULL","NULL")=VLOOKUP(A94,[2]Model!C$2:I$228,6,FALSE)</f>
        <v>#REF!</v>
      </c>
      <c r="T94" s="18" t="e">
        <f>VLOOKUP(B94,[2]Table!A$2:F$415,1,FALSE)=[3]!Table14[[#This Row],[Physical Name of Attribute (Name of column in Table)
Supplied by DA Team]]</f>
        <v>#REF!</v>
      </c>
      <c r="U94" s="18" t="b">
        <f>VLOOKUP(B94,Table!A$2:F$319,2,FALSE)=Table14[[#This Row],[Data type in Oracle
VARCHAR2(n), DATE, NUMBER(m,n), TIMETSTAMP(6)]]</f>
        <v>0</v>
      </c>
      <c r="V94" s="18" t="b">
        <f>VLOOKUP(B94,Table!A$2:F$231,3,FALSE)=Table14[[#This Row],[Nullable in Table and in Oracle View
NULL, NOT NULL]]</f>
        <v>1</v>
      </c>
      <c r="W94" s="18" t="b">
        <f>VLOOKUP(B94,Table!A$2:H$228,6,FALSE)=Table14[[#This Row],[Business Definition (To go into comments and into Meta Data Hub)]]</f>
        <v>1</v>
      </c>
      <c r="X94" s="55" t="str">
        <f>VLOOKUP((UPPER(SUBSTITUTE(A94," ","_"))),'[2]Consumer View'!A$2:I$329,1,FALSE)</f>
        <v>CLIENT_FRIENDLY_DESCRIPTION</v>
      </c>
      <c r="Y94" s="18" t="s">
        <v>68</v>
      </c>
      <c r="Z94" s="18" t="s">
        <v>375</v>
      </c>
      <c r="AA94" s="18" t="s">
        <v>573</v>
      </c>
      <c r="AB94" s="18"/>
      <c r="AC94" s="18"/>
      <c r="AD94" s="18" t="s">
        <v>574</v>
      </c>
      <c r="AE94" s="46"/>
      <c r="AF94" s="18"/>
      <c r="AG94" s="18"/>
      <c r="AH94" s="18" t="s">
        <v>71</v>
      </c>
    </row>
    <row r="95" spans="1:34" ht="27" customHeight="1">
      <c r="A95" s="51" t="s">
        <v>575</v>
      </c>
      <c r="B95" s="18" t="s">
        <v>576</v>
      </c>
      <c r="C95" s="18" t="s">
        <v>577</v>
      </c>
      <c r="D95" s="18" t="s">
        <v>157</v>
      </c>
      <c r="E95" s="18" t="s">
        <v>345</v>
      </c>
      <c r="F95" s="18" t="s">
        <v>158</v>
      </c>
      <c r="G95" s="45" t="s">
        <v>63</v>
      </c>
      <c r="H95" s="46" t="s">
        <v>578</v>
      </c>
      <c r="I95" s="18"/>
      <c r="J95" s="18" t="s">
        <v>347</v>
      </c>
      <c r="K95" s="18">
        <v>3</v>
      </c>
      <c r="L95" s="18"/>
      <c r="M95" s="18"/>
      <c r="N95" s="18"/>
      <c r="O95" s="18" t="b">
        <f>VLOOKUP(A95,[1]Model!C$2:J$559,2,FALSE)=B95</f>
        <v>1</v>
      </c>
      <c r="P95" s="18" t="b">
        <f>VLOOKUP(A95,Model!C$2:G$228,5,FALSE)=D95</f>
        <v>1</v>
      </c>
      <c r="Q95" s="18">
        <f>VLOOKUP(A95,[2]Model!C$2:L$228,8,FALSE)</f>
        <v>91</v>
      </c>
      <c r="R95" s="18" t="e">
        <f>VLOOKUP(A95,[2]Model!C$2:G$228,3,FALSE)=[3]!Table14[[#This Row],[Business Definition (To go into comments and into Meta Data Hub)]]</f>
        <v>#REF!</v>
      </c>
      <c r="S95" s="18" t="e">
        <f>IF([3]!Table14[[#This Row],[Nullable in Table and in Oracle View
NULL, NOT NULL]]="No","NOT NULL","NULL")=VLOOKUP(A95,[2]Model!C$2:I$228,6,FALSE)</f>
        <v>#REF!</v>
      </c>
      <c r="T95" s="18" t="e">
        <f>VLOOKUP(B95,[2]Table!A$2:F$415,1,FALSE)=[3]!Table14[[#This Row],[Physical Name of Attribute (Name of column in Table)
Supplied by DA Team]]</f>
        <v>#REF!</v>
      </c>
      <c r="U95" s="18" t="b">
        <f>VLOOKUP(B95,Table!A$2:F$319,2,FALSE)=Table14[[#This Row],[Data type in Oracle
VARCHAR2(n), DATE, NUMBER(m,n), TIMETSTAMP(6)]]</f>
        <v>1</v>
      </c>
      <c r="V95" s="18" t="b">
        <f>VLOOKUP(B95,Table!A$2:F$231,3,FALSE)=Table14[[#This Row],[Nullable in Table and in Oracle View
NULL, NOT NULL]]</f>
        <v>1</v>
      </c>
      <c r="W95" s="18" t="b">
        <f>VLOOKUP(B95,Table!A$2:H$228,6,FALSE)=Table14[[#This Row],[Business Definition (To go into comments and into Meta Data Hub)]]</f>
        <v>1</v>
      </c>
      <c r="X95" s="55" t="str">
        <f>VLOOKUP((UPPER(SUBSTITUTE(A95," ","_"))),'[2]Consumer View'!A$2:I$329,1,FALSE)</f>
        <v>CREATE_DATETIME</v>
      </c>
      <c r="Y95" s="18" t="s">
        <v>68</v>
      </c>
      <c r="Z95" s="18" t="s">
        <v>69</v>
      </c>
      <c r="AA95" s="18" t="s">
        <v>576</v>
      </c>
      <c r="AB95" s="18"/>
      <c r="AC95" s="18"/>
      <c r="AD95" s="18"/>
      <c r="AE95" s="46"/>
      <c r="AF95" s="18"/>
      <c r="AG95" s="18"/>
      <c r="AH95" s="18" t="s">
        <v>71</v>
      </c>
    </row>
    <row r="96" spans="1:34" ht="27" customHeight="1">
      <c r="A96" s="51" t="s">
        <v>579</v>
      </c>
      <c r="B96" s="18" t="s">
        <v>580</v>
      </c>
      <c r="C96" s="18" t="s">
        <v>581</v>
      </c>
      <c r="D96" s="55" t="s">
        <v>464</v>
      </c>
      <c r="E96" s="18" t="s">
        <v>345</v>
      </c>
      <c r="F96" s="18" t="s">
        <v>465</v>
      </c>
      <c r="G96" s="45" t="s">
        <v>63</v>
      </c>
      <c r="H96" s="46" t="s">
        <v>582</v>
      </c>
      <c r="I96" s="18"/>
      <c r="J96" s="18" t="s">
        <v>381</v>
      </c>
      <c r="K96" s="18">
        <v>3</v>
      </c>
      <c r="L96" s="18"/>
      <c r="M96" s="18"/>
      <c r="N96" s="18"/>
      <c r="O96" s="18" t="b">
        <f>VLOOKUP(A96,[1]Model!C$2:J$559,2,FALSE)=B96</f>
        <v>1</v>
      </c>
      <c r="P96" s="18" t="b">
        <f>VLOOKUP(A96,Model!C$2:G$228,5,FALSE)=D96</f>
        <v>1</v>
      </c>
      <c r="Q96" s="18">
        <f>VLOOKUP(A96,[2]Model!C$2:L$228,8,FALSE)</f>
        <v>90</v>
      </c>
      <c r="R96" s="18" t="e">
        <f>VLOOKUP(A96,[2]Model!C$2:G$228,3,FALSE)=[3]!Table14[[#This Row],[Business Definition (To go into comments and into Meta Data Hub)]]</f>
        <v>#REF!</v>
      </c>
      <c r="S96" s="18" t="e">
        <f>IF([3]!Table14[[#This Row],[Nullable in Table and in Oracle View
NULL, NOT NULL]]="No","NOT NULL","NULL")=VLOOKUP(A96,[2]Model!C$2:I$228,6,FALSE)</f>
        <v>#REF!</v>
      </c>
      <c r="T96" s="18" t="e">
        <f>VLOOKUP(B96,[2]Table!A$2:F$415,1,FALSE)=[3]!Table14[[#This Row],[Physical Name of Attribute (Name of column in Table)
Supplied by DA Team]]</f>
        <v>#REF!</v>
      </c>
      <c r="U96" s="18" t="b">
        <f>VLOOKUP(B96,Table!A$2:F$319,2,FALSE)=Table14[[#This Row],[Data type in Oracle
VARCHAR2(n), DATE, NUMBER(m,n), TIMETSTAMP(6)]]</f>
        <v>0</v>
      </c>
      <c r="V96" s="18" t="b">
        <f>VLOOKUP(B96,Table!A$2:F$231,3,FALSE)=Table14[[#This Row],[Nullable in Table and in Oracle View
NULL, NOT NULL]]</f>
        <v>1</v>
      </c>
      <c r="W96" s="18" t="b">
        <f>VLOOKUP(B96,Table!A$2:H$228,6,FALSE)=Table14[[#This Row],[Business Definition (To go into comments and into Meta Data Hub)]]</f>
        <v>1</v>
      </c>
      <c r="X96" s="55" t="str">
        <f>VLOOKUP((UPPER(SUBSTITUTE(A96," ","_"))),'[2]Consumer View'!A$2:I$329,1,FALSE)</f>
        <v>CREATE_USER_NAME</v>
      </c>
      <c r="Y96" s="18" t="s">
        <v>68</v>
      </c>
      <c r="Z96" s="18" t="s">
        <v>69</v>
      </c>
      <c r="AA96" s="18" t="s">
        <v>580</v>
      </c>
      <c r="AB96" s="18"/>
      <c r="AC96" s="18"/>
      <c r="AD96" s="18"/>
      <c r="AE96" s="46"/>
      <c r="AF96" s="18"/>
      <c r="AG96" s="18"/>
      <c r="AH96" s="18" t="s">
        <v>71</v>
      </c>
    </row>
    <row r="97" spans="1:34" ht="27" customHeight="1">
      <c r="A97" s="51" t="s">
        <v>583</v>
      </c>
      <c r="B97" s="18" t="s">
        <v>584</v>
      </c>
      <c r="C97" s="18" t="s">
        <v>585</v>
      </c>
      <c r="D97" s="18" t="s">
        <v>268</v>
      </c>
      <c r="E97" s="18" t="s">
        <v>63</v>
      </c>
      <c r="F97" s="18" t="s">
        <v>269</v>
      </c>
      <c r="G97" s="45" t="s">
        <v>63</v>
      </c>
      <c r="H97" s="46" t="s">
        <v>586</v>
      </c>
      <c r="I97" s="18"/>
      <c r="J97" s="18" t="s">
        <v>347</v>
      </c>
      <c r="K97" s="18">
        <v>3</v>
      </c>
      <c r="L97" s="18"/>
      <c r="M97" s="18"/>
      <c r="N97" s="18"/>
      <c r="O97" s="18" t="b">
        <f>VLOOKUP(A97,[1]Model!C$2:J$559,2,FALSE)=B97</f>
        <v>1</v>
      </c>
      <c r="P97" s="18" t="b">
        <f>VLOOKUP(A97,Model!C$2:G$228,5,FALSE)=D97</f>
        <v>1</v>
      </c>
      <c r="Q97" s="18">
        <f>VLOOKUP(A97,[2]Model!C$2:L$228,8,FALSE)</f>
        <v>112</v>
      </c>
      <c r="R97" s="18" t="e">
        <f>VLOOKUP(A97,[2]Model!C$2:G$228,3,FALSE)=[3]!Table14[[#This Row],[Business Definition (To go into comments and into Meta Data Hub)]]</f>
        <v>#REF!</v>
      </c>
      <c r="S97" s="18" t="e">
        <f>IF([3]!Table14[[#This Row],[Nullable in Table and in Oracle View
NULL, NOT NULL]]="No","NOT NULL","NULL")=VLOOKUP(A97,[2]Model!C$2:I$228,6,FALSE)</f>
        <v>#REF!</v>
      </c>
      <c r="T97" s="18" t="e">
        <f>VLOOKUP(B97,[2]Table!A$2:F$415,1,FALSE)=[3]!Table14[[#This Row],[Physical Name of Attribute (Name of column in Table)
Supplied by DA Team]]</f>
        <v>#REF!</v>
      </c>
      <c r="U97" s="18" t="b">
        <f>VLOOKUP(B97,Table!A$2:F$319,2,FALSE)=Table14[[#This Row],[Data type in Oracle
VARCHAR2(n), DATE, NUMBER(m,n), TIMETSTAMP(6)]]</f>
        <v>0</v>
      </c>
      <c r="V97" s="18" t="b">
        <f>VLOOKUP(B97,Table!A$2:F$231,3,FALSE)=Table14[[#This Row],[Nullable in Table and in Oracle View
NULL, NOT NULL]]</f>
        <v>1</v>
      </c>
      <c r="W97" s="18" t="b">
        <f>VLOOKUP(B97,Table!A$2:H$228,6,FALSE)=Table14[[#This Row],[Business Definition (To go into comments and into Meta Data Hub)]]</f>
        <v>1</v>
      </c>
      <c r="X97" s="55" t="str">
        <f>VLOOKUP((UPPER(SUBSTITUTE(A97," ","_"))),'[2]Consumer View'!A$2:I$329,1,FALSE)</f>
        <v>CURRENCY_CODE</v>
      </c>
      <c r="Y97" s="18" t="s">
        <v>68</v>
      </c>
      <c r="Z97" s="18" t="s">
        <v>375</v>
      </c>
      <c r="AA97" s="18" t="s">
        <v>587</v>
      </c>
      <c r="AB97" s="18"/>
      <c r="AC97" s="18"/>
      <c r="AD97" s="46"/>
      <c r="AE97" s="46"/>
      <c r="AF97" s="18"/>
      <c r="AG97" s="18"/>
      <c r="AH97" s="18" t="s">
        <v>588</v>
      </c>
    </row>
    <row r="98" spans="1:34" ht="27" hidden="1" customHeight="1">
      <c r="A98" s="51" t="s">
        <v>589</v>
      </c>
      <c r="B98" s="18" t="s">
        <v>590</v>
      </c>
      <c r="C98" s="18"/>
      <c r="D98" s="18" t="s">
        <v>101</v>
      </c>
      <c r="E98" s="18" t="s">
        <v>63</v>
      </c>
      <c r="F98" s="18" t="s">
        <v>133</v>
      </c>
      <c r="G98" s="45" t="s">
        <v>63</v>
      </c>
      <c r="H98" s="46" t="s">
        <v>591</v>
      </c>
      <c r="I98" s="18"/>
      <c r="J98" s="18" t="s">
        <v>347</v>
      </c>
      <c r="K98" s="18">
        <v>3</v>
      </c>
      <c r="L98" s="18"/>
      <c r="M98" s="18"/>
      <c r="N98" s="18"/>
      <c r="O98" s="18" t="b">
        <f>VLOOKUP(A98,[1]Model!C$2:J$559,2,FALSE)=B98</f>
        <v>1</v>
      </c>
      <c r="P98" s="18" t="b">
        <f>VLOOKUP(A98,Model!C$2:G$228,5,FALSE)=D98</f>
        <v>1</v>
      </c>
      <c r="Q98" s="18">
        <f>VLOOKUP(A98,[2]Model!C$2:L$228,8,FALSE)</f>
        <v>18</v>
      </c>
      <c r="R98" s="18" t="e">
        <f>VLOOKUP(A98,[2]Model!C$2:G$228,3,FALSE)=[3]!Table14[[#This Row],[Business Definition (To go into comments and into Meta Data Hub)]]</f>
        <v>#REF!</v>
      </c>
      <c r="S98" s="18" t="e">
        <f>IF([3]!Table14[[#This Row],[Nullable in Table and in Oracle View
NULL, NOT NULL]]="No","NOT NULL","NULL")=VLOOKUP(A98,[2]Model!C$2:I$228,6,FALSE)</f>
        <v>#REF!</v>
      </c>
      <c r="T98" s="18" t="e">
        <f>VLOOKUP(B98,[2]Table!A$2:F$415,1,FALSE)=[3]!Table14[[#This Row],[Physical Name of Attribute (Name of column in Table)
Supplied by DA Team]]</f>
        <v>#REF!</v>
      </c>
      <c r="U98" s="18" t="b">
        <f>VLOOKUP(B98,Table!A$2:F$319,2,FALSE)=Table14[[#This Row],[Data type in Oracle
VARCHAR2(n), DATE, NUMBER(m,n), TIMETSTAMP(6)]]</f>
        <v>1</v>
      </c>
      <c r="V98" s="18" t="b">
        <f>VLOOKUP(B98,Table!A$2:F$231,3,FALSE)=Table14[[#This Row],[Nullable in Table and in Oracle View
NULL, NOT NULL]]</f>
        <v>1</v>
      </c>
      <c r="W98" s="18" t="b">
        <f>VLOOKUP(B98,Table!A$2:H$228,6,FALSE)=Table14[[#This Row],[Business Definition (To go into comments and into Meta Data Hub)]]</f>
        <v>1</v>
      </c>
      <c r="X98" s="55" t="str">
        <f>VLOOKUP((UPPER(SUBSTITUTE(A98," ","_"))),'[2]Consumer View'!A$2:I$329,1,FALSE)</f>
        <v>CURRENCY_DIMENSION_ID</v>
      </c>
      <c r="Y98" s="18" t="s">
        <v>355</v>
      </c>
      <c r="Z98" s="18" t="s">
        <v>592</v>
      </c>
      <c r="AA98" s="18" t="s">
        <v>590</v>
      </c>
      <c r="AB98" s="18"/>
      <c r="AC98" s="18"/>
      <c r="AD98" s="18" t="s">
        <v>593</v>
      </c>
      <c r="AE98" s="46"/>
      <c r="AF98" s="18"/>
      <c r="AG98" s="18"/>
      <c r="AH98" s="18" t="s">
        <v>351</v>
      </c>
    </row>
    <row r="99" spans="1:34" ht="27" customHeight="1">
      <c r="A99" s="51" t="s">
        <v>594</v>
      </c>
      <c r="B99" s="18" t="s">
        <v>595</v>
      </c>
      <c r="C99" s="18" t="s">
        <v>596</v>
      </c>
      <c r="D99" s="18" t="s">
        <v>139</v>
      </c>
      <c r="E99" s="18" t="s">
        <v>63</v>
      </c>
      <c r="F99" s="18" t="s">
        <v>140</v>
      </c>
      <c r="G99" s="45" t="s">
        <v>63</v>
      </c>
      <c r="H99" s="46" t="s">
        <v>597</v>
      </c>
      <c r="I99" s="18"/>
      <c r="J99" s="18" t="s">
        <v>347</v>
      </c>
      <c r="K99" s="18">
        <v>3</v>
      </c>
      <c r="L99" s="18"/>
      <c r="M99" s="18"/>
      <c r="N99" s="18"/>
      <c r="O99" s="18" t="b">
        <f>VLOOKUP(A99,[1]Model!C$2:J$559,2,FALSE)=B99</f>
        <v>1</v>
      </c>
      <c r="P99" s="18" t="b">
        <f>VLOOKUP(A99,Model!C$2:G$228,5,FALSE)=D99</f>
        <v>1</v>
      </c>
      <c r="Q99" s="18">
        <f>VLOOKUP(A99,[2]Model!C$2:L$228,8,FALSE)</f>
        <v>113</v>
      </c>
      <c r="R99" s="18" t="e">
        <f>VLOOKUP(A99,[2]Model!C$2:G$228,3,FALSE)=[3]!Table14[[#This Row],[Business Definition (To go into comments and into Meta Data Hub)]]</f>
        <v>#REF!</v>
      </c>
      <c r="S99" s="18" t="e">
        <f>IF([3]!Table14[[#This Row],[Nullable in Table and in Oracle View
NULL, NOT NULL]]="No","NOT NULL","NULL")=VLOOKUP(A99,[2]Model!C$2:I$228,6,FALSE)</f>
        <v>#REF!</v>
      </c>
      <c r="T99" s="18" t="e">
        <f>VLOOKUP(B99,[2]Table!A$2:F$415,1,FALSE)=[3]!Table14[[#This Row],[Physical Name of Attribute (Name of column in Table)
Supplied by DA Team]]</f>
        <v>#REF!</v>
      </c>
      <c r="U99" s="18" t="b">
        <f>VLOOKUP(B99,Table!A$2:F$319,2,FALSE)=Table14[[#This Row],[Data type in Oracle
VARCHAR2(n), DATE, NUMBER(m,n), TIMETSTAMP(6)]]</f>
        <v>0</v>
      </c>
      <c r="V99" s="18" t="b">
        <f>VLOOKUP(B99,Table!A$2:F$231,3,FALSE)=Table14[[#This Row],[Nullable in Table and in Oracle View
NULL, NOT NULL]]</f>
        <v>1</v>
      </c>
      <c r="W99" s="18" t="b">
        <f>VLOOKUP(B99,Table!A$2:H$228,6,FALSE)=Table14[[#This Row],[Business Definition (To go into comments and into Meta Data Hub)]]</f>
        <v>1</v>
      </c>
      <c r="X99" s="55" t="str">
        <f>VLOOKUP((UPPER(SUBSTITUTE(A99," ","_"))),'[2]Consumer View'!A$2:I$329,1,FALSE)</f>
        <v>DEPARTMENT_OF_LABOR_INDICATOR_CODE</v>
      </c>
      <c r="Y99" s="18" t="s">
        <v>68</v>
      </c>
      <c r="Z99" s="18" t="s">
        <v>113</v>
      </c>
      <c r="AA99" s="18" t="s">
        <v>143</v>
      </c>
      <c r="AB99" s="18"/>
      <c r="AC99" s="18"/>
      <c r="AD99" s="18" t="s">
        <v>598</v>
      </c>
      <c r="AE99" s="46" t="s">
        <v>599</v>
      </c>
      <c r="AF99" s="18"/>
      <c r="AG99" s="18"/>
      <c r="AH99" s="18" t="s">
        <v>71</v>
      </c>
    </row>
    <row r="100" spans="1:34" ht="27" customHeight="1">
      <c r="A100" s="51" t="s">
        <v>600</v>
      </c>
      <c r="B100" s="18" t="s">
        <v>601</v>
      </c>
      <c r="C100" s="18"/>
      <c r="D100" s="18" t="s">
        <v>101</v>
      </c>
      <c r="E100" s="18" t="s">
        <v>63</v>
      </c>
      <c r="F100" s="18" t="s">
        <v>133</v>
      </c>
      <c r="G100" s="45" t="s">
        <v>63</v>
      </c>
      <c r="H100" s="46" t="s">
        <v>602</v>
      </c>
      <c r="I100" s="18"/>
      <c r="J100" s="18" t="s">
        <v>347</v>
      </c>
      <c r="K100" s="18">
        <v>3</v>
      </c>
      <c r="L100" s="18"/>
      <c r="M100" s="18"/>
      <c r="N100" s="18"/>
      <c r="O100" s="18" t="b">
        <f>VLOOKUP(A100,[1]Model!C$2:J$559,2,FALSE)=B100</f>
        <v>1</v>
      </c>
      <c r="P100" s="18" t="b">
        <f>VLOOKUP(A100,Model!C$2:G$228,5,FALSE)=D100</f>
        <v>1</v>
      </c>
      <c r="Q100" s="18">
        <f>VLOOKUP(A100,[2]Model!C$2:L$228,8,FALSE)</f>
        <v>114</v>
      </c>
      <c r="R100" s="18" t="e">
        <f>VLOOKUP(A100,[2]Model!C$2:G$228,3,FALSE)=[3]!Table14[[#This Row],[Business Definition (To go into comments and into Meta Data Hub)]]</f>
        <v>#REF!</v>
      </c>
      <c r="S100" s="18" t="e">
        <f>IF([3]!Table14[[#This Row],[Nullable in Table and in Oracle View
NULL, NOT NULL]]="No","NOT NULL","NULL")=VLOOKUP(A100,[2]Model!C$2:I$228,6,FALSE)</f>
        <v>#REF!</v>
      </c>
      <c r="T100" s="18" t="e">
        <f>VLOOKUP(B100,[2]Table!A$2:F$415,1,FALSE)=[3]!Table14[[#This Row],[Physical Name of Attribute (Name of column in Table)
Supplied by DA Team]]</f>
        <v>#REF!</v>
      </c>
      <c r="U100" s="18" t="b">
        <f>VLOOKUP(B100,Table!A$2:F$319,2,FALSE)=Table14[[#This Row],[Data type in Oracle
VARCHAR2(n), DATE, NUMBER(m,n), TIMETSTAMP(6)]]</f>
        <v>1</v>
      </c>
      <c r="V100" s="18" t="b">
        <f>VLOOKUP(B100,Table!A$2:F$231,3,FALSE)=Table14[[#This Row],[Nullable in Table and in Oracle View
NULL, NOT NULL]]</f>
        <v>1</v>
      </c>
      <c r="W100" s="18" t="b">
        <f>VLOOKUP(B100,Table!A$2:H$228,6,FALSE)=Table14[[#This Row],[Business Definition (To go into comments and into Meta Data Hub)]]</f>
        <v>1</v>
      </c>
      <c r="X100" s="55" t="str">
        <f>VLOOKUP((UPPER(SUBSTITUTE(A100," ","_"))),'[2]Consumer View'!A$2:I$329,1,FALSE)</f>
        <v>DEPARTMENT_OF_LABOR_INDICATOR_ID</v>
      </c>
      <c r="Y100" s="18" t="s">
        <v>68</v>
      </c>
      <c r="Z100" s="18" t="s">
        <v>69</v>
      </c>
      <c r="AA100" s="18" t="s">
        <v>601</v>
      </c>
      <c r="AB100" s="18"/>
      <c r="AC100" s="18"/>
      <c r="AD100" s="18"/>
      <c r="AE100" s="46"/>
      <c r="AF100" s="18"/>
      <c r="AG100" s="18"/>
      <c r="AH100" s="18" t="s">
        <v>71</v>
      </c>
    </row>
    <row r="101" spans="1:34" ht="27" customHeight="1">
      <c r="A101" s="51" t="s">
        <v>603</v>
      </c>
      <c r="B101" s="18" t="s">
        <v>604</v>
      </c>
      <c r="C101" s="18" t="s">
        <v>605</v>
      </c>
      <c r="D101" s="18" t="s">
        <v>109</v>
      </c>
      <c r="E101" s="18" t="s">
        <v>63</v>
      </c>
      <c r="F101" s="18" t="s">
        <v>110</v>
      </c>
      <c r="G101" s="45" t="s">
        <v>63</v>
      </c>
      <c r="H101" s="46" t="s">
        <v>606</v>
      </c>
      <c r="I101" s="18"/>
      <c r="J101" s="18" t="s">
        <v>347</v>
      </c>
      <c r="K101" s="18">
        <v>3</v>
      </c>
      <c r="L101" s="18"/>
      <c r="M101" s="18"/>
      <c r="N101" s="18"/>
      <c r="O101" s="18" t="b">
        <f>VLOOKUP(A101,[1]Model!C$2:J$559,2,FALSE)=B101</f>
        <v>1</v>
      </c>
      <c r="P101" s="18" t="b">
        <f>VLOOKUP(A101,Model!C$2:G$228,5,FALSE)=D101</f>
        <v>1</v>
      </c>
      <c r="Q101" s="18">
        <f>VLOOKUP(A101,[2]Model!C$2:L$228,8,FALSE)</f>
        <v>115</v>
      </c>
      <c r="R101" s="18" t="e">
        <f>VLOOKUP(A101,[2]Model!C$2:G$228,3,FALSE)=[3]!Table14[[#This Row],[Business Definition (To go into comments and into Meta Data Hub)]]</f>
        <v>#REF!</v>
      </c>
      <c r="S101" s="18" t="e">
        <f>IF([3]!Table14[[#This Row],[Nullable in Table and in Oracle View
NULL, NOT NULL]]="No","NOT NULL","NULL")=VLOOKUP(A101,[2]Model!C$2:I$228,6,FALSE)</f>
        <v>#REF!</v>
      </c>
      <c r="T101" s="18" t="e">
        <f>VLOOKUP(B101,[2]Table!A$2:F$415,1,FALSE)=[3]!Table14[[#This Row],[Physical Name of Attribute (Name of column in Table)
Supplied by DA Team]]</f>
        <v>#REF!</v>
      </c>
      <c r="U101" s="18" t="b">
        <f>VLOOKUP(B101,Table!A$2:F$319,2,FALSE)=Table14[[#This Row],[Data type in Oracle
VARCHAR2(n), DATE, NUMBER(m,n), TIMETSTAMP(6)]]</f>
        <v>0</v>
      </c>
      <c r="V101" s="18" t="b">
        <f>VLOOKUP(B101,Table!A$2:F$231,3,FALSE)=Table14[[#This Row],[Nullable in Table and in Oracle View
NULL, NOT NULL]]</f>
        <v>1</v>
      </c>
      <c r="W101" s="18" t="b">
        <f>VLOOKUP(B101,Table!A$2:H$228,6,FALSE)=Table14[[#This Row],[Business Definition (To go into comments and into Meta Data Hub)]]</f>
        <v>1</v>
      </c>
      <c r="X101" s="55" t="str">
        <f>VLOOKUP((UPPER(SUBSTITUTE(A101," ","_"))),'[2]Consumer View'!A$2:I$329,1,FALSE)</f>
        <v>DEPARTMENT_OF_LABOR_INDICATOR_NAME</v>
      </c>
      <c r="Y101" s="18" t="s">
        <v>68</v>
      </c>
      <c r="Z101" s="18" t="s">
        <v>113</v>
      </c>
      <c r="AA101" s="18" t="s">
        <v>114</v>
      </c>
      <c r="AB101" s="18"/>
      <c r="AC101" s="18"/>
      <c r="AD101" s="18" t="s">
        <v>598</v>
      </c>
      <c r="AE101" s="46" t="s">
        <v>607</v>
      </c>
      <c r="AF101" s="18"/>
      <c r="AG101" s="18"/>
      <c r="AH101" s="18" t="s">
        <v>71</v>
      </c>
    </row>
    <row r="102" spans="1:34" ht="27" customHeight="1">
      <c r="A102" s="51" t="s">
        <v>608</v>
      </c>
      <c r="B102" s="18" t="s">
        <v>609</v>
      </c>
      <c r="C102" s="18" t="s">
        <v>610</v>
      </c>
      <c r="D102" s="18" t="s">
        <v>302</v>
      </c>
      <c r="E102" s="18" t="s">
        <v>63</v>
      </c>
      <c r="F102" s="18" t="s">
        <v>303</v>
      </c>
      <c r="G102" s="45" t="s">
        <v>63</v>
      </c>
      <c r="H102" s="46" t="s">
        <v>611</v>
      </c>
      <c r="I102" s="18"/>
      <c r="J102" s="18" t="s">
        <v>347</v>
      </c>
      <c r="K102" s="18">
        <v>3</v>
      </c>
      <c r="L102" s="18"/>
      <c r="M102" s="18"/>
      <c r="N102" s="18"/>
      <c r="O102" s="18" t="b">
        <f>VLOOKUP(A102,[1]Model!C$2:J$559,2,FALSE)=B102</f>
        <v>1</v>
      </c>
      <c r="P102" s="18" t="b">
        <f>VLOOKUP(A102,Model!C$2:G$228,5,FALSE)=D102</f>
        <v>1</v>
      </c>
      <c r="Q102" s="18">
        <f>VLOOKUP(A102,[2]Model!C$2:L$228,8,FALSE)</f>
        <v>116</v>
      </c>
      <c r="R102" s="18" t="e">
        <f>VLOOKUP(A102,[2]Model!C$2:G$228,3,FALSE)=[3]!Table14[[#This Row],[Business Definition (To go into comments and into Meta Data Hub)]]</f>
        <v>#REF!</v>
      </c>
      <c r="S102" s="18" t="e">
        <f>IF([3]!Table14[[#This Row],[Nullable in Table and in Oracle View
NULL, NOT NULL]]="No","NOT NULL","NULL")=VLOOKUP(A102,[2]Model!C$2:I$228,6,FALSE)</f>
        <v>#REF!</v>
      </c>
      <c r="T102" s="18" t="e">
        <f>VLOOKUP(B102,[2]Table!A$2:F$415,1,FALSE)=[3]!Table14[[#This Row],[Physical Name of Attribute (Name of column in Table)
Supplied by DA Team]]</f>
        <v>#REF!</v>
      </c>
      <c r="U102" s="18" t="b">
        <f>VLOOKUP(B102,Table!A$2:F$319,2,FALSE)=Table14[[#This Row],[Data type in Oracle
VARCHAR2(n), DATE, NUMBER(m,n), TIMETSTAMP(6)]]</f>
        <v>0</v>
      </c>
      <c r="V102" s="18" t="b">
        <f>VLOOKUP(B102,Table!A$2:F$231,3,FALSE)=Table14[[#This Row],[Nullable in Table and in Oracle View
NULL, NOT NULL]]</f>
        <v>1</v>
      </c>
      <c r="W102" s="18" t="b">
        <f>VLOOKUP(B102,Table!A$2:H$228,6,FALSE)=Table14[[#This Row],[Business Definition (To go into comments and into Meta Data Hub)]]</f>
        <v>1</v>
      </c>
      <c r="X102" s="55" t="str">
        <f>VLOOKUP((UPPER(SUBSTITUTE(A102," ","_"))),'[2]Consumer View'!A$2:I$329,1,FALSE)</f>
        <v>EXCHANGE_CODE</v>
      </c>
      <c r="Y102" s="18" t="s">
        <v>68</v>
      </c>
      <c r="Z102" s="18" t="s">
        <v>69</v>
      </c>
      <c r="AA102" s="18" t="s">
        <v>612</v>
      </c>
      <c r="AB102" s="18"/>
      <c r="AC102" s="18"/>
      <c r="AD102" s="18"/>
      <c r="AE102" s="46" t="s">
        <v>613</v>
      </c>
      <c r="AF102" s="18"/>
      <c r="AG102" s="18"/>
      <c r="AH102" s="18" t="s">
        <v>71</v>
      </c>
    </row>
    <row r="103" spans="1:34" ht="27" customHeight="1">
      <c r="A103" s="51" t="s">
        <v>614</v>
      </c>
      <c r="B103" s="18" t="s">
        <v>615</v>
      </c>
      <c r="C103" s="18" t="s">
        <v>616</v>
      </c>
      <c r="D103" s="18" t="s">
        <v>617</v>
      </c>
      <c r="E103" s="18" t="s">
        <v>63</v>
      </c>
      <c r="F103" s="18" t="s">
        <v>618</v>
      </c>
      <c r="G103" s="45" t="s">
        <v>63</v>
      </c>
      <c r="H103" s="46" t="s">
        <v>619</v>
      </c>
      <c r="I103" s="18"/>
      <c r="J103" s="18" t="s">
        <v>347</v>
      </c>
      <c r="K103" s="18">
        <v>3</v>
      </c>
      <c r="L103" s="18"/>
      <c r="M103" s="18"/>
      <c r="N103" s="18"/>
      <c r="O103" s="18" t="b">
        <f>VLOOKUP(A103,[1]Model!C$2:J$559,2,FALSE)=B103</f>
        <v>1</v>
      </c>
      <c r="P103" s="18" t="b">
        <f>VLOOKUP(A103,Model!C$2:G$228,5,FALSE)=D103</f>
        <v>1</v>
      </c>
      <c r="Q103" s="18">
        <f>VLOOKUP(A103,[2]Model!C$2:L$228,8,FALSE)</f>
        <v>117</v>
      </c>
      <c r="R103" s="18" t="e">
        <f>VLOOKUP(A103,[2]Model!C$2:G$228,3,FALSE)=[3]!Table14[[#This Row],[Business Definition (To go into comments and into Meta Data Hub)]]</f>
        <v>#REF!</v>
      </c>
      <c r="S103" s="18" t="e">
        <f>IF([3]!Table14[[#This Row],[Nullable in Table and in Oracle View
NULL, NOT NULL]]="No","NOT NULL","NULL")=VLOOKUP(A103,[2]Model!C$2:I$228,6,FALSE)</f>
        <v>#REF!</v>
      </c>
      <c r="T103" s="18" t="e">
        <f>VLOOKUP(B103,[2]Table!A$2:F$415,1,FALSE)=[3]!Table14[[#This Row],[Physical Name of Attribute (Name of column in Table)
Supplied by DA Team]]</f>
        <v>#REF!</v>
      </c>
      <c r="U103" s="18" t="b">
        <f>VLOOKUP(B103,Table!A$2:F$319,2,FALSE)=Table14[[#This Row],[Data type in Oracle
VARCHAR2(n), DATE, NUMBER(m,n), TIMETSTAMP(6)]]</f>
        <v>0</v>
      </c>
      <c r="V103" s="18" t="b">
        <f>VLOOKUP(B103,Table!A$2:F$231,3,FALSE)=Table14[[#This Row],[Nullable in Table and in Oracle View
NULL, NOT NULL]]</f>
        <v>1</v>
      </c>
      <c r="W103" s="18" t="b">
        <f>VLOOKUP(B103,Table!A$2:H$228,6,FALSE)=Table14[[#This Row],[Business Definition (To go into comments and into Meta Data Hub)]]</f>
        <v>1</v>
      </c>
      <c r="X103" s="55" t="str">
        <f>VLOOKUP((UPPER(SUBSTITUTE(A103," ","_"))),'[2]Consumer View'!A$2:I$329,1,FALSE)</f>
        <v>EXCHANGE_NAME</v>
      </c>
      <c r="Y103" s="18" t="s">
        <v>355</v>
      </c>
      <c r="Z103" s="18" t="s">
        <v>356</v>
      </c>
      <c r="AA103" s="18" t="s">
        <v>615</v>
      </c>
      <c r="AB103" s="18"/>
      <c r="AC103" s="18"/>
      <c r="AD103" s="18" t="s">
        <v>357</v>
      </c>
      <c r="AE103" s="46" t="s">
        <v>620</v>
      </c>
      <c r="AF103" s="18"/>
      <c r="AG103" s="18"/>
      <c r="AH103" s="18" t="s">
        <v>178</v>
      </c>
    </row>
    <row r="104" spans="1:34" ht="27" customHeight="1">
      <c r="A104" s="51" t="s">
        <v>621</v>
      </c>
      <c r="B104" s="18" t="s">
        <v>622</v>
      </c>
      <c r="C104" s="18" t="s">
        <v>623</v>
      </c>
      <c r="D104" s="18" t="s">
        <v>624</v>
      </c>
      <c r="E104" s="18" t="s">
        <v>63</v>
      </c>
      <c r="F104" s="18" t="s">
        <v>624</v>
      </c>
      <c r="G104" s="45" t="s">
        <v>63</v>
      </c>
      <c r="H104" s="46" t="s">
        <v>625</v>
      </c>
      <c r="I104" s="18"/>
      <c r="J104" s="18" t="s">
        <v>381</v>
      </c>
      <c r="K104" s="18">
        <v>3</v>
      </c>
      <c r="L104" s="18"/>
      <c r="M104" s="18"/>
      <c r="N104" s="18"/>
      <c r="O104" s="18" t="b">
        <f>VLOOKUP(A104,[1]Model!C$2:J$559,2,FALSE)=B104</f>
        <v>1</v>
      </c>
      <c r="P104" s="18" t="b">
        <f>VLOOKUP(A104,Model!C$2:G$228,5,FALSE)=D104</f>
        <v>1</v>
      </c>
      <c r="Q104" s="18">
        <f>VLOOKUP(A104,[2]Model!C$2:L$228,8,FALSE)</f>
        <v>197</v>
      </c>
      <c r="R104" s="18" t="e">
        <f>VLOOKUP(A104,[2]Model!C$2:G$228,3,FALSE)=[3]!Table14[[#This Row],[Business Definition (To go into comments and into Meta Data Hub)]]</f>
        <v>#REF!</v>
      </c>
      <c r="S104" s="18" t="e">
        <f>IF([3]!Table14[[#This Row],[Nullable in Table and in Oracle View
NULL, NOT NULL]]="No","NOT NULL","NULL")=VLOOKUP(A104,[2]Model!C$2:I$228,6,FALSE)</f>
        <v>#REF!</v>
      </c>
      <c r="T104" s="18" t="e">
        <f>VLOOKUP(B104,[2]Table!A$2:F$415,1,FALSE)=[3]!Table14[[#This Row],[Physical Name of Attribute (Name of column in Table)
Supplied by DA Team]]</f>
        <v>#REF!</v>
      </c>
      <c r="U104" s="18" t="b">
        <f>VLOOKUP(B104,Table!A$2:F$319,2,FALSE)=Table14[[#This Row],[Data type in Oracle
VARCHAR2(n), DATE, NUMBER(m,n), TIMETSTAMP(6)]]</f>
        <v>1</v>
      </c>
      <c r="V104" s="18" t="b">
        <f>VLOOKUP(B104,Table!A$2:F$231,3,FALSE)=Table14[[#This Row],[Nullable in Table and in Oracle View
NULL, NOT NULL]]</f>
        <v>1</v>
      </c>
      <c r="W104" s="18" t="b">
        <f>VLOOKUP(B104,Table!A$2:H$228,6,FALSE)=Table14[[#This Row],[Business Definition (To go into comments and into Meta Data Hub)]]</f>
        <v>1</v>
      </c>
      <c r="X104" s="55" t="str">
        <f>VLOOKUP((UPPER(SUBSTITUTE(A104," ","_"))),'[2]Consumer View'!A$2:I$329,1,FALSE)</f>
        <v>EXECUTION_DATE</v>
      </c>
      <c r="Y104" s="18" t="s">
        <v>68</v>
      </c>
      <c r="Z104" s="18" t="s">
        <v>69</v>
      </c>
      <c r="AA104" s="18" t="s">
        <v>622</v>
      </c>
      <c r="AB104" s="18"/>
      <c r="AC104" s="18"/>
      <c r="AD104" s="18"/>
      <c r="AE104" s="46"/>
      <c r="AF104" s="18"/>
      <c r="AG104" s="18"/>
      <c r="AH104" s="18" t="s">
        <v>71</v>
      </c>
    </row>
    <row r="105" spans="1:34" ht="27" customHeight="1">
      <c r="A105" s="51" t="s">
        <v>626</v>
      </c>
      <c r="B105" s="18" t="s">
        <v>627</v>
      </c>
      <c r="C105" s="18" t="s">
        <v>628</v>
      </c>
      <c r="D105" s="18" t="s">
        <v>139</v>
      </c>
      <c r="E105" s="18" t="s">
        <v>63</v>
      </c>
      <c r="F105" s="18" t="s">
        <v>140</v>
      </c>
      <c r="G105" s="45" t="s">
        <v>63</v>
      </c>
      <c r="H105" s="46" t="s">
        <v>629</v>
      </c>
      <c r="I105" s="18"/>
      <c r="J105" s="18" t="s">
        <v>347</v>
      </c>
      <c r="K105" s="18">
        <v>3</v>
      </c>
      <c r="L105" s="18"/>
      <c r="M105" s="18"/>
      <c r="N105" s="18"/>
      <c r="O105" s="18" t="b">
        <f>VLOOKUP(A105,[1]Model!C$2:J$559,2,FALSE)=B105</f>
        <v>1</v>
      </c>
      <c r="P105" s="18" t="b">
        <f>VLOOKUP(A105,Model!C$2:G$228,5,FALSE)=D105</f>
        <v>1</v>
      </c>
      <c r="Q105" s="18">
        <f>VLOOKUP(A105,[2]Model!C$2:L$228,8,FALSE)</f>
        <v>70</v>
      </c>
      <c r="R105" s="18" t="e">
        <f>VLOOKUP(A105,[2]Model!C$2:G$228,3,FALSE)=[3]!Table14[[#This Row],[Business Definition (To go into comments and into Meta Data Hub)]]</f>
        <v>#REF!</v>
      </c>
      <c r="S105" s="18" t="e">
        <f>IF([3]!Table14[[#This Row],[Nullable in Table and in Oracle View
NULL, NOT NULL]]="No","NOT NULL","NULL")=VLOOKUP(A105,[2]Model!C$2:I$228,6,FALSE)</f>
        <v>#REF!</v>
      </c>
      <c r="T105" s="18" t="e">
        <f>VLOOKUP(B105,[2]Table!A$2:F$415,1,FALSE)=[3]!Table14[[#This Row],[Physical Name of Attribute (Name of column in Table)
Supplied by DA Team]]</f>
        <v>#REF!</v>
      </c>
      <c r="U105" s="18" t="b">
        <f>VLOOKUP(B105,Table!A$2:F$319,2,FALSE)=Table14[[#This Row],[Data type in Oracle
VARCHAR2(n), DATE, NUMBER(m,n), TIMETSTAMP(6)]]</f>
        <v>0</v>
      </c>
      <c r="V105" s="18" t="b">
        <f>VLOOKUP(B105,Table!A$2:F$231,3,FALSE)=Table14[[#This Row],[Nullable in Table and in Oracle View
NULL, NOT NULL]]</f>
        <v>1</v>
      </c>
      <c r="W105" s="18" t="b">
        <f>VLOOKUP(B105,Table!A$2:H$228,6,FALSE)=Table14[[#This Row],[Business Definition (To go into comments and into Meta Data Hub)]]</f>
        <v>0</v>
      </c>
      <c r="X105" s="55" t="str">
        <f>VLOOKUP((UPPER(SUBSTITUTE(A105," ","_"))),'[2]Consumer View'!A$2:I$329,1,FALSE)</f>
        <v>EXECUTION_SUBTYPE_CODE</v>
      </c>
      <c r="Y105" s="18" t="s">
        <v>68</v>
      </c>
      <c r="Z105" s="18" t="s">
        <v>113</v>
      </c>
      <c r="AA105" s="18" t="s">
        <v>143</v>
      </c>
      <c r="AB105" s="18"/>
      <c r="AC105" s="18"/>
      <c r="AD105" s="18" t="s">
        <v>630</v>
      </c>
      <c r="AE105" s="46"/>
      <c r="AF105" s="18"/>
      <c r="AG105" s="18"/>
      <c r="AH105" s="18" t="s">
        <v>71</v>
      </c>
    </row>
    <row r="106" spans="1:34" ht="27" customHeight="1">
      <c r="A106" s="51" t="s">
        <v>631</v>
      </c>
      <c r="B106" s="18" t="s">
        <v>632</v>
      </c>
      <c r="C106" s="18" t="s">
        <v>633</v>
      </c>
      <c r="D106" s="18" t="s">
        <v>485</v>
      </c>
      <c r="E106" s="18" t="s">
        <v>63</v>
      </c>
      <c r="F106" s="18" t="s">
        <v>486</v>
      </c>
      <c r="G106" s="45" t="s">
        <v>63</v>
      </c>
      <c r="H106" s="46" t="s">
        <v>634</v>
      </c>
      <c r="I106" s="18"/>
      <c r="J106" s="18" t="s">
        <v>347</v>
      </c>
      <c r="K106" s="18">
        <v>3</v>
      </c>
      <c r="L106" s="18"/>
      <c r="M106" s="18"/>
      <c r="N106" s="18"/>
      <c r="O106" s="18" t="b">
        <f>VLOOKUP(A106,[1]Model!C$2:J$559,2,FALSE)=B106</f>
        <v>1</v>
      </c>
      <c r="P106" s="18" t="b">
        <f>VLOOKUP(A106,Model!C$2:G$228,5,FALSE)=D106</f>
        <v>1</v>
      </c>
      <c r="Q106" s="18">
        <f>VLOOKUP(A106,[2]Model!C$2:L$228,8,FALSE)</f>
        <v>72</v>
      </c>
      <c r="R106" s="18" t="e">
        <f>VLOOKUP(A106,[2]Model!C$2:G$228,3,FALSE)=[3]!Table14[[#This Row],[Business Definition (To go into comments and into Meta Data Hub)]]</f>
        <v>#REF!</v>
      </c>
      <c r="S106" s="18" t="e">
        <f>IF([3]!Table14[[#This Row],[Nullable in Table and in Oracle View
NULL, NOT NULL]]="No","NOT NULL","NULL")=VLOOKUP(A106,[2]Model!C$2:I$228,6,FALSE)</f>
        <v>#REF!</v>
      </c>
      <c r="T106" s="18" t="e">
        <f>VLOOKUP(B106,[2]Table!A$2:F$415,1,FALSE)=[3]!Table14[[#This Row],[Physical Name of Attribute (Name of column in Table)
Supplied by DA Team]]</f>
        <v>#REF!</v>
      </c>
      <c r="U106" s="18" t="b">
        <f>VLOOKUP(B106,Table!A$2:F$319,2,FALSE)=Table14[[#This Row],[Data type in Oracle
VARCHAR2(n), DATE, NUMBER(m,n), TIMETSTAMP(6)]]</f>
        <v>0</v>
      </c>
      <c r="V106" s="18" t="b">
        <f>VLOOKUP(B106,Table!A$2:F$231,3,FALSE)=Table14[[#This Row],[Nullable in Table and in Oracle View
NULL, NOT NULL]]</f>
        <v>1</v>
      </c>
      <c r="W106" s="18" t="b">
        <f>VLOOKUP(B106,Table!A$2:H$228,6,FALSE)=Table14[[#This Row],[Business Definition (To go into comments and into Meta Data Hub)]]</f>
        <v>0</v>
      </c>
      <c r="X106" s="55" t="str">
        <f>VLOOKUP((UPPER(SUBSTITUTE(A106," ","_"))),'[2]Consumer View'!A$2:I$329,1,FALSE)</f>
        <v>EXECUTION_SUBTYPE_DESCRIPTION</v>
      </c>
      <c r="Y106" s="18" t="s">
        <v>68</v>
      </c>
      <c r="Z106" s="18" t="s">
        <v>113</v>
      </c>
      <c r="AA106" s="18" t="s">
        <v>488</v>
      </c>
      <c r="AB106" s="18"/>
      <c r="AC106" s="18"/>
      <c r="AD106" s="18" t="s">
        <v>630</v>
      </c>
      <c r="AE106" s="46"/>
      <c r="AF106" s="18"/>
      <c r="AG106" s="18"/>
      <c r="AH106" s="18" t="s">
        <v>71</v>
      </c>
    </row>
    <row r="107" spans="1:34" ht="27" customHeight="1">
      <c r="A107" s="51" t="s">
        <v>635</v>
      </c>
      <c r="B107" s="18" t="s">
        <v>636</v>
      </c>
      <c r="C107" s="18"/>
      <c r="D107" s="18" t="s">
        <v>101</v>
      </c>
      <c r="E107" s="18" t="s">
        <v>63</v>
      </c>
      <c r="F107" s="18" t="s">
        <v>133</v>
      </c>
      <c r="G107" s="45" t="s">
        <v>63</v>
      </c>
      <c r="H107" s="46" t="s">
        <v>637</v>
      </c>
      <c r="I107" s="46"/>
      <c r="J107" s="18" t="s">
        <v>347</v>
      </c>
      <c r="K107" s="18">
        <v>3</v>
      </c>
      <c r="L107" s="18"/>
      <c r="M107" s="18"/>
      <c r="N107" s="18"/>
      <c r="O107" s="18" t="b">
        <f>VLOOKUP(A107,[1]Model!C$2:J$559,2,FALSE)=B107</f>
        <v>1</v>
      </c>
      <c r="P107" s="18" t="b">
        <f>VLOOKUP(A107,Model!C$2:G$228,5,FALSE)=D107</f>
        <v>1</v>
      </c>
      <c r="Q107" s="18">
        <f>VLOOKUP(A107,[2]Model!C$2:L$228,8,FALSE)</f>
        <v>69</v>
      </c>
      <c r="R107" s="18" t="e">
        <f>VLOOKUP(A107,[2]Model!C$2:G$228,3,FALSE)=[3]!Table14[[#This Row],[Business Definition (To go into comments and into Meta Data Hub)]]</f>
        <v>#VALUE!</v>
      </c>
      <c r="S107" s="18" t="e">
        <f>IF([3]!Table14[[#This Row],[Nullable in Table and in Oracle View
NULL, NOT NULL]]="No","NOT NULL","NULL")=VLOOKUP(A107,[2]Model!C$2:I$228,6,FALSE)</f>
        <v>#REF!</v>
      </c>
      <c r="T107" s="18" t="e">
        <f>VLOOKUP(B107,[2]Table!A$2:F$415,1,FALSE)=[3]!Table14[[#This Row],[Physical Name of Attribute (Name of column in Table)
Supplied by DA Team]]</f>
        <v>#REF!</v>
      </c>
      <c r="U107" s="18" t="b">
        <f>VLOOKUP(B107,Table!A$2:F$319,2,FALSE)=Table14[[#This Row],[Data type in Oracle
VARCHAR2(n), DATE, NUMBER(m,n), TIMETSTAMP(6)]]</f>
        <v>1</v>
      </c>
      <c r="V107" s="18" t="b">
        <f>VLOOKUP(B107,Table!A$2:F$231,3,FALSE)=Table14[[#This Row],[Nullable in Table and in Oracle View
NULL, NOT NULL]]</f>
        <v>1</v>
      </c>
      <c r="W107" s="18" t="b">
        <f>VLOOKUP(B107,Table!A$2:H$228,6,FALSE)=Table14[[#This Row],[Business Definition (To go into comments and into Meta Data Hub)]]</f>
        <v>0</v>
      </c>
      <c r="X107" s="55" t="str">
        <f>VLOOKUP((UPPER(SUBSTITUTE(A107," ","_"))),'[2]Consumer View'!A$2:I$329,1,FALSE)</f>
        <v>EXECUTION_SUBTYPE_ID</v>
      </c>
      <c r="Y107" s="18" t="s">
        <v>68</v>
      </c>
      <c r="Z107" s="18" t="s">
        <v>69</v>
      </c>
      <c r="AA107" s="18" t="s">
        <v>636</v>
      </c>
      <c r="AB107" s="18"/>
      <c r="AC107" s="18"/>
      <c r="AD107" s="18"/>
      <c r="AE107" s="46"/>
      <c r="AF107" s="18"/>
      <c r="AG107" s="18"/>
      <c r="AH107" s="18" t="s">
        <v>71</v>
      </c>
    </row>
    <row r="108" spans="1:34" ht="27" customHeight="1">
      <c r="A108" s="51" t="s">
        <v>638</v>
      </c>
      <c r="B108" s="18" t="s">
        <v>639</v>
      </c>
      <c r="C108" s="18" t="s">
        <v>640</v>
      </c>
      <c r="D108" s="18" t="s">
        <v>109</v>
      </c>
      <c r="E108" s="18" t="s">
        <v>63</v>
      </c>
      <c r="F108" s="18" t="s">
        <v>110</v>
      </c>
      <c r="G108" s="45" t="s">
        <v>63</v>
      </c>
      <c r="H108" s="46" t="s">
        <v>641</v>
      </c>
      <c r="I108" s="18"/>
      <c r="J108" s="18" t="s">
        <v>347</v>
      </c>
      <c r="K108" s="18">
        <v>3</v>
      </c>
      <c r="L108" s="18"/>
      <c r="M108" s="18"/>
      <c r="N108" s="18"/>
      <c r="O108" s="18" t="b">
        <f>VLOOKUP(A108,[1]Model!C$2:J$559,2,FALSE)=B108</f>
        <v>1</v>
      </c>
      <c r="P108" s="18" t="b">
        <f>VLOOKUP(A108,Model!C$2:G$228,5,FALSE)=D108</f>
        <v>1</v>
      </c>
      <c r="Q108" s="18">
        <f>VLOOKUP(A108,[2]Model!C$2:L$228,8,FALSE)</f>
        <v>71</v>
      </c>
      <c r="R108" s="18" t="e">
        <f>VLOOKUP(A108,[2]Model!C$2:G$228,3,FALSE)=[3]!Table14[[#This Row],[Business Definition (To go into comments and into Meta Data Hub)]]</f>
        <v>#REF!</v>
      </c>
      <c r="S108" s="18" t="e">
        <f>IF([3]!Table14[[#This Row],[Nullable in Table and in Oracle View
NULL, NOT NULL]]="No","NOT NULL","NULL")=VLOOKUP(A108,[2]Model!C$2:I$228,6,FALSE)</f>
        <v>#REF!</v>
      </c>
      <c r="T108" s="18" t="e">
        <f>VLOOKUP(B108,[2]Table!A$2:F$415,1,FALSE)=[3]!Table14[[#This Row],[Physical Name of Attribute (Name of column in Table)
Supplied by DA Team]]</f>
        <v>#REF!</v>
      </c>
      <c r="U108" s="18" t="b">
        <f>VLOOKUP(B108,Table!A$2:F$319,2,FALSE)=Table14[[#This Row],[Data type in Oracle
VARCHAR2(n), DATE, NUMBER(m,n), TIMETSTAMP(6)]]</f>
        <v>0</v>
      </c>
      <c r="V108" s="18" t="b">
        <f>VLOOKUP(B108,Table!A$2:F$231,3,FALSE)=Table14[[#This Row],[Nullable in Table and in Oracle View
NULL, NOT NULL]]</f>
        <v>1</v>
      </c>
      <c r="W108" s="18" t="b">
        <f>VLOOKUP(B108,Table!A$2:H$228,6,FALSE)=Table14[[#This Row],[Business Definition (To go into comments and into Meta Data Hub)]]</f>
        <v>0</v>
      </c>
      <c r="X108" s="55" t="str">
        <f>VLOOKUP((UPPER(SUBSTITUTE(A108," ","_"))),'[2]Consumer View'!A$2:I$329,1,FALSE)</f>
        <v>EXECUTION_SUBTYPE_NAME</v>
      </c>
      <c r="Y108" s="18" t="s">
        <v>68</v>
      </c>
      <c r="Z108" s="18" t="s">
        <v>113</v>
      </c>
      <c r="AA108" s="18" t="s">
        <v>114</v>
      </c>
      <c r="AB108" s="18"/>
      <c r="AC108" s="18"/>
      <c r="AD108" s="18" t="s">
        <v>630</v>
      </c>
      <c r="AE108" s="46"/>
      <c r="AF108" s="18"/>
      <c r="AG108" s="18"/>
      <c r="AH108" s="18" t="s">
        <v>71</v>
      </c>
    </row>
    <row r="109" spans="1:34" ht="27" customHeight="1">
      <c r="A109" s="51" t="s">
        <v>642</v>
      </c>
      <c r="B109" s="18" t="s">
        <v>643</v>
      </c>
      <c r="C109" s="18" t="s">
        <v>644</v>
      </c>
      <c r="D109" s="18" t="s">
        <v>139</v>
      </c>
      <c r="E109" s="18" t="s">
        <v>63</v>
      </c>
      <c r="F109" s="18" t="s">
        <v>140</v>
      </c>
      <c r="G109" s="45" t="s">
        <v>63</v>
      </c>
      <c r="H109" s="46" t="s">
        <v>645</v>
      </c>
      <c r="I109" s="18"/>
      <c r="J109" s="18" t="s">
        <v>347</v>
      </c>
      <c r="K109" s="18">
        <v>3</v>
      </c>
      <c r="L109" s="18"/>
      <c r="M109" s="18"/>
      <c r="N109" s="18"/>
      <c r="O109" s="18" t="b">
        <f>VLOOKUP(A109,[1]Model!C$2:J$559,2,FALSE)=B109</f>
        <v>1</v>
      </c>
      <c r="P109" s="18" t="b">
        <f>VLOOKUP(A109,Model!C$2:G$228,5,FALSE)=D109</f>
        <v>1</v>
      </c>
      <c r="Q109" s="18">
        <f>VLOOKUP(A109,[2]Model!C$2:L$228,8,FALSE)</f>
        <v>66</v>
      </c>
      <c r="R109" s="18" t="e">
        <f>VLOOKUP(A109,[2]Model!C$2:G$228,3,FALSE)=[3]!Table14[[#This Row],[Business Definition (To go into comments and into Meta Data Hub)]]</f>
        <v>#VALUE!</v>
      </c>
      <c r="S109" s="18" t="e">
        <f>IF([3]!Table14[[#This Row],[Nullable in Table and in Oracle View
NULL, NOT NULL]]="No","NOT NULL","NULL")=VLOOKUP(A109,[2]Model!C$2:I$228,6,FALSE)</f>
        <v>#REF!</v>
      </c>
      <c r="T109" s="18" t="e">
        <f>VLOOKUP(B109,[2]Table!A$2:F$415,1,FALSE)=[3]!Table14[[#This Row],[Physical Name of Attribute (Name of column in Table)
Supplied by DA Team]]</f>
        <v>#REF!</v>
      </c>
      <c r="U109" s="18" t="b">
        <f>VLOOKUP(B109,Table!A$2:F$319,2,FALSE)=Table14[[#This Row],[Data type in Oracle
VARCHAR2(n), DATE, NUMBER(m,n), TIMETSTAMP(6)]]</f>
        <v>0</v>
      </c>
      <c r="V109" s="18" t="b">
        <f>VLOOKUP(B109,Table!A$2:F$231,3,FALSE)=Table14[[#This Row],[Nullable in Table and in Oracle View
NULL, NOT NULL]]</f>
        <v>1</v>
      </c>
      <c r="W109" s="18" t="b">
        <f>VLOOKUP(B109,Table!A$2:H$228,6,FALSE)=Table14[[#This Row],[Business Definition (To go into comments and into Meta Data Hub)]]</f>
        <v>1</v>
      </c>
      <c r="X109" s="55" t="str">
        <f>VLOOKUP((UPPER(SUBSTITUTE(A109," ","_"))),'[2]Consumer View'!A$2:I$329,1,FALSE)</f>
        <v>EXECUTION_TYPE_CODE</v>
      </c>
      <c r="Y109" s="18" t="s">
        <v>68</v>
      </c>
      <c r="Z109" s="18" t="s">
        <v>113</v>
      </c>
      <c r="AA109" s="18" t="s">
        <v>143</v>
      </c>
      <c r="AB109" s="18"/>
      <c r="AC109" s="18"/>
      <c r="AD109" s="18" t="s">
        <v>646</v>
      </c>
      <c r="AE109" s="46"/>
      <c r="AF109" s="18"/>
      <c r="AG109" s="18"/>
      <c r="AH109" s="18" t="s">
        <v>71</v>
      </c>
    </row>
    <row r="110" spans="1:34" ht="27" customHeight="1">
      <c r="A110" s="51" t="s">
        <v>647</v>
      </c>
      <c r="B110" s="18" t="s">
        <v>648</v>
      </c>
      <c r="C110" s="18" t="s">
        <v>649</v>
      </c>
      <c r="D110" s="18" t="s">
        <v>485</v>
      </c>
      <c r="E110" s="18" t="s">
        <v>63</v>
      </c>
      <c r="F110" s="18" t="s">
        <v>486</v>
      </c>
      <c r="G110" s="45" t="s">
        <v>63</v>
      </c>
      <c r="H110" s="46" t="s">
        <v>650</v>
      </c>
      <c r="I110" s="18"/>
      <c r="J110" s="18" t="s">
        <v>347</v>
      </c>
      <c r="K110" s="18">
        <v>3</v>
      </c>
      <c r="L110" s="18"/>
      <c r="M110" s="18"/>
      <c r="N110" s="18"/>
      <c r="O110" s="18" t="b">
        <f>VLOOKUP(A110,[1]Model!C$2:J$559,2,FALSE)=B110</f>
        <v>1</v>
      </c>
      <c r="P110" s="18" t="b">
        <f>VLOOKUP(A110,Model!C$2:G$228,5,FALSE)=D110</f>
        <v>1</v>
      </c>
      <c r="Q110" s="18">
        <f>VLOOKUP(A110,[2]Model!C$2:L$228,8,FALSE)</f>
        <v>68</v>
      </c>
      <c r="R110" s="18" t="e">
        <f>VLOOKUP(A110,[2]Model!C$2:G$228,3,FALSE)=[3]!Table14[[#This Row],[Business Definition (To go into comments and into Meta Data Hub)]]</f>
        <v>#VALUE!</v>
      </c>
      <c r="S110" s="18" t="e">
        <f>IF([3]!Table14[[#This Row],[Nullable in Table and in Oracle View
NULL, NOT NULL]]="No","NOT NULL","NULL")=VLOOKUP(A110,[2]Model!C$2:I$228,6,FALSE)</f>
        <v>#REF!</v>
      </c>
      <c r="T110" s="18" t="e">
        <f>VLOOKUP(B110,[2]Table!A$2:F$415,1,FALSE)=[3]!Table14[[#This Row],[Physical Name of Attribute (Name of column in Table)
Supplied by DA Team]]</f>
        <v>#REF!</v>
      </c>
      <c r="U110" s="18" t="b">
        <f>VLOOKUP(B110,Table!A$2:F$319,2,FALSE)=Table14[[#This Row],[Data type in Oracle
VARCHAR2(n), DATE, NUMBER(m,n), TIMETSTAMP(6)]]</f>
        <v>0</v>
      </c>
      <c r="V110" s="18" t="b">
        <f>VLOOKUP(B110,Table!A$2:F$231,3,FALSE)=Table14[[#This Row],[Nullable in Table and in Oracle View
NULL, NOT NULL]]</f>
        <v>1</v>
      </c>
      <c r="W110" s="18" t="b">
        <f>VLOOKUP(B110,Table!A$2:H$228,6,FALSE)=Table14[[#This Row],[Business Definition (To go into comments and into Meta Data Hub)]]</f>
        <v>1</v>
      </c>
      <c r="X110" s="55" t="str">
        <f>VLOOKUP((UPPER(SUBSTITUTE(A110," ","_"))),'[2]Consumer View'!A$2:I$329,1,FALSE)</f>
        <v>EXECUTION_TYPE_DESCRIPTION</v>
      </c>
      <c r="Y110" s="18" t="s">
        <v>68</v>
      </c>
      <c r="Z110" s="18" t="s">
        <v>113</v>
      </c>
      <c r="AA110" s="18" t="s">
        <v>488</v>
      </c>
      <c r="AB110" s="18"/>
      <c r="AC110" s="18"/>
      <c r="AD110" s="18" t="s">
        <v>646</v>
      </c>
      <c r="AE110" s="46"/>
      <c r="AF110" s="18"/>
      <c r="AG110" s="18"/>
      <c r="AH110" s="18" t="s">
        <v>71</v>
      </c>
    </row>
    <row r="111" spans="1:34" ht="27" customHeight="1">
      <c r="A111" s="51" t="s">
        <v>651</v>
      </c>
      <c r="B111" s="18" t="s">
        <v>652</v>
      </c>
      <c r="C111" s="18"/>
      <c r="D111" s="18" t="s">
        <v>101</v>
      </c>
      <c r="E111" s="18" t="s">
        <v>63</v>
      </c>
      <c r="F111" s="18" t="s">
        <v>133</v>
      </c>
      <c r="G111" s="45" t="s">
        <v>63</v>
      </c>
      <c r="H111" s="46" t="s">
        <v>653</v>
      </c>
      <c r="I111" s="18"/>
      <c r="J111" s="18" t="s">
        <v>347</v>
      </c>
      <c r="K111" s="18">
        <v>3</v>
      </c>
      <c r="L111" s="18"/>
      <c r="M111" s="18"/>
      <c r="N111" s="18"/>
      <c r="O111" s="18" t="b">
        <f>VLOOKUP(A111,[1]Model!C$2:J$559,2,FALSE)=B111</f>
        <v>1</v>
      </c>
      <c r="P111" s="18" t="b">
        <f>VLOOKUP(A111,Model!C$2:G$228,5,FALSE)=D111</f>
        <v>1</v>
      </c>
      <c r="Q111" s="18">
        <f>VLOOKUP(A111,[2]Model!C$2:L$228,8,FALSE)</f>
        <v>65</v>
      </c>
      <c r="R111" s="18" t="e">
        <f>VLOOKUP(A111,[2]Model!C$2:G$228,3,FALSE)=[3]!Table14[[#This Row],[Business Definition (To go into comments and into Meta Data Hub)]]</f>
        <v>#VALUE!</v>
      </c>
      <c r="S111" s="18" t="e">
        <f>IF([3]!Table14[[#This Row],[Nullable in Table and in Oracle View
NULL, NOT NULL]]="No","NOT NULL","NULL")=VLOOKUP(A111,[2]Model!C$2:I$228,6,FALSE)</f>
        <v>#REF!</v>
      </c>
      <c r="T111" s="18" t="e">
        <f>VLOOKUP(B111,[2]Table!A$2:F$415,1,FALSE)=[3]!Table14[[#This Row],[Physical Name of Attribute (Name of column in Table)
Supplied by DA Team]]</f>
        <v>#REF!</v>
      </c>
      <c r="U111" s="18" t="b">
        <f>VLOOKUP(B111,Table!A$2:F$319,2,FALSE)=Table14[[#This Row],[Data type in Oracle
VARCHAR2(n), DATE, NUMBER(m,n), TIMETSTAMP(6)]]</f>
        <v>1</v>
      </c>
      <c r="V111" s="18" t="b">
        <f>VLOOKUP(B111,Table!A$2:F$231,3,FALSE)=Table14[[#This Row],[Nullable in Table and in Oracle View
NULL, NOT NULL]]</f>
        <v>1</v>
      </c>
      <c r="W111" s="18" t="b">
        <f>VLOOKUP(B111,Table!A$2:H$228,6,FALSE)=Table14[[#This Row],[Business Definition (To go into comments and into Meta Data Hub)]]</f>
        <v>1</v>
      </c>
      <c r="X111" s="55" t="str">
        <f>VLOOKUP((UPPER(SUBSTITUTE(A111," ","_"))),'[2]Consumer View'!A$2:I$329,1,FALSE)</f>
        <v>EXECUTION_TYPE_ID</v>
      </c>
      <c r="Y111" s="18" t="s">
        <v>68</v>
      </c>
      <c r="Z111" s="18" t="s">
        <v>69</v>
      </c>
      <c r="AA111" s="18" t="s">
        <v>652</v>
      </c>
      <c r="AB111" s="18"/>
      <c r="AC111" s="18"/>
      <c r="AD111" s="18"/>
      <c r="AE111" s="46"/>
      <c r="AF111" s="18"/>
      <c r="AG111" s="18"/>
      <c r="AH111" s="18" t="s">
        <v>71</v>
      </c>
    </row>
    <row r="112" spans="1:34" ht="27" customHeight="1">
      <c r="A112" s="51" t="s">
        <v>654</v>
      </c>
      <c r="B112" s="18" t="s">
        <v>655</v>
      </c>
      <c r="C112" s="18" t="s">
        <v>656</v>
      </c>
      <c r="D112" s="18" t="s">
        <v>109</v>
      </c>
      <c r="E112" s="18" t="s">
        <v>63</v>
      </c>
      <c r="F112" s="18" t="s">
        <v>110</v>
      </c>
      <c r="G112" s="45" t="s">
        <v>63</v>
      </c>
      <c r="H112" s="46" t="s">
        <v>657</v>
      </c>
      <c r="I112" s="18"/>
      <c r="J112" s="18" t="s">
        <v>347</v>
      </c>
      <c r="K112" s="18">
        <v>3</v>
      </c>
      <c r="L112" s="18"/>
      <c r="M112" s="18"/>
      <c r="N112" s="18"/>
      <c r="O112" s="18" t="b">
        <f>VLOOKUP(A112,[1]Model!C$2:J$559,2,FALSE)=B112</f>
        <v>1</v>
      </c>
      <c r="P112" s="18" t="b">
        <f>VLOOKUP(A112,Model!C$2:G$228,5,FALSE)=D112</f>
        <v>1</v>
      </c>
      <c r="Q112" s="18">
        <f>VLOOKUP(A112,[2]Model!C$2:L$228,8,FALSE)</f>
        <v>67</v>
      </c>
      <c r="R112" s="18" t="e">
        <f>VLOOKUP(A112,[2]Model!C$2:G$228,3,FALSE)=[3]!Table14[[#This Row],[Business Definition (To go into comments and into Meta Data Hub)]]</f>
        <v>#VALUE!</v>
      </c>
      <c r="S112" s="18" t="e">
        <f>IF([3]!Table14[[#This Row],[Nullable in Table and in Oracle View
NULL, NOT NULL]]="No","NOT NULL","NULL")=VLOOKUP(A112,[2]Model!C$2:I$228,6,FALSE)</f>
        <v>#REF!</v>
      </c>
      <c r="T112" s="18" t="e">
        <f>VLOOKUP(B112,[2]Table!A$2:F$415,1,FALSE)=[3]!Table14[[#This Row],[Physical Name of Attribute (Name of column in Table)
Supplied by DA Team]]</f>
        <v>#REF!</v>
      </c>
      <c r="U112" s="18" t="b">
        <f>VLOOKUP(B112,Table!A$2:F$319,2,FALSE)=Table14[[#This Row],[Data type in Oracle
VARCHAR2(n), DATE, NUMBER(m,n), TIMETSTAMP(6)]]</f>
        <v>0</v>
      </c>
      <c r="V112" s="18" t="b">
        <f>VLOOKUP(B112,Table!A$2:F$231,3,FALSE)=Table14[[#This Row],[Nullable in Table and in Oracle View
NULL, NOT NULL]]</f>
        <v>1</v>
      </c>
      <c r="W112" s="18" t="b">
        <f>VLOOKUP(B112,Table!A$2:H$228,6,FALSE)=Table14[[#This Row],[Business Definition (To go into comments and into Meta Data Hub)]]</f>
        <v>1</v>
      </c>
      <c r="X112" s="55" t="str">
        <f>VLOOKUP((UPPER(SUBSTITUTE(A112," ","_"))),'[2]Consumer View'!A$2:I$329,1,FALSE)</f>
        <v>EXECUTION_TYPE_NAME</v>
      </c>
      <c r="Y112" s="18" t="s">
        <v>68</v>
      </c>
      <c r="Z112" s="18" t="s">
        <v>113</v>
      </c>
      <c r="AA112" s="18" t="s">
        <v>114</v>
      </c>
      <c r="AB112" s="18"/>
      <c r="AC112" s="18"/>
      <c r="AD112" s="18" t="s">
        <v>646</v>
      </c>
      <c r="AE112" s="46"/>
      <c r="AF112" s="18"/>
      <c r="AG112" s="18"/>
      <c r="AH112" s="18" t="s">
        <v>71</v>
      </c>
    </row>
    <row r="113" spans="1:34" ht="27" customHeight="1">
      <c r="A113" s="51" t="s">
        <v>658</v>
      </c>
      <c r="B113" s="18" t="s">
        <v>175</v>
      </c>
      <c r="C113" s="18" t="s">
        <v>659</v>
      </c>
      <c r="D113" s="18" t="s">
        <v>139</v>
      </c>
      <c r="E113" s="18" t="s">
        <v>63</v>
      </c>
      <c r="F113" s="18" t="s">
        <v>140</v>
      </c>
      <c r="G113" s="45" t="s">
        <v>63</v>
      </c>
      <c r="H113" s="46" t="s">
        <v>660</v>
      </c>
      <c r="I113" s="46"/>
      <c r="J113" s="18" t="s">
        <v>347</v>
      </c>
      <c r="K113" s="18">
        <v>3</v>
      </c>
      <c r="L113" s="18"/>
      <c r="M113" s="18"/>
      <c r="N113" s="18"/>
      <c r="O113" s="18" t="b">
        <f>VLOOKUP(A113,[1]Model!C$2:J$559,2,FALSE)=B113</f>
        <v>1</v>
      </c>
      <c r="P113" s="18" t="b">
        <f>VLOOKUP(A113,Model!C$2:G$228,5,FALSE)=D113</f>
        <v>1</v>
      </c>
      <c r="Q113" s="18">
        <f>VLOOKUP(A113,[2]Model!C$2:L$228,8,FALSE)</f>
        <v>93</v>
      </c>
      <c r="R113" s="18" t="e">
        <f>VLOOKUP(A113,[2]Model!C$2:G$228,3,FALSE)=[3]!Table14[[#This Row],[Business Definition (To go into comments and into Meta Data Hub)]]</f>
        <v>#REF!</v>
      </c>
      <c r="S113" s="18" t="e">
        <f>IF([3]!Table14[[#This Row],[Nullable in Table and in Oracle View
NULL, NOT NULL]]="No","NOT NULL","NULL")=VLOOKUP(A113,[2]Model!C$2:I$228,6,FALSE)</f>
        <v>#REF!</v>
      </c>
      <c r="T113" s="18" t="e">
        <f>VLOOKUP(B113,[2]Table!A$2:F$415,1,FALSE)=[3]!Table14[[#This Row],[Physical Name of Attribute (Name of column in Table)
Supplied by DA Team]]</f>
        <v>#REF!</v>
      </c>
      <c r="U113" s="18" t="b">
        <f>VLOOKUP(B113,Table!A$2:F$319,2,FALSE)=Table14[[#This Row],[Data type in Oracle
VARCHAR2(n), DATE, NUMBER(m,n), TIMETSTAMP(6)]]</f>
        <v>0</v>
      </c>
      <c r="V113" s="18" t="b">
        <f>VLOOKUP(B113,Table!A$2:F$231,3,FALSE)=Table14[[#This Row],[Nullable in Table and in Oracle View
NULL, NOT NULL]]</f>
        <v>1</v>
      </c>
      <c r="W113" s="18" t="b">
        <f>VLOOKUP(B113,Table!A$2:H$228,6,FALSE)=Table14[[#This Row],[Business Definition (To go into comments and into Meta Data Hub)]]</f>
        <v>1</v>
      </c>
      <c r="X113" s="55" t="str">
        <f>VLOOKUP((UPPER(SUBSTITUTE(A113," ","_"))),'[2]Consumer View'!A$2:I$329,1,FALSE)</f>
        <v>FA_NUMBER</v>
      </c>
      <c r="Y113" s="18" t="s">
        <v>68</v>
      </c>
      <c r="Z113" s="18" t="s">
        <v>69</v>
      </c>
      <c r="AA113" s="18" t="s">
        <v>175</v>
      </c>
      <c r="AB113" s="18"/>
      <c r="AC113" s="18"/>
      <c r="AD113" s="18"/>
      <c r="AE113" s="46"/>
      <c r="AF113" s="18"/>
      <c r="AG113" s="18"/>
      <c r="AH113" s="18" t="s">
        <v>71</v>
      </c>
    </row>
    <row r="114" spans="1:34" ht="27" customHeight="1">
      <c r="A114" s="51" t="s">
        <v>661</v>
      </c>
      <c r="B114" s="18" t="s">
        <v>662</v>
      </c>
      <c r="C114" s="18" t="s">
        <v>663</v>
      </c>
      <c r="D114" s="18" t="s">
        <v>139</v>
      </c>
      <c r="E114" s="18" t="s">
        <v>63</v>
      </c>
      <c r="F114" s="18" t="s">
        <v>140</v>
      </c>
      <c r="G114" s="45" t="s">
        <v>63</v>
      </c>
      <c r="H114" s="46" t="s">
        <v>664</v>
      </c>
      <c r="I114" s="18"/>
      <c r="J114" s="18" t="s">
        <v>347</v>
      </c>
      <c r="K114" s="18">
        <v>3</v>
      </c>
      <c r="L114" s="18"/>
      <c r="M114" s="18"/>
      <c r="N114" s="18"/>
      <c r="O114" s="18" t="b">
        <f>VLOOKUP(A114,[1]Model!C$2:J$559,2,FALSE)=B114</f>
        <v>1</v>
      </c>
      <c r="P114" s="18" t="b">
        <f>VLOOKUP(A114,Model!C$2:G$228,5,FALSE)=D114</f>
        <v>1</v>
      </c>
      <c r="Q114" s="18">
        <f>VLOOKUP(A114,[2]Model!C$2:L$228,8,FALSE)</f>
        <v>118</v>
      </c>
      <c r="R114" s="18" t="e">
        <f>VLOOKUP(A114,[2]Model!C$2:G$228,3,FALSE)=[3]!Table14[[#This Row],[Business Definition (To go into comments and into Meta Data Hub)]]</f>
        <v>#REF!</v>
      </c>
      <c r="S114" s="18" t="e">
        <f>IF([3]!Table14[[#This Row],[Nullable in Table and in Oracle View
NULL, NOT NULL]]="No","NOT NULL","NULL")=VLOOKUP(A114,[2]Model!C$2:I$228,6,FALSE)</f>
        <v>#REF!</v>
      </c>
      <c r="T114" s="18" t="e">
        <f>VLOOKUP(B114,[2]Table!A$2:F$415,1,FALSE)=[3]!Table14[[#This Row],[Physical Name of Attribute (Name of column in Table)
Supplied by DA Team]]</f>
        <v>#REF!</v>
      </c>
      <c r="U114" s="18" t="b">
        <f>VLOOKUP(B114,Table!A$2:F$319,2,FALSE)=Table14[[#This Row],[Data type in Oracle
VARCHAR2(n), DATE, NUMBER(m,n), TIMETSTAMP(6)]]</f>
        <v>0</v>
      </c>
      <c r="V114" s="18" t="b">
        <f>VLOOKUP(B114,Table!A$2:F$231,3,FALSE)=Table14[[#This Row],[Nullable in Table and in Oracle View
NULL, NOT NULL]]</f>
        <v>1</v>
      </c>
      <c r="W114" s="18" t="b">
        <f>VLOOKUP(B114,Table!A$2:H$228,6,FALSE)=Table14[[#This Row],[Business Definition (To go into comments and into Meta Data Hub)]]</f>
        <v>1</v>
      </c>
      <c r="X114" s="55" t="str">
        <f>VLOOKUP((UPPER(SUBSTITUTE(A114," ","_"))),'[2]Consumer View'!A$2:I$329,1,FALSE)</f>
        <v>LEGACY_CANCELLATION_COMPLIANCE_REASON_TYPE_CODE</v>
      </c>
      <c r="Y114" s="18" t="s">
        <v>8</v>
      </c>
      <c r="Z114" s="18" t="s">
        <v>665</v>
      </c>
      <c r="AA114" s="18" t="s">
        <v>662</v>
      </c>
      <c r="AB114" s="18"/>
      <c r="AC114" s="18"/>
      <c r="AD114" s="18" t="s">
        <v>666</v>
      </c>
      <c r="AE114" s="46"/>
      <c r="AF114" s="18"/>
      <c r="AG114" s="18"/>
      <c r="AH114" s="18" t="s">
        <v>71</v>
      </c>
    </row>
    <row r="115" spans="1:34" ht="27" hidden="1" customHeight="1">
      <c r="A115" s="51" t="s">
        <v>667</v>
      </c>
      <c r="B115" s="18" t="s">
        <v>668</v>
      </c>
      <c r="C115" s="18"/>
      <c r="D115" s="18" t="s">
        <v>101</v>
      </c>
      <c r="E115" s="18" t="s">
        <v>345</v>
      </c>
      <c r="F115" s="18" t="s">
        <v>133</v>
      </c>
      <c r="G115" s="45" t="s">
        <v>63</v>
      </c>
      <c r="H115" s="18" t="s">
        <v>669</v>
      </c>
      <c r="I115" s="18"/>
      <c r="J115" s="18" t="s">
        <v>347</v>
      </c>
      <c r="K115" s="18">
        <v>3</v>
      </c>
      <c r="L115" s="18"/>
      <c r="M115" s="18"/>
      <c r="N115" s="18"/>
      <c r="O115" s="18" t="b">
        <f>VLOOKUP(A115,[1]Model!C$2:J$559,2,FALSE)=B115</f>
        <v>1</v>
      </c>
      <c r="P115" s="18" t="b">
        <f>VLOOKUP(A115,Model!C$2:G$228,5,FALSE)=D115</f>
        <v>1</v>
      </c>
      <c r="Q115" s="18">
        <f>VLOOKUP(A115,[2]Model!C$2:L$228,8,FALSE)</f>
        <v>7</v>
      </c>
      <c r="R115" s="18" t="e">
        <f>VLOOKUP(A115,[2]Model!C$2:G$228,3,FALSE)=[3]!Table14[[#This Row],[Business Definition (To go into comments and into Meta Data Hub)]]</f>
        <v>#REF!</v>
      </c>
      <c r="S115" s="18" t="e">
        <f>IF([3]!Table14[[#This Row],[Nullable in Table and in Oracle View
NULL, NOT NULL]]="No","NOT NULL","NULL")=VLOOKUP(A115,[2]Model!C$2:I$228,6,FALSE)</f>
        <v>#REF!</v>
      </c>
      <c r="T115" s="18" t="e">
        <f>VLOOKUP(B115,[2]Table!A$2:F$415,1,FALSE)=[3]!Table14[[#This Row],[Physical Name of Attribute (Name of column in Table)
Supplied by DA Team]]</f>
        <v>#REF!</v>
      </c>
      <c r="U115" s="18" t="b">
        <f>VLOOKUP(B115,Table!A$2:F$319,2,FALSE)=Table14[[#This Row],[Data type in Oracle
VARCHAR2(n), DATE, NUMBER(m,n), TIMETSTAMP(6)]]</f>
        <v>1</v>
      </c>
      <c r="V115" s="18" t="b">
        <f>VLOOKUP(B115,Table!A$2:F$231,3,FALSE)=Table14[[#This Row],[Nullable in Table and in Oracle View
NULL, NOT NULL]]</f>
        <v>1</v>
      </c>
      <c r="W115" s="18" t="b">
        <f>VLOOKUP(B115,Table!A$2:H$228,6,FALSE)=Table14[[#This Row],[Business Definition (To go into comments and into Meta Data Hub)]]</f>
        <v>1</v>
      </c>
      <c r="X115" s="55" t="str">
        <f>VLOOKUP((UPPER(SUBSTITUTE(A115," ","_"))),'[2]Consumer View'!A$2:I$329,1,FALSE)</f>
        <v>LEGACY_CANCELLATION_COMPLIANCE_REASON_TYPE_DIMENSION_ID</v>
      </c>
      <c r="Y115" s="18" t="s">
        <v>8</v>
      </c>
      <c r="Z115" s="18" t="s">
        <v>665</v>
      </c>
      <c r="AA115" s="51" t="s">
        <v>670</v>
      </c>
      <c r="AB115" s="18"/>
      <c r="AC115" s="18"/>
      <c r="AD115" s="18" t="s">
        <v>666</v>
      </c>
      <c r="AE115" s="46" t="s">
        <v>671</v>
      </c>
      <c r="AF115" s="18"/>
      <c r="AG115" s="18"/>
      <c r="AH115" s="18" t="s">
        <v>351</v>
      </c>
    </row>
    <row r="116" spans="1:34" ht="27" customHeight="1">
      <c r="A116" s="51" t="s">
        <v>672</v>
      </c>
      <c r="B116" s="18" t="s">
        <v>673</v>
      </c>
      <c r="C116" s="18" t="s">
        <v>674</v>
      </c>
      <c r="D116" s="18" t="s">
        <v>109</v>
      </c>
      <c r="E116" s="18" t="s">
        <v>63</v>
      </c>
      <c r="F116" s="18" t="s">
        <v>110</v>
      </c>
      <c r="G116" s="45" t="s">
        <v>63</v>
      </c>
      <c r="H116" s="46" t="s">
        <v>675</v>
      </c>
      <c r="I116" s="18"/>
      <c r="J116" s="18" t="s">
        <v>347</v>
      </c>
      <c r="K116" s="18">
        <v>3</v>
      </c>
      <c r="L116" s="18"/>
      <c r="M116" s="18"/>
      <c r="N116" s="18"/>
      <c r="O116" s="18" t="b">
        <f>VLOOKUP(A116,[1]Model!C$2:J$559,2,FALSE)=B116</f>
        <v>1</v>
      </c>
      <c r="P116" s="18" t="b">
        <f>VLOOKUP(A116,Model!C$2:G$228,5,FALSE)=D116</f>
        <v>1</v>
      </c>
      <c r="Q116" s="18">
        <f>VLOOKUP(A116,[2]Model!C$2:L$228,8,FALSE)</f>
        <v>119</v>
      </c>
      <c r="R116" s="18" t="e">
        <f>VLOOKUP(A116,[2]Model!C$2:G$228,3,FALSE)=[3]!Table14[[#This Row],[Business Definition (To go into comments and into Meta Data Hub)]]</f>
        <v>#REF!</v>
      </c>
      <c r="S116" s="18" t="e">
        <f>IF([3]!Table14[[#This Row],[Nullable in Table and in Oracle View
NULL, NOT NULL]]="No","NOT NULL","NULL")=VLOOKUP(A116,[2]Model!C$2:I$228,6,FALSE)</f>
        <v>#REF!</v>
      </c>
      <c r="T116" s="18" t="e">
        <f>VLOOKUP(B116,[2]Table!A$2:F$415,1,FALSE)=[3]!Table14[[#This Row],[Physical Name of Attribute (Name of column in Table)
Supplied by DA Team]]</f>
        <v>#REF!</v>
      </c>
      <c r="U116" s="18" t="b">
        <f>VLOOKUP(B116,Table!A$2:F$319,2,FALSE)=Table14[[#This Row],[Data type in Oracle
VARCHAR2(n), DATE, NUMBER(m,n), TIMETSTAMP(6)]]</f>
        <v>0</v>
      </c>
      <c r="V116" s="18" t="b">
        <f>VLOOKUP(B116,Table!A$2:F$231,3,FALSE)=Table14[[#This Row],[Nullable in Table and in Oracle View
NULL, NOT NULL]]</f>
        <v>1</v>
      </c>
      <c r="W116" s="18" t="b">
        <f>VLOOKUP(B116,Table!A$2:H$228,6,FALSE)=Table14[[#This Row],[Business Definition (To go into comments and into Meta Data Hub)]]</f>
        <v>0</v>
      </c>
      <c r="X116" s="55" t="str">
        <f>VLOOKUP((UPPER(SUBSTITUTE(A116," ","_"))),'[2]Consumer View'!A$2:I$329,1,FALSE)</f>
        <v>LEGACY_CANCELLATION_COMPLIANCE_REASON_TYPE_NAME</v>
      </c>
      <c r="Y116" s="18" t="s">
        <v>8</v>
      </c>
      <c r="Z116" s="18" t="s">
        <v>665</v>
      </c>
      <c r="AA116" s="18" t="s">
        <v>673</v>
      </c>
      <c r="AB116" s="18"/>
      <c r="AC116" s="18"/>
      <c r="AD116" s="18" t="s">
        <v>666</v>
      </c>
      <c r="AE116" s="46"/>
      <c r="AF116" s="18"/>
      <c r="AG116" s="18"/>
      <c r="AH116" s="18" t="s">
        <v>71</v>
      </c>
    </row>
    <row r="117" spans="1:34" ht="27" customHeight="1">
      <c r="A117" s="51" t="s">
        <v>676</v>
      </c>
      <c r="B117" s="18" t="s">
        <v>677</v>
      </c>
      <c r="C117" s="18"/>
      <c r="D117" s="18" t="s">
        <v>101</v>
      </c>
      <c r="E117" s="18" t="s">
        <v>63</v>
      </c>
      <c r="F117" s="18" t="s">
        <v>133</v>
      </c>
      <c r="G117" s="45" t="s">
        <v>63</v>
      </c>
      <c r="H117" s="46" t="s">
        <v>678</v>
      </c>
      <c r="I117" s="18"/>
      <c r="J117" s="18" t="s">
        <v>67</v>
      </c>
      <c r="K117" s="18">
        <v>3</v>
      </c>
      <c r="L117" s="18"/>
      <c r="M117" s="18"/>
      <c r="N117" s="18"/>
      <c r="O117" s="18" t="b">
        <f>VLOOKUP(A117,[1]Model!C$2:J$559,2,FALSE)=B117</f>
        <v>1</v>
      </c>
      <c r="P117" s="18" t="b">
        <f>VLOOKUP(A117,Model!C$2:G$228,5,FALSE)=D117</f>
        <v>1</v>
      </c>
      <c r="Q117" s="18">
        <f>VLOOKUP(A117,[2]Model!C$2:L$228,8,FALSE)</f>
        <v>199</v>
      </c>
      <c r="R117" s="18" t="e">
        <f>VLOOKUP(A117,[2]Model!C$2:G$228,3,FALSE)=[3]!Table14[[#This Row],[Business Definition (To go into comments and into Meta Data Hub)]]</f>
        <v>#REF!</v>
      </c>
      <c r="S117" s="18" t="e">
        <f>IF([3]!Table14[[#This Row],[Nullable in Table and in Oracle View
NULL, NOT NULL]]="No","NOT NULL","NULL")=VLOOKUP(A117,[2]Model!C$2:I$228,6,FALSE)</f>
        <v>#REF!</v>
      </c>
      <c r="T117" s="18" t="e">
        <f>VLOOKUP(B117,[2]Table!A$2:F$415,1,FALSE)=[3]!Table14[[#This Row],[Physical Name of Attribute (Name of column in Table)
Supplied by DA Team]]</f>
        <v>#REF!</v>
      </c>
      <c r="U117" s="18" t="b">
        <f>VLOOKUP(B117,Table!A$2:F$319,2,FALSE)=Table14[[#This Row],[Data type in Oracle
VARCHAR2(n), DATE, NUMBER(m,n), TIMETSTAMP(6)]]</f>
        <v>1</v>
      </c>
      <c r="V117" s="18" t="b">
        <f>VLOOKUP(B117,Table!A$2:F$231,3,FALSE)=Table14[[#This Row],[Nullable in Table and in Oracle View
NULL, NOT NULL]]</f>
        <v>1</v>
      </c>
      <c r="W117" s="18" t="b">
        <f>VLOOKUP(B117,Table!A$2:H$228,6,FALSE)=Table14[[#This Row],[Business Definition (To go into comments and into Meta Data Hub)]]</f>
        <v>1</v>
      </c>
      <c r="X117" s="18" t="str">
        <f>VLOOKUP((UPPER(SUBSTITUTE(A117," ","_"))),'[2]Consumer View'!A$2:I$329,1,FALSE)</f>
        <v>LEGACY_CANCELLATION_COMPLIANCE_REASON_TYPE_ID</v>
      </c>
      <c r="Y117" s="18" t="s">
        <v>68</v>
      </c>
      <c r="Z117" s="18" t="s">
        <v>69</v>
      </c>
      <c r="AA117" s="18" t="s">
        <v>677</v>
      </c>
      <c r="AB117" s="18"/>
      <c r="AC117" s="18"/>
      <c r="AD117" s="18"/>
      <c r="AE117" s="46"/>
      <c r="AF117" s="18"/>
      <c r="AG117" s="18"/>
      <c r="AH117" s="18" t="s">
        <v>71</v>
      </c>
    </row>
    <row r="118" spans="1:34" ht="27" customHeight="1">
      <c r="A118" s="51" t="s">
        <v>679</v>
      </c>
      <c r="B118" s="18" t="s">
        <v>680</v>
      </c>
      <c r="C118" s="18" t="s">
        <v>681</v>
      </c>
      <c r="D118" s="18" t="s">
        <v>139</v>
      </c>
      <c r="E118" s="18" t="s">
        <v>63</v>
      </c>
      <c r="F118" s="18" t="s">
        <v>140</v>
      </c>
      <c r="G118" s="45" t="s">
        <v>63</v>
      </c>
      <c r="H118" s="46" t="s">
        <v>682</v>
      </c>
      <c r="I118" s="18"/>
      <c r="J118" s="18" t="s">
        <v>347</v>
      </c>
      <c r="K118" s="18">
        <v>3</v>
      </c>
      <c r="L118" s="18"/>
      <c r="M118" s="18"/>
      <c r="N118" s="18"/>
      <c r="O118" s="18" t="b">
        <f>VLOOKUP(A118,[1]Model!C$2:J$559,2,FALSE)=B118</f>
        <v>1</v>
      </c>
      <c r="P118" s="18" t="b">
        <f>VLOOKUP(A118,Model!C$2:G$228,5,FALSE)=D118</f>
        <v>1</v>
      </c>
      <c r="Q118" s="18">
        <f>VLOOKUP(A118,[2]Model!C$2:L$228,8,FALSE)</f>
        <v>120</v>
      </c>
      <c r="R118" s="18" t="e">
        <f>VLOOKUP(A118,[2]Model!C$2:G$228,3,FALSE)=[3]!Table14[[#This Row],[Business Definition (To go into comments and into Meta Data Hub)]]</f>
        <v>#REF!</v>
      </c>
      <c r="S118" s="18" t="e">
        <f>IF([3]!Table14[[#This Row],[Nullable in Table and in Oracle View
NULL, NOT NULL]]="No","NOT NULL","NULL")=VLOOKUP(A118,[2]Model!C$2:I$228,6,FALSE)</f>
        <v>#REF!</v>
      </c>
      <c r="T118" s="18" t="e">
        <f>VLOOKUP(B118,[2]Table!A$2:F$415,1,FALSE)=[3]!Table14[[#This Row],[Physical Name of Attribute (Name of column in Table)
Supplied by DA Team]]</f>
        <v>#REF!</v>
      </c>
      <c r="U118" s="18" t="b">
        <f>VLOOKUP(B118,Table!A$2:F$319,2,FALSE)=Table14[[#This Row],[Data type in Oracle
VARCHAR2(n), DATE, NUMBER(m,n), TIMETSTAMP(6)]]</f>
        <v>0</v>
      </c>
      <c r="V118" s="18" t="b">
        <f>VLOOKUP(B118,Table!A$2:F$231,3,FALSE)=Table14[[#This Row],[Nullable in Table and in Oracle View
NULL, NOT NULL]]</f>
        <v>1</v>
      </c>
      <c r="W118" s="18" t="b">
        <f>VLOOKUP(B118,Table!A$2:H$228,6,FALSE)=Table14[[#This Row],[Business Definition (To go into comments and into Meta Data Hub)]]</f>
        <v>1</v>
      </c>
      <c r="X118" s="55" t="str">
        <f>VLOOKUP((UPPER(SUBSTITUTE(A118," ","_"))),'[2]Consumer View'!A$2:I$329,1,FALSE)</f>
        <v>LEGACY_CANCELLATION_COMPLIANCE_SOURCE_TYPE_CODE</v>
      </c>
      <c r="Y118" s="18" t="s">
        <v>8</v>
      </c>
      <c r="Z118" s="18" t="s">
        <v>683</v>
      </c>
      <c r="AA118" s="18" t="s">
        <v>680</v>
      </c>
      <c r="AB118" s="18"/>
      <c r="AC118" s="18"/>
      <c r="AD118" s="18" t="s">
        <v>684</v>
      </c>
      <c r="AE118" s="46"/>
      <c r="AF118" s="18"/>
      <c r="AG118" s="18"/>
      <c r="AH118" s="18" t="s">
        <v>71</v>
      </c>
    </row>
    <row r="119" spans="1:34" ht="27" hidden="1" customHeight="1">
      <c r="A119" s="51" t="s">
        <v>685</v>
      </c>
      <c r="B119" s="18" t="s">
        <v>686</v>
      </c>
      <c r="C119" s="18"/>
      <c r="D119" s="18" t="s">
        <v>101</v>
      </c>
      <c r="E119" s="18" t="s">
        <v>345</v>
      </c>
      <c r="F119" s="18" t="s">
        <v>133</v>
      </c>
      <c r="G119" s="45" t="s">
        <v>63</v>
      </c>
      <c r="H119" s="18" t="s">
        <v>687</v>
      </c>
      <c r="I119" s="18"/>
      <c r="J119" s="18" t="s">
        <v>347</v>
      </c>
      <c r="K119" s="18">
        <v>3</v>
      </c>
      <c r="L119" s="18"/>
      <c r="M119" s="18"/>
      <c r="N119" s="18"/>
      <c r="O119" s="18" t="b">
        <f>VLOOKUP(A119,[1]Model!C$2:J$559,2,FALSE)=B119</f>
        <v>1</v>
      </c>
      <c r="P119" s="18" t="b">
        <f>VLOOKUP(A119,Model!C$2:G$228,5,FALSE)=D119</f>
        <v>1</v>
      </c>
      <c r="Q119" s="18">
        <f>VLOOKUP(A119,[2]Model!C$2:L$228,8,FALSE)</f>
        <v>8</v>
      </c>
      <c r="R119" s="18" t="e">
        <f>VLOOKUP(A119,[2]Model!C$2:G$228,3,FALSE)=[3]!Table14[[#This Row],[Business Definition (To go into comments and into Meta Data Hub)]]</f>
        <v>#REF!</v>
      </c>
      <c r="S119" s="18" t="e">
        <f>IF([3]!Table14[[#This Row],[Nullable in Table and in Oracle View
NULL, NOT NULL]]="No","NOT NULL","NULL")=VLOOKUP(A119,[2]Model!C$2:I$228,6,FALSE)</f>
        <v>#REF!</v>
      </c>
      <c r="T119" s="18" t="e">
        <f>VLOOKUP(B119,[2]Table!A$2:F$415,1,FALSE)=[3]!Table14[[#This Row],[Physical Name of Attribute (Name of column in Table)
Supplied by DA Team]]</f>
        <v>#REF!</v>
      </c>
      <c r="U119" s="18" t="b">
        <f>VLOOKUP(B119,Table!A$2:F$319,2,FALSE)=Table14[[#This Row],[Data type in Oracle
VARCHAR2(n), DATE, NUMBER(m,n), TIMETSTAMP(6)]]</f>
        <v>1</v>
      </c>
      <c r="V119" s="18" t="b">
        <f>VLOOKUP(B119,Table!A$2:F$231,3,FALSE)=Table14[[#This Row],[Nullable in Table and in Oracle View
NULL, NOT NULL]]</f>
        <v>1</v>
      </c>
      <c r="W119" s="18" t="b">
        <f>VLOOKUP(B119,Table!A$2:H$228,6,FALSE)=Table14[[#This Row],[Business Definition (To go into comments and into Meta Data Hub)]]</f>
        <v>1</v>
      </c>
      <c r="X119" s="55" t="str">
        <f>VLOOKUP((UPPER(SUBSTITUTE(A119," ","_"))),'[2]Consumer View'!A$2:I$329,1,FALSE)</f>
        <v>LEGACY_CANCELLATION_COMPLIANCE_SOURCE_TYPE_DIMENSION_ID</v>
      </c>
      <c r="Y119" s="18" t="s">
        <v>8</v>
      </c>
      <c r="Z119" s="18" t="s">
        <v>683</v>
      </c>
      <c r="AA119" s="18" t="s">
        <v>688</v>
      </c>
      <c r="AB119" s="18"/>
      <c r="AC119" s="18"/>
      <c r="AD119" s="18" t="s">
        <v>684</v>
      </c>
      <c r="AE119" s="46" t="s">
        <v>689</v>
      </c>
      <c r="AF119" s="18"/>
      <c r="AG119" s="18"/>
      <c r="AH119" s="18" t="s">
        <v>351</v>
      </c>
    </row>
    <row r="120" spans="1:34" ht="27" customHeight="1">
      <c r="A120" s="51" t="s">
        <v>690</v>
      </c>
      <c r="B120" s="18" t="s">
        <v>691</v>
      </c>
      <c r="C120" s="18" t="s">
        <v>692</v>
      </c>
      <c r="D120" s="18" t="s">
        <v>109</v>
      </c>
      <c r="E120" s="18" t="s">
        <v>63</v>
      </c>
      <c r="F120" s="18" t="s">
        <v>110</v>
      </c>
      <c r="G120" s="45" t="s">
        <v>63</v>
      </c>
      <c r="H120" s="46" t="s">
        <v>693</v>
      </c>
      <c r="I120" s="18"/>
      <c r="J120" s="18" t="s">
        <v>347</v>
      </c>
      <c r="K120" s="18">
        <v>3</v>
      </c>
      <c r="L120" s="18"/>
      <c r="M120" s="18"/>
      <c r="N120" s="18"/>
      <c r="O120" s="18" t="b">
        <f>VLOOKUP(A120,[1]Model!C$2:J$559,2,FALSE)=B120</f>
        <v>1</v>
      </c>
      <c r="P120" s="18" t="b">
        <f>VLOOKUP(A120,Model!C$2:G$228,5,FALSE)=D120</f>
        <v>1</v>
      </c>
      <c r="Q120" s="18">
        <f>VLOOKUP(A120,[2]Model!C$2:L$228,8,FALSE)</f>
        <v>121</v>
      </c>
      <c r="R120" s="18" t="e">
        <f>VLOOKUP(A120,[2]Model!C$2:G$228,3,FALSE)=[3]!Table14[[#This Row],[Business Definition (To go into comments and into Meta Data Hub)]]</f>
        <v>#REF!</v>
      </c>
      <c r="S120" s="18" t="e">
        <f>IF([3]!Table14[[#This Row],[Nullable in Table and in Oracle View
NULL, NOT NULL]]="No","NOT NULL","NULL")=VLOOKUP(A120,[2]Model!C$2:I$228,6,FALSE)</f>
        <v>#REF!</v>
      </c>
      <c r="T120" s="18" t="e">
        <f>VLOOKUP(B120,[2]Table!A$2:F$415,1,FALSE)=[3]!Table14[[#This Row],[Physical Name of Attribute (Name of column in Table)
Supplied by DA Team]]</f>
        <v>#REF!</v>
      </c>
      <c r="U120" s="18" t="b">
        <f>VLOOKUP(B120,Table!A$2:F$319,2,FALSE)=Table14[[#This Row],[Data type in Oracle
VARCHAR2(n), DATE, NUMBER(m,n), TIMETSTAMP(6)]]</f>
        <v>0</v>
      </c>
      <c r="V120" s="18" t="b">
        <f>VLOOKUP(B120,Table!A$2:F$231,3,FALSE)=Table14[[#This Row],[Nullable in Table and in Oracle View
NULL, NOT NULL]]</f>
        <v>1</v>
      </c>
      <c r="W120" s="18" t="b">
        <f>VLOOKUP(B120,Table!A$2:H$228,6,FALSE)=Table14[[#This Row],[Business Definition (To go into comments and into Meta Data Hub)]]</f>
        <v>0</v>
      </c>
      <c r="X120" s="55" t="str">
        <f>VLOOKUP((UPPER(SUBSTITUTE(A120," ","_"))),'[2]Consumer View'!A$2:I$329,1,FALSE)</f>
        <v>LEGACY_CANCELLATION_COMPLIANCE_SOURCE_TYPE_NAME</v>
      </c>
      <c r="Y120" s="18" t="s">
        <v>8</v>
      </c>
      <c r="Z120" s="18" t="s">
        <v>683</v>
      </c>
      <c r="AA120" s="18" t="s">
        <v>691</v>
      </c>
      <c r="AB120" s="18"/>
      <c r="AC120" s="18"/>
      <c r="AD120" s="18" t="s">
        <v>684</v>
      </c>
      <c r="AE120" s="46"/>
      <c r="AF120" s="18"/>
      <c r="AG120" s="18"/>
      <c r="AH120" s="18" t="s">
        <v>71</v>
      </c>
    </row>
    <row r="121" spans="1:34" ht="27" customHeight="1">
      <c r="A121" s="51" t="s">
        <v>694</v>
      </c>
      <c r="B121" s="18" t="s">
        <v>695</v>
      </c>
      <c r="C121" s="18"/>
      <c r="D121" s="18" t="s">
        <v>101</v>
      </c>
      <c r="E121" s="18" t="s">
        <v>63</v>
      </c>
      <c r="F121" s="18" t="s">
        <v>133</v>
      </c>
      <c r="G121" s="45" t="s">
        <v>63</v>
      </c>
      <c r="H121" s="46" t="s">
        <v>696</v>
      </c>
      <c r="I121" s="18"/>
      <c r="J121" s="18" t="s">
        <v>67</v>
      </c>
      <c r="K121" s="18">
        <v>3</v>
      </c>
      <c r="L121" s="18"/>
      <c r="M121" s="18"/>
      <c r="N121" s="18"/>
      <c r="O121" s="18" t="b">
        <f>VLOOKUP(A121,[1]Model!C$2:J$559,2,FALSE)=B121</f>
        <v>1</v>
      </c>
      <c r="P121" s="18" t="b">
        <f>VLOOKUP(A121,Model!C$2:G$228,5,FALSE)=D121</f>
        <v>1</v>
      </c>
      <c r="Q121" s="18">
        <f>VLOOKUP(A121,[2]Model!C$2:L$228,8,FALSE)</f>
        <v>198</v>
      </c>
      <c r="R121" s="18" t="e">
        <f>VLOOKUP(A121,[2]Model!C$2:G$228,3,FALSE)=[3]!Table14[[#This Row],[Business Definition (To go into comments and into Meta Data Hub)]]</f>
        <v>#REF!</v>
      </c>
      <c r="S121" s="18" t="e">
        <f>IF([3]!Table14[[#This Row],[Nullable in Table and in Oracle View
NULL, NOT NULL]]="No","NOT NULL","NULL")=VLOOKUP(A121,[2]Model!C$2:I$228,6,FALSE)</f>
        <v>#REF!</v>
      </c>
      <c r="T121" s="18" t="e">
        <f>VLOOKUP(B121,[2]Table!A$2:F$415,1,FALSE)=[3]!Table14[[#This Row],[Physical Name of Attribute (Name of column in Table)
Supplied by DA Team]]</f>
        <v>#REF!</v>
      </c>
      <c r="U121" s="18" t="b">
        <f>VLOOKUP(B121,Table!A$2:F$319,2,FALSE)=Table14[[#This Row],[Data type in Oracle
VARCHAR2(n), DATE, NUMBER(m,n), TIMETSTAMP(6)]]</f>
        <v>1</v>
      </c>
      <c r="V121" s="18" t="b">
        <f>VLOOKUP(B121,Table!A$2:F$231,3,FALSE)=Table14[[#This Row],[Nullable in Table and in Oracle View
NULL, NOT NULL]]</f>
        <v>1</v>
      </c>
      <c r="W121" s="18" t="b">
        <f>VLOOKUP(B121,Table!A$2:H$228,6,FALSE)=Table14[[#This Row],[Business Definition (To go into comments and into Meta Data Hub)]]</f>
        <v>1</v>
      </c>
      <c r="X121" s="18" t="str">
        <f>VLOOKUP((UPPER(SUBSTITUTE(A121," ","_"))),'[2]Consumer View'!A$2:I$329,1,FALSE)</f>
        <v>LEGACY_CANCELLATION_COMPLIANCE_SOURCE_TYPE_ID</v>
      </c>
      <c r="Y121" s="18" t="s">
        <v>68</v>
      </c>
      <c r="Z121" s="18" t="s">
        <v>69</v>
      </c>
      <c r="AA121" s="18" t="s">
        <v>695</v>
      </c>
      <c r="AB121" s="18"/>
      <c r="AC121" s="18"/>
      <c r="AD121" s="18"/>
      <c r="AE121" s="62"/>
      <c r="AF121" s="18"/>
      <c r="AG121" s="18"/>
      <c r="AH121" s="18" t="s">
        <v>71</v>
      </c>
    </row>
    <row r="122" spans="1:34" ht="27" customHeight="1">
      <c r="A122" s="51" t="s">
        <v>697</v>
      </c>
      <c r="B122" s="18" t="s">
        <v>698</v>
      </c>
      <c r="C122" s="1" t="s">
        <v>699</v>
      </c>
      <c r="D122" s="60" t="s">
        <v>139</v>
      </c>
      <c r="E122" s="18" t="s">
        <v>63</v>
      </c>
      <c r="F122" s="60" t="s">
        <v>140</v>
      </c>
      <c r="G122" s="45" t="s">
        <v>63</v>
      </c>
      <c r="H122" s="46" t="s">
        <v>700</v>
      </c>
      <c r="I122" s="18"/>
      <c r="J122" s="18" t="s">
        <v>347</v>
      </c>
      <c r="K122" s="18">
        <v>3</v>
      </c>
      <c r="L122" s="18"/>
      <c r="M122" s="18"/>
      <c r="N122" s="18"/>
      <c r="O122" s="18" t="b">
        <f>VLOOKUP(A122,[1]Model!C$2:J$559,2,FALSE)=B122</f>
        <v>1</v>
      </c>
      <c r="P122" s="18" t="b">
        <f>VLOOKUP(A122,Model!C$2:G$228,5,FALSE)=D122</f>
        <v>1</v>
      </c>
      <c r="Q122" s="18">
        <f>VLOOKUP(A122,[2]Model!C$2:L$228,8,FALSE)</f>
        <v>122</v>
      </c>
      <c r="R122" s="18" t="e">
        <f>VLOOKUP(A122,[2]Model!C$2:G$228,3,FALSE)=[3]!Table14[[#This Row],[Business Definition (To go into comments and into Meta Data Hub)]]</f>
        <v>#REF!</v>
      </c>
      <c r="S122" s="18" t="e">
        <f>IF([3]!Table14[[#This Row],[Nullable in Table and in Oracle View
NULL, NOT NULL]]="No","NOT NULL","NULL")=VLOOKUP(A122,[2]Model!C$2:I$228,6,FALSE)</f>
        <v>#REF!</v>
      </c>
      <c r="T122" s="18" t="e">
        <f>VLOOKUP(B122,[2]Table!A$2:F$415,1,FALSE)=[3]!Table14[[#This Row],[Physical Name of Attribute (Name of column in Table)
Supplied by DA Team]]</f>
        <v>#REF!</v>
      </c>
      <c r="U122" s="18" t="b">
        <f>VLOOKUP(B122,Table!A$2:F$319,2,FALSE)=Table14[[#This Row],[Data type in Oracle
VARCHAR2(n), DATE, NUMBER(m,n), TIMETSTAMP(6)]]</f>
        <v>0</v>
      </c>
      <c r="V122" s="18" t="b">
        <f>VLOOKUP(B122,Table!A$2:F$231,3,FALSE)=Table14[[#This Row],[Nullable in Table and in Oracle View
NULL, NOT NULL]]</f>
        <v>1</v>
      </c>
      <c r="W122" s="18" t="b">
        <f>VLOOKUP(B122,Table!A$2:H$228,6,FALSE)=Table14[[#This Row],[Business Definition (To go into comments and into Meta Data Hub)]]</f>
        <v>1</v>
      </c>
      <c r="X122" s="55" t="str">
        <f>VLOOKUP((UPPER(SUBSTITUTE(A122," ","_"))),'[2]Consumer View'!A$2:I$329,1,FALSE)</f>
        <v>LEGACY_MARKET_TYPE_CODE</v>
      </c>
      <c r="Y122" s="18" t="s">
        <v>8</v>
      </c>
      <c r="Z122" s="18" t="s">
        <v>701</v>
      </c>
      <c r="AA122" s="18" t="s">
        <v>698</v>
      </c>
      <c r="AB122" s="18"/>
      <c r="AC122" s="18"/>
      <c r="AD122" s="18" t="s">
        <v>702</v>
      </c>
      <c r="AE122" s="46"/>
      <c r="AF122" s="18"/>
      <c r="AG122" s="18"/>
      <c r="AH122" s="18" t="s">
        <v>71</v>
      </c>
    </row>
    <row r="123" spans="1:34" ht="27" hidden="1" customHeight="1">
      <c r="A123" s="51" t="s">
        <v>703</v>
      </c>
      <c r="B123" s="18" t="s">
        <v>704</v>
      </c>
      <c r="C123" s="18"/>
      <c r="D123" s="18" t="s">
        <v>101</v>
      </c>
      <c r="E123" s="18" t="s">
        <v>345</v>
      </c>
      <c r="F123" s="18" t="s">
        <v>133</v>
      </c>
      <c r="G123" s="45" t="s">
        <v>63</v>
      </c>
      <c r="H123" s="18" t="s">
        <v>705</v>
      </c>
      <c r="I123" s="18"/>
      <c r="J123" s="18" t="s">
        <v>347</v>
      </c>
      <c r="K123" s="18">
        <v>3</v>
      </c>
      <c r="L123" s="18"/>
      <c r="M123" s="18"/>
      <c r="N123" s="18"/>
      <c r="O123" s="18" t="b">
        <f>VLOOKUP(A123,[1]Model!C$2:J$559,2,FALSE)=B123</f>
        <v>1</v>
      </c>
      <c r="P123" s="18" t="b">
        <f>VLOOKUP(A123,Model!C$2:G$228,5,FALSE)=D123</f>
        <v>1</v>
      </c>
      <c r="Q123" s="18">
        <f>VLOOKUP(A123,[2]Model!C$2:L$228,8,FALSE)</f>
        <v>9</v>
      </c>
      <c r="R123" s="18" t="e">
        <f>VLOOKUP(A123,[2]Model!C$2:G$228,3,FALSE)=[3]!Table14[[#This Row],[Business Definition (To go into comments and into Meta Data Hub)]]</f>
        <v>#REF!</v>
      </c>
      <c r="S123" s="18" t="e">
        <f>IF([3]!Table14[[#This Row],[Nullable in Table and in Oracle View
NULL, NOT NULL]]="No","NOT NULL","NULL")=VLOOKUP(A123,[2]Model!C$2:I$228,6,FALSE)</f>
        <v>#REF!</v>
      </c>
      <c r="T123" s="18" t="e">
        <f>VLOOKUP(B123,[2]Table!A$2:F$415,1,FALSE)=[3]!Table14[[#This Row],[Physical Name of Attribute (Name of column in Table)
Supplied by DA Team]]</f>
        <v>#REF!</v>
      </c>
      <c r="U123" s="18" t="b">
        <f>VLOOKUP(B123,Table!A$2:F$319,2,FALSE)=Table14[[#This Row],[Data type in Oracle
VARCHAR2(n), DATE, NUMBER(m,n), TIMETSTAMP(6)]]</f>
        <v>1</v>
      </c>
      <c r="V123" s="18" t="b">
        <f>VLOOKUP(B123,Table!A$2:F$231,3,FALSE)=Table14[[#This Row],[Nullable in Table and in Oracle View
NULL, NOT NULL]]</f>
        <v>1</v>
      </c>
      <c r="W123" s="18" t="b">
        <f>VLOOKUP(B123,Table!A$2:H$228,6,FALSE)=Table14[[#This Row],[Business Definition (To go into comments and into Meta Data Hub)]]</f>
        <v>1</v>
      </c>
      <c r="X123" s="55" t="str">
        <f>VLOOKUP((UPPER(SUBSTITUTE(A123," ","_"))),'[2]Consumer View'!A$2:I$329,1,FALSE)</f>
        <v>LEGACY_MARKET_TYPE_DIMENSION_ID</v>
      </c>
      <c r="Y123" s="18" t="s">
        <v>8</v>
      </c>
      <c r="Z123" s="18" t="s">
        <v>701</v>
      </c>
      <c r="AA123" s="18" t="s">
        <v>704</v>
      </c>
      <c r="AB123" s="18"/>
      <c r="AC123" s="18"/>
      <c r="AD123" s="18" t="s">
        <v>702</v>
      </c>
      <c r="AE123" s="46"/>
      <c r="AF123" s="18"/>
      <c r="AG123" s="18"/>
      <c r="AH123" s="18" t="s">
        <v>351</v>
      </c>
    </row>
    <row r="124" spans="1:34" ht="27" customHeight="1">
      <c r="A124" s="51" t="s">
        <v>706</v>
      </c>
      <c r="B124" s="18" t="s">
        <v>707</v>
      </c>
      <c r="C124" s="18" t="s">
        <v>708</v>
      </c>
      <c r="D124" s="18" t="s">
        <v>109</v>
      </c>
      <c r="E124" s="18" t="s">
        <v>63</v>
      </c>
      <c r="F124" s="18" t="s">
        <v>110</v>
      </c>
      <c r="G124" s="45" t="s">
        <v>63</v>
      </c>
      <c r="H124" s="46" t="s">
        <v>709</v>
      </c>
      <c r="I124" s="18"/>
      <c r="J124" s="18" t="s">
        <v>347</v>
      </c>
      <c r="K124" s="18">
        <v>3</v>
      </c>
      <c r="L124" s="18"/>
      <c r="M124" s="18"/>
      <c r="N124" s="18"/>
      <c r="O124" s="18" t="b">
        <f>VLOOKUP(A124,[1]Model!C$2:J$559,2,FALSE)=B124</f>
        <v>1</v>
      </c>
      <c r="P124" s="18" t="b">
        <f>VLOOKUP(A124,Model!C$2:G$228,5,FALSE)=D124</f>
        <v>1</v>
      </c>
      <c r="Q124" s="18">
        <f>VLOOKUP(A124,[2]Model!C$2:L$228,8,FALSE)</f>
        <v>123</v>
      </c>
      <c r="R124" s="18" t="e">
        <f>VLOOKUP(A124,[2]Model!C$2:G$228,3,FALSE)=[3]!Table14[[#This Row],[Business Definition (To go into comments and into Meta Data Hub)]]</f>
        <v>#REF!</v>
      </c>
      <c r="S124" s="18" t="e">
        <f>IF([3]!Table14[[#This Row],[Nullable in Table and in Oracle View
NULL, NOT NULL]]="No","NOT NULL","NULL")=VLOOKUP(A124,[2]Model!C$2:I$228,6,FALSE)</f>
        <v>#REF!</v>
      </c>
      <c r="T124" s="18" t="e">
        <f>VLOOKUP(B124,[2]Table!A$2:F$415,1,FALSE)=[3]!Table14[[#This Row],[Physical Name of Attribute (Name of column in Table)
Supplied by DA Team]]</f>
        <v>#REF!</v>
      </c>
      <c r="U124" s="18" t="b">
        <f>VLOOKUP(B124,Table!A$2:F$319,2,FALSE)=Table14[[#This Row],[Data type in Oracle
VARCHAR2(n), DATE, NUMBER(m,n), TIMETSTAMP(6)]]</f>
        <v>0</v>
      </c>
      <c r="V124" s="18" t="b">
        <f>VLOOKUP(B124,Table!A$2:F$231,3,FALSE)=Table14[[#This Row],[Nullable in Table and in Oracle View
NULL, NOT NULL]]</f>
        <v>1</v>
      </c>
      <c r="W124" s="18" t="b">
        <f>VLOOKUP(B124,Table!A$2:H$228,6,FALSE)=Table14[[#This Row],[Business Definition (To go into comments and into Meta Data Hub)]]</f>
        <v>1</v>
      </c>
      <c r="X124" s="55" t="str">
        <f>VLOOKUP((UPPER(SUBSTITUTE(A124," ","_"))),'[2]Consumer View'!A$2:I$329,1,FALSE)</f>
        <v>LEGACY_MARKET_TYPE_NAME</v>
      </c>
      <c r="Y124" s="18" t="s">
        <v>8</v>
      </c>
      <c r="Z124" s="18" t="s">
        <v>701</v>
      </c>
      <c r="AA124" s="18" t="s">
        <v>707</v>
      </c>
      <c r="AB124" s="18"/>
      <c r="AC124" s="18"/>
      <c r="AD124" s="18" t="s">
        <v>702</v>
      </c>
      <c r="AE124" s="46"/>
      <c r="AF124" s="18"/>
      <c r="AG124" s="18"/>
      <c r="AH124" s="18" t="s">
        <v>71</v>
      </c>
    </row>
    <row r="125" spans="1:34" ht="27" customHeight="1">
      <c r="A125" s="51" t="s">
        <v>710</v>
      </c>
      <c r="B125" s="18" t="s">
        <v>711</v>
      </c>
      <c r="C125" s="18"/>
      <c r="D125" s="18" t="s">
        <v>101</v>
      </c>
      <c r="E125" s="18" t="s">
        <v>63</v>
      </c>
      <c r="F125" s="18" t="s">
        <v>133</v>
      </c>
      <c r="G125" s="45" t="s">
        <v>63</v>
      </c>
      <c r="H125" s="46" t="s">
        <v>712</v>
      </c>
      <c r="I125" s="18"/>
      <c r="J125" s="18" t="s">
        <v>67</v>
      </c>
      <c r="K125" s="18">
        <v>3</v>
      </c>
      <c r="L125" s="18"/>
      <c r="M125" s="18"/>
      <c r="N125" s="18"/>
      <c r="O125" s="18" t="b">
        <f>VLOOKUP(A125,[1]Model!C$2:J$559,2,FALSE)=B125</f>
        <v>1</v>
      </c>
      <c r="P125" s="18" t="b">
        <f>VLOOKUP(A125,Model!C$2:G$228,5,FALSE)=D125</f>
        <v>1</v>
      </c>
      <c r="Q125" s="18">
        <f>VLOOKUP(A125,[2]Model!C$2:L$228,8,FALSE)</f>
        <v>200</v>
      </c>
      <c r="R125" s="18" t="e">
        <f>VLOOKUP(A125,[2]Model!C$2:G$228,3,FALSE)=[3]!Table14[[#This Row],[Business Definition (To go into comments and into Meta Data Hub)]]</f>
        <v>#REF!</v>
      </c>
      <c r="S125" s="18" t="e">
        <f>IF([3]!Table14[[#This Row],[Nullable in Table and in Oracle View
NULL, NOT NULL]]="No","NOT NULL","NULL")=VLOOKUP(A125,[2]Model!C$2:I$228,6,FALSE)</f>
        <v>#REF!</v>
      </c>
      <c r="T125" s="18" t="e">
        <f>VLOOKUP(B125,[2]Table!A$2:F$415,1,FALSE)=[3]!Table14[[#This Row],[Physical Name of Attribute (Name of column in Table)
Supplied by DA Team]]</f>
        <v>#REF!</v>
      </c>
      <c r="U125" s="18" t="b">
        <f>VLOOKUP(B125,Table!A$2:F$319,2,FALSE)=Table14[[#This Row],[Data type in Oracle
VARCHAR2(n), DATE, NUMBER(m,n), TIMETSTAMP(6)]]</f>
        <v>1</v>
      </c>
      <c r="V125" s="18" t="b">
        <f>VLOOKUP(B125,Table!A$2:F$231,3,FALSE)=Table14[[#This Row],[Nullable in Table and in Oracle View
NULL, NOT NULL]]</f>
        <v>1</v>
      </c>
      <c r="W125" s="18" t="b">
        <f>VLOOKUP(B125,Table!A$2:H$228,6,FALSE)=Table14[[#This Row],[Business Definition (To go into comments and into Meta Data Hub)]]</f>
        <v>1</v>
      </c>
      <c r="X125" s="18" t="str">
        <f>VLOOKUP((UPPER(SUBSTITUTE(A125," ","_"))),'[2]Consumer View'!A$2:I$329,1,FALSE)</f>
        <v>LEGACY_MARKET_TYPE_ID</v>
      </c>
      <c r="Y125" s="18" t="s">
        <v>68</v>
      </c>
      <c r="Z125" s="18" t="s">
        <v>69</v>
      </c>
      <c r="AA125" s="18" t="s">
        <v>711</v>
      </c>
      <c r="AB125" s="18"/>
      <c r="AC125" s="18"/>
      <c r="AD125" s="18"/>
      <c r="AE125" s="46"/>
      <c r="AF125" s="18"/>
      <c r="AG125" s="18"/>
      <c r="AH125" s="18" t="s">
        <v>71</v>
      </c>
    </row>
    <row r="126" spans="1:34" ht="27" customHeight="1">
      <c r="A126" s="51" t="s">
        <v>713</v>
      </c>
      <c r="B126" s="18" t="s">
        <v>714</v>
      </c>
      <c r="C126" s="18" t="s">
        <v>715</v>
      </c>
      <c r="D126" s="18" t="s">
        <v>139</v>
      </c>
      <c r="E126" s="18" t="s">
        <v>63</v>
      </c>
      <c r="F126" s="18" t="s">
        <v>140</v>
      </c>
      <c r="G126" s="45" t="s">
        <v>63</v>
      </c>
      <c r="H126" s="46" t="s">
        <v>716</v>
      </c>
      <c r="I126" s="18"/>
      <c r="J126" s="18" t="s">
        <v>347</v>
      </c>
      <c r="K126" s="18">
        <v>3</v>
      </c>
      <c r="L126" s="18"/>
      <c r="M126" s="18"/>
      <c r="N126" s="18"/>
      <c r="O126" s="18" t="b">
        <f>VLOOKUP(A126,[1]Model!C$2:J$559,2,FALSE)=B126</f>
        <v>1</v>
      </c>
      <c r="P126" s="18" t="b">
        <f>VLOOKUP(A126,Model!C$2:G$228,5,FALSE)=D126</f>
        <v>1</v>
      </c>
      <c r="Q126" s="18">
        <f>VLOOKUP(A126,[2]Model!C$2:L$228,8,FALSE)</f>
        <v>124</v>
      </c>
      <c r="R126" s="18" t="e">
        <f>VLOOKUP(A126,[2]Model!C$2:G$228,3,FALSE)=[3]!Table14[[#This Row],[Business Definition (To go into comments and into Meta Data Hub)]]</f>
        <v>#REF!</v>
      </c>
      <c r="S126" s="18" t="e">
        <f>IF([3]!Table14[[#This Row],[Nullable in Table and in Oracle View
NULL, NOT NULL]]="No","NOT NULL","NULL")=VLOOKUP(A126,[2]Model!C$2:I$228,6,FALSE)</f>
        <v>#REF!</v>
      </c>
      <c r="T126" s="18" t="e">
        <f>VLOOKUP(B126,[2]Table!A$2:F$415,1,FALSE)=[3]!Table14[[#This Row],[Physical Name of Attribute (Name of column in Table)
Supplied by DA Team]]</f>
        <v>#REF!</v>
      </c>
      <c r="U126" s="18" t="b">
        <f>VLOOKUP(B126,Table!A$2:F$319,2,FALSE)=Table14[[#This Row],[Data type in Oracle
VARCHAR2(n), DATE, NUMBER(m,n), TIMETSTAMP(6)]]</f>
        <v>0</v>
      </c>
      <c r="V126" s="18" t="b">
        <f>VLOOKUP(B126,Table!A$2:F$231,3,FALSE)=Table14[[#This Row],[Nullable in Table and in Oracle View
NULL, NOT NULL]]</f>
        <v>1</v>
      </c>
      <c r="W126" s="18" t="b">
        <f>VLOOKUP(B126,Table!A$2:H$228,6,FALSE)=Table14[[#This Row],[Business Definition (To go into comments and into Meta Data Hub)]]</f>
        <v>1</v>
      </c>
      <c r="X126" s="55" t="str">
        <f>VLOOKUP((UPPER(SUBSTITUTE(A126," ","_"))),'[2]Consumer View'!A$2:I$329,1,FALSE)</f>
        <v>LEGACY_TRADE_CAPACITY_TYPE_CODE</v>
      </c>
      <c r="Y126" s="46" t="s">
        <v>717</v>
      </c>
      <c r="Z126" s="46" t="s">
        <v>718</v>
      </c>
      <c r="AA126" s="46" t="s">
        <v>719</v>
      </c>
      <c r="AB126" s="18"/>
      <c r="AC126" s="18"/>
      <c r="AD126" s="18" t="s">
        <v>720</v>
      </c>
      <c r="AE126" s="46" t="s">
        <v>721</v>
      </c>
      <c r="AF126" s="18"/>
      <c r="AG126" s="18"/>
      <c r="AH126" s="18" t="s">
        <v>71</v>
      </c>
    </row>
    <row r="127" spans="1:34" ht="27" hidden="1" customHeight="1">
      <c r="A127" s="51" t="s">
        <v>722</v>
      </c>
      <c r="B127" s="18" t="s">
        <v>723</v>
      </c>
      <c r="C127" s="18"/>
      <c r="D127" s="18" t="s">
        <v>101</v>
      </c>
      <c r="E127" s="18" t="s">
        <v>345</v>
      </c>
      <c r="F127" s="18" t="s">
        <v>133</v>
      </c>
      <c r="G127" s="45" t="s">
        <v>63</v>
      </c>
      <c r="H127" s="18" t="s">
        <v>724</v>
      </c>
      <c r="I127" s="18"/>
      <c r="J127" s="18" t="s">
        <v>347</v>
      </c>
      <c r="K127" s="18">
        <v>3</v>
      </c>
      <c r="L127" s="18"/>
      <c r="M127" s="18"/>
      <c r="N127" s="18"/>
      <c r="O127" s="18" t="b">
        <f>VLOOKUP(A127,[1]Model!C$2:J$559,2,FALSE)=B127</f>
        <v>1</v>
      </c>
      <c r="P127" s="18" t="b">
        <f>VLOOKUP(A127,Model!C$2:G$228,5,FALSE)=D127</f>
        <v>1</v>
      </c>
      <c r="Q127" s="18">
        <f>VLOOKUP(A127,[2]Model!C$2:L$228,8,FALSE)</f>
        <v>10</v>
      </c>
      <c r="R127" s="18" t="e">
        <f>VLOOKUP(A127,[2]Model!C$2:G$228,3,FALSE)=[3]!Table14[[#This Row],[Business Definition (To go into comments and into Meta Data Hub)]]</f>
        <v>#REF!</v>
      </c>
      <c r="S127" s="18" t="e">
        <f>IF([3]!Table14[[#This Row],[Nullable in Table and in Oracle View
NULL, NOT NULL]]="No","NOT NULL","NULL")=VLOOKUP(A127,[2]Model!C$2:I$228,6,FALSE)</f>
        <v>#REF!</v>
      </c>
      <c r="T127" s="18" t="e">
        <f>VLOOKUP(B127,[2]Table!A$2:F$415,1,FALSE)=[3]!Table14[[#This Row],[Physical Name of Attribute (Name of column in Table)
Supplied by DA Team]]</f>
        <v>#REF!</v>
      </c>
      <c r="U127" s="18" t="b">
        <f>VLOOKUP(B127,Table!A$2:F$319,2,FALSE)=Table14[[#This Row],[Data type in Oracle
VARCHAR2(n), DATE, NUMBER(m,n), TIMETSTAMP(6)]]</f>
        <v>1</v>
      </c>
      <c r="V127" s="18" t="b">
        <f>VLOOKUP(B127,Table!A$2:F$231,3,FALSE)=Table14[[#This Row],[Nullable in Table and in Oracle View
NULL, NOT NULL]]</f>
        <v>1</v>
      </c>
      <c r="W127" s="18" t="b">
        <f>VLOOKUP(B127,Table!A$2:H$228,6,FALSE)=Table14[[#This Row],[Business Definition (To go into comments and into Meta Data Hub)]]</f>
        <v>1</v>
      </c>
      <c r="X127" s="55" t="str">
        <f>VLOOKUP((UPPER(SUBSTITUTE(A127," ","_"))),'[2]Consumer View'!A$2:I$329,1,FALSE)</f>
        <v>LEGACY_TRADE_CAPACITY_TYPE_DIMENSION_ID</v>
      </c>
      <c r="Y127" s="18" t="s">
        <v>8</v>
      </c>
      <c r="Z127" s="18" t="s">
        <v>725</v>
      </c>
      <c r="AA127" s="18" t="s">
        <v>723</v>
      </c>
      <c r="AB127" s="18"/>
      <c r="AC127" s="18"/>
      <c r="AD127" s="18" t="s">
        <v>726</v>
      </c>
      <c r="AE127" s="46" t="s">
        <v>727</v>
      </c>
      <c r="AF127" s="18"/>
      <c r="AG127" s="18"/>
      <c r="AH127" s="18" t="s">
        <v>351</v>
      </c>
    </row>
    <row r="128" spans="1:34" ht="27" customHeight="1">
      <c r="A128" s="51" t="s">
        <v>728</v>
      </c>
      <c r="B128" s="18" t="s">
        <v>729</v>
      </c>
      <c r="C128" s="18" t="s">
        <v>730</v>
      </c>
      <c r="D128" s="18" t="s">
        <v>109</v>
      </c>
      <c r="E128" s="18" t="s">
        <v>63</v>
      </c>
      <c r="F128" s="18" t="s">
        <v>110</v>
      </c>
      <c r="G128" s="45" t="s">
        <v>63</v>
      </c>
      <c r="H128" s="46" t="s">
        <v>731</v>
      </c>
      <c r="I128" s="18"/>
      <c r="J128" s="18" t="s">
        <v>347</v>
      </c>
      <c r="K128" s="18">
        <v>3</v>
      </c>
      <c r="L128" s="18"/>
      <c r="M128" s="18"/>
      <c r="N128" s="18"/>
      <c r="O128" s="18" t="b">
        <f>VLOOKUP(A128,[1]Model!C$2:J$559,2,FALSE)=B128</f>
        <v>1</v>
      </c>
      <c r="P128" s="18" t="b">
        <f>VLOOKUP(A128,Model!C$2:G$228,5,FALSE)=D128</f>
        <v>1</v>
      </c>
      <c r="Q128" s="18">
        <f>VLOOKUP(A128,[2]Model!C$2:L$228,8,FALSE)</f>
        <v>125</v>
      </c>
      <c r="R128" s="18" t="e">
        <f>VLOOKUP(A128,[2]Model!C$2:G$228,3,FALSE)=[3]!Table14[[#This Row],[Business Definition (To go into comments and into Meta Data Hub)]]</f>
        <v>#REF!</v>
      </c>
      <c r="S128" s="18" t="e">
        <f>IF([3]!Table14[[#This Row],[Nullable in Table and in Oracle View
NULL, NOT NULL]]="No","NOT NULL","NULL")=VLOOKUP(A128,[2]Model!C$2:I$228,6,FALSE)</f>
        <v>#REF!</v>
      </c>
      <c r="T128" s="18" t="e">
        <f>VLOOKUP(B128,[2]Table!A$2:F$415,1,FALSE)=[3]!Table14[[#This Row],[Physical Name of Attribute (Name of column in Table)
Supplied by DA Team]]</f>
        <v>#REF!</v>
      </c>
      <c r="U128" s="18" t="b">
        <f>VLOOKUP(B128,Table!A$2:F$319,2,FALSE)=Table14[[#This Row],[Data type in Oracle
VARCHAR2(n), DATE, NUMBER(m,n), TIMETSTAMP(6)]]</f>
        <v>0</v>
      </c>
      <c r="V128" s="18" t="b">
        <f>VLOOKUP(B128,Table!A$2:F$231,3,FALSE)=Table14[[#This Row],[Nullable in Table and in Oracle View
NULL, NOT NULL]]</f>
        <v>1</v>
      </c>
      <c r="W128" s="18" t="b">
        <f>VLOOKUP(B128,Table!A$2:H$228,6,FALSE)=Table14[[#This Row],[Business Definition (To go into comments and into Meta Data Hub)]]</f>
        <v>1</v>
      </c>
      <c r="X128" s="55" t="str">
        <f>VLOOKUP((UPPER(SUBSTITUTE(A128," ","_"))),'[2]Consumer View'!A$2:I$329,1,FALSE)</f>
        <v>LEGACY_TRADE_CAPACITY_TYPE_NAME</v>
      </c>
      <c r="Y128" s="46" t="s">
        <v>717</v>
      </c>
      <c r="Z128" s="46" t="s">
        <v>718</v>
      </c>
      <c r="AA128" s="46" t="s">
        <v>732</v>
      </c>
      <c r="AB128" s="18"/>
      <c r="AC128" s="18"/>
      <c r="AD128" s="18" t="s">
        <v>720</v>
      </c>
      <c r="AE128" s="46" t="s">
        <v>721</v>
      </c>
      <c r="AF128" s="18"/>
      <c r="AG128" s="18"/>
      <c r="AH128" s="18" t="s">
        <v>71</v>
      </c>
    </row>
    <row r="129" spans="1:34" ht="27" customHeight="1">
      <c r="A129" s="51" t="s">
        <v>733</v>
      </c>
      <c r="B129" s="18" t="s">
        <v>734</v>
      </c>
      <c r="C129" s="18"/>
      <c r="D129" s="18" t="s">
        <v>101</v>
      </c>
      <c r="E129" s="18" t="s">
        <v>63</v>
      </c>
      <c r="F129" s="18" t="s">
        <v>133</v>
      </c>
      <c r="G129" s="45" t="s">
        <v>63</v>
      </c>
      <c r="H129" s="46" t="s">
        <v>735</v>
      </c>
      <c r="I129" s="18"/>
      <c r="J129" s="18" t="s">
        <v>67</v>
      </c>
      <c r="K129" s="18">
        <v>3</v>
      </c>
      <c r="L129" s="18"/>
      <c r="M129" s="18"/>
      <c r="N129" s="18"/>
      <c r="O129" s="18" t="b">
        <f>VLOOKUP(A129,[1]Model!C$2:J$559,2,FALSE)=B129</f>
        <v>1</v>
      </c>
      <c r="P129" s="18" t="b">
        <f>VLOOKUP(A129,Model!C$2:G$228,5,FALSE)=D129</f>
        <v>1</v>
      </c>
      <c r="Q129" s="18">
        <f>VLOOKUP(A129,[2]Model!C$2:L$228,8,FALSE)</f>
        <v>201</v>
      </c>
      <c r="R129" s="18" t="e">
        <f>VLOOKUP(A129,[2]Model!C$2:G$228,3,FALSE)=[3]!Table14[[#This Row],[Business Definition (To go into comments and into Meta Data Hub)]]</f>
        <v>#REF!</v>
      </c>
      <c r="S129" s="18" t="e">
        <f>IF([3]!Table14[[#This Row],[Nullable in Table and in Oracle View
NULL, NOT NULL]]="No","NOT NULL","NULL")=VLOOKUP(A129,[2]Model!C$2:I$228,6,FALSE)</f>
        <v>#REF!</v>
      </c>
      <c r="T129" s="18" t="e">
        <f>VLOOKUP(B129,[2]Table!A$2:F$415,1,FALSE)=[3]!Table14[[#This Row],[Physical Name of Attribute (Name of column in Table)
Supplied by DA Team]]</f>
        <v>#REF!</v>
      </c>
      <c r="U129" s="18" t="b">
        <f>VLOOKUP(B129,Table!A$2:F$319,2,FALSE)=Table14[[#This Row],[Data type in Oracle
VARCHAR2(n), DATE, NUMBER(m,n), TIMETSTAMP(6)]]</f>
        <v>1</v>
      </c>
      <c r="V129" s="18" t="b">
        <f>VLOOKUP(B129,Table!A$2:F$231,3,FALSE)=Table14[[#This Row],[Nullable in Table and in Oracle View
NULL, NOT NULL]]</f>
        <v>1</v>
      </c>
      <c r="W129" s="18" t="b">
        <f>VLOOKUP(B129,Table!A$2:H$228,6,FALSE)=Table14[[#This Row],[Business Definition (To go into comments and into Meta Data Hub)]]</f>
        <v>1</v>
      </c>
      <c r="X129" s="18" t="str">
        <f>VLOOKUP((UPPER(SUBSTITUTE(A129," ","_"))),'[2]Consumer View'!A$2:I$329,1,FALSE)</f>
        <v>LEGACY_TRADE_CAPACITY_TYPE_ID</v>
      </c>
      <c r="Y129" s="18" t="s">
        <v>68</v>
      </c>
      <c r="Z129" s="18" t="s">
        <v>69</v>
      </c>
      <c r="AA129" s="18" t="s">
        <v>734</v>
      </c>
      <c r="AB129" s="18"/>
      <c r="AC129" s="18"/>
      <c r="AD129" s="18"/>
      <c r="AE129" s="46"/>
      <c r="AF129" s="18"/>
      <c r="AG129" s="18"/>
      <c r="AH129" s="18" t="s">
        <v>71</v>
      </c>
    </row>
    <row r="130" spans="1:34" ht="27" customHeight="1">
      <c r="A130" s="51" t="s">
        <v>736</v>
      </c>
      <c r="B130" s="18" t="s">
        <v>737</v>
      </c>
      <c r="C130" s="18" t="s">
        <v>738</v>
      </c>
      <c r="D130" s="18" t="s">
        <v>101</v>
      </c>
      <c r="E130" s="18" t="s">
        <v>63</v>
      </c>
      <c r="F130" s="18" t="s">
        <v>133</v>
      </c>
      <c r="G130" s="45" t="s">
        <v>63</v>
      </c>
      <c r="H130" s="46" t="s">
        <v>739</v>
      </c>
      <c r="I130" s="18"/>
      <c r="J130" s="18" t="s">
        <v>347</v>
      </c>
      <c r="K130" s="18">
        <v>3</v>
      </c>
      <c r="L130" s="18"/>
      <c r="M130" s="18"/>
      <c r="N130" s="18"/>
      <c r="O130" s="18" t="b">
        <f>VLOOKUP(A130,[1]Model!C$2:J$559,2,FALSE)=B130</f>
        <v>1</v>
      </c>
      <c r="P130" s="18" t="b">
        <f>VLOOKUP(A130,Model!C$2:G$228,5,FALSE)=D130</f>
        <v>1</v>
      </c>
      <c r="Q130" s="18">
        <f>VLOOKUP(A130,[2]Model!C$2:L$228,8,FALSE)</f>
        <v>126</v>
      </c>
      <c r="R130" s="18" t="e">
        <f>VLOOKUP(A130,[2]Model!C$2:G$228,3,FALSE)=[3]!Table14[[#This Row],[Business Definition (To go into comments and into Meta Data Hub)]]</f>
        <v>#REF!</v>
      </c>
      <c r="S130" s="18" t="e">
        <f>IF([3]!Table14[[#This Row],[Nullable in Table and in Oracle View
NULL, NOT NULL]]="No","NOT NULL","NULL")=VLOOKUP(A130,[2]Model!C$2:I$228,6,FALSE)</f>
        <v>#REF!</v>
      </c>
      <c r="T130" s="18" t="e">
        <f>VLOOKUP(B130,[2]Table!A$2:F$415,1,FALSE)=[3]!Table14[[#This Row],[Physical Name of Attribute (Name of column in Table)
Supplied by DA Team]]</f>
        <v>#REF!</v>
      </c>
      <c r="U130" s="18" t="b">
        <f>VLOOKUP(B130,Table!A$2:F$319,2,FALSE)=Table14[[#This Row],[Data type in Oracle
VARCHAR2(n), DATE, NUMBER(m,n), TIMETSTAMP(6)]]</f>
        <v>1</v>
      </c>
      <c r="V130" s="18" t="b">
        <f>VLOOKUP(B130,Table!A$2:F$231,3,FALSE)=Table14[[#This Row],[Nullable in Table and in Oracle View
NULL, NOT NULL]]</f>
        <v>1</v>
      </c>
      <c r="W130" s="18" t="b">
        <f>VLOOKUP(B130,Table!A$2:H$228,6,FALSE)=Table14[[#This Row],[Business Definition (To go into comments and into Meta Data Hub)]]</f>
        <v>1</v>
      </c>
      <c r="X130" s="55" t="str">
        <f>VLOOKUP((UPPER(SUBSTITUTE(A130," ","_"))),'[2]Consumer View'!A$2:I$329,1,FALSE)</f>
        <v>OFFSET_ARRANGEMENT_ID</v>
      </c>
      <c r="Y130" s="18" t="s">
        <v>68</v>
      </c>
      <c r="Z130" s="18" t="s">
        <v>375</v>
      </c>
      <c r="AA130" s="18" t="s">
        <v>737</v>
      </c>
      <c r="AB130" s="18"/>
      <c r="AC130" s="18"/>
      <c r="AD130" s="18" t="s">
        <v>539</v>
      </c>
      <c r="AE130" s="46"/>
      <c r="AF130" s="18"/>
      <c r="AG130" s="18"/>
      <c r="AH130" s="18" t="s">
        <v>71</v>
      </c>
    </row>
    <row r="131" spans="1:34" ht="27" customHeight="1">
      <c r="A131" s="51" t="s">
        <v>740</v>
      </c>
      <c r="B131" s="18" t="s">
        <v>741</v>
      </c>
      <c r="C131" s="18" t="s">
        <v>742</v>
      </c>
      <c r="D131" s="55" t="s">
        <v>427</v>
      </c>
      <c r="E131" s="18" t="s">
        <v>63</v>
      </c>
      <c r="F131" s="18" t="s">
        <v>428</v>
      </c>
      <c r="G131" s="45" t="s">
        <v>63</v>
      </c>
      <c r="H131" s="46" t="s">
        <v>743</v>
      </c>
      <c r="I131" s="18"/>
      <c r="J131" s="18" t="s">
        <v>347</v>
      </c>
      <c r="K131" s="18">
        <v>3</v>
      </c>
      <c r="L131" s="18"/>
      <c r="M131" s="18"/>
      <c r="N131" s="18"/>
      <c r="O131" s="18" t="b">
        <f>VLOOKUP(A131,[1]Model!C$2:J$559,2,FALSE)=B131</f>
        <v>1</v>
      </c>
      <c r="P131" s="18" t="b">
        <f>VLOOKUP(A131,Model!C$2:G$228,5,FALSE)=D131</f>
        <v>1</v>
      </c>
      <c r="Q131" s="18">
        <f>VLOOKUP(A131,[2]Model!C$2:L$228,8,FALSE)</f>
        <v>55</v>
      </c>
      <c r="R131" s="18" t="e">
        <f>VLOOKUP(A131,[2]Model!C$2:G$228,3,FALSE)=[3]!Table14[[#This Row],[Business Definition (To go into comments and into Meta Data Hub)]]</f>
        <v>#VALUE!</v>
      </c>
      <c r="S131" s="18" t="e">
        <f>IF([3]!Table14[[#This Row],[Nullable in Table and in Oracle View
NULL, NOT NULL]]="No","NOT NULL","NULL")=VLOOKUP(A131,[2]Model!C$2:I$228,6,FALSE)</f>
        <v>#REF!</v>
      </c>
      <c r="T131" s="18" t="e">
        <f>VLOOKUP(B131,[2]Table!A$2:F$415,1,FALSE)=[3]!Table14[[#This Row],[Physical Name of Attribute (Name of column in Table)
Supplied by DA Team]]</f>
        <v>#REF!</v>
      </c>
      <c r="U131" s="18" t="b">
        <f>VLOOKUP(B131,Table!A$2:F$319,2,FALSE)=Table14[[#This Row],[Data type in Oracle
VARCHAR2(n), DATE, NUMBER(m,n), TIMETSTAMP(6)]]</f>
        <v>0</v>
      </c>
      <c r="V131" s="18" t="b">
        <f>VLOOKUP(B131,Table!A$2:F$231,3,FALSE)=Table14[[#This Row],[Nullable in Table and in Oracle View
NULL, NOT NULL]]</f>
        <v>1</v>
      </c>
      <c r="W131" s="18" t="b">
        <f>VLOOKUP(B131,Table!A$2:H$228,6,FALSE)=Table14[[#This Row],[Business Definition (To go into comments and into Meta Data Hub)]]</f>
        <v>1</v>
      </c>
      <c r="X131" s="18" t="str">
        <f>VLOOKUP((UPPER(SUBSTITUTE(A131," ","_"))),'[2]Consumer View'!A$2:I$329,1,FALSE)</f>
        <v>OPTION_CLASS_CODE</v>
      </c>
      <c r="Y131" s="18" t="s">
        <v>68</v>
      </c>
      <c r="Z131" s="18" t="s">
        <v>69</v>
      </c>
      <c r="AA131" s="18" t="s">
        <v>744</v>
      </c>
      <c r="AB131" s="18"/>
      <c r="AC131" s="18"/>
      <c r="AD131" s="18"/>
      <c r="AE131" s="46" t="s">
        <v>105</v>
      </c>
      <c r="AF131" s="18"/>
      <c r="AG131" s="18"/>
      <c r="AH131" s="18" t="s">
        <v>71</v>
      </c>
    </row>
    <row r="132" spans="1:34" ht="27" customHeight="1">
      <c r="A132" s="51" t="s">
        <v>745</v>
      </c>
      <c r="B132" s="18" t="s">
        <v>746</v>
      </c>
      <c r="C132" s="18" t="s">
        <v>747</v>
      </c>
      <c r="D132" s="18" t="s">
        <v>139</v>
      </c>
      <c r="E132" s="18" t="s">
        <v>63</v>
      </c>
      <c r="F132" s="18" t="s">
        <v>140</v>
      </c>
      <c r="G132" s="45" t="s">
        <v>63</v>
      </c>
      <c r="H132" s="46" t="s">
        <v>748</v>
      </c>
      <c r="I132" s="18"/>
      <c r="J132" s="18" t="s">
        <v>347</v>
      </c>
      <c r="K132" s="18">
        <v>3</v>
      </c>
      <c r="L132" s="18"/>
      <c r="M132" s="18"/>
      <c r="N132" s="18"/>
      <c r="O132" s="18" t="b">
        <f>VLOOKUP(A132,[1]Model!C$2:J$559,2,FALSE)=B132</f>
        <v>1</v>
      </c>
      <c r="P132" s="18" t="b">
        <f>VLOOKUP(A132,Model!C$2:G$228,5,FALSE)=D132</f>
        <v>1</v>
      </c>
      <c r="Q132" s="18">
        <f>VLOOKUP(A132,[2]Model!C$2:L$228,8,FALSE)</f>
        <v>97</v>
      </c>
      <c r="R132" s="18" t="e">
        <f>VLOOKUP(A132,[2]Model!C$2:G$228,3,FALSE)=[3]!Table14[[#This Row],[Business Definition (To go into comments and into Meta Data Hub)]]</f>
        <v>#REF!</v>
      </c>
      <c r="S132" s="18" t="e">
        <f>IF([3]!Table14[[#This Row],[Nullable in Table and in Oracle View
NULL, NOT NULL]]="No","NOT NULL","NULL")=VLOOKUP(A132,[2]Model!C$2:I$228,6,FALSE)</f>
        <v>#REF!</v>
      </c>
      <c r="T132" s="18" t="e">
        <f>VLOOKUP(B132,[2]Table!A$2:F$415,1,FALSE)=[3]!Table14[[#This Row],[Physical Name of Attribute (Name of column in Table)
Supplied by DA Team]]</f>
        <v>#REF!</v>
      </c>
      <c r="U132" s="18" t="b">
        <f>VLOOKUP(B132,Table!A$2:F$319,2,FALSE)=Table14[[#This Row],[Data type in Oracle
VARCHAR2(n), DATE, NUMBER(m,n), TIMETSTAMP(6)]]</f>
        <v>0</v>
      </c>
      <c r="V132" s="18" t="b">
        <f>VLOOKUP(B132,Table!A$2:F$231,3,FALSE)=Table14[[#This Row],[Nullable in Table and in Oracle View
NULL, NOT NULL]]</f>
        <v>1</v>
      </c>
      <c r="W132" s="18" t="b">
        <f>VLOOKUP(B132,Table!A$2:H$228,6,FALSE)=Table14[[#This Row],[Business Definition (To go into comments and into Meta Data Hub)]]</f>
        <v>1</v>
      </c>
      <c r="X132" s="55" t="str">
        <f>VLOOKUP((UPPER(SUBSTITUTE(A132," ","_"))),'[2]Consumer View'!A$2:I$329,1,FALSE)</f>
        <v>ORDER_MANAGEMENT_SYSTEM_EXECUTING_TYPE_CODE</v>
      </c>
      <c r="Y132" s="18" t="s">
        <v>68</v>
      </c>
      <c r="Z132" s="18" t="s">
        <v>113</v>
      </c>
      <c r="AA132" s="18" t="s">
        <v>143</v>
      </c>
      <c r="AB132" s="18"/>
      <c r="AC132" s="18"/>
      <c r="AD132" s="18" t="s">
        <v>749</v>
      </c>
      <c r="AE132" s="46"/>
      <c r="AF132" s="18"/>
      <c r="AG132" s="18"/>
      <c r="AH132" s="18" t="s">
        <v>71</v>
      </c>
    </row>
    <row r="133" spans="1:34" ht="27" customHeight="1">
      <c r="A133" s="51" t="s">
        <v>750</v>
      </c>
      <c r="B133" s="18" t="s">
        <v>751</v>
      </c>
      <c r="C133" s="18" t="s">
        <v>752</v>
      </c>
      <c r="D133" s="18" t="s">
        <v>485</v>
      </c>
      <c r="E133" s="18" t="s">
        <v>63</v>
      </c>
      <c r="F133" s="18" t="s">
        <v>486</v>
      </c>
      <c r="G133" s="45" t="s">
        <v>63</v>
      </c>
      <c r="H133" s="46" t="s">
        <v>753</v>
      </c>
      <c r="I133" s="18"/>
      <c r="J133" s="18" t="s">
        <v>347</v>
      </c>
      <c r="K133" s="18">
        <v>3</v>
      </c>
      <c r="L133" s="18"/>
      <c r="M133" s="18"/>
      <c r="N133" s="18"/>
      <c r="O133" s="18" t="b">
        <f>VLOOKUP(A133,[1]Model!C$2:J$559,2,FALSE)=B133</f>
        <v>1</v>
      </c>
      <c r="P133" s="18" t="b">
        <f>VLOOKUP(A133,Model!C$2:G$228,5,FALSE)=D133</f>
        <v>1</v>
      </c>
      <c r="Q133" s="18">
        <f>VLOOKUP(A133,[2]Model!C$2:L$228,8,FALSE)</f>
        <v>99</v>
      </c>
      <c r="R133" s="18" t="e">
        <f>VLOOKUP(A133,[2]Model!C$2:G$228,3,FALSE)=[3]!Table14[[#This Row],[Business Definition (To go into comments and into Meta Data Hub)]]</f>
        <v>#REF!</v>
      </c>
      <c r="S133" s="18" t="e">
        <f>IF([3]!Table14[[#This Row],[Nullable in Table and in Oracle View
NULL, NOT NULL]]="No","NOT NULL","NULL")=VLOOKUP(A133,[2]Model!C$2:I$228,6,FALSE)</f>
        <v>#REF!</v>
      </c>
      <c r="T133" s="18" t="e">
        <f>VLOOKUP(B133,[2]Table!A$2:F$415,1,FALSE)=[3]!Table14[[#This Row],[Physical Name of Attribute (Name of column in Table)
Supplied by DA Team]]</f>
        <v>#REF!</v>
      </c>
      <c r="U133" s="18" t="b">
        <f>VLOOKUP(B133,Table!A$2:F$319,2,FALSE)=Table14[[#This Row],[Data type in Oracle
VARCHAR2(n), DATE, NUMBER(m,n), TIMETSTAMP(6)]]</f>
        <v>0</v>
      </c>
      <c r="V133" s="18" t="b">
        <f>VLOOKUP(B133,Table!A$2:F$231,3,FALSE)=Table14[[#This Row],[Nullable in Table and in Oracle View
NULL, NOT NULL]]</f>
        <v>1</v>
      </c>
      <c r="W133" s="18" t="b">
        <f>VLOOKUP(B133,Table!A$2:H$228,6,FALSE)=Table14[[#This Row],[Business Definition (To go into comments and into Meta Data Hub)]]</f>
        <v>1</v>
      </c>
      <c r="X133" s="55" t="str">
        <f>VLOOKUP((UPPER(SUBSTITUTE(A133," ","_"))),'[2]Consumer View'!A$2:I$329,1,FALSE)</f>
        <v>ORDER_MANAGEMENT_SYSTEM_EXECUTING_TYPE_DESCRIPTION</v>
      </c>
      <c r="Y133" s="18" t="s">
        <v>68</v>
      </c>
      <c r="Z133" s="18" t="s">
        <v>113</v>
      </c>
      <c r="AA133" s="18" t="s">
        <v>488</v>
      </c>
      <c r="AB133" s="18"/>
      <c r="AC133" s="18"/>
      <c r="AD133" s="18" t="s">
        <v>754</v>
      </c>
      <c r="AE133" s="46"/>
      <c r="AF133" s="18"/>
      <c r="AG133" s="18"/>
      <c r="AH133" s="18" t="s">
        <v>71</v>
      </c>
    </row>
    <row r="134" spans="1:34" ht="27" customHeight="1">
      <c r="A134" s="51" t="s">
        <v>755</v>
      </c>
      <c r="B134" s="18" t="s">
        <v>756</v>
      </c>
      <c r="C134" s="18"/>
      <c r="D134" s="18" t="s">
        <v>101</v>
      </c>
      <c r="E134" s="18" t="s">
        <v>63</v>
      </c>
      <c r="F134" s="18" t="s">
        <v>133</v>
      </c>
      <c r="G134" s="45" t="s">
        <v>63</v>
      </c>
      <c r="H134" s="46" t="s">
        <v>757</v>
      </c>
      <c r="I134" s="18"/>
      <c r="J134" s="18" t="s">
        <v>347</v>
      </c>
      <c r="K134" s="18">
        <v>3</v>
      </c>
      <c r="L134" s="18"/>
      <c r="M134" s="18"/>
      <c r="N134" s="18"/>
      <c r="O134" s="18" t="b">
        <f>VLOOKUP(A134,[1]Model!C$2:J$559,2,FALSE)=B134</f>
        <v>1</v>
      </c>
      <c r="P134" s="18" t="b">
        <f>VLOOKUP(A134,Model!C$2:G$228,5,FALSE)=D134</f>
        <v>1</v>
      </c>
      <c r="Q134" s="18">
        <f>VLOOKUP(A134,[2]Model!C$2:L$228,8,FALSE)</f>
        <v>96</v>
      </c>
      <c r="R134" s="18" t="e">
        <f>VLOOKUP(A134,[2]Model!C$2:G$228,3,FALSE)=[3]!Table14[[#This Row],[Business Definition (To go into comments and into Meta Data Hub)]]</f>
        <v>#REF!</v>
      </c>
      <c r="S134" s="18" t="e">
        <f>IF([3]!Table14[[#This Row],[Nullable in Table and in Oracle View
NULL, NOT NULL]]="No","NOT NULL","NULL")=VLOOKUP(A134,[2]Model!C$2:I$228,6,FALSE)</f>
        <v>#REF!</v>
      </c>
      <c r="T134" s="18" t="e">
        <f>VLOOKUP(B134,[2]Table!A$2:F$415,1,FALSE)=[3]!Table14[[#This Row],[Physical Name of Attribute (Name of column in Table)
Supplied by DA Team]]</f>
        <v>#REF!</v>
      </c>
      <c r="U134" s="18" t="b">
        <f>VLOOKUP(B134,Table!A$2:F$319,2,FALSE)=Table14[[#This Row],[Data type in Oracle
VARCHAR2(n), DATE, NUMBER(m,n), TIMETSTAMP(6)]]</f>
        <v>1</v>
      </c>
      <c r="V134" s="18" t="b">
        <f>VLOOKUP(B134,Table!A$2:F$231,3,FALSE)=Table14[[#This Row],[Nullable in Table and in Oracle View
NULL, NOT NULL]]</f>
        <v>1</v>
      </c>
      <c r="W134" s="18" t="b">
        <f>VLOOKUP(B134,Table!A$2:H$228,6,FALSE)=Table14[[#This Row],[Business Definition (To go into comments and into Meta Data Hub)]]</f>
        <v>1</v>
      </c>
      <c r="X134" s="55" t="str">
        <f>VLOOKUP((UPPER(SUBSTITUTE(A134," ","_"))),'[2]Consumer View'!A$2:I$329,1,FALSE)</f>
        <v>ORDER_MANAGEMENT_SYSTEM_EXECUTING_TYPE_ID</v>
      </c>
      <c r="Y134" s="18" t="s">
        <v>68</v>
      </c>
      <c r="Z134" s="18" t="s">
        <v>69</v>
      </c>
      <c r="AA134" s="18" t="s">
        <v>756</v>
      </c>
      <c r="AB134" s="18"/>
      <c r="AC134" s="18"/>
      <c r="AD134" s="18"/>
      <c r="AE134" s="46"/>
      <c r="AF134" s="18"/>
      <c r="AG134" s="18"/>
      <c r="AH134" s="18" t="s">
        <v>71</v>
      </c>
    </row>
    <row r="135" spans="1:34" ht="27" customHeight="1">
      <c r="A135" s="51" t="s">
        <v>758</v>
      </c>
      <c r="B135" s="18" t="s">
        <v>759</v>
      </c>
      <c r="C135" s="18" t="s">
        <v>760</v>
      </c>
      <c r="D135" s="55" t="s">
        <v>109</v>
      </c>
      <c r="E135" s="18" t="s">
        <v>63</v>
      </c>
      <c r="F135" s="18" t="s">
        <v>110</v>
      </c>
      <c r="G135" s="45" t="s">
        <v>63</v>
      </c>
      <c r="H135" s="46" t="s">
        <v>761</v>
      </c>
      <c r="I135" s="18"/>
      <c r="J135" s="18" t="s">
        <v>347</v>
      </c>
      <c r="K135" s="18">
        <v>3</v>
      </c>
      <c r="L135" s="18"/>
      <c r="M135" s="18"/>
      <c r="N135" s="18"/>
      <c r="O135" s="18" t="b">
        <f>VLOOKUP(A135,[1]Model!C$2:J$559,2,FALSE)=B135</f>
        <v>1</v>
      </c>
      <c r="P135" s="18" t="b">
        <f>VLOOKUP(A135,Model!C$2:G$228,5,FALSE)=D135</f>
        <v>1</v>
      </c>
      <c r="Q135" s="18">
        <f>VLOOKUP(A135,[2]Model!C$2:L$228,8,FALSE)</f>
        <v>98</v>
      </c>
      <c r="R135" s="18" t="e">
        <f>VLOOKUP(A135,[2]Model!C$2:G$228,3,FALSE)=[3]!Table14[[#This Row],[Business Definition (To go into comments and into Meta Data Hub)]]</f>
        <v>#REF!</v>
      </c>
      <c r="S135" s="18" t="e">
        <f>IF([3]!Table14[[#This Row],[Nullable in Table and in Oracle View
NULL, NOT NULL]]="No","NOT NULL","NULL")=VLOOKUP(A135,[2]Model!C$2:I$228,6,FALSE)</f>
        <v>#REF!</v>
      </c>
      <c r="T135" s="18" t="e">
        <f>VLOOKUP(B135,[2]Table!A$2:F$415,1,FALSE)=[3]!Table14[[#This Row],[Physical Name of Attribute (Name of column in Table)
Supplied by DA Team]]</f>
        <v>#REF!</v>
      </c>
      <c r="U135" s="18" t="b">
        <f>VLOOKUP(B135,Table!A$2:F$319,2,FALSE)=Table14[[#This Row],[Data type in Oracle
VARCHAR2(n), DATE, NUMBER(m,n), TIMETSTAMP(6)]]</f>
        <v>0</v>
      </c>
      <c r="V135" s="18" t="b">
        <f>VLOOKUP(B135,Table!A$2:F$231,3,FALSE)=Table14[[#This Row],[Nullable in Table and in Oracle View
NULL, NOT NULL]]</f>
        <v>1</v>
      </c>
      <c r="W135" s="18" t="b">
        <f>VLOOKUP(B135,Table!A$2:H$228,6,FALSE)=Table14[[#This Row],[Business Definition (To go into comments and into Meta Data Hub)]]</f>
        <v>1</v>
      </c>
      <c r="X135" s="55" t="str">
        <f>VLOOKUP((UPPER(SUBSTITUTE(A135," ","_"))),'[2]Consumer View'!A$2:I$329,1,FALSE)</f>
        <v>ORDER_MANAGEMENT_SYSTEM_EXECUTING_TYPE_NAME</v>
      </c>
      <c r="Y135" s="18" t="s">
        <v>68</v>
      </c>
      <c r="Z135" s="18" t="s">
        <v>113</v>
      </c>
      <c r="AA135" s="18" t="s">
        <v>114</v>
      </c>
      <c r="AB135" s="18"/>
      <c r="AC135" s="18"/>
      <c r="AD135" s="18" t="s">
        <v>754</v>
      </c>
      <c r="AE135" s="46" t="s">
        <v>105</v>
      </c>
      <c r="AF135" s="18"/>
      <c r="AG135" s="18"/>
      <c r="AH135" s="18" t="s">
        <v>71</v>
      </c>
    </row>
    <row r="136" spans="1:34" ht="27" customHeight="1">
      <c r="A136" s="51" t="s">
        <v>762</v>
      </c>
      <c r="B136" s="18" t="s">
        <v>763</v>
      </c>
      <c r="C136" s="18" t="s">
        <v>764</v>
      </c>
      <c r="D136" s="18" t="s">
        <v>139</v>
      </c>
      <c r="E136" s="18" t="s">
        <v>63</v>
      </c>
      <c r="F136" s="18" t="s">
        <v>140</v>
      </c>
      <c r="G136" s="45" t="s">
        <v>63</v>
      </c>
      <c r="H136" s="46" t="s">
        <v>765</v>
      </c>
      <c r="I136" s="18"/>
      <c r="J136" s="18" t="s">
        <v>347</v>
      </c>
      <c r="K136" s="18">
        <v>3</v>
      </c>
      <c r="L136" s="18"/>
      <c r="M136" s="18"/>
      <c r="N136" s="18"/>
      <c r="O136" s="18" t="b">
        <f>VLOOKUP(A136,[1]Model!C$2:J$559,2,FALSE)=B136</f>
        <v>1</v>
      </c>
      <c r="P136" s="18" t="b">
        <f>VLOOKUP(A136,Model!C$2:G$228,5,FALSE)=D136</f>
        <v>1</v>
      </c>
      <c r="Q136" s="18">
        <f>VLOOKUP(A136,[2]Model!C$2:L$228,8,FALSE)</f>
        <v>127</v>
      </c>
      <c r="R136" s="18" t="e">
        <f>VLOOKUP(A136,[2]Model!C$2:G$228,3,FALSE)=[3]!Table14[[#This Row],[Business Definition (To go into comments and into Meta Data Hub)]]</f>
        <v>#REF!</v>
      </c>
      <c r="S136" s="18" t="e">
        <f>IF([3]!Table14[[#This Row],[Nullable in Table and in Oracle View
NULL, NOT NULL]]="No","NOT NULL","NULL")=VLOOKUP(A136,[2]Model!C$2:I$228,6,FALSE)</f>
        <v>#REF!</v>
      </c>
      <c r="T136" s="18" t="e">
        <f>VLOOKUP(B136,[2]Table!A$2:F$415,1,FALSE)=[3]!Table14[[#This Row],[Physical Name of Attribute (Name of column in Table)
Supplied by DA Team]]</f>
        <v>#REF!</v>
      </c>
      <c r="U136" s="18" t="b">
        <f>VLOOKUP(B136,Table!A$2:F$319,2,FALSE)=Table14[[#This Row],[Data type in Oracle
VARCHAR2(n), DATE, NUMBER(m,n), TIMETSTAMP(6)]]</f>
        <v>0</v>
      </c>
      <c r="V136" s="18" t="b">
        <f>VLOOKUP(B136,Table!A$2:F$231,3,FALSE)=Table14[[#This Row],[Nullable in Table and in Oracle View
NULL, NOT NULL]]</f>
        <v>1</v>
      </c>
      <c r="W136" s="18" t="b">
        <f>VLOOKUP(B136,Table!A$2:H$228,6,FALSE)=Table14[[#This Row],[Business Definition (To go into comments and into Meta Data Hub)]]</f>
        <v>1</v>
      </c>
      <c r="X136" s="55" t="str">
        <f>VLOOKUP((UPPER(SUBSTITUTE(A136," ","_"))),'[2]Consumer View'!A$2:I$329,1,FALSE)</f>
        <v>ORDER_MANAGEMENT_SYSTEM_ORDER_KEY</v>
      </c>
      <c r="Y136" s="18" t="s">
        <v>68</v>
      </c>
      <c r="Z136" s="18" t="s">
        <v>69</v>
      </c>
      <c r="AA136" s="18" t="s">
        <v>763</v>
      </c>
      <c r="AB136" s="18"/>
      <c r="AC136" s="18"/>
      <c r="AD136" s="18"/>
      <c r="AE136" s="46"/>
      <c r="AF136" s="18"/>
      <c r="AG136" s="18"/>
      <c r="AH136" s="18" t="s">
        <v>71</v>
      </c>
    </row>
    <row r="137" spans="1:34" ht="27" customHeight="1">
      <c r="A137" s="51" t="s">
        <v>766</v>
      </c>
      <c r="B137" s="18" t="s">
        <v>767</v>
      </c>
      <c r="C137" s="18" t="s">
        <v>768</v>
      </c>
      <c r="D137" s="18" t="s">
        <v>157</v>
      </c>
      <c r="E137" s="18" t="s">
        <v>63</v>
      </c>
      <c r="F137" s="18" t="s">
        <v>158</v>
      </c>
      <c r="G137" s="45" t="s">
        <v>63</v>
      </c>
      <c r="H137" s="46" t="s">
        <v>769</v>
      </c>
      <c r="I137" s="18"/>
      <c r="J137" s="18" t="s">
        <v>347</v>
      </c>
      <c r="K137" s="18">
        <v>3</v>
      </c>
      <c r="L137" s="18"/>
      <c r="M137" s="18"/>
      <c r="N137" s="18"/>
      <c r="O137" s="18" t="b">
        <f>VLOOKUP(A137,[1]Model!C$2:J$559,2,FALSE)=B137</f>
        <v>1</v>
      </c>
      <c r="P137" s="18" t="b">
        <f>VLOOKUP(A137,Model!C$2:G$228,5,FALSE)=D137</f>
        <v>1</v>
      </c>
      <c r="Q137" s="18">
        <f>VLOOKUP(A137,[2]Model!C$2:L$228,8,FALSE)</f>
        <v>22</v>
      </c>
      <c r="R137" s="18" t="e">
        <f>VLOOKUP(A137,[2]Model!C$2:G$228,3,FALSE)=[3]!Table14[[#This Row],[Business Definition (To go into comments and into Meta Data Hub)]]</f>
        <v>#REF!</v>
      </c>
      <c r="S137" s="18" t="e">
        <f>IF([3]!Table14[[#This Row],[Nullable in Table and in Oracle View
NULL, NOT NULL]]="No","NOT NULL","NULL")=VLOOKUP(A137,[2]Model!C$2:I$228,6,FALSE)</f>
        <v>#REF!</v>
      </c>
      <c r="T137" s="18" t="e">
        <f>VLOOKUP(B137,[2]Table!A$2:F$415,1,FALSE)=[3]!Table14[[#This Row],[Physical Name of Attribute (Name of column in Table)
Supplied by DA Team]]</f>
        <v>#REF!</v>
      </c>
      <c r="U137" s="18" t="b">
        <f>VLOOKUP(B137,Table!A$2:F$319,2,FALSE)=Table14[[#This Row],[Data type in Oracle
VARCHAR2(n), DATE, NUMBER(m,n), TIMETSTAMP(6)]]</f>
        <v>1</v>
      </c>
      <c r="V137" s="18" t="b">
        <f>VLOOKUP(B137,Table!A$2:F$231,3,FALSE)=Table14[[#This Row],[Nullable in Table and in Oracle View
NULL, NOT NULL]]</f>
        <v>1</v>
      </c>
      <c r="W137" s="18" t="b">
        <f>VLOOKUP(B137,Table!A$2:H$228,6,FALSE)=Table14[[#This Row],[Business Definition (To go into comments and into Meta Data Hub)]]</f>
        <v>0</v>
      </c>
      <c r="X137" s="55" t="str">
        <f>VLOOKUP((UPPER(SUBSTITUTE(A137," ","_"))),'[2]Consumer View'!A$2:I$329,1,FALSE)</f>
        <v>ORIGINAL_BOOKING_DATE</v>
      </c>
      <c r="Y137" s="18" t="s">
        <v>68</v>
      </c>
      <c r="Z137" s="18" t="s">
        <v>69</v>
      </c>
      <c r="AA137" s="18" t="s">
        <v>767</v>
      </c>
      <c r="AB137" s="18"/>
      <c r="AC137" s="18"/>
      <c r="AD137" s="18"/>
      <c r="AE137" s="46"/>
      <c r="AF137" s="18"/>
      <c r="AG137" s="18"/>
      <c r="AH137" s="18" t="s">
        <v>71</v>
      </c>
    </row>
    <row r="138" spans="1:34" ht="27" customHeight="1">
      <c r="A138" s="51" t="s">
        <v>770</v>
      </c>
      <c r="B138" s="18" t="s">
        <v>771</v>
      </c>
      <c r="C138" s="18" t="s">
        <v>772</v>
      </c>
      <c r="D138" s="18" t="s">
        <v>227</v>
      </c>
      <c r="E138" s="18" t="s">
        <v>63</v>
      </c>
      <c r="F138" s="18" t="s">
        <v>228</v>
      </c>
      <c r="G138" s="45" t="s">
        <v>63</v>
      </c>
      <c r="H138" s="46" t="s">
        <v>773</v>
      </c>
      <c r="I138" s="18"/>
      <c r="J138" s="18" t="s">
        <v>347</v>
      </c>
      <c r="K138" s="18">
        <v>3</v>
      </c>
      <c r="L138" s="18"/>
      <c r="M138" s="18"/>
      <c r="N138" s="18"/>
      <c r="O138" s="18" t="b">
        <f>VLOOKUP(A138,[1]Model!C$2:J$559,2,FALSE)=B138</f>
        <v>1</v>
      </c>
      <c r="P138" s="18" t="b">
        <f>VLOOKUP(A138,Model!C$2:G$228,5,FALSE)=D138</f>
        <v>1</v>
      </c>
      <c r="Q138" s="18">
        <f>VLOOKUP(A138,[2]Model!C$2:L$228,8,FALSE)</f>
        <v>26</v>
      </c>
      <c r="R138" s="18" t="e">
        <f>VLOOKUP(A138,[2]Model!C$2:G$228,3,FALSE)=[3]!Table14[[#This Row],[Business Definition (To go into comments and into Meta Data Hub)]]</f>
        <v>#REF!</v>
      </c>
      <c r="S138" s="18" t="e">
        <f>IF([3]!Table14[[#This Row],[Nullable in Table and in Oracle View
NULL, NOT NULL]]="No","NOT NULL","NULL")=VLOOKUP(A138,[2]Model!C$2:I$228,6,FALSE)</f>
        <v>#REF!</v>
      </c>
      <c r="T138" s="18" t="e">
        <f>VLOOKUP(B138,[2]Table!A$2:F$415,1,FALSE)=[3]!Table14[[#This Row],[Physical Name of Attribute (Name of column in Table)
Supplied by DA Team]]</f>
        <v>#REF!</v>
      </c>
      <c r="U138" s="18" t="b">
        <f>VLOOKUP(B138,Table!A$2:F$319,2,FALSE)=Table14[[#This Row],[Data type in Oracle
VARCHAR2(n), DATE, NUMBER(m,n), TIMETSTAMP(6)]]</f>
        <v>0</v>
      </c>
      <c r="V138" s="18" t="b">
        <f>VLOOKUP(B138,Table!A$2:F$231,3,FALSE)=Table14[[#This Row],[Nullable in Table and in Oracle View
NULL, NOT NULL]]</f>
        <v>1</v>
      </c>
      <c r="W138" s="18" t="b">
        <f>VLOOKUP(B138,Table!A$2:H$228,6,FALSE)=Table14[[#This Row],[Business Definition (To go into comments and into Meta Data Hub)]]</f>
        <v>1</v>
      </c>
      <c r="X138" s="18" t="str">
        <f>VLOOKUP((UPPER(SUBSTITUTE(A138," ","_"))),'[2]Consumer View'!A$2:I$329,1,FALSE)</f>
        <v>ORIGINAL_TRADE_NUMBER</v>
      </c>
      <c r="Y138" s="18" t="s">
        <v>68</v>
      </c>
      <c r="Z138" s="18" t="s">
        <v>69</v>
      </c>
      <c r="AA138" s="18" t="s">
        <v>771</v>
      </c>
      <c r="AB138" s="18"/>
      <c r="AC138" s="18"/>
      <c r="AD138" s="18"/>
      <c r="AE138" s="46"/>
      <c r="AF138" s="18"/>
      <c r="AG138" s="18"/>
      <c r="AH138" s="18" t="s">
        <v>71</v>
      </c>
    </row>
    <row r="139" spans="1:34" ht="27" customHeight="1">
      <c r="A139" s="51" t="s">
        <v>774</v>
      </c>
      <c r="B139" s="18" t="s">
        <v>775</v>
      </c>
      <c r="C139" s="18" t="s">
        <v>776</v>
      </c>
      <c r="D139" s="18" t="s">
        <v>157</v>
      </c>
      <c r="E139" s="18" t="s">
        <v>63</v>
      </c>
      <c r="F139" s="18" t="s">
        <v>158</v>
      </c>
      <c r="G139" s="45" t="s">
        <v>63</v>
      </c>
      <c r="H139" s="46" t="s">
        <v>777</v>
      </c>
      <c r="I139" s="18"/>
      <c r="J139" s="18" t="s">
        <v>347</v>
      </c>
      <c r="K139" s="18">
        <v>3</v>
      </c>
      <c r="L139" s="18"/>
      <c r="M139" s="18"/>
      <c r="N139" s="18"/>
      <c r="O139" s="18" t="b">
        <f>VLOOKUP(A139,[1]Model!C$2:J$559,2,FALSE)=B139</f>
        <v>1</v>
      </c>
      <c r="P139" s="18" t="b">
        <f>VLOOKUP(A139,Model!C$2:G$228,5,FALSE)=D139</f>
        <v>1</v>
      </c>
      <c r="Q139" s="18">
        <f>VLOOKUP(A139,[2]Model!C$2:L$228,8,FALSE)</f>
        <v>128</v>
      </c>
      <c r="R139" s="18" t="e">
        <f>VLOOKUP(A139,[2]Model!C$2:G$228,3,FALSE)=[3]!Table14[[#This Row],[Business Definition (To go into comments and into Meta Data Hub)]]</f>
        <v>#REF!</v>
      </c>
      <c r="S139" s="18" t="e">
        <f>IF([3]!Table14[[#This Row],[Nullable in Table and in Oracle View
NULL, NOT NULL]]="No","NOT NULL","NULL")=VLOOKUP(A139,[2]Model!C$2:I$228,6,FALSE)</f>
        <v>#REF!</v>
      </c>
      <c r="T139" s="18" t="e">
        <f>VLOOKUP(B139,[2]Table!A$2:F$415,1,FALSE)=[3]!Table14[[#This Row],[Physical Name of Attribute (Name of column in Table)
Supplied by DA Team]]</f>
        <v>#REF!</v>
      </c>
      <c r="U139" s="18" t="b">
        <f>VLOOKUP(B139,Table!A$2:F$319,2,FALSE)=Table14[[#This Row],[Data type in Oracle
VARCHAR2(n), DATE, NUMBER(m,n), TIMETSTAMP(6)]]</f>
        <v>1</v>
      </c>
      <c r="V139" s="18" t="b">
        <f>VLOOKUP(B139,Table!A$2:F$231,3,FALSE)=Table14[[#This Row],[Nullable in Table and in Oracle View
NULL, NOT NULL]]</f>
        <v>1</v>
      </c>
      <c r="W139" s="18" t="b">
        <f>VLOOKUP(B139,Table!A$2:H$228,6,FALSE)=Table14[[#This Row],[Business Definition (To go into comments and into Meta Data Hub)]]</f>
        <v>1</v>
      </c>
      <c r="X139" s="55" t="str">
        <f>VLOOKUP((UPPER(SUBSTITUTE(A139," ","_"))),'[2]Consumer View'!A$2:I$329,1,FALSE)</f>
        <v>ORIGNAL_TRADE_DATE</v>
      </c>
      <c r="Y139" s="18" t="s">
        <v>68</v>
      </c>
      <c r="Z139" s="18" t="s">
        <v>69</v>
      </c>
      <c r="AA139" s="18" t="s">
        <v>775</v>
      </c>
      <c r="AB139" s="18"/>
      <c r="AC139" s="18"/>
      <c r="AD139" s="18"/>
      <c r="AE139" s="46"/>
      <c r="AF139" s="18"/>
      <c r="AG139" s="18"/>
      <c r="AH139" s="18" t="s">
        <v>71</v>
      </c>
    </row>
    <row r="140" spans="1:34" ht="27" hidden="1" customHeight="1">
      <c r="A140" s="51" t="s">
        <v>778</v>
      </c>
      <c r="B140" s="18" t="s">
        <v>779</v>
      </c>
      <c r="C140" s="18"/>
      <c r="D140" s="18" t="s">
        <v>101</v>
      </c>
      <c r="E140" s="18" t="s">
        <v>345</v>
      </c>
      <c r="F140" s="18" t="s">
        <v>133</v>
      </c>
      <c r="G140" s="45" t="s">
        <v>63</v>
      </c>
      <c r="H140" s="18" t="s">
        <v>780</v>
      </c>
      <c r="I140" s="18"/>
      <c r="J140" s="18" t="s">
        <v>347</v>
      </c>
      <c r="K140" s="18">
        <v>3</v>
      </c>
      <c r="L140" s="18"/>
      <c r="M140" s="18"/>
      <c r="N140" s="18"/>
      <c r="O140" s="18" t="e">
        <f>VLOOKUP(A140,[1]Model!C$2:J$559,2,FALSE)=B140</f>
        <v>#N/A</v>
      </c>
      <c r="P140" s="18" t="e">
        <f>VLOOKUP(A140,Model!C$2:G$228,5,FALSE)=D140</f>
        <v>#N/A</v>
      </c>
      <c r="Q140" s="18" t="e">
        <f>VLOOKUP(A140,[2]Model!C$2:L$228,8,FALSE)</f>
        <v>#N/A</v>
      </c>
      <c r="R140" s="18" t="e">
        <f>VLOOKUP(A140,[2]Model!C$2:G$228,3,FALSE)=[3]!Table14[[#This Row],[Business Definition (To go into comments and into Meta Data Hub)]]</f>
        <v>#N/A</v>
      </c>
      <c r="S140" s="18" t="e">
        <f>IF([3]!Table14[[#This Row],[Nullable in Table and in Oracle View
NULL, NOT NULL]]="No","NOT NULL","NULL")=VLOOKUP(A140,[2]Model!C$2:I$228,6,FALSE)</f>
        <v>#REF!</v>
      </c>
      <c r="T140" s="18" t="e">
        <f>VLOOKUP(B140,[2]Table!A$2:F$415,1,FALSE)=[3]!Table14[[#This Row],[Physical Name of Attribute (Name of column in Table)
Supplied by DA Team]]</f>
        <v>#REF!</v>
      </c>
      <c r="U140" s="18" t="b">
        <f>VLOOKUP(B140,Table!A$2:F$319,2,FALSE)=Table14[[#This Row],[Data type in Oracle
VARCHAR2(n), DATE, NUMBER(m,n), TIMETSTAMP(6)]]</f>
        <v>1</v>
      </c>
      <c r="V140" s="18" t="b">
        <f>VLOOKUP(B140,Table!A$2:F$231,3,FALSE)=Table14[[#This Row],[Nullable in Table and in Oracle View
NULL, NOT NULL]]</f>
        <v>1</v>
      </c>
      <c r="W140" s="18" t="b">
        <f>VLOOKUP(B140,Table!A$2:H$228,6,FALSE)=Table14[[#This Row],[Business Definition (To go into comments and into Meta Data Hub)]]</f>
        <v>1</v>
      </c>
      <c r="X140" s="55" t="e">
        <f>VLOOKUP((UPPER(SUBSTITUTE(A140," ","_"))),'[2]Consumer View'!A$2:I$329,1,FALSE)</f>
        <v>#N/A</v>
      </c>
      <c r="Y140" s="18" t="s">
        <v>262</v>
      </c>
      <c r="Z140" s="18" t="s">
        <v>263</v>
      </c>
      <c r="AA140" s="18" t="s">
        <v>781</v>
      </c>
      <c r="AB140" s="18"/>
      <c r="AC140" s="18"/>
      <c r="AD140" s="18" t="s">
        <v>782</v>
      </c>
      <c r="AE140" s="46"/>
      <c r="AF140" s="18"/>
      <c r="AG140" s="18"/>
      <c r="AH140" s="18" t="s">
        <v>351</v>
      </c>
    </row>
    <row r="141" spans="1:34" ht="27" customHeight="1">
      <c r="A141" s="51" t="s">
        <v>783</v>
      </c>
      <c r="B141" s="18" t="s">
        <v>784</v>
      </c>
      <c r="C141" s="18"/>
      <c r="D141" s="18" t="s">
        <v>101</v>
      </c>
      <c r="E141" s="18" t="s">
        <v>63</v>
      </c>
      <c r="F141" s="18" t="s">
        <v>133</v>
      </c>
      <c r="G141" s="45" t="s">
        <v>63</v>
      </c>
      <c r="H141" s="46" t="s">
        <v>785</v>
      </c>
      <c r="I141" s="18"/>
      <c r="J141" s="18" t="s">
        <v>67</v>
      </c>
      <c r="K141" s="18">
        <v>3</v>
      </c>
      <c r="L141" s="18"/>
      <c r="M141" s="18"/>
      <c r="N141" s="18"/>
      <c r="O141" s="18" t="b">
        <f>VLOOKUP(A141,[1]Model!C$2:J$559,2,FALSE)=B141</f>
        <v>1</v>
      </c>
      <c r="P141" s="18" t="e">
        <f>VLOOKUP(A141,Model!C$2:G$228,5,FALSE)=D141</f>
        <v>#N/A</v>
      </c>
      <c r="Q141" s="18">
        <f>VLOOKUP(A141,[2]Model!C$2:L$228,8,FALSE)</f>
        <v>202</v>
      </c>
      <c r="R141" s="18" t="e">
        <f>VLOOKUP(A141,[2]Model!C$2:G$228,3,FALSE)=[3]!Table14[[#This Row],[Business Definition (To go into comments and into Meta Data Hub)]]</f>
        <v>#REF!</v>
      </c>
      <c r="S141" s="18" t="e">
        <f>IF([3]!Table14[[#This Row],[Nullable in Table and in Oracle View
NULL, NOT NULL]]="No","NOT NULL","NULL")=VLOOKUP(A141,[2]Model!C$2:I$228,6,FALSE)</f>
        <v>#REF!</v>
      </c>
      <c r="T141" s="18" t="e">
        <f>VLOOKUP(B141,[2]Table!A$2:F$415,1,FALSE)=[3]!Table14[[#This Row],[Physical Name of Attribute (Name of column in Table)
Supplied by DA Team]]</f>
        <v>#REF!</v>
      </c>
      <c r="U141" s="18" t="b">
        <f>VLOOKUP(B141,Table!A$2:F$319,2,FALSE)=Table14[[#This Row],[Data type in Oracle
VARCHAR2(n), DATE, NUMBER(m,n), TIMETSTAMP(6)]]</f>
        <v>1</v>
      </c>
      <c r="V141" s="18" t="b">
        <f>VLOOKUP(B141,Table!A$2:F$231,3,FALSE)=Table14[[#This Row],[Nullable in Table and in Oracle View
NULL, NOT NULL]]</f>
        <v>1</v>
      </c>
      <c r="W141" s="18" t="b">
        <f>VLOOKUP(B141,Table!A$2:H$228,6,FALSE)=Table14[[#This Row],[Business Definition (To go into comments and into Meta Data Hub)]]</f>
        <v>1</v>
      </c>
      <c r="X141" s="18" t="e">
        <f>VLOOKUP((UPPER(SUBSTITUTE(A141," ","_"))),'[2]Consumer View'!A$2:I$329,1,FALSE)</f>
        <v>#N/A</v>
      </c>
      <c r="Y141" s="18" t="s">
        <v>68</v>
      </c>
      <c r="Z141" s="18" t="s">
        <v>69</v>
      </c>
      <c r="AA141" s="18" t="s">
        <v>786</v>
      </c>
      <c r="AB141" s="18"/>
      <c r="AC141" s="18"/>
      <c r="AD141" s="18" t="s">
        <v>787</v>
      </c>
      <c r="AE141" s="46" t="s">
        <v>284</v>
      </c>
      <c r="AF141" s="18"/>
      <c r="AG141" s="18"/>
      <c r="AH141" s="18" t="s">
        <v>71</v>
      </c>
    </row>
    <row r="142" spans="1:34" ht="27" customHeight="1">
      <c r="A142" s="51" t="s">
        <v>788</v>
      </c>
      <c r="B142" s="18" t="s">
        <v>789</v>
      </c>
      <c r="C142" s="18" t="s">
        <v>790</v>
      </c>
      <c r="D142" s="18" t="s">
        <v>139</v>
      </c>
      <c r="E142" s="18" t="s">
        <v>63</v>
      </c>
      <c r="F142" s="18" t="s">
        <v>140</v>
      </c>
      <c r="G142" s="45" t="s">
        <v>63</v>
      </c>
      <c r="H142" s="46" t="s">
        <v>791</v>
      </c>
      <c r="I142" s="18"/>
      <c r="J142" s="18" t="s">
        <v>67</v>
      </c>
      <c r="K142" s="18">
        <v>3</v>
      </c>
      <c r="L142" s="18"/>
      <c r="M142" s="18"/>
      <c r="N142" s="18"/>
      <c r="O142" s="18" t="b">
        <f>VLOOKUP(A142,[1]Model!C$2:J$559,2,FALSE)=B142</f>
        <v>1</v>
      </c>
      <c r="P142" s="18" t="e">
        <f>VLOOKUP(A142,Model!C$2:G$228,5,FALSE)=D142</f>
        <v>#N/A</v>
      </c>
      <c r="Q142" s="18">
        <f>VLOOKUP(A142,[2]Model!C$2:L$228,8,FALSE)</f>
        <v>203</v>
      </c>
      <c r="R142" s="18" t="e">
        <f>VLOOKUP(A142,[2]Model!C$2:G$228,3,FALSE)=[3]!Table14[[#This Row],[Business Definition (To go into comments and into Meta Data Hub)]]</f>
        <v>#REF!</v>
      </c>
      <c r="S142" s="18" t="e">
        <f>IF([3]!Table14[[#This Row],[Nullable in Table and in Oracle View
NULL, NOT NULL]]="No","NOT NULL","NULL")=VLOOKUP(A142,[2]Model!C$2:I$228,6,FALSE)</f>
        <v>#REF!</v>
      </c>
      <c r="T142" s="18" t="e">
        <f>VLOOKUP(B142,[2]Table!A$2:F$415,1,FALSE)=[3]!Table14[[#This Row],[Physical Name of Attribute (Name of column in Table)
Supplied by DA Team]]</f>
        <v>#REF!</v>
      </c>
      <c r="U142" s="18" t="b">
        <f>VLOOKUP(B142,Table!A$2:F$319,2,FALSE)=Table14[[#This Row],[Data type in Oracle
VARCHAR2(n), DATE, NUMBER(m,n), TIMETSTAMP(6)]]</f>
        <v>0</v>
      </c>
      <c r="V142" s="18" t="b">
        <f>VLOOKUP(B142,Table!A$2:F$231,3,FALSE)=Table14[[#This Row],[Nullable in Table and in Oracle View
NULL, NOT NULL]]</f>
        <v>1</v>
      </c>
      <c r="W142" s="18" t="b">
        <f>VLOOKUP(B142,Table!A$2:H$228,6,FALSE)=Table14[[#This Row],[Business Definition (To go into comments and into Meta Data Hub)]]</f>
        <v>1</v>
      </c>
      <c r="X142" s="18" t="e">
        <f>VLOOKUP((UPPER(SUBSTITUTE(A142," ","_"))),'[2]Consumer View'!A$2:I$329,1,FALSE)</f>
        <v>#N/A</v>
      </c>
      <c r="Y142" s="18" t="s">
        <v>262</v>
      </c>
      <c r="Z142" s="18" t="s">
        <v>263</v>
      </c>
      <c r="AA142" s="18" t="s">
        <v>792</v>
      </c>
      <c r="AB142" s="18"/>
      <c r="AC142" s="18"/>
      <c r="AD142" s="18" t="s">
        <v>782</v>
      </c>
      <c r="AE142" s="46" t="s">
        <v>284</v>
      </c>
      <c r="AF142" s="18"/>
      <c r="AG142" s="18"/>
      <c r="AH142" s="18" t="s">
        <v>71</v>
      </c>
    </row>
    <row r="143" spans="1:34" ht="27" customHeight="1">
      <c r="A143" s="51" t="s">
        <v>793</v>
      </c>
      <c r="B143" s="18" t="s">
        <v>794</v>
      </c>
      <c r="C143" s="18"/>
      <c r="D143" s="18" t="s">
        <v>101</v>
      </c>
      <c r="E143" s="18" t="s">
        <v>63</v>
      </c>
      <c r="F143" s="18" t="s">
        <v>133</v>
      </c>
      <c r="G143" s="45" t="s">
        <v>63</v>
      </c>
      <c r="H143" s="46" t="s">
        <v>795</v>
      </c>
      <c r="I143" s="46"/>
      <c r="J143" s="18" t="s">
        <v>67</v>
      </c>
      <c r="K143" s="18">
        <v>3</v>
      </c>
      <c r="L143" s="18"/>
      <c r="M143" s="18"/>
      <c r="N143" s="18"/>
      <c r="O143" s="18" t="b">
        <f>VLOOKUP(A143,[1]Model!C$2:J$559,2,FALSE)=B143</f>
        <v>1</v>
      </c>
      <c r="P143" s="18" t="e">
        <f>VLOOKUP(A143,Model!C$2:G$228,5,FALSE)=D143</f>
        <v>#N/A</v>
      </c>
      <c r="Q143" s="18">
        <f>VLOOKUP(A143,[2]Model!C$2:L$228,8,FALSE)</f>
        <v>205</v>
      </c>
      <c r="R143" s="18" t="e">
        <f>VLOOKUP(A143,[2]Model!C$2:G$228,3,FALSE)=[3]!Table14[[#This Row],[Business Definition (To go into comments and into Meta Data Hub)]]</f>
        <v>#REF!</v>
      </c>
      <c r="S143" s="18" t="e">
        <f>IF([3]!Table14[[#This Row],[Nullable in Table and in Oracle View
NULL, NOT NULL]]="No","NOT NULL","NULL")=VLOOKUP(A143,[2]Model!C$2:I$228,6,FALSE)</f>
        <v>#REF!</v>
      </c>
      <c r="T143" s="18" t="e">
        <f>VLOOKUP(B143,[2]Table!A$2:F$415,1,FALSE)=[3]!Table14[[#This Row],[Physical Name of Attribute (Name of column in Table)
Supplied by DA Team]]</f>
        <v>#REF!</v>
      </c>
      <c r="U143" s="18" t="b">
        <f>VLOOKUP(B143,Table!A$2:F$319,2,FALSE)=Table14[[#This Row],[Data type in Oracle
VARCHAR2(n), DATE, NUMBER(m,n), TIMETSTAMP(6)]]</f>
        <v>1</v>
      </c>
      <c r="V143" s="18" t="b">
        <f>VLOOKUP(B143,Table!A$2:F$231,3,FALSE)=Table14[[#This Row],[Nullable in Table and in Oracle View
NULL, NOT NULL]]</f>
        <v>1</v>
      </c>
      <c r="W143" s="18" t="b">
        <f>VLOOKUP(B143,Table!A$2:H$228,6,FALSE)=Table14[[#This Row],[Business Definition (To go into comments and into Meta Data Hub)]]</f>
        <v>1</v>
      </c>
      <c r="X143" s="18" t="str">
        <f>VLOOKUP((UPPER(SUBSTITUTE(A143," ","_"))),'[2]Consumer View'!A$2:I$329,1,FALSE)</f>
        <v>RELATED_TRANSACTION_RELATIONSHIP_TYPE_ID</v>
      </c>
      <c r="Y143" s="18" t="s">
        <v>68</v>
      </c>
      <c r="Z143" s="18" t="s">
        <v>796</v>
      </c>
      <c r="AA143" s="18" t="s">
        <v>797</v>
      </c>
      <c r="AB143" s="18"/>
      <c r="AC143" s="18"/>
      <c r="AD143" s="18" t="s">
        <v>798</v>
      </c>
      <c r="AE143" s="46"/>
      <c r="AF143" s="18"/>
      <c r="AG143" s="18"/>
      <c r="AH143" s="18" t="s">
        <v>71</v>
      </c>
    </row>
    <row r="144" spans="1:34" ht="27" customHeight="1">
      <c r="A144" s="51" t="s">
        <v>799</v>
      </c>
      <c r="B144" s="18" t="s">
        <v>800</v>
      </c>
      <c r="C144" s="18" t="s">
        <v>801</v>
      </c>
      <c r="D144" s="18" t="s">
        <v>139</v>
      </c>
      <c r="E144" s="18" t="s">
        <v>63</v>
      </c>
      <c r="F144" s="18" t="s">
        <v>140</v>
      </c>
      <c r="G144" s="45" t="s">
        <v>63</v>
      </c>
      <c r="H144" s="46" t="s">
        <v>802</v>
      </c>
      <c r="I144" s="18"/>
      <c r="J144" s="18" t="s">
        <v>67</v>
      </c>
      <c r="K144" s="18">
        <v>3</v>
      </c>
      <c r="L144" s="18"/>
      <c r="M144" s="18"/>
      <c r="N144" s="18"/>
      <c r="O144" s="18" t="b">
        <f>VLOOKUP(A144,[1]Model!C$2:J$559,2,FALSE)=B144</f>
        <v>1</v>
      </c>
      <c r="P144" s="18" t="e">
        <f>VLOOKUP(A144,Model!C$2:G$228,5,FALSE)=D144</f>
        <v>#N/A</v>
      </c>
      <c r="Q144" s="18">
        <f>VLOOKUP(A144,[2]Model!C$2:L$228,8,FALSE)</f>
        <v>206</v>
      </c>
      <c r="R144" s="18" t="e">
        <f>VLOOKUP(A144,[2]Model!C$2:G$228,3,FALSE)=[3]!Table14[[#This Row],[Business Definition (To go into comments and into Meta Data Hub)]]</f>
        <v>#REF!</v>
      </c>
      <c r="S144" s="18" t="e">
        <f>IF([3]!Table14[[#This Row],[Nullable in Table and in Oracle View
NULL, NOT NULL]]="No","NOT NULL","NULL")=VLOOKUP(A144,[2]Model!C$2:I$228,6,FALSE)</f>
        <v>#REF!</v>
      </c>
      <c r="T144" s="18" t="e">
        <f>VLOOKUP(B144,[2]Table!A$2:F$415,1,FALSE)=[3]!Table14[[#This Row],[Physical Name of Attribute (Name of column in Table)
Supplied by DA Team]]</f>
        <v>#REF!</v>
      </c>
      <c r="U144" s="18" t="b">
        <f>VLOOKUP(B144,Table!A$2:F$319,2,FALSE)=Table14[[#This Row],[Data type in Oracle
VARCHAR2(n), DATE, NUMBER(m,n), TIMETSTAMP(6)]]</f>
        <v>0</v>
      </c>
      <c r="V144" s="18" t="b">
        <f>VLOOKUP(B144,Table!A$2:F$231,3,FALSE)=Table14[[#This Row],[Nullable in Table and in Oracle View
NULL, NOT NULL]]</f>
        <v>1</v>
      </c>
      <c r="W144" s="18" t="b">
        <f>VLOOKUP(B144,Table!A$2:H$228,6,FALSE)=Table14[[#This Row],[Business Definition (To go into comments and into Meta Data Hub)]]</f>
        <v>1</v>
      </c>
      <c r="X144" s="18" t="str">
        <f>VLOOKUP((UPPER(SUBSTITUTE(A144," ","_"))),'[2]Consumer View'!A$2:I$329,1,FALSE)</f>
        <v>RELATED_TRANSACTION_RELATIONSHIP_TYPE_CODE</v>
      </c>
      <c r="Y144" s="18" t="s">
        <v>68</v>
      </c>
      <c r="Z144" s="18" t="s">
        <v>113</v>
      </c>
      <c r="AA144" s="18" t="s">
        <v>143</v>
      </c>
      <c r="AB144" s="18"/>
      <c r="AC144" s="18"/>
      <c r="AD144" s="18" t="s">
        <v>803</v>
      </c>
      <c r="AE144" s="46"/>
      <c r="AF144" s="18"/>
      <c r="AG144" s="18"/>
      <c r="AH144" s="18" t="s">
        <v>71</v>
      </c>
    </row>
    <row r="145" spans="1:34" ht="27" customHeight="1">
      <c r="A145" s="51" t="s">
        <v>804</v>
      </c>
      <c r="B145" s="18" t="s">
        <v>805</v>
      </c>
      <c r="C145" s="18" t="s">
        <v>806</v>
      </c>
      <c r="D145" s="18" t="s">
        <v>90</v>
      </c>
      <c r="E145" s="18" t="s">
        <v>63</v>
      </c>
      <c r="F145" s="18" t="s">
        <v>91</v>
      </c>
      <c r="G145" s="45" t="s">
        <v>63</v>
      </c>
      <c r="H145" s="46" t="s">
        <v>807</v>
      </c>
      <c r="I145" s="18"/>
      <c r="J145" s="18" t="s">
        <v>67</v>
      </c>
      <c r="K145" s="18">
        <v>3</v>
      </c>
      <c r="L145" s="18"/>
      <c r="M145" s="18"/>
      <c r="N145" s="18"/>
      <c r="O145" s="18" t="b">
        <f>VLOOKUP(A145,[1]Model!C$2:J$559,2,FALSE)=B145</f>
        <v>1</v>
      </c>
      <c r="P145" s="18" t="e">
        <f>VLOOKUP(A145,Model!C$2:G$228,5,FALSE)=D145</f>
        <v>#N/A</v>
      </c>
      <c r="Q145" s="18">
        <f>VLOOKUP(A145,[2]Model!C$2:L$228,8,FALSE)</f>
        <v>207</v>
      </c>
      <c r="R145" s="18" t="e">
        <f>VLOOKUP(A145,[2]Model!C$2:G$228,3,FALSE)=[3]!Table14[[#This Row],[Business Definition (To go into comments and into Meta Data Hub)]]</f>
        <v>#REF!</v>
      </c>
      <c r="S145" s="18" t="e">
        <f>IF([3]!Table14[[#This Row],[Nullable in Table and in Oracle View
NULL, NOT NULL]]="No","NOT NULL","NULL")=VLOOKUP(A145,[2]Model!C$2:I$228,6,FALSE)</f>
        <v>#REF!</v>
      </c>
      <c r="T145" s="18" t="e">
        <f>VLOOKUP(B145,[2]Table!A$2:F$415,1,FALSE)=[3]!Table14[[#This Row],[Physical Name of Attribute (Name of column in Table)
Supplied by DA Team]]</f>
        <v>#REF!</v>
      </c>
      <c r="U145" s="18" t="b">
        <f>VLOOKUP(B145,Table!A$2:F$319,2,FALSE)=Table14[[#This Row],[Data type in Oracle
VARCHAR2(n), DATE, NUMBER(m,n), TIMETSTAMP(6)]]</f>
        <v>0</v>
      </c>
      <c r="V145" s="18" t="b">
        <f>VLOOKUP(B145,Table!A$2:F$231,3,FALSE)=Table14[[#This Row],[Nullable in Table and in Oracle View
NULL, NOT NULL]]</f>
        <v>1</v>
      </c>
      <c r="W145" s="18" t="b">
        <f>VLOOKUP(B145,Table!A$2:H$228,6,FALSE)=Table14[[#This Row],[Business Definition (To go into comments and into Meta Data Hub)]]</f>
        <v>1</v>
      </c>
      <c r="X145" s="18" t="str">
        <f>VLOOKUP((UPPER(SUBSTITUTE(A145," ","_"))),'[2]Consumer View'!A$2:I$329,1,FALSE)</f>
        <v>RELATED_TRANSACTION_RELATIONSHIP_TYPE_NAME</v>
      </c>
      <c r="Y145" s="18" t="s">
        <v>68</v>
      </c>
      <c r="Z145" s="18" t="s">
        <v>113</v>
      </c>
      <c r="AA145" s="18" t="s">
        <v>114</v>
      </c>
      <c r="AB145" s="18"/>
      <c r="AC145" s="18"/>
      <c r="AD145" s="18" t="s">
        <v>803</v>
      </c>
      <c r="AE145" s="46"/>
      <c r="AF145" s="18"/>
      <c r="AG145" s="18"/>
      <c r="AH145" s="18" t="s">
        <v>71</v>
      </c>
    </row>
    <row r="146" spans="1:34" ht="27" customHeight="1">
      <c r="A146" s="51" t="s">
        <v>808</v>
      </c>
      <c r="B146" s="18" t="s">
        <v>809</v>
      </c>
      <c r="C146" s="18" t="s">
        <v>810</v>
      </c>
      <c r="D146" s="18" t="s">
        <v>559</v>
      </c>
      <c r="E146" s="18" t="s">
        <v>63</v>
      </c>
      <c r="F146" s="18" t="s">
        <v>560</v>
      </c>
      <c r="G146" s="45" t="s">
        <v>63</v>
      </c>
      <c r="H146" s="46" t="s">
        <v>811</v>
      </c>
      <c r="I146" s="18"/>
      <c r="J146" s="18" t="s">
        <v>67</v>
      </c>
      <c r="K146" s="18">
        <v>3</v>
      </c>
      <c r="L146" s="18"/>
      <c r="M146" s="18"/>
      <c r="N146" s="18"/>
      <c r="O146" s="18" t="b">
        <f>VLOOKUP(A146,[1]Model!C$2:J$559,2,FALSE)=B146</f>
        <v>1</v>
      </c>
      <c r="P146" s="18" t="e">
        <f>VLOOKUP(A146,Model!C$2:G$228,5,FALSE)=D146</f>
        <v>#N/A</v>
      </c>
      <c r="Q146" s="18">
        <f>VLOOKUP(A146,[2]Model!C$2:L$228,8,FALSE)</f>
        <v>34</v>
      </c>
      <c r="R146" s="18" t="e">
        <f>VLOOKUP(A146,[2]Model!C$2:G$228,3,FALSE)=[3]!Table14[[#This Row],[Business Definition (To go into comments and into Meta Data Hub)]]</f>
        <v>#REF!</v>
      </c>
      <c r="S146" s="18" t="e">
        <f>IF([3]!Table14[[#This Row],[Nullable in Table and in Oracle View
NULL, NOT NULL]]="No","NOT NULL","NULL")=VLOOKUP(A146,[2]Model!C$2:I$228,6,FALSE)</f>
        <v>#REF!</v>
      </c>
      <c r="T146" s="18" t="e">
        <f>VLOOKUP(B146,[2]Table!A$2:F$415,1,FALSE)=[3]!Table14[[#This Row],[Physical Name of Attribute (Name of column in Table)
Supplied by DA Team]]</f>
        <v>#REF!</v>
      </c>
      <c r="U146" s="18" t="b">
        <f>VLOOKUP(B146,Table!A$2:F$319,2,FALSE)=Table14[[#This Row],[Data type in Oracle
VARCHAR2(n), DATE, NUMBER(m,n), TIMETSTAMP(6)]]</f>
        <v>1</v>
      </c>
      <c r="V146" s="18" t="b">
        <f>VLOOKUP(B146,Table!A$2:F$231,3,FALSE)=Table14[[#This Row],[Nullable in Table and in Oracle View
NULL, NOT NULL]]</f>
        <v>1</v>
      </c>
      <c r="W146" s="18" t="b">
        <f>VLOOKUP(B146,Table!A$2:H$228,6,FALSE)=Table14[[#This Row],[Business Definition (To go into comments and into Meta Data Hub)]]</f>
        <v>1</v>
      </c>
      <c r="X146" s="18" t="str">
        <f>VLOOKUP((UPPER(SUBSTITUTE(A146," ","_"))),'[2]Consumer View'!A$2:I$329,1,FALSE)</f>
        <v>SALES_CHARGE_RATE_MULTIPLIER_NUMBER</v>
      </c>
      <c r="Y146" s="18" t="s">
        <v>68</v>
      </c>
      <c r="Z146" s="18" t="s">
        <v>375</v>
      </c>
      <c r="AA146" s="18" t="s">
        <v>812</v>
      </c>
      <c r="AB146" s="18"/>
      <c r="AC146" s="18"/>
      <c r="AD146" s="46" t="s">
        <v>813</v>
      </c>
      <c r="AE146" s="46" t="s">
        <v>814</v>
      </c>
      <c r="AF146" s="18"/>
      <c r="AG146" s="18"/>
      <c r="AH146" s="18" t="s">
        <v>71</v>
      </c>
    </row>
    <row r="147" spans="1:34" ht="27" customHeight="1">
      <c r="A147" s="51" t="s">
        <v>815</v>
      </c>
      <c r="B147" s="18" t="s">
        <v>816</v>
      </c>
      <c r="C147" s="18" t="s">
        <v>817</v>
      </c>
      <c r="D147" s="55" t="s">
        <v>559</v>
      </c>
      <c r="E147" s="18" t="s">
        <v>63</v>
      </c>
      <c r="F147" s="18" t="s">
        <v>560</v>
      </c>
      <c r="G147" s="45" t="s">
        <v>63</v>
      </c>
      <c r="H147" s="46" t="s">
        <v>818</v>
      </c>
      <c r="I147" s="18"/>
      <c r="J147" s="18" t="s">
        <v>381</v>
      </c>
      <c r="K147" s="18">
        <v>3</v>
      </c>
      <c r="L147" s="18"/>
      <c r="M147" s="18"/>
      <c r="N147" s="18"/>
      <c r="O147" s="18" t="b">
        <f>VLOOKUP(A147,[1]Model!C$2:J$559,2,FALSE)=B147</f>
        <v>1</v>
      </c>
      <c r="P147" s="18" t="e">
        <f>VLOOKUP(A147,Model!C$2:G$228,5,FALSE)=D147</f>
        <v>#N/A</v>
      </c>
      <c r="Q147" s="18">
        <f>VLOOKUP(A147,[2]Model!C$2:L$228,8,FALSE)</f>
        <v>33</v>
      </c>
      <c r="R147" s="18" t="e">
        <f>VLOOKUP(A147,[2]Model!C$2:G$228,3,FALSE)=[3]!Table14[[#This Row],[Business Definition (To go into comments and into Meta Data Hub)]]</f>
        <v>#REF!</v>
      </c>
      <c r="S147" s="18" t="e">
        <f>IF([3]!Table14[[#This Row],[Nullable in Table and in Oracle View
NULL, NOT NULL]]="No","NOT NULL","NULL")=VLOOKUP(A147,[2]Model!C$2:I$228,6,FALSE)</f>
        <v>#REF!</v>
      </c>
      <c r="T147" s="18" t="e">
        <f>VLOOKUP(B147,[2]Table!A$2:F$415,1,FALSE)=[3]!Table14[[#This Row],[Physical Name of Attribute (Name of column in Table)
Supplied by DA Team]]</f>
        <v>#REF!</v>
      </c>
      <c r="U147" s="18" t="b">
        <f>VLOOKUP(B147,Table!A$2:F$319,2,FALSE)=Table14[[#This Row],[Data type in Oracle
VARCHAR2(n), DATE, NUMBER(m,n), TIMETSTAMP(6)]]</f>
        <v>1</v>
      </c>
      <c r="V147" s="18" t="b">
        <f>VLOOKUP(B147,Table!A$2:F$231,3,FALSE)=Table14[[#This Row],[Nullable in Table and in Oracle View
NULL, NOT NULL]]</f>
        <v>1</v>
      </c>
      <c r="W147" s="18" t="b">
        <f>VLOOKUP(B147,Table!A$2:H$228,6,FALSE)=Table14[[#This Row],[Business Definition (To go into comments and into Meta Data Hub)]]</f>
        <v>1</v>
      </c>
      <c r="X147" s="55" t="str">
        <f>VLOOKUP((UPPER(SUBSTITUTE(A147," ","_"))),'[2]Consumer View'!A$2:I$329,1,FALSE)</f>
        <v>SALES_CHARGE_RATE</v>
      </c>
      <c r="Y147" s="18" t="s">
        <v>68</v>
      </c>
      <c r="Z147" s="18" t="s">
        <v>375</v>
      </c>
      <c r="AA147" s="18" t="s">
        <v>812</v>
      </c>
      <c r="AB147" s="18"/>
      <c r="AC147" s="18"/>
      <c r="AD147" s="46" t="s">
        <v>819</v>
      </c>
      <c r="AE147" s="46" t="s">
        <v>820</v>
      </c>
      <c r="AF147" s="18"/>
      <c r="AG147" s="18"/>
      <c r="AH147" s="18" t="s">
        <v>821</v>
      </c>
    </row>
    <row r="148" spans="1:34" ht="27" customHeight="1">
      <c r="A148" s="51" t="s">
        <v>822</v>
      </c>
      <c r="B148" s="18" t="s">
        <v>823</v>
      </c>
      <c r="C148" s="18" t="s">
        <v>824</v>
      </c>
      <c r="D148" s="55" t="s">
        <v>139</v>
      </c>
      <c r="E148" s="18" t="s">
        <v>63</v>
      </c>
      <c r="F148" s="18" t="s">
        <v>140</v>
      </c>
      <c r="G148" s="45" t="s">
        <v>63</v>
      </c>
      <c r="H148" s="46" t="s">
        <v>825</v>
      </c>
      <c r="I148" s="18"/>
      <c r="J148" s="18" t="s">
        <v>381</v>
      </c>
      <c r="K148" s="18">
        <v>3</v>
      </c>
      <c r="L148" s="18"/>
      <c r="M148" s="18"/>
      <c r="N148" s="18"/>
      <c r="O148" s="18" t="b">
        <f>VLOOKUP(A148,[1]Model!C$2:J$559,2,FALSE)=B148</f>
        <v>1</v>
      </c>
      <c r="P148" s="18" t="e">
        <f>VLOOKUP(A148,Model!C$2:G$228,5,FALSE)=D148</f>
        <v>#N/A</v>
      </c>
      <c r="Q148" s="18">
        <f>VLOOKUP(A148,[2]Model!C$2:L$228,8,FALSE)</f>
        <v>36</v>
      </c>
      <c r="R148" s="18" t="e">
        <f>VLOOKUP(A148,[2]Model!C$2:G$228,3,FALSE)=[3]!Table14[[#This Row],[Business Definition (To go into comments and into Meta Data Hub)]]</f>
        <v>#REF!</v>
      </c>
      <c r="S148" s="18" t="e">
        <f>IF([3]!Table14[[#This Row],[Nullable in Table and in Oracle View
NULL, NOT NULL]]="No","NOT NULL","NULL")=VLOOKUP(A148,[2]Model!C$2:I$228,6,FALSE)</f>
        <v>#REF!</v>
      </c>
      <c r="T148" s="18" t="e">
        <f>VLOOKUP(B148,[2]Table!A$2:F$415,1,FALSE)=[3]!Table14[[#This Row],[Physical Name of Attribute (Name of column in Table)
Supplied by DA Team]]</f>
        <v>#REF!</v>
      </c>
      <c r="U148" s="18" t="b">
        <f>VLOOKUP(B148,Table!A$2:F$319,2,FALSE)=Table14[[#This Row],[Data type in Oracle
VARCHAR2(n), DATE, NUMBER(m,n), TIMETSTAMP(6)]]</f>
        <v>0</v>
      </c>
      <c r="V148" s="18" t="b">
        <f>VLOOKUP(B148,Table!A$2:F$231,3,FALSE)=Table14[[#This Row],[Nullable in Table and in Oracle View
NULL, NOT NULL]]</f>
        <v>1</v>
      </c>
      <c r="W148" s="18" t="b">
        <f>VLOOKUP(B148,Table!A$2:H$228,6,FALSE)=Table14[[#This Row],[Business Definition (To go into comments and into Meta Data Hub)]]</f>
        <v>1</v>
      </c>
      <c r="X148" s="55" t="str">
        <f>VLOOKUP((UPPER(SUBSTITUTE(A148," ","_"))),'[2]Consumer View'!A$2:I$329,1,FALSE)</f>
        <v>SALES_CHARGE_RATE_TYPE_CODE</v>
      </c>
      <c r="Y148" s="18" t="s">
        <v>68</v>
      </c>
      <c r="Z148" s="18" t="s">
        <v>113</v>
      </c>
      <c r="AA148" s="18" t="s">
        <v>143</v>
      </c>
      <c r="AB148" s="18"/>
      <c r="AC148" s="18"/>
      <c r="AD148" s="46" t="s">
        <v>826</v>
      </c>
      <c r="AE148" s="46" t="s">
        <v>820</v>
      </c>
      <c r="AF148" s="18"/>
      <c r="AG148" s="18"/>
      <c r="AH148" s="18" t="s">
        <v>71</v>
      </c>
    </row>
    <row r="149" spans="1:34" ht="27" customHeight="1">
      <c r="A149" s="51" t="s">
        <v>827</v>
      </c>
      <c r="B149" s="18" t="s">
        <v>828</v>
      </c>
      <c r="C149" s="18"/>
      <c r="D149" s="18" t="s">
        <v>101</v>
      </c>
      <c r="E149" s="18" t="s">
        <v>63</v>
      </c>
      <c r="F149" s="18" t="s">
        <v>133</v>
      </c>
      <c r="G149" s="45" t="s">
        <v>63</v>
      </c>
      <c r="H149" s="46" t="s">
        <v>829</v>
      </c>
      <c r="I149" s="18"/>
      <c r="J149" s="18" t="s">
        <v>347</v>
      </c>
      <c r="K149" s="18">
        <v>3</v>
      </c>
      <c r="L149" s="18"/>
      <c r="M149" s="18"/>
      <c r="N149" s="18"/>
      <c r="O149" s="18" t="b">
        <f>VLOOKUP(A149,[1]Model!C$2:J$559,2,FALSE)=B149</f>
        <v>1</v>
      </c>
      <c r="P149" s="18" t="e">
        <f>VLOOKUP(A149,Model!C$2:G$228,5,FALSE)=D149</f>
        <v>#N/A</v>
      </c>
      <c r="Q149" s="18">
        <f>VLOOKUP(A149,[2]Model!C$2:L$228,8,FALSE)</f>
        <v>35</v>
      </c>
      <c r="R149" s="18" t="e">
        <f>VLOOKUP(A149,[2]Model!C$2:G$228,3,FALSE)=[3]!Table14[[#This Row],[Business Definition (To go into comments and into Meta Data Hub)]]</f>
        <v>#REF!</v>
      </c>
      <c r="S149" s="18" t="e">
        <f>IF([3]!Table14[[#This Row],[Nullable in Table and in Oracle View
NULL, NOT NULL]]="No","NOT NULL","NULL")=VLOOKUP(A149,[2]Model!C$2:I$228,6,FALSE)</f>
        <v>#REF!</v>
      </c>
      <c r="T149" s="18" t="e">
        <f>VLOOKUP(B149,[2]Table!A$2:F$415,1,FALSE)=[3]!Table14[[#This Row],[Physical Name of Attribute (Name of column in Table)
Supplied by DA Team]]</f>
        <v>#REF!</v>
      </c>
      <c r="U149" s="18" t="b">
        <f>VLOOKUP(B149,Table!A$2:F$319,2,FALSE)=Table14[[#This Row],[Data type in Oracle
VARCHAR2(n), DATE, NUMBER(m,n), TIMETSTAMP(6)]]</f>
        <v>1</v>
      </c>
      <c r="V149" s="18" t="b">
        <f>VLOOKUP(B149,Table!A$2:F$231,3,FALSE)=Table14[[#This Row],[Nullable in Table and in Oracle View
NULL, NOT NULL]]</f>
        <v>1</v>
      </c>
      <c r="W149" s="18" t="b">
        <f>VLOOKUP(B149,Table!A$2:H$228,6,FALSE)=Table14[[#This Row],[Business Definition (To go into comments and into Meta Data Hub)]]</f>
        <v>1</v>
      </c>
      <c r="X149" s="55" t="str">
        <f>VLOOKUP((UPPER(SUBSTITUTE(A149," ","_"))),'[2]Consumer View'!A$2:I$329,1,FALSE)</f>
        <v>SALES_CHARGE_RATE_TYPE_ID</v>
      </c>
      <c r="Y149" s="18" t="s">
        <v>68</v>
      </c>
      <c r="Z149" s="18" t="s">
        <v>375</v>
      </c>
      <c r="AA149" s="18" t="s">
        <v>828</v>
      </c>
      <c r="AB149" s="18"/>
      <c r="AC149" s="18"/>
      <c r="AD149" s="46" t="s">
        <v>830</v>
      </c>
      <c r="AE149" s="46" t="s">
        <v>820</v>
      </c>
      <c r="AF149" s="18"/>
      <c r="AG149" s="18"/>
      <c r="AH149" s="18" t="s">
        <v>71</v>
      </c>
    </row>
    <row r="150" spans="1:34" ht="27" customHeight="1">
      <c r="A150" s="51" t="s">
        <v>831</v>
      </c>
      <c r="B150" s="18" t="s">
        <v>832</v>
      </c>
      <c r="C150" s="18" t="s">
        <v>833</v>
      </c>
      <c r="D150" s="18" t="s">
        <v>109</v>
      </c>
      <c r="E150" s="18" t="s">
        <v>63</v>
      </c>
      <c r="F150" s="18" t="s">
        <v>110</v>
      </c>
      <c r="G150" s="45" t="s">
        <v>63</v>
      </c>
      <c r="H150" s="46" t="s">
        <v>834</v>
      </c>
      <c r="I150" s="18"/>
      <c r="J150" s="18" t="s">
        <v>347</v>
      </c>
      <c r="K150" s="18">
        <v>3</v>
      </c>
      <c r="L150" s="18"/>
      <c r="M150" s="18"/>
      <c r="N150" s="18"/>
      <c r="O150" s="18" t="b">
        <f>VLOOKUP(A150,[1]Model!C$2:J$559,2,FALSE)=B150</f>
        <v>1</v>
      </c>
      <c r="P150" s="18" t="e">
        <f>VLOOKUP(A150,Model!C$2:G$228,5,FALSE)=D150</f>
        <v>#N/A</v>
      </c>
      <c r="Q150" s="18">
        <f>VLOOKUP(A150,[2]Model!C$2:L$228,8,FALSE)</f>
        <v>129</v>
      </c>
      <c r="R150" s="18" t="e">
        <f>VLOOKUP(A150,[2]Model!C$2:G$228,3,FALSE)=[3]!Table14[[#This Row],[Business Definition (To go into comments and into Meta Data Hub)]]</f>
        <v>#REF!</v>
      </c>
      <c r="S150" s="18" t="e">
        <f>IF([3]!Table14[[#This Row],[Nullable in Table and in Oracle View
NULL, NOT NULL]]="No","NOT NULL","NULL")=VLOOKUP(A150,[2]Model!C$2:I$228,6,FALSE)</f>
        <v>#REF!</v>
      </c>
      <c r="T150" s="18" t="e">
        <f>VLOOKUP(B150,[2]Table!A$2:F$415,1,FALSE)=[3]!Table14[[#This Row],[Physical Name of Attribute (Name of column in Table)
Supplied by DA Team]]</f>
        <v>#REF!</v>
      </c>
      <c r="U150" s="18" t="b">
        <f>VLOOKUP(B150,Table!A$2:F$319,2,FALSE)=Table14[[#This Row],[Data type in Oracle
VARCHAR2(n), DATE, NUMBER(m,n), TIMETSTAMP(6)]]</f>
        <v>0</v>
      </c>
      <c r="V150" s="18" t="b">
        <f>VLOOKUP(B150,Table!A$2:F$231,3,FALSE)=Table14[[#This Row],[Nullable in Table and in Oracle View
NULL, NOT NULL]]</f>
        <v>1</v>
      </c>
      <c r="W150" s="18" t="b">
        <f>VLOOKUP(B150,Table!A$2:H$228,6,FALSE)=Table14[[#This Row],[Business Definition (To go into comments and into Meta Data Hub)]]</f>
        <v>1</v>
      </c>
      <c r="X150" s="55" t="str">
        <f>VLOOKUP((UPPER(SUBSTITUTE(A150," ","_"))),'[2]Consumer View'!A$2:I$329,1,FALSE)</f>
        <v>SALES_CHARGE_RATE_TYPE_NAME</v>
      </c>
      <c r="Y150" s="18" t="s">
        <v>68</v>
      </c>
      <c r="Z150" s="18" t="s">
        <v>113</v>
      </c>
      <c r="AA150" s="18" t="s">
        <v>114</v>
      </c>
      <c r="AB150" s="18"/>
      <c r="AC150" s="18"/>
      <c r="AD150" s="46" t="s">
        <v>826</v>
      </c>
      <c r="AE150" s="46" t="s">
        <v>820</v>
      </c>
      <c r="AF150" s="18"/>
      <c r="AG150" s="18"/>
      <c r="AH150" s="18" t="s">
        <v>71</v>
      </c>
    </row>
    <row r="151" spans="1:34" ht="27" customHeight="1">
      <c r="A151" s="51" t="s">
        <v>835</v>
      </c>
      <c r="B151" s="18" t="s">
        <v>836</v>
      </c>
      <c r="C151" s="18" t="s">
        <v>837</v>
      </c>
      <c r="D151" s="55" t="s">
        <v>433</v>
      </c>
      <c r="E151" s="18" t="s">
        <v>63</v>
      </c>
      <c r="F151" s="18" t="s">
        <v>434</v>
      </c>
      <c r="G151" s="45" t="s">
        <v>63</v>
      </c>
      <c r="H151" s="46" t="s">
        <v>838</v>
      </c>
      <c r="I151" s="18"/>
      <c r="J151" s="18" t="s">
        <v>381</v>
      </c>
      <c r="K151" s="18">
        <v>3</v>
      </c>
      <c r="L151" s="18"/>
      <c r="M151" s="18"/>
      <c r="N151" s="18"/>
      <c r="O151" s="18" t="b">
        <f>VLOOKUP(A151,[1]Model!C$2:J$559,2,FALSE)=B151</f>
        <v>1</v>
      </c>
      <c r="P151" s="18" t="e">
        <f>VLOOKUP(A151,Model!C$2:G$228,5,FALSE)=D151</f>
        <v>#N/A</v>
      </c>
      <c r="Q151" s="18">
        <f>VLOOKUP(A151,[2]Model!C$2:L$228,8,FALSE)</f>
        <v>78</v>
      </c>
      <c r="R151" s="18" t="e">
        <f>VLOOKUP(A151,[2]Model!C$2:G$228,3,FALSE)=[3]!Table14[[#This Row],[Business Definition (To go into comments and into Meta Data Hub)]]</f>
        <v>#REF!</v>
      </c>
      <c r="S151" s="18" t="e">
        <f>IF([3]!Table14[[#This Row],[Nullable in Table and in Oracle View
NULL, NOT NULL]]="No","NOT NULL","NULL")=VLOOKUP(A151,[2]Model!C$2:I$228,6,FALSE)</f>
        <v>#REF!</v>
      </c>
      <c r="T151" s="18" t="e">
        <f>VLOOKUP(B151,[2]Table!A$2:F$415,1,FALSE)=[3]!Table14[[#This Row],[Physical Name of Attribute (Name of column in Table)
Supplied by DA Team]]</f>
        <v>#REF!</v>
      </c>
      <c r="U151" s="18" t="b">
        <f>VLOOKUP(B151,Table!A$2:F$319,2,FALSE)=Table14[[#This Row],[Data type in Oracle
VARCHAR2(n), DATE, NUMBER(m,n), TIMETSTAMP(6)]]</f>
        <v>0</v>
      </c>
      <c r="V151" s="18" t="b">
        <f>VLOOKUP(B151,Table!A$2:F$231,3,FALSE)=Table14[[#This Row],[Nullable in Table and in Oracle View
NULL, NOT NULL]]</f>
        <v>1</v>
      </c>
      <c r="W151" s="18" t="b">
        <f>VLOOKUP(B151,Table!A$2:H$228,6,FALSE)=Table14[[#This Row],[Business Definition (To go into comments and into Meta Data Hub)]]</f>
        <v>0</v>
      </c>
      <c r="X151" s="55" t="str">
        <f>VLOOKUP((UPPER(SUBSTITUTE(A151," ","_"))),'[2]Consumer View'!A$2:I$329,1,FALSE)</f>
        <v>SECURITY_ACTIVITY_CATEGORY</v>
      </c>
      <c r="Y151" s="18" t="s">
        <v>68</v>
      </c>
      <c r="Z151" s="18" t="s">
        <v>436</v>
      </c>
      <c r="AA151" s="18" t="s">
        <v>437</v>
      </c>
      <c r="AB151" s="18"/>
      <c r="AC151" s="18"/>
      <c r="AD151" s="18" t="s">
        <v>839</v>
      </c>
      <c r="AE151" s="46"/>
      <c r="AF151" s="18"/>
      <c r="AG151" s="18"/>
      <c r="AH151" s="18" t="s">
        <v>71</v>
      </c>
    </row>
    <row r="152" spans="1:34" ht="27" customHeight="1">
      <c r="A152" s="51" t="s">
        <v>840</v>
      </c>
      <c r="B152" s="18" t="s">
        <v>841</v>
      </c>
      <c r="C152" s="18" t="s">
        <v>842</v>
      </c>
      <c r="D152" s="18" t="s">
        <v>433</v>
      </c>
      <c r="E152" s="18" t="s">
        <v>63</v>
      </c>
      <c r="F152" s="18" t="s">
        <v>434</v>
      </c>
      <c r="G152" s="45" t="s">
        <v>63</v>
      </c>
      <c r="H152" s="12" t="s">
        <v>843</v>
      </c>
      <c r="I152" s="18"/>
      <c r="J152" s="18" t="s">
        <v>67</v>
      </c>
      <c r="K152" s="18">
        <v>3</v>
      </c>
      <c r="L152" s="18"/>
      <c r="M152" s="18"/>
      <c r="N152" s="18"/>
      <c r="O152" s="18" t="b">
        <f>VLOOKUP(A152,[1]Model!C$2:J$559,2,FALSE)=B152</f>
        <v>1</v>
      </c>
      <c r="P152" s="18" t="e">
        <f>VLOOKUP(A152,Model!C$2:G$228,5,FALSE)=D152</f>
        <v>#N/A</v>
      </c>
      <c r="Q152" s="18">
        <f>VLOOKUP(A152,[2]Model!C$2:L$228,8,FALSE)</f>
        <v>193</v>
      </c>
      <c r="R152" s="18" t="e">
        <f>VLOOKUP(A152,[2]Model!C$2:G$228,3,FALSE)=[3]!Table14[[#This Row],[Business Definition (To go into comments and into Meta Data Hub)]]</f>
        <v>#REF!</v>
      </c>
      <c r="S152" s="18" t="e">
        <f>IF([3]!Table14[[#This Row],[Nullable in Table and in Oracle View
NULL, NOT NULL]]="No","NOT NULL","NULL")=VLOOKUP(A152,[2]Model!C$2:I$228,6,FALSE)</f>
        <v>#REF!</v>
      </c>
      <c r="T152" s="18" t="e">
        <f>VLOOKUP(B152,[2]Table!A$2:F$415,1,FALSE)=[3]!Table14[[#This Row],[Physical Name of Attribute (Name of column in Table)
Supplied by DA Team]]</f>
        <v>#REF!</v>
      </c>
      <c r="U152" s="18" t="b">
        <f>VLOOKUP(B152,Table!A$2:F$319,2,FALSE)=Table14[[#This Row],[Data type in Oracle
VARCHAR2(n), DATE, NUMBER(m,n), TIMETSTAMP(6)]]</f>
        <v>0</v>
      </c>
      <c r="V152" s="18" t="b">
        <f>VLOOKUP(B152,Table!A$2:F$231,3,FALSE)=Table14[[#This Row],[Nullable in Table and in Oracle View
NULL, NOT NULL]]</f>
        <v>1</v>
      </c>
      <c r="W152" s="18" t="b">
        <f>VLOOKUP(B152,Table!A$2:H$228,6,FALSE)=Table14[[#This Row],[Business Definition (To go into comments and into Meta Data Hub)]]</f>
        <v>0</v>
      </c>
      <c r="X152" s="55" t="str">
        <f>VLOOKUP((UPPER(SUBSTITUTE(A152," ","_"))),'[2]Consumer View'!A$2:I$329,1,FALSE)</f>
        <v>SECURITY_SIMPLIFIED_DISPLAY_ACTIVITY_CATEGORY</v>
      </c>
      <c r="Y152" s="18" t="s">
        <v>68</v>
      </c>
      <c r="Z152" s="18" t="s">
        <v>436</v>
      </c>
      <c r="AA152" s="18" t="s">
        <v>443</v>
      </c>
      <c r="AB152" s="18"/>
      <c r="AC152" s="18"/>
      <c r="AD152" s="18" t="s">
        <v>839</v>
      </c>
      <c r="AE152" s="46"/>
      <c r="AF152" s="18"/>
      <c r="AG152" s="18"/>
      <c r="AH152" s="18" t="s">
        <v>71</v>
      </c>
    </row>
    <row r="153" spans="1:34" ht="27" customHeight="1">
      <c r="A153" s="51" t="s">
        <v>844</v>
      </c>
      <c r="B153" s="18" t="s">
        <v>845</v>
      </c>
      <c r="C153" s="18" t="s">
        <v>846</v>
      </c>
      <c r="D153" s="18" t="s">
        <v>101</v>
      </c>
      <c r="E153" s="18" t="s">
        <v>63</v>
      </c>
      <c r="F153" s="18" t="s">
        <v>133</v>
      </c>
      <c r="G153" s="45" t="s">
        <v>63</v>
      </c>
      <c r="H153" s="46" t="s">
        <v>847</v>
      </c>
      <c r="I153" s="18"/>
      <c r="J153" s="18" t="s">
        <v>347</v>
      </c>
      <c r="K153" s="18">
        <v>3</v>
      </c>
      <c r="L153" s="18"/>
      <c r="M153" s="18"/>
      <c r="N153" s="18"/>
      <c r="O153" s="18" t="b">
        <f>VLOOKUP(A153,[1]Model!C$2:J$559,2,FALSE)=B153</f>
        <v>1</v>
      </c>
      <c r="P153" s="18" t="e">
        <f>VLOOKUP(A153,Model!C$2:G$228,5,FALSE)=D153</f>
        <v>#N/A</v>
      </c>
      <c r="Q153" s="18">
        <f>VLOOKUP(A153,[2]Model!C$2:L$228,8,FALSE)</f>
        <v>77</v>
      </c>
      <c r="R153" s="18" t="e">
        <f>VLOOKUP(A153,[2]Model!C$2:G$228,3,FALSE)=[3]!Table14[[#This Row],[Business Definition (To go into comments and into Meta Data Hub)]]</f>
        <v>#REF!</v>
      </c>
      <c r="S153" s="18" t="e">
        <f>IF([3]!Table14[[#This Row],[Nullable in Table and in Oracle View
NULL, NOT NULL]]="No","NOT NULL","NULL")=VLOOKUP(A153,[2]Model!C$2:I$228,6,FALSE)</f>
        <v>#REF!</v>
      </c>
      <c r="T153" s="18" t="e">
        <f>VLOOKUP(B153,[2]Table!A$2:F$415,1,FALSE)=[3]!Table14[[#This Row],[Physical Name of Attribute (Name of column in Table)
Supplied by DA Team]]</f>
        <v>#REF!</v>
      </c>
      <c r="U153" s="18" t="b">
        <f>VLOOKUP(B153,Table!A$2:F$319,2,FALSE)=Table14[[#This Row],[Data type in Oracle
VARCHAR2(n), DATE, NUMBER(m,n), TIMETSTAMP(6)]]</f>
        <v>1</v>
      </c>
      <c r="V153" s="18" t="b">
        <f>VLOOKUP(B153,Table!A$2:F$231,3,FALSE)=Table14[[#This Row],[Nullable in Table and in Oracle View
NULL, NOT NULL]]</f>
        <v>1</v>
      </c>
      <c r="W153" s="18" t="b">
        <f>VLOOKUP(B153,Table!A$2:H$228,6,FALSE)=Table14[[#This Row],[Business Definition (To go into comments and into Meta Data Hub)]]</f>
        <v>0</v>
      </c>
      <c r="X153" s="55" t="str">
        <f>VLOOKUP((UPPER(SUBSTITUTE(A153," ","_"))),'[2]Consumer View'!A$2:I$329,1,FALSE)</f>
        <v>SECURITY_ACTIVITY_CLASSIFICATION_ID</v>
      </c>
      <c r="Y153" s="18" t="s">
        <v>68</v>
      </c>
      <c r="Z153" s="18" t="s">
        <v>436</v>
      </c>
      <c r="AA153" s="18" t="s">
        <v>449</v>
      </c>
      <c r="AB153" s="18"/>
      <c r="AC153" s="18"/>
      <c r="AD153" s="18" t="s">
        <v>839</v>
      </c>
      <c r="AE153" s="46"/>
      <c r="AF153" s="18"/>
      <c r="AG153" s="18"/>
      <c r="AH153" s="18" t="s">
        <v>71</v>
      </c>
    </row>
    <row r="154" spans="1:34" ht="27" customHeight="1">
      <c r="A154" s="51" t="s">
        <v>848</v>
      </c>
      <c r="B154" s="18" t="s">
        <v>849</v>
      </c>
      <c r="C154" s="18" t="s">
        <v>850</v>
      </c>
      <c r="D154" s="18" t="s">
        <v>90</v>
      </c>
      <c r="E154" s="18" t="s">
        <v>63</v>
      </c>
      <c r="F154" s="18" t="s">
        <v>91</v>
      </c>
      <c r="G154" s="45" t="s">
        <v>63</v>
      </c>
      <c r="H154" s="46" t="s">
        <v>851</v>
      </c>
      <c r="I154" s="18"/>
      <c r="J154" s="18" t="s">
        <v>347</v>
      </c>
      <c r="K154" s="18">
        <v>3</v>
      </c>
      <c r="L154" s="18"/>
      <c r="M154" s="18"/>
      <c r="N154" s="18"/>
      <c r="O154" s="18" t="b">
        <f>VLOOKUP(A154,[1]Model!C$2:J$559,2,FALSE)=B154</f>
        <v>1</v>
      </c>
      <c r="P154" s="18" t="e">
        <f>VLOOKUP(A154,Model!C$2:G$228,5,FALSE)=D154</f>
        <v>#N/A</v>
      </c>
      <c r="Q154" s="18">
        <f>VLOOKUP(A154,[2]Model!C$2:L$228,8,FALSE)</f>
        <v>79</v>
      </c>
      <c r="R154" s="18" t="e">
        <f>VLOOKUP(A154,[2]Model!C$2:G$228,3,FALSE)=[3]!Table14[[#This Row],[Business Definition (To go into comments and into Meta Data Hub)]]</f>
        <v>#REF!</v>
      </c>
      <c r="S154" s="18" t="e">
        <f>IF([3]!Table14[[#This Row],[Nullable in Table and in Oracle View
NULL, NOT NULL]]="No","NOT NULL","NULL")=VLOOKUP(A154,[2]Model!C$2:I$228,6,FALSE)</f>
        <v>#REF!</v>
      </c>
      <c r="T154" s="18" t="e">
        <f>VLOOKUP(B154,[2]Table!A$2:F$415,1,FALSE)=[3]!Table14[[#This Row],[Physical Name of Attribute (Name of column in Table)
Supplied by DA Team]]</f>
        <v>#REF!</v>
      </c>
      <c r="U154" s="18" t="b">
        <f>VLOOKUP(B154,Table!A$2:F$319,2,FALSE)=Table14[[#This Row],[Data type in Oracle
VARCHAR2(n), DATE, NUMBER(m,n), TIMETSTAMP(6)]]</f>
        <v>0</v>
      </c>
      <c r="V154" s="18" t="b">
        <f>VLOOKUP(B154,Table!A$2:F$231,3,FALSE)=Table14[[#This Row],[Nullable in Table and in Oracle View
NULL, NOT NULL]]</f>
        <v>1</v>
      </c>
      <c r="W154" s="18" t="b">
        <f>VLOOKUP(B154,Table!A$2:H$228,6,FALSE)=Table14[[#This Row],[Business Definition (To go into comments and into Meta Data Hub)]]</f>
        <v>0</v>
      </c>
      <c r="X154" s="55" t="str">
        <f>VLOOKUP((UPPER(SUBSTITUTE(A154," ","_"))),'[2]Consumer View'!A$2:I$329,1,FALSE)</f>
        <v>SECURITY_ACTIVITY_TYPE</v>
      </c>
      <c r="Y154" s="18" t="s">
        <v>68</v>
      </c>
      <c r="Z154" s="18" t="s">
        <v>436</v>
      </c>
      <c r="AA154" s="18" t="s">
        <v>455</v>
      </c>
      <c r="AB154" s="18"/>
      <c r="AC154" s="18"/>
      <c r="AD154" s="18" t="s">
        <v>839</v>
      </c>
      <c r="AE154" s="46"/>
      <c r="AF154" s="18"/>
      <c r="AG154" s="18"/>
      <c r="AH154" s="18" t="s">
        <v>71</v>
      </c>
    </row>
    <row r="155" spans="1:34" ht="27" customHeight="1">
      <c r="A155" s="51" t="s">
        <v>852</v>
      </c>
      <c r="B155" s="18" t="s">
        <v>853</v>
      </c>
      <c r="C155" s="18" t="s">
        <v>854</v>
      </c>
      <c r="D155" s="18" t="s">
        <v>90</v>
      </c>
      <c r="E155" s="18" t="s">
        <v>63</v>
      </c>
      <c r="F155" s="18" t="s">
        <v>91</v>
      </c>
      <c r="G155" s="45" t="s">
        <v>63</v>
      </c>
      <c r="H155" s="12" t="s">
        <v>855</v>
      </c>
      <c r="I155" s="18"/>
      <c r="J155" s="18" t="s">
        <v>67</v>
      </c>
      <c r="K155" s="18">
        <v>3</v>
      </c>
      <c r="L155" s="18"/>
      <c r="M155" s="18"/>
      <c r="N155" s="18"/>
      <c r="O155" s="18" t="b">
        <f>VLOOKUP(A155,[1]Model!C$2:J$559,2,FALSE)=B155</f>
        <v>1</v>
      </c>
      <c r="P155" s="18" t="e">
        <f>VLOOKUP(A155,Model!C$2:G$228,5,FALSE)=D155</f>
        <v>#N/A</v>
      </c>
      <c r="Q155" s="18">
        <f>VLOOKUP(A155,[2]Model!C$2:L$228,8,FALSE)</f>
        <v>194</v>
      </c>
      <c r="R155" s="18" t="e">
        <f>VLOOKUP(A155,[2]Model!C$2:G$228,3,FALSE)=[3]!Table14[[#This Row],[Business Definition (To go into comments and into Meta Data Hub)]]</f>
        <v>#REF!</v>
      </c>
      <c r="S155" s="18" t="e">
        <f>IF([3]!Table14[[#This Row],[Nullable in Table and in Oracle View
NULL, NOT NULL]]="No","NOT NULL","NULL")=VLOOKUP(A155,[2]Model!C$2:I$228,6,FALSE)</f>
        <v>#REF!</v>
      </c>
      <c r="T155" s="18" t="e">
        <f>VLOOKUP(B155,[2]Table!A$2:F$415,1,FALSE)=[3]!Table14[[#This Row],[Physical Name of Attribute (Name of column in Table)
Supplied by DA Team]]</f>
        <v>#REF!</v>
      </c>
      <c r="U155" s="18" t="b">
        <f>VLOOKUP(B155,Table!A$2:F$319,2,FALSE)=Table14[[#This Row],[Data type in Oracle
VARCHAR2(n), DATE, NUMBER(m,n), TIMETSTAMP(6)]]</f>
        <v>0</v>
      </c>
      <c r="V155" s="18" t="b">
        <f>VLOOKUP(B155,Table!A$2:F$231,3,FALSE)=Table14[[#This Row],[Nullable in Table and in Oracle View
NULL, NOT NULL]]</f>
        <v>1</v>
      </c>
      <c r="W155" s="18" t="b">
        <f>VLOOKUP(B155,Table!A$2:H$228,6,FALSE)=Table14[[#This Row],[Business Definition (To go into comments and into Meta Data Hub)]]</f>
        <v>0</v>
      </c>
      <c r="X155" s="55" t="str">
        <f>VLOOKUP((UPPER(SUBSTITUTE(A155," ","_"))),'[2]Consumer View'!A$2:I$329,1,FALSE)</f>
        <v>SECURITY_SIMPLIFIED_DISPLAY_ACTIVITY_TYPE</v>
      </c>
      <c r="Y155" s="18" t="s">
        <v>68</v>
      </c>
      <c r="Z155" s="18" t="s">
        <v>436</v>
      </c>
      <c r="AA155" s="18" t="s">
        <v>460</v>
      </c>
      <c r="AB155" s="18"/>
      <c r="AC155" s="18"/>
      <c r="AD155" s="18" t="s">
        <v>839</v>
      </c>
      <c r="AE155" s="46"/>
      <c r="AF155" s="18"/>
      <c r="AG155" s="18"/>
      <c r="AH155" s="18" t="s">
        <v>71</v>
      </c>
    </row>
    <row r="156" spans="1:34" ht="27" customHeight="1">
      <c r="A156" s="51" t="s">
        <v>856</v>
      </c>
      <c r="B156" s="18" t="s">
        <v>857</v>
      </c>
      <c r="C156" s="18" t="s">
        <v>858</v>
      </c>
      <c r="D156" s="18" t="s">
        <v>464</v>
      </c>
      <c r="E156" s="18" t="s">
        <v>63</v>
      </c>
      <c r="F156" s="18" t="s">
        <v>465</v>
      </c>
      <c r="G156" s="45" t="s">
        <v>63</v>
      </c>
      <c r="H156" s="46" t="s">
        <v>859</v>
      </c>
      <c r="I156" s="18"/>
      <c r="J156" s="18" t="s">
        <v>347</v>
      </c>
      <c r="K156" s="18">
        <v>3</v>
      </c>
      <c r="L156" s="18"/>
      <c r="M156" s="18"/>
      <c r="N156" s="18"/>
      <c r="O156" s="18" t="b">
        <f>VLOOKUP(A156,[1]Model!C$2:J$559,2,FALSE)=B156</f>
        <v>1</v>
      </c>
      <c r="P156" s="18" t="e">
        <f>VLOOKUP(A156,Model!C$2:G$228,5,FALSE)=D156</f>
        <v>#N/A</v>
      </c>
      <c r="Q156" s="18">
        <f>VLOOKUP(A156,[2]Model!C$2:L$228,8,FALSE)</f>
        <v>48</v>
      </c>
      <c r="R156" s="18" t="e">
        <f>VLOOKUP(A156,[2]Model!C$2:G$228,3,FALSE)=[3]!Table14[[#This Row],[Business Definition (To go into comments and into Meta Data Hub)]]</f>
        <v>#REF!</v>
      </c>
      <c r="S156" s="18" t="e">
        <f>IF([3]!Table14[[#This Row],[Nullable in Table and in Oracle View
NULL, NOT NULL]]="No","NOT NULL","NULL")=VLOOKUP(A156,[2]Model!C$2:I$228,6,FALSE)</f>
        <v>#REF!</v>
      </c>
      <c r="T156" s="18" t="e">
        <f>VLOOKUP(B156,[2]Table!A$2:F$415,1,FALSE)=[3]!Table14[[#This Row],[Physical Name of Attribute (Name of column in Table)
Supplied by DA Team]]</f>
        <v>#REF!</v>
      </c>
      <c r="U156" s="18" t="b">
        <f>VLOOKUP(B156,Table!A$2:F$319,2,FALSE)=Table14[[#This Row],[Data type in Oracle
VARCHAR2(n), DATE, NUMBER(m,n), TIMETSTAMP(6)]]</f>
        <v>0</v>
      </c>
      <c r="V156" s="18" t="b">
        <f>VLOOKUP(B156,Table!A$2:F$231,3,FALSE)=Table14[[#This Row],[Nullable in Table and in Oracle View
NULL, NOT NULL]]</f>
        <v>1</v>
      </c>
      <c r="W156" s="18" t="b">
        <f>VLOOKUP(B156,Table!A$2:H$228,6,FALSE)=Table14[[#This Row],[Business Definition (To go into comments and into Meta Data Hub)]]</f>
        <v>0</v>
      </c>
      <c r="X156" s="55" t="str">
        <f>VLOOKUP((UPPER(SUBSTITUTE(A156," ","_"))),'[2]Consumer View'!A$2:I$329,1,FALSE)</f>
        <v>SECURITY_ALTERNATE_DESCRIPTION_TRAILER_2</v>
      </c>
      <c r="Y156" s="18" t="s">
        <v>68</v>
      </c>
      <c r="Z156" s="18" t="s">
        <v>375</v>
      </c>
      <c r="AA156" s="18" t="s">
        <v>467</v>
      </c>
      <c r="AB156" s="18"/>
      <c r="AC156" s="18"/>
      <c r="AD156" s="18" t="s">
        <v>860</v>
      </c>
      <c r="AE156" s="46"/>
      <c r="AF156" s="18"/>
      <c r="AG156" s="18"/>
      <c r="AH156" s="18" t="s">
        <v>71</v>
      </c>
    </row>
    <row r="157" spans="1:34" ht="27" customHeight="1">
      <c r="A157" s="51" t="s">
        <v>861</v>
      </c>
      <c r="B157" s="18" t="s">
        <v>862</v>
      </c>
      <c r="C157" s="18" t="s">
        <v>863</v>
      </c>
      <c r="D157" s="55" t="s">
        <v>62</v>
      </c>
      <c r="E157" s="18" t="s">
        <v>63</v>
      </c>
      <c r="F157" s="18" t="s">
        <v>64</v>
      </c>
      <c r="G157" s="45" t="s">
        <v>63</v>
      </c>
      <c r="H157" s="46" t="s">
        <v>864</v>
      </c>
      <c r="I157" s="18"/>
      <c r="J157" s="18" t="s">
        <v>381</v>
      </c>
      <c r="K157" s="18">
        <v>3</v>
      </c>
      <c r="L157" s="18"/>
      <c r="M157" s="18"/>
      <c r="N157" s="18"/>
      <c r="O157" s="18" t="b">
        <f>VLOOKUP(A157,[1]Model!C$2:J$559,2,FALSE)=B157</f>
        <v>1</v>
      </c>
      <c r="P157" s="18" t="e">
        <f>VLOOKUP(A157,Model!C$2:G$228,5,FALSE)=D157</f>
        <v>#N/A</v>
      </c>
      <c r="Q157" s="18">
        <f>VLOOKUP(A157,[2]Model!C$2:L$228,8,FALSE)</f>
        <v>46</v>
      </c>
      <c r="R157" s="18" t="e">
        <f>VLOOKUP(A157,[2]Model!C$2:G$228,3,FALSE)=[3]!Table14[[#This Row],[Business Definition (To go into comments and into Meta Data Hub)]]</f>
        <v>#REF!</v>
      </c>
      <c r="S157" s="18" t="e">
        <f>IF([3]!Table14[[#This Row],[Nullable in Table and in Oracle View
NULL, NOT NULL]]="No","NOT NULL","NULL")=VLOOKUP(A157,[2]Model!C$2:I$228,6,FALSE)</f>
        <v>#REF!</v>
      </c>
      <c r="T157" s="18" t="e">
        <f>VLOOKUP(B157,[2]Table!A$2:F$415,1,FALSE)=[3]!Table14[[#This Row],[Physical Name of Attribute (Name of column in Table)
Supplied by DA Team]]</f>
        <v>#REF!</v>
      </c>
      <c r="U157" s="18" t="b">
        <f>VLOOKUP(B157,Table!A$2:F$319,2,FALSE)=Table14[[#This Row],[Data type in Oracle
VARCHAR2(n), DATE, NUMBER(m,n), TIMETSTAMP(6)]]</f>
        <v>0</v>
      </c>
      <c r="V157" s="18" t="b">
        <f>VLOOKUP(B157,Table!A$2:F$231,3,FALSE)=Table14[[#This Row],[Nullable in Table and in Oracle View
NULL, NOT NULL]]</f>
        <v>1</v>
      </c>
      <c r="W157" s="18" t="b">
        <f>VLOOKUP(B157,Table!A$2:H$228,6,FALSE)=Table14[[#This Row],[Business Definition (To go into comments and into Meta Data Hub)]]</f>
        <v>0</v>
      </c>
      <c r="X157" s="55" t="str">
        <f>VLOOKUP((UPPER(SUBSTITUTE(A157," ","_"))),'[2]Consumer View'!A$2:I$329,1,FALSE)</f>
        <v>SECURITY_ASSET_PACKAGE_EXTERNAL_QUALIFIER</v>
      </c>
      <c r="Y157" s="18" t="s">
        <v>68</v>
      </c>
      <c r="Z157" s="18" t="s">
        <v>375</v>
      </c>
      <c r="AA157" s="18" t="s">
        <v>473</v>
      </c>
      <c r="AB157" s="18"/>
      <c r="AC157" s="18"/>
      <c r="AD157" s="55" t="s">
        <v>865</v>
      </c>
      <c r="AE157" s="46"/>
      <c r="AF157" s="18"/>
      <c r="AG157" s="18"/>
      <c r="AH157" s="18" t="s">
        <v>71</v>
      </c>
    </row>
    <row r="158" spans="1:34" ht="27" customHeight="1">
      <c r="A158" s="51" t="s">
        <v>866</v>
      </c>
      <c r="B158" s="18" t="s">
        <v>867</v>
      </c>
      <c r="C158" s="18" t="s">
        <v>868</v>
      </c>
      <c r="D158" s="18" t="s">
        <v>101</v>
      </c>
      <c r="E158" s="18" t="s">
        <v>63</v>
      </c>
      <c r="F158" s="18" t="s">
        <v>133</v>
      </c>
      <c r="G158" s="45" t="s">
        <v>63</v>
      </c>
      <c r="H158" s="46" t="s">
        <v>869</v>
      </c>
      <c r="I158" s="18"/>
      <c r="J158" s="18" t="s">
        <v>347</v>
      </c>
      <c r="K158" s="18">
        <v>3</v>
      </c>
      <c r="L158" s="18"/>
      <c r="M158" s="18"/>
      <c r="N158" s="18"/>
      <c r="O158" s="18" t="b">
        <f>VLOOKUP(A158,[1]Model!C$2:J$559,2,FALSE)=B158</f>
        <v>1</v>
      </c>
      <c r="P158" s="18" t="e">
        <f>VLOOKUP(A158,Model!C$2:G$228,5,FALSE)=D158</f>
        <v>#N/A</v>
      </c>
      <c r="Q158" s="18">
        <f>VLOOKUP(A158,[2]Model!C$2:L$228,8,FALSE)</f>
        <v>176</v>
      </c>
      <c r="R158" s="18" t="e">
        <f>VLOOKUP(A158,[2]Model!C$2:G$228,3,FALSE)=[3]!Table14[[#This Row],[Business Definition (To go into comments and into Meta Data Hub)]]</f>
        <v>#REF!</v>
      </c>
      <c r="S158" s="18" t="e">
        <f>IF([3]!Table14[[#This Row],[Nullable in Table and in Oracle View
NULL, NOT NULL]]="No","NOT NULL","NULL")=VLOOKUP(A158,[2]Model!C$2:I$228,6,FALSE)</f>
        <v>#REF!</v>
      </c>
      <c r="T158" s="18" t="e">
        <f>VLOOKUP(B158,[2]Table!A$2:F$415,1,FALSE)=[3]!Table14[[#This Row],[Physical Name of Attribute (Name of column in Table)
Supplied by DA Team]]</f>
        <v>#REF!</v>
      </c>
      <c r="U158" s="18" t="b">
        <f>VLOOKUP(B158,Table!A$2:F$319,2,FALSE)=Table14[[#This Row],[Data type in Oracle
VARCHAR2(n), DATE, NUMBER(m,n), TIMETSTAMP(6)]]</f>
        <v>1</v>
      </c>
      <c r="V158" s="18" t="b">
        <f>VLOOKUP(B158,Table!A$2:F$231,3,FALSE)=Table14[[#This Row],[Nullable in Table and in Oracle View
NULL, NOT NULL]]</f>
        <v>1</v>
      </c>
      <c r="W158" s="18" t="b">
        <f>VLOOKUP(B158,Table!A$2:H$228,6,FALSE)=Table14[[#This Row],[Business Definition (To go into comments and into Meta Data Hub)]]</f>
        <v>0</v>
      </c>
      <c r="X158" s="55" t="str">
        <f>VLOOKUP((UPPER(SUBSTITUTE(A158," ","_"))),'[2]Consumer View'!A$2:I$329,1,FALSE)</f>
        <v>SECURITY_ASSET_PACKAGE_ID</v>
      </c>
      <c r="Y158" s="18" t="s">
        <v>68</v>
      </c>
      <c r="Z158" s="18" t="s">
        <v>375</v>
      </c>
      <c r="AA158" s="18" t="s">
        <v>477</v>
      </c>
      <c r="AB158" s="18"/>
      <c r="AC158" s="18"/>
      <c r="AD158" s="18" t="s">
        <v>860</v>
      </c>
      <c r="AE158" s="46"/>
      <c r="AF158" s="18"/>
      <c r="AG158" s="18"/>
      <c r="AH158" s="18" t="s">
        <v>71</v>
      </c>
    </row>
    <row r="159" spans="1:34" ht="27" customHeight="1">
      <c r="A159" s="51" t="s">
        <v>870</v>
      </c>
      <c r="B159" s="18" t="s">
        <v>871</v>
      </c>
      <c r="C159" s="18" t="s">
        <v>872</v>
      </c>
      <c r="D159" s="18" t="s">
        <v>139</v>
      </c>
      <c r="E159" s="18" t="s">
        <v>63</v>
      </c>
      <c r="F159" s="18" t="s">
        <v>140</v>
      </c>
      <c r="G159" s="45" t="s">
        <v>63</v>
      </c>
      <c r="H159" s="46" t="s">
        <v>873</v>
      </c>
      <c r="I159" s="18"/>
      <c r="J159" s="18" t="s">
        <v>347</v>
      </c>
      <c r="K159" s="18">
        <v>3</v>
      </c>
      <c r="L159" s="18"/>
      <c r="M159" s="18"/>
      <c r="N159" s="18"/>
      <c r="O159" s="18" t="b">
        <f>VLOOKUP(A159,[1]Model!C$2:J$559,2,FALSE)=B159</f>
        <v>1</v>
      </c>
      <c r="P159" s="18" t="e">
        <f>VLOOKUP(A159,Model!C$2:G$228,5,FALSE)=D159</f>
        <v>#N/A</v>
      </c>
      <c r="Q159" s="18">
        <f>VLOOKUP(A159,[2]Model!C$2:L$228,8,FALSE)</f>
        <v>74</v>
      </c>
      <c r="R159" s="18" t="e">
        <f>VLOOKUP(A159,[2]Model!C$2:G$228,3,FALSE)=[3]!Table14[[#This Row],[Business Definition (To go into comments and into Meta Data Hub)]]</f>
        <v>#REF!</v>
      </c>
      <c r="S159" s="18" t="e">
        <f>IF([3]!Table14[[#This Row],[Nullable in Table and in Oracle View
NULL, NOT NULL]]="No","NOT NULL","NULL")=VLOOKUP(A159,[2]Model!C$2:I$228,6,FALSE)</f>
        <v>#REF!</v>
      </c>
      <c r="T159" s="18" t="e">
        <f>VLOOKUP(B159,[2]Table!A$2:F$415,1,FALSE)=[3]!Table14[[#This Row],[Physical Name of Attribute (Name of column in Table)
Supplied by DA Team]]</f>
        <v>#REF!</v>
      </c>
      <c r="U159" s="18" t="b">
        <f>VLOOKUP(B159,Table!A$2:F$319,2,FALSE)=Table14[[#This Row],[Data type in Oracle
VARCHAR2(n), DATE, NUMBER(m,n), TIMETSTAMP(6)]]</f>
        <v>0</v>
      </c>
      <c r="V159" s="18" t="b">
        <f>VLOOKUP(B159,Table!A$2:F$231,3,FALSE)=Table14[[#This Row],[Nullable in Table and in Oracle View
NULL, NOT NULL]]</f>
        <v>1</v>
      </c>
      <c r="W159" s="18" t="b">
        <f>VLOOKUP(B159,Table!A$2:H$228,6,FALSE)=Table14[[#This Row],[Business Definition (To go into comments and into Meta Data Hub)]]</f>
        <v>0</v>
      </c>
      <c r="X159" s="55" t="str">
        <f>VLOOKUP((UPPER(SUBSTITUTE(A159," ","_"))),'[2]Consumer View'!A$2:I$329,1,FALSE)</f>
        <v>SECURITY_ASSET_PACKAGE_TYPE_CODE</v>
      </c>
      <c r="Y159" s="18" t="s">
        <v>68</v>
      </c>
      <c r="Z159" s="18" t="s">
        <v>113</v>
      </c>
      <c r="AA159" s="18" t="s">
        <v>143</v>
      </c>
      <c r="AB159" s="18"/>
      <c r="AC159" s="18"/>
      <c r="AD159" s="18" t="s">
        <v>860</v>
      </c>
      <c r="AE159" s="46"/>
      <c r="AF159" s="18"/>
      <c r="AG159" s="18"/>
      <c r="AH159" s="18" t="s">
        <v>71</v>
      </c>
    </row>
    <row r="160" spans="1:34" ht="27" customHeight="1">
      <c r="A160" s="51" t="s">
        <v>874</v>
      </c>
      <c r="B160" s="18" t="s">
        <v>875</v>
      </c>
      <c r="C160" s="18" t="s">
        <v>876</v>
      </c>
      <c r="D160" s="18" t="s">
        <v>485</v>
      </c>
      <c r="E160" s="18" t="s">
        <v>63</v>
      </c>
      <c r="F160" s="18" t="s">
        <v>486</v>
      </c>
      <c r="G160" s="45" t="s">
        <v>63</v>
      </c>
      <c r="H160" s="46" t="s">
        <v>877</v>
      </c>
      <c r="I160" s="18"/>
      <c r="J160" s="18" t="s">
        <v>347</v>
      </c>
      <c r="K160" s="18">
        <v>3</v>
      </c>
      <c r="L160" s="18"/>
      <c r="M160" s="18"/>
      <c r="N160" s="18"/>
      <c r="O160" s="18" t="b">
        <f>VLOOKUP(A160,[1]Model!C$2:J$559,2,FALSE)=B160</f>
        <v>1</v>
      </c>
      <c r="P160" s="18" t="e">
        <f>VLOOKUP(A160,Model!C$2:G$228,5,FALSE)=D160</f>
        <v>#N/A</v>
      </c>
      <c r="Q160" s="18">
        <f>VLOOKUP(A160,[2]Model!C$2:L$228,8,FALSE)</f>
        <v>76</v>
      </c>
      <c r="R160" s="18" t="e">
        <f>VLOOKUP(A160,[2]Model!C$2:G$228,3,FALSE)=[3]!Table14[[#This Row],[Business Definition (To go into comments and into Meta Data Hub)]]</f>
        <v>#REF!</v>
      </c>
      <c r="S160" s="18" t="e">
        <f>IF([3]!Table14[[#This Row],[Nullable in Table and in Oracle View
NULL, NOT NULL]]="No","NOT NULL","NULL")=VLOOKUP(A160,[2]Model!C$2:I$228,6,FALSE)</f>
        <v>#REF!</v>
      </c>
      <c r="T160" s="18" t="e">
        <f>VLOOKUP(B160,[2]Table!A$2:F$415,1,FALSE)=[3]!Table14[[#This Row],[Physical Name of Attribute (Name of column in Table)
Supplied by DA Team]]</f>
        <v>#REF!</v>
      </c>
      <c r="U160" s="18" t="b">
        <f>VLOOKUP(B160,Table!A$2:F$319,2,FALSE)=Table14[[#This Row],[Data type in Oracle
VARCHAR2(n), DATE, NUMBER(m,n), TIMETSTAMP(6)]]</f>
        <v>0</v>
      </c>
      <c r="V160" s="18" t="b">
        <f>VLOOKUP(B160,Table!A$2:F$231,3,FALSE)=Table14[[#This Row],[Nullable in Table and in Oracle View
NULL, NOT NULL]]</f>
        <v>1</v>
      </c>
      <c r="W160" s="18" t="b">
        <f>VLOOKUP(B160,Table!A$2:H$228,6,FALSE)=Table14[[#This Row],[Business Definition (To go into comments and into Meta Data Hub)]]</f>
        <v>0</v>
      </c>
      <c r="X160" s="55" t="str">
        <f>VLOOKUP((UPPER(SUBSTITUTE(A160," ","_"))),'[2]Consumer View'!A$2:I$329,1,FALSE)</f>
        <v>SECURITY_ASSET_PACKAGE_TYPE_DESCRIPTION</v>
      </c>
      <c r="Y160" s="18" t="s">
        <v>68</v>
      </c>
      <c r="Z160" s="18" t="s">
        <v>113</v>
      </c>
      <c r="AA160" s="18" t="s">
        <v>488</v>
      </c>
      <c r="AB160" s="18"/>
      <c r="AC160" s="18"/>
      <c r="AD160" s="18" t="s">
        <v>860</v>
      </c>
      <c r="AE160" s="46"/>
      <c r="AF160" s="18"/>
      <c r="AG160" s="18"/>
      <c r="AH160" s="18" t="s">
        <v>71</v>
      </c>
    </row>
    <row r="161" spans="1:34" ht="27" customHeight="1">
      <c r="A161" s="51" t="s">
        <v>878</v>
      </c>
      <c r="B161" s="18" t="s">
        <v>879</v>
      </c>
      <c r="C161" s="18"/>
      <c r="D161" s="18" t="s">
        <v>101</v>
      </c>
      <c r="E161" s="18" t="s">
        <v>63</v>
      </c>
      <c r="F161" s="18" t="s">
        <v>133</v>
      </c>
      <c r="G161" s="45" t="s">
        <v>63</v>
      </c>
      <c r="H161" s="46" t="s">
        <v>880</v>
      </c>
      <c r="I161" s="18"/>
      <c r="J161" s="18" t="s">
        <v>347</v>
      </c>
      <c r="K161" s="18">
        <v>3</v>
      </c>
      <c r="L161" s="18"/>
      <c r="M161" s="18"/>
      <c r="N161" s="18"/>
      <c r="O161" s="18" t="b">
        <f>VLOOKUP(A161,[1]Model!C$2:J$559,2,FALSE)=B161</f>
        <v>1</v>
      </c>
      <c r="P161" s="18" t="e">
        <f>VLOOKUP(A161,Model!C$2:G$228,5,FALSE)=D161</f>
        <v>#N/A</v>
      </c>
      <c r="Q161" s="18">
        <f>VLOOKUP(A161,[2]Model!C$2:L$228,8,FALSE)</f>
        <v>73</v>
      </c>
      <c r="R161" s="18" t="e">
        <f>VLOOKUP(A161,[2]Model!C$2:G$228,3,FALSE)=[3]!Table14[[#This Row],[Business Definition (To go into comments and into Meta Data Hub)]]</f>
        <v>#REF!</v>
      </c>
      <c r="S161" s="18" t="e">
        <f>IF([3]!Table14[[#This Row],[Nullable in Table and in Oracle View
NULL, NOT NULL]]="No","NOT NULL","NULL")=VLOOKUP(A161,[2]Model!C$2:I$228,6,FALSE)</f>
        <v>#REF!</v>
      </c>
      <c r="T161" s="18" t="e">
        <f>VLOOKUP(B161,[2]Table!A$2:F$415,1,FALSE)=[3]!Table14[[#This Row],[Physical Name of Attribute (Name of column in Table)
Supplied by DA Team]]</f>
        <v>#REF!</v>
      </c>
      <c r="U161" s="18" t="b">
        <f>VLOOKUP(B161,Table!A$2:F$319,2,FALSE)=Table14[[#This Row],[Data type in Oracle
VARCHAR2(n), DATE, NUMBER(m,n), TIMETSTAMP(6)]]</f>
        <v>1</v>
      </c>
      <c r="V161" s="18" t="b">
        <f>VLOOKUP(B161,Table!A$2:F$231,3,FALSE)=Table14[[#This Row],[Nullable in Table and in Oracle View
NULL, NOT NULL]]</f>
        <v>1</v>
      </c>
      <c r="W161" s="18" t="b">
        <f>VLOOKUP(B161,Table!A$2:H$228,6,FALSE)=Table14[[#This Row],[Business Definition (To go into comments and into Meta Data Hub)]]</f>
        <v>0</v>
      </c>
      <c r="X161" s="55" t="str">
        <f>VLOOKUP((UPPER(SUBSTITUTE(A161," ","_"))),'[2]Consumer View'!A$2:I$329,1,FALSE)</f>
        <v>SECURITY_ASSET_PACKAGE_TYPE_ID</v>
      </c>
      <c r="Y161" s="18" t="s">
        <v>68</v>
      </c>
      <c r="Z161" s="18" t="s">
        <v>375</v>
      </c>
      <c r="AA161" s="18" t="s">
        <v>492</v>
      </c>
      <c r="AB161" s="18"/>
      <c r="AC161" s="18"/>
      <c r="AD161" s="18" t="s">
        <v>860</v>
      </c>
      <c r="AE161" s="46"/>
      <c r="AF161" s="18"/>
      <c r="AG161" s="18"/>
      <c r="AH161" s="18" t="s">
        <v>71</v>
      </c>
    </row>
    <row r="162" spans="1:34" ht="27" customHeight="1">
      <c r="A162" s="51" t="s">
        <v>881</v>
      </c>
      <c r="B162" s="18" t="s">
        <v>882</v>
      </c>
      <c r="C162" s="18" t="s">
        <v>883</v>
      </c>
      <c r="D162" s="55" t="s">
        <v>109</v>
      </c>
      <c r="E162" s="18" t="s">
        <v>63</v>
      </c>
      <c r="F162" s="18" t="s">
        <v>110</v>
      </c>
      <c r="G162" s="45" t="s">
        <v>63</v>
      </c>
      <c r="H162" s="46" t="s">
        <v>884</v>
      </c>
      <c r="I162" s="18"/>
      <c r="J162" s="18" t="s">
        <v>381</v>
      </c>
      <c r="K162" s="18">
        <v>3</v>
      </c>
      <c r="L162" s="18"/>
      <c r="M162" s="18"/>
      <c r="N162" s="18"/>
      <c r="O162" s="18" t="b">
        <f>VLOOKUP(A162,[1]Model!C$2:J$559,2,FALSE)=B162</f>
        <v>1</v>
      </c>
      <c r="P162" s="18" t="e">
        <f>VLOOKUP(A162,Model!C$2:G$228,5,FALSE)=D162</f>
        <v>#N/A</v>
      </c>
      <c r="Q162" s="18">
        <f>VLOOKUP(A162,[2]Model!C$2:L$228,8,FALSE)</f>
        <v>75</v>
      </c>
      <c r="R162" s="18" t="e">
        <f>VLOOKUP(A162,[2]Model!C$2:G$228,3,FALSE)=[3]!Table14[[#This Row],[Business Definition (To go into comments and into Meta Data Hub)]]</f>
        <v>#REF!</v>
      </c>
      <c r="S162" s="18" t="e">
        <f>IF([3]!Table14[[#This Row],[Nullable in Table and in Oracle View
NULL, NOT NULL]]="No","NOT NULL","NULL")=VLOOKUP(A162,[2]Model!C$2:I$228,6,FALSE)</f>
        <v>#REF!</v>
      </c>
      <c r="T162" s="18" t="e">
        <f>VLOOKUP(B162,[2]Table!A$2:F$415,1,FALSE)=[3]!Table14[[#This Row],[Physical Name of Attribute (Name of column in Table)
Supplied by DA Team]]</f>
        <v>#REF!</v>
      </c>
      <c r="U162" s="18" t="b">
        <f>VLOOKUP(B162,Table!A$2:F$319,2,FALSE)=Table14[[#This Row],[Data type in Oracle
VARCHAR2(n), DATE, NUMBER(m,n), TIMETSTAMP(6)]]</f>
        <v>0</v>
      </c>
      <c r="V162" s="18" t="b">
        <f>VLOOKUP(B162,Table!A$2:F$231,3,FALSE)=Table14[[#This Row],[Nullable in Table and in Oracle View
NULL, NOT NULL]]</f>
        <v>1</v>
      </c>
      <c r="W162" s="18" t="b">
        <f>VLOOKUP(B162,Table!A$2:H$228,6,FALSE)=Table14[[#This Row],[Business Definition (To go into comments and into Meta Data Hub)]]</f>
        <v>0</v>
      </c>
      <c r="X162" s="55" t="str">
        <f>VLOOKUP((UPPER(SUBSTITUTE(A162," ","_"))),'[2]Consumer View'!A$2:I$329,1,FALSE)</f>
        <v>SECURITY_ASSET_PACKAGE_TYPE_NAME</v>
      </c>
      <c r="Y162" s="18" t="s">
        <v>68</v>
      </c>
      <c r="Z162" s="18" t="s">
        <v>113</v>
      </c>
      <c r="AA162" s="18" t="s">
        <v>114</v>
      </c>
      <c r="AB162" s="18"/>
      <c r="AC162" s="18"/>
      <c r="AD162" s="18" t="s">
        <v>860</v>
      </c>
      <c r="AE162" s="46" t="s">
        <v>105</v>
      </c>
      <c r="AF162" s="18"/>
      <c r="AG162" s="18"/>
      <c r="AH162" s="18" t="s">
        <v>71</v>
      </c>
    </row>
    <row r="163" spans="1:34" ht="27" customHeight="1">
      <c r="A163" s="51" t="s">
        <v>885</v>
      </c>
      <c r="B163" s="18" t="s">
        <v>886</v>
      </c>
      <c r="C163" s="18" t="s">
        <v>887</v>
      </c>
      <c r="D163" s="18" t="s">
        <v>101</v>
      </c>
      <c r="E163" s="18" t="s">
        <v>63</v>
      </c>
      <c r="F163" s="18" t="s">
        <v>133</v>
      </c>
      <c r="G163" s="45" t="s">
        <v>63</v>
      </c>
      <c r="H163" s="46" t="s">
        <v>888</v>
      </c>
      <c r="I163" s="18"/>
      <c r="J163" s="18" t="s">
        <v>347</v>
      </c>
      <c r="K163" s="18">
        <v>3</v>
      </c>
      <c r="L163" s="18"/>
      <c r="M163" s="18"/>
      <c r="N163" s="18"/>
      <c r="O163" s="18" t="b">
        <f>VLOOKUP(A163,[1]Model!C$2:J$559,2,FALSE)=B163</f>
        <v>1</v>
      </c>
      <c r="P163" s="18" t="e">
        <f>VLOOKUP(A163,Model!C$2:G$228,5,FALSE)=D163</f>
        <v>#N/A</v>
      </c>
      <c r="Q163" s="18">
        <f>VLOOKUP(A163,[2]Model!C$2:L$228,8,FALSE)</f>
        <v>131</v>
      </c>
      <c r="R163" s="18" t="e">
        <f>VLOOKUP(A163,[2]Model!C$2:G$228,3,FALSE)=[3]!Table14[[#This Row],[Business Definition (To go into comments and into Meta Data Hub)]]</f>
        <v>#REF!</v>
      </c>
      <c r="S163" s="18" t="e">
        <f>IF([3]!Table14[[#This Row],[Nullable in Table and in Oracle View
NULL, NOT NULL]]="No","NOT NULL","NULL")=VLOOKUP(A163,[2]Model!C$2:I$228,6,FALSE)</f>
        <v>#REF!</v>
      </c>
      <c r="T163" s="18" t="e">
        <f>VLOOKUP(B163,[2]Table!A$2:F$415,1,FALSE)=[3]!Table14[[#This Row],[Physical Name of Attribute (Name of column in Table)
Supplied by DA Team]]</f>
        <v>#REF!</v>
      </c>
      <c r="U163" s="18" t="b">
        <f>VLOOKUP(B163,Table!A$2:F$319,2,FALSE)=Table14[[#This Row],[Data type in Oracle
VARCHAR2(n), DATE, NUMBER(m,n), TIMETSTAMP(6)]]</f>
        <v>1</v>
      </c>
      <c r="V163" s="18" t="b">
        <f>VLOOKUP(B163,Table!A$2:F$231,3,FALSE)=Table14[[#This Row],[Nullable in Table and in Oracle View
NULL, NOT NULL]]</f>
        <v>1</v>
      </c>
      <c r="W163" s="18" t="b">
        <f>VLOOKUP(B163,Table!A$2:H$228,6,FALSE)=Table14[[#This Row],[Business Definition (To go into comments and into Meta Data Hub)]]</f>
        <v>0</v>
      </c>
      <c r="X163" s="55" t="str">
        <f>VLOOKUP((UPPER(SUBSTITUTE(A163," ","_"))),'[2]Consumer View'!A$2:I$329,1,FALSE)</f>
        <v>SECURITY_CIRD_PRODUCT_ID</v>
      </c>
      <c r="Y163" s="18" t="s">
        <v>68</v>
      </c>
      <c r="Z163" s="18" t="s">
        <v>889</v>
      </c>
      <c r="AA163" s="18" t="s">
        <v>502</v>
      </c>
      <c r="AB163" s="18"/>
      <c r="AC163" s="18"/>
      <c r="AD163" s="46" t="s">
        <v>890</v>
      </c>
      <c r="AE163" s="46"/>
      <c r="AF163" s="18"/>
      <c r="AG163" s="18"/>
      <c r="AH163" s="106" t="s">
        <v>178</v>
      </c>
    </row>
    <row r="164" spans="1:34" ht="27" customHeight="1">
      <c r="A164" s="51" t="s">
        <v>891</v>
      </c>
      <c r="B164" s="18" t="s">
        <v>892</v>
      </c>
      <c r="C164" s="18"/>
      <c r="D164" s="55" t="s">
        <v>139</v>
      </c>
      <c r="E164" s="18" t="s">
        <v>63</v>
      </c>
      <c r="F164" s="18" t="s">
        <v>140</v>
      </c>
      <c r="G164" s="45" t="s">
        <v>63</v>
      </c>
      <c r="H164" s="46" t="s">
        <v>893</v>
      </c>
      <c r="I164" s="18"/>
      <c r="J164" s="18" t="s">
        <v>381</v>
      </c>
      <c r="K164" s="18">
        <v>3</v>
      </c>
      <c r="L164" s="18"/>
      <c r="M164" s="18"/>
      <c r="N164" s="18"/>
      <c r="O164" s="18" t="b">
        <f>VLOOKUP(A164,[1]Model!C$2:J$559,2,FALSE)=B164</f>
        <v>1</v>
      </c>
      <c r="P164" s="18" t="e">
        <f>VLOOKUP(A164,Model!C$2:G$228,5,FALSE)=D164</f>
        <v>#N/A</v>
      </c>
      <c r="Q164" s="18">
        <f>VLOOKUP(A164,[2]Model!C$2:L$228,8,FALSE)</f>
        <v>132</v>
      </c>
      <c r="R164" s="18" t="e">
        <f>VLOOKUP(A164,[2]Model!C$2:G$228,3,FALSE)=[3]!Table14[[#This Row],[Business Definition (To go into comments and into Meta Data Hub)]]</f>
        <v>#REF!</v>
      </c>
      <c r="S164" s="18" t="e">
        <f>IF([3]!Table14[[#This Row],[Nullable in Table and in Oracle View
NULL, NOT NULL]]="No","NOT NULL","NULL")=VLOOKUP(A164,[2]Model!C$2:I$228,6,FALSE)</f>
        <v>#REF!</v>
      </c>
      <c r="T164" s="18" t="e">
        <f>VLOOKUP(B164,[2]Table!A$2:F$415,1,FALSE)=[3]!Table14[[#This Row],[Physical Name of Attribute (Name of column in Table)
Supplied by DA Team]]</f>
        <v>#REF!</v>
      </c>
      <c r="U164" s="18" t="b">
        <f>VLOOKUP(B164,Table!A$2:F$319,2,FALSE)=Table14[[#This Row],[Data type in Oracle
VARCHAR2(n), DATE, NUMBER(m,n), TIMETSTAMP(6)]]</f>
        <v>0</v>
      </c>
      <c r="V164" s="18" t="b">
        <f>VLOOKUP(B164,Table!A$2:F$231,3,FALSE)=Table14[[#This Row],[Nullable in Table and in Oracle View
NULL, NOT NULL]]</f>
        <v>1</v>
      </c>
      <c r="W164" s="18" t="b">
        <f>VLOOKUP(B164,Table!A$2:H$228,6,FALSE)=Table14[[#This Row],[Business Definition (To go into comments and into Meta Data Hub)]]</f>
        <v>0</v>
      </c>
      <c r="X164" s="55" t="str">
        <f>VLOOKUP((UPPER(SUBSTITUTE(A164," ","_"))),'[2]Consumer View'!A$2:I$329,1,FALSE)</f>
        <v>SECURITY_DEBIT_CREDIT_CODE</v>
      </c>
      <c r="Y164" s="18" t="s">
        <v>68</v>
      </c>
      <c r="Z164" s="18" t="s">
        <v>113</v>
      </c>
      <c r="AA164" s="18" t="s">
        <v>143</v>
      </c>
      <c r="AB164" s="18"/>
      <c r="AC164" s="18"/>
      <c r="AD164" s="18" t="s">
        <v>894</v>
      </c>
      <c r="AE164" s="46"/>
      <c r="AF164" s="18"/>
      <c r="AG164" s="18"/>
      <c r="AH164" s="18" t="s">
        <v>71</v>
      </c>
    </row>
    <row r="165" spans="1:34" ht="27" customHeight="1">
      <c r="A165" s="51" t="s">
        <v>895</v>
      </c>
      <c r="B165" s="18" t="s">
        <v>896</v>
      </c>
      <c r="C165" s="18" t="s">
        <v>897</v>
      </c>
      <c r="D165" s="55" t="s">
        <v>90</v>
      </c>
      <c r="E165" s="18" t="s">
        <v>63</v>
      </c>
      <c r="F165" s="18" t="s">
        <v>91</v>
      </c>
      <c r="G165" s="45" t="s">
        <v>63</v>
      </c>
      <c r="H165" s="46" t="s">
        <v>898</v>
      </c>
      <c r="I165" s="18"/>
      <c r="J165" s="18" t="s">
        <v>381</v>
      </c>
      <c r="K165" s="18">
        <v>3</v>
      </c>
      <c r="L165" s="18"/>
      <c r="M165" s="18"/>
      <c r="N165" s="18"/>
      <c r="O165" s="18" t="b">
        <f>VLOOKUP(A165,[1]Model!C$2:J$559,2,FALSE)=B165</f>
        <v>1</v>
      </c>
      <c r="P165" s="18" t="e">
        <f>VLOOKUP(A165,Model!C$2:G$228,5,FALSE)=D165</f>
        <v>#N/A</v>
      </c>
      <c r="Q165" s="18">
        <f>VLOOKUP(A165,[2]Model!C$2:L$228,8,FALSE)</f>
        <v>133</v>
      </c>
      <c r="R165" s="18" t="e">
        <f>VLOOKUP(A165,[2]Model!C$2:G$228,3,FALSE)=[3]!Table14[[#This Row],[Business Definition (To go into comments and into Meta Data Hub)]]</f>
        <v>#REF!</v>
      </c>
      <c r="S165" s="18" t="e">
        <f>IF([3]!Table14[[#This Row],[Nullable in Table and in Oracle View
NULL, NOT NULL]]="No","NOT NULL","NULL")=VLOOKUP(A165,[2]Model!C$2:I$228,6,FALSE)</f>
        <v>#REF!</v>
      </c>
      <c r="T165" s="18" t="e">
        <f>VLOOKUP(B165,[2]Table!A$2:F$415,1,FALSE)=[3]!Table14[[#This Row],[Physical Name of Attribute (Name of column in Table)
Supplied by DA Team]]</f>
        <v>#REF!</v>
      </c>
      <c r="U165" s="18" t="b">
        <f>VLOOKUP(B165,Table!A$2:F$319,2,FALSE)=Table14[[#This Row],[Data type in Oracle
VARCHAR2(n), DATE, NUMBER(m,n), TIMETSTAMP(6)]]</f>
        <v>0</v>
      </c>
      <c r="V165" s="18" t="b">
        <f>VLOOKUP(B165,Table!A$2:F$231,3,FALSE)=Table14[[#This Row],[Nullable in Table and in Oracle View
NULL, NOT NULL]]</f>
        <v>1</v>
      </c>
      <c r="W165" s="18" t="b">
        <f>VLOOKUP(B165,Table!A$2:H$228,6,FALSE)=Table14[[#This Row],[Business Definition (To go into comments and into Meta Data Hub)]]</f>
        <v>0</v>
      </c>
      <c r="X165" s="55" t="str">
        <f>VLOOKUP((UPPER(SUBSTITUTE(A165," ","_"))),'[2]Consumer View'!A$2:I$329,1,FALSE)</f>
        <v>SECURITY_DEBIT_CREDIT_NAME</v>
      </c>
      <c r="Y165" s="18" t="s">
        <v>68</v>
      </c>
      <c r="Z165" s="18" t="s">
        <v>113</v>
      </c>
      <c r="AA165" s="18" t="s">
        <v>114</v>
      </c>
      <c r="AB165" s="18"/>
      <c r="AC165" s="18"/>
      <c r="AD165" s="18" t="s">
        <v>894</v>
      </c>
      <c r="AE165" s="46"/>
      <c r="AF165" s="18"/>
      <c r="AG165" s="18"/>
      <c r="AH165" s="18" t="s">
        <v>71</v>
      </c>
    </row>
    <row r="166" spans="1:34" ht="27" customHeight="1">
      <c r="A166" s="51" t="s">
        <v>899</v>
      </c>
      <c r="B166" s="18" t="s">
        <v>900</v>
      </c>
      <c r="C166" s="18" t="s">
        <v>901</v>
      </c>
      <c r="D166" s="18" t="s">
        <v>464</v>
      </c>
      <c r="E166" s="18" t="s">
        <v>63</v>
      </c>
      <c r="F166" s="18" t="s">
        <v>465</v>
      </c>
      <c r="G166" s="45" t="s">
        <v>63</v>
      </c>
      <c r="H166" s="46" t="s">
        <v>902</v>
      </c>
      <c r="I166" s="18"/>
      <c r="J166" s="18" t="s">
        <v>347</v>
      </c>
      <c r="K166" s="18">
        <v>3</v>
      </c>
      <c r="L166" s="18"/>
      <c r="M166" s="18"/>
      <c r="N166" s="18"/>
      <c r="O166" s="18" t="b">
        <f>VLOOKUP(A166,[1]Model!C$2:J$559,2,FALSE)=B166</f>
        <v>1</v>
      </c>
      <c r="P166" s="18" t="e">
        <f>VLOOKUP(A166,Model!C$2:G$228,5,FALSE)=D166</f>
        <v>#N/A</v>
      </c>
      <c r="Q166" s="18">
        <f>VLOOKUP(A166,[2]Model!C$2:L$228,8,FALSE)</f>
        <v>47</v>
      </c>
      <c r="R166" s="18" t="e">
        <f>VLOOKUP(A166,[2]Model!C$2:G$228,3,FALSE)=[3]!Table14[[#This Row],[Business Definition (To go into comments and into Meta Data Hub)]]</f>
        <v>#REF!</v>
      </c>
      <c r="S166" s="18" t="e">
        <f>IF([3]!Table14[[#This Row],[Nullable in Table and in Oracle View
NULL, NOT NULL]]="No","NOT NULL","NULL")=VLOOKUP(A166,[2]Model!C$2:I$228,6,FALSE)</f>
        <v>#REF!</v>
      </c>
      <c r="T166" s="18" t="e">
        <f>VLOOKUP(B166,[2]Table!A$2:F$415,1,FALSE)=[3]!Table14[[#This Row],[Physical Name of Attribute (Name of column in Table)
Supplied by DA Team]]</f>
        <v>#REF!</v>
      </c>
      <c r="U166" s="18" t="b">
        <f>VLOOKUP(B166,Table!A$2:F$319,2,FALSE)=Table14[[#This Row],[Data type in Oracle
VARCHAR2(n), DATE, NUMBER(m,n), TIMETSTAMP(6)]]</f>
        <v>0</v>
      </c>
      <c r="V166" s="18" t="b">
        <f>VLOOKUP(B166,Table!A$2:F$231,3,FALSE)=Table14[[#This Row],[Nullable in Table and in Oracle View
NULL, NOT NULL]]</f>
        <v>1</v>
      </c>
      <c r="W166" s="18" t="b">
        <f>VLOOKUP(B166,Table!A$2:H$228,6,FALSE)=Table14[[#This Row],[Business Definition (To go into comments and into Meta Data Hub)]]</f>
        <v>0</v>
      </c>
      <c r="X166" s="55" t="str">
        <f>VLOOKUP((UPPER(SUBSTITUTE(A166," ","_"))),'[2]Consumer View'!A$2:I$329,1,FALSE)</f>
        <v>SECURITY_DESCRIPTION_TRAILER_1</v>
      </c>
      <c r="Y166" s="18" t="s">
        <v>68</v>
      </c>
      <c r="Z166" s="18" t="s">
        <v>375</v>
      </c>
      <c r="AA166" s="18" t="s">
        <v>516</v>
      </c>
      <c r="AB166" s="18"/>
      <c r="AC166" s="18"/>
      <c r="AD166" s="18" t="s">
        <v>860</v>
      </c>
      <c r="AE166" s="46"/>
      <c r="AF166" s="18"/>
      <c r="AG166" s="18"/>
      <c r="AH166" s="18" t="s">
        <v>71</v>
      </c>
    </row>
    <row r="167" spans="1:34" ht="27" customHeight="1">
      <c r="A167" s="51" t="s">
        <v>903</v>
      </c>
      <c r="B167" s="18" t="s">
        <v>904</v>
      </c>
      <c r="C167" s="18" t="s">
        <v>905</v>
      </c>
      <c r="D167" s="55" t="s">
        <v>559</v>
      </c>
      <c r="E167" s="18" t="s">
        <v>63</v>
      </c>
      <c r="F167" s="18" t="s">
        <v>560</v>
      </c>
      <c r="G167" s="45" t="s">
        <v>63</v>
      </c>
      <c r="H167" s="46" t="s">
        <v>906</v>
      </c>
      <c r="I167" s="18"/>
      <c r="J167" s="18" t="s">
        <v>381</v>
      </c>
      <c r="K167" s="18">
        <v>3</v>
      </c>
      <c r="L167" s="18"/>
      <c r="M167" s="18"/>
      <c r="N167" s="18"/>
      <c r="O167" s="18" t="b">
        <f>VLOOKUP(A167,[1]Model!C$2:J$559,2,FALSE)=B167</f>
        <v>1</v>
      </c>
      <c r="P167" s="18" t="e">
        <f>VLOOKUP(A167,Model!C$2:G$228,5,FALSE)=D167</f>
        <v>#N/A</v>
      </c>
      <c r="Q167" s="18">
        <f>VLOOKUP(A167,[2]Model!C$2:L$228,8,FALSE)</f>
        <v>31</v>
      </c>
      <c r="R167" s="18" t="e">
        <f>VLOOKUP(A167,[2]Model!C$2:G$228,3,FALSE)=[3]!Table14[[#This Row],[Business Definition (To go into comments and into Meta Data Hub)]]</f>
        <v>#REF!</v>
      </c>
      <c r="S167" s="18" t="e">
        <f>IF([3]!Table14[[#This Row],[Nullable in Table and in Oracle View
NULL, NOT NULL]]="No","NOT NULL","NULL")=VLOOKUP(A167,[2]Model!C$2:I$228,6,FALSE)</f>
        <v>#REF!</v>
      </c>
      <c r="T167" s="18" t="e">
        <f>VLOOKUP(B167,[2]Table!A$2:F$415,1,FALSE)=[3]!Table14[[#This Row],[Physical Name of Attribute (Name of column in Table)
Supplied by DA Team]]</f>
        <v>#REF!</v>
      </c>
      <c r="U167" s="18" t="b">
        <f>VLOOKUP(B167,Table!A$2:F$319,2,FALSE)=Table14[[#This Row],[Data type in Oracle
VARCHAR2(n), DATE, NUMBER(m,n), TIMETSTAMP(6)]]</f>
        <v>1</v>
      </c>
      <c r="V167" s="18" t="b">
        <f>VLOOKUP(B167,Table!A$2:F$231,3,FALSE)=Table14[[#This Row],[Nullable in Table and in Oracle View
NULL, NOT NULL]]</f>
        <v>1</v>
      </c>
      <c r="W167" s="18" t="b">
        <f>VLOOKUP(B167,Table!A$2:H$228,6,FALSE)=Table14[[#This Row],[Business Definition (To go into comments and into Meta Data Hub)]]</f>
        <v>0</v>
      </c>
      <c r="X167" s="55" t="str">
        <f>VLOOKUP((UPPER(SUBSTITUTE(A167," ","_"))),'[2]Consumer View'!A$2:I$329,1,FALSE)</f>
        <v>SECURITY_ORIGINAL_QUANTITY</v>
      </c>
      <c r="Y167" s="18" t="s">
        <v>68</v>
      </c>
      <c r="Z167" s="18" t="s">
        <v>375</v>
      </c>
      <c r="AA167" s="18" t="s">
        <v>907</v>
      </c>
      <c r="AB167" s="18"/>
      <c r="AC167" s="18"/>
      <c r="AD167" s="18" t="s">
        <v>860</v>
      </c>
      <c r="AE167" s="46"/>
      <c r="AF167" s="18"/>
      <c r="AG167" s="18"/>
      <c r="AH167" s="18" t="s">
        <v>71</v>
      </c>
    </row>
    <row r="168" spans="1:34" ht="27" customHeight="1">
      <c r="A168" s="51" t="s">
        <v>908</v>
      </c>
      <c r="B168" s="18" t="s">
        <v>909</v>
      </c>
      <c r="C168" s="18" t="s">
        <v>910</v>
      </c>
      <c r="D168" s="18" t="s">
        <v>139</v>
      </c>
      <c r="E168" s="18" t="s">
        <v>63</v>
      </c>
      <c r="F168" s="18" t="s">
        <v>140</v>
      </c>
      <c r="G168" s="45" t="s">
        <v>63</v>
      </c>
      <c r="H168" s="12" t="s">
        <v>911</v>
      </c>
      <c r="I168" s="18"/>
      <c r="J168" s="18" t="s">
        <v>347</v>
      </c>
      <c r="K168" s="18">
        <v>3</v>
      </c>
      <c r="L168" s="18"/>
      <c r="M168" s="18"/>
      <c r="N168" s="18"/>
      <c r="O168" s="18" t="b">
        <f>VLOOKUP(A168,[1]Model!C$2:J$559,2,FALSE)=B168</f>
        <v>1</v>
      </c>
      <c r="P168" s="18" t="e">
        <f>VLOOKUP(A168,Model!C$2:G$228,5,FALSE)=D168</f>
        <v>#N/A</v>
      </c>
      <c r="Q168" s="18">
        <f>VLOOKUP(A168,[2]Model!C$2:L$228,8,FALSE)</f>
        <v>56</v>
      </c>
      <c r="R168" s="18" t="e">
        <f>VLOOKUP(A168,[2]Model!C$2:G$228,3,FALSE)=[3]!Table14[[#This Row],[Business Definition (To go into comments and into Meta Data Hub)]]</f>
        <v>#REF!</v>
      </c>
      <c r="S168" s="18" t="e">
        <f>IF([3]!Table14[[#This Row],[Nullable in Table and in Oracle View
NULL, NOT NULL]]="No","NOT NULL","NULL")=VLOOKUP(A168,[2]Model!C$2:I$228,6,FALSE)</f>
        <v>#REF!</v>
      </c>
      <c r="T168" s="18" t="e">
        <f>VLOOKUP(B168,[2]Table!A$2:F$415,1,FALSE)=[3]!Table14[[#This Row],[Physical Name of Attribute (Name of column in Table)
Supplied by DA Team]]</f>
        <v>#REF!</v>
      </c>
      <c r="U168" s="18" t="b">
        <f>VLOOKUP(B168,Table!A$2:F$319,2,FALSE)=Table14[[#This Row],[Data type in Oracle
VARCHAR2(n), DATE, NUMBER(m,n), TIMETSTAMP(6)]]</f>
        <v>0</v>
      </c>
      <c r="V168" s="18" t="b">
        <f>VLOOKUP(B168,Table!A$2:F$231,3,FALSE)=Table14[[#This Row],[Nullable in Table and in Oracle View
NULL, NOT NULL]]</f>
        <v>1</v>
      </c>
      <c r="W168" s="18" t="b">
        <f>VLOOKUP(B168,Table!A$2:H$228,6,FALSE)=Table14[[#This Row],[Business Definition (To go into comments and into Meta Data Hub)]]</f>
        <v>0</v>
      </c>
      <c r="X168" s="55" t="str">
        <f>VLOOKUP((UPPER(SUBSTITUTE(A168," ","_"))),'[2]Consumer View'!A$2:I$329,1,FALSE)</f>
        <v>SECURITY_SOURCE_CUSIP</v>
      </c>
      <c r="Y168" s="18" t="s">
        <v>68</v>
      </c>
      <c r="Z168" s="18" t="s">
        <v>375</v>
      </c>
      <c r="AA168" s="18" t="s">
        <v>912</v>
      </c>
      <c r="AB168" s="18"/>
      <c r="AC168" s="18"/>
      <c r="AD168" s="46" t="s">
        <v>913</v>
      </c>
      <c r="AE168" s="59" t="s">
        <v>914</v>
      </c>
      <c r="AF168" s="18"/>
      <c r="AG168" s="18"/>
      <c r="AH168" s="18" t="s">
        <v>71</v>
      </c>
    </row>
    <row r="169" spans="1:34" ht="27" customHeight="1">
      <c r="A169" s="51" t="s">
        <v>915</v>
      </c>
      <c r="B169" s="18" t="s">
        <v>916</v>
      </c>
      <c r="C169" s="18" t="s">
        <v>917</v>
      </c>
      <c r="D169" s="18" t="s">
        <v>101</v>
      </c>
      <c r="E169" s="18" t="s">
        <v>63</v>
      </c>
      <c r="F169" s="18" t="s">
        <v>133</v>
      </c>
      <c r="G169" s="45" t="s">
        <v>63</v>
      </c>
      <c r="H169" s="46" t="s">
        <v>918</v>
      </c>
      <c r="I169" s="18"/>
      <c r="J169" s="18" t="s">
        <v>347</v>
      </c>
      <c r="K169" s="18">
        <v>3</v>
      </c>
      <c r="L169" s="18"/>
      <c r="M169" s="18"/>
      <c r="N169" s="18"/>
      <c r="O169" s="18" t="b">
        <f>VLOOKUP(A169,[1]Model!C$2:J$559,2,FALSE)=B169</f>
        <v>1</v>
      </c>
      <c r="P169" s="18" t="e">
        <f>VLOOKUP(A169,Model!C$2:G$228,5,FALSE)=D169</f>
        <v>#N/A</v>
      </c>
      <c r="Q169" s="18">
        <f>VLOOKUP(A169,[2]Model!C$2:L$228,8,FALSE)</f>
        <v>143</v>
      </c>
      <c r="R169" s="18" t="e">
        <f>VLOOKUP(A169,[2]Model!C$2:G$228,3,FALSE)=[3]!Table14[[#This Row],[Business Definition (To go into comments and into Meta Data Hub)]]</f>
        <v>#REF!</v>
      </c>
      <c r="S169" s="18" t="e">
        <f>IF([3]!Table14[[#This Row],[Nullable in Table and in Oracle View
NULL, NOT NULL]]="No","NOT NULL","NULL")=VLOOKUP(A169,[2]Model!C$2:I$228,6,FALSE)</f>
        <v>#REF!</v>
      </c>
      <c r="T169" s="18" t="e">
        <f>VLOOKUP(B169,[2]Table!A$2:F$415,1,FALSE)=[3]!Table14[[#This Row],[Physical Name of Attribute (Name of column in Table)
Supplied by DA Team]]</f>
        <v>#REF!</v>
      </c>
      <c r="U169" s="18" t="b">
        <f>VLOOKUP(B169,Table!A$2:F$319,2,FALSE)=Table14[[#This Row],[Data type in Oracle
VARCHAR2(n), DATE, NUMBER(m,n), TIMETSTAMP(6)]]</f>
        <v>1</v>
      </c>
      <c r="V169" s="18" t="b">
        <f>VLOOKUP(B169,Table!A$2:F$231,3,FALSE)=Table14[[#This Row],[Nullable in Table and in Oracle View
NULL, NOT NULL]]</f>
        <v>1</v>
      </c>
      <c r="W169" s="18" t="b">
        <f>VLOOKUP(B169,Table!A$2:H$228,6,FALSE)=Table14[[#This Row],[Business Definition (To go into comments and into Meta Data Hub)]]</f>
        <v>1</v>
      </c>
      <c r="X169" s="55" t="str">
        <f>VLOOKUP((UPPER(SUBSTITUTE(A169," ","_"))),'[2]Consumer View'!A$2:I$329,1,FALSE)</f>
        <v>SECURITY_PRODUCT_ID</v>
      </c>
      <c r="Y169" s="18" t="s">
        <v>68</v>
      </c>
      <c r="Z169" s="18" t="s">
        <v>375</v>
      </c>
      <c r="AA169" s="18" t="s">
        <v>544</v>
      </c>
      <c r="AB169" s="18"/>
      <c r="AC169" s="18"/>
      <c r="AD169" s="46" t="s">
        <v>913</v>
      </c>
      <c r="AE169" s="46"/>
      <c r="AF169" s="18"/>
      <c r="AG169" s="18"/>
      <c r="AH169" s="18" t="s">
        <v>919</v>
      </c>
    </row>
    <row r="170" spans="1:34" ht="27" hidden="1" customHeight="1">
      <c r="A170" s="51" t="s">
        <v>920</v>
      </c>
      <c r="B170" s="18" t="s">
        <v>921</v>
      </c>
      <c r="C170" s="18"/>
      <c r="D170" s="18" t="s">
        <v>101</v>
      </c>
      <c r="E170" s="18" t="s">
        <v>345</v>
      </c>
      <c r="F170" s="18" t="s">
        <v>133</v>
      </c>
      <c r="G170" s="45" t="s">
        <v>63</v>
      </c>
      <c r="H170" s="46" t="s">
        <v>922</v>
      </c>
      <c r="I170" s="18"/>
      <c r="J170" s="18" t="s">
        <v>347</v>
      </c>
      <c r="K170" s="18">
        <v>3</v>
      </c>
      <c r="L170" s="18"/>
      <c r="M170" s="18"/>
      <c r="N170" s="18"/>
      <c r="O170" s="18" t="b">
        <f>VLOOKUP(A170,[1]Model!C$2:J$559,2,FALSE)=B170</f>
        <v>1</v>
      </c>
      <c r="P170" s="18" t="e">
        <f>VLOOKUP(A170,Model!C$2:G$228,5,FALSE)=D170</f>
        <v>#N/A</v>
      </c>
      <c r="Q170" s="18">
        <f>VLOOKUP(A170,[2]Model!C$2:L$228,8,FALSE)</f>
        <v>1</v>
      </c>
      <c r="R170" s="18" t="e">
        <f>VLOOKUP(A170,[2]Model!C$2:G$228,3,FALSE)=[3]!Table14[[#This Row],[Business Definition (To go into comments and into Meta Data Hub)]]</f>
        <v>#REF!</v>
      </c>
      <c r="S170" s="18" t="e">
        <f>IF([3]!Table14[[#This Row],[Nullable in Table and in Oracle View
NULL, NOT NULL]]="No","NOT NULL","NULL")=VLOOKUP(A170,[2]Model!C$2:I$228,6,FALSE)</f>
        <v>#REF!</v>
      </c>
      <c r="T170" s="18" t="e">
        <f>VLOOKUP(B170,[2]Table!A$2:F$415,1,FALSE)=[3]!Table14[[#This Row],[Physical Name of Attribute (Name of column in Table)
Supplied by DA Team]]</f>
        <v>#REF!</v>
      </c>
      <c r="U170" s="18" t="b">
        <f>VLOOKUP(B170,Table!A$2:F$319,2,FALSE)=Table14[[#This Row],[Data type in Oracle
VARCHAR2(n), DATE, NUMBER(m,n), TIMETSTAMP(6)]]</f>
        <v>1</v>
      </c>
      <c r="V170" s="18" t="b">
        <f>VLOOKUP(B170,Table!A$2:F$231,3,FALSE)=Table14[[#This Row],[Nullable in Table and in Oracle View
NULL, NOT NULL]]</f>
        <v>1</v>
      </c>
      <c r="W170" s="18" t="b">
        <f>VLOOKUP(B170,Table!A$2:H$228,6,FALSE)=Table14[[#This Row],[Business Definition (To go into comments and into Meta Data Hub)]]</f>
        <v>0</v>
      </c>
      <c r="X170" s="55" t="e">
        <f>VLOOKUP((UPPER(SUBSTITUTE(A170," ","_"))),'[2]Consumer View'!A$2:I$329,1,FALSE)</f>
        <v>#N/A</v>
      </c>
      <c r="Y170" s="18" t="s">
        <v>355</v>
      </c>
      <c r="Z170" s="18" t="s">
        <v>548</v>
      </c>
      <c r="AA170" s="18" t="s">
        <v>549</v>
      </c>
      <c r="AB170" s="18"/>
      <c r="AC170" s="18"/>
      <c r="AD170" s="18" t="s">
        <v>923</v>
      </c>
      <c r="AE170" s="46" t="s">
        <v>313</v>
      </c>
      <c r="AF170" s="18"/>
      <c r="AG170" s="18"/>
      <c r="AH170" s="18" t="s">
        <v>351</v>
      </c>
    </row>
    <row r="171" spans="1:34" ht="27" customHeight="1">
      <c r="A171" s="51" t="s">
        <v>924</v>
      </c>
      <c r="B171" s="18" t="s">
        <v>925</v>
      </c>
      <c r="C171" s="18" t="s">
        <v>926</v>
      </c>
      <c r="D171" s="55" t="s">
        <v>927</v>
      </c>
      <c r="E171" s="18" t="s">
        <v>63</v>
      </c>
      <c r="F171" s="18" t="s">
        <v>928</v>
      </c>
      <c r="G171" s="45" t="s">
        <v>63</v>
      </c>
      <c r="H171" s="14" t="s">
        <v>929</v>
      </c>
      <c r="I171" s="18"/>
      <c r="J171" s="18" t="s">
        <v>381</v>
      </c>
      <c r="K171" s="18">
        <v>3</v>
      </c>
      <c r="L171" s="18"/>
      <c r="M171" s="18"/>
      <c r="N171" s="18"/>
      <c r="O171" s="18" t="b">
        <f>VLOOKUP(A171,[1]Model!C$2:J$559,2,FALSE)=B171</f>
        <v>1</v>
      </c>
      <c r="P171" s="18" t="e">
        <f>VLOOKUP(A171,Model!C$2:G$228,5,FALSE)=D171</f>
        <v>#N/A</v>
      </c>
      <c r="Q171" s="18">
        <f>VLOOKUP(A171,[2]Model!C$2:L$228,8,FALSE)</f>
        <v>28</v>
      </c>
      <c r="R171" s="18" t="e">
        <f>VLOOKUP(A171,[2]Model!C$2:G$228,3,FALSE)=[3]!Table14[[#This Row],[Business Definition (To go into comments and into Meta Data Hub)]]</f>
        <v>#REF!</v>
      </c>
      <c r="S171" s="18" t="e">
        <f>IF([3]!Table14[[#This Row],[Nullable in Table and in Oracle View
NULL, NOT NULL]]="No","NOT NULL","NULL")=VLOOKUP(A171,[2]Model!C$2:I$228,6,FALSE)</f>
        <v>#REF!</v>
      </c>
      <c r="T171" s="18" t="e">
        <f>VLOOKUP(B171,[2]Table!A$2:F$415,1,FALSE)=[3]!Table14[[#This Row],[Physical Name of Attribute (Name of column in Table)
Supplied by DA Team]]</f>
        <v>#REF!</v>
      </c>
      <c r="U171" s="18" t="b">
        <f>VLOOKUP(B171,Table!A$2:F$319,2,FALSE)=Table14[[#This Row],[Data type in Oracle
VARCHAR2(n), DATE, NUMBER(m,n), TIMETSTAMP(6)]]</f>
        <v>1</v>
      </c>
      <c r="V171" s="18" t="b">
        <f>VLOOKUP(B171,Table!A$2:F$231,3,FALSE)=Table14[[#This Row],[Nullable in Table and in Oracle View
NULL, NOT NULL]]</f>
        <v>1</v>
      </c>
      <c r="W171" s="18" t="b">
        <f>VLOOKUP(B171,Table!A$2:H$228,6,FALSE)=Table14[[#This Row],[Business Definition (To go into comments and into Meta Data Hub)]]</f>
        <v>1</v>
      </c>
      <c r="X171" s="18" t="str">
        <f>VLOOKUP((UPPER(SUBSTITUTE(A171," ","_"))),'[2]Consumer View'!A$2:I$329,1,FALSE)</f>
        <v>SECURITY_PRICE_IN_TRANSACTION_CURRENCY</v>
      </c>
      <c r="Y171" s="18" t="s">
        <v>68</v>
      </c>
      <c r="Z171" s="18" t="s">
        <v>375</v>
      </c>
      <c r="AA171" s="18" t="s">
        <v>930</v>
      </c>
      <c r="AB171" s="18"/>
      <c r="AC171" s="18"/>
      <c r="AD171" s="18" t="s">
        <v>860</v>
      </c>
      <c r="AE171" s="46"/>
      <c r="AF171" s="18"/>
      <c r="AG171" s="18"/>
      <c r="AH171" s="18" t="s">
        <v>71</v>
      </c>
    </row>
    <row r="172" spans="1:34" ht="27" customHeight="1">
      <c r="A172" s="51" t="s">
        <v>931</v>
      </c>
      <c r="B172" s="18" t="s">
        <v>932</v>
      </c>
      <c r="C172" s="18" t="s">
        <v>933</v>
      </c>
      <c r="D172" s="55" t="s">
        <v>927</v>
      </c>
      <c r="E172" s="18" t="s">
        <v>63</v>
      </c>
      <c r="F172" s="18" t="s">
        <v>928</v>
      </c>
      <c r="G172" s="45" t="s">
        <v>63</v>
      </c>
      <c r="H172" s="14" t="s">
        <v>934</v>
      </c>
      <c r="I172" s="18"/>
      <c r="J172" s="18" t="s">
        <v>381</v>
      </c>
      <c r="K172" s="18">
        <v>3</v>
      </c>
      <c r="L172" s="18"/>
      <c r="M172" s="18"/>
      <c r="N172" s="18"/>
      <c r="O172" s="18" t="b">
        <f>VLOOKUP(A172,[1]Model!C$2:J$559,2,FALSE)=B172</f>
        <v>1</v>
      </c>
      <c r="P172" s="18" t="e">
        <f>VLOOKUP(A172,Model!C$2:G$228,5,FALSE)=D172</f>
        <v>#N/A</v>
      </c>
      <c r="Q172" s="18">
        <f>VLOOKUP(A172,[2]Model!C$2:L$228,8,FALSE)</f>
        <v>32</v>
      </c>
      <c r="R172" s="18" t="e">
        <f>VLOOKUP(A172,[2]Model!C$2:G$228,3,FALSE)=[3]!Table14[[#This Row],[Business Definition (To go into comments and into Meta Data Hub)]]</f>
        <v>#REF!</v>
      </c>
      <c r="S172" s="18" t="e">
        <f>IF([3]!Table14[[#This Row],[Nullable in Table and in Oracle View
NULL, NOT NULL]]="No","NOT NULL","NULL")=VLOOKUP(A172,[2]Model!C$2:I$228,6,FALSE)</f>
        <v>#REF!</v>
      </c>
      <c r="T172" s="18" t="e">
        <f>VLOOKUP(B172,[2]Table!A$2:F$415,1,FALSE)=[3]!Table14[[#This Row],[Physical Name of Attribute (Name of column in Table)
Supplied by DA Team]]</f>
        <v>#REF!</v>
      </c>
      <c r="U172" s="18" t="b">
        <f>VLOOKUP(B172,Table!A$2:F$319,2,FALSE)=Table14[[#This Row],[Data type in Oracle
VARCHAR2(n), DATE, NUMBER(m,n), TIMETSTAMP(6)]]</f>
        <v>1</v>
      </c>
      <c r="V172" s="18" t="b">
        <f>VLOOKUP(B172,Table!A$2:F$231,3,FALSE)=Table14[[#This Row],[Nullable in Table and in Oracle View
NULL, NOT NULL]]</f>
        <v>1</v>
      </c>
      <c r="W172" s="18" t="b">
        <f>VLOOKUP(B172,Table!A$2:H$228,6,FALSE)=Table14[[#This Row],[Business Definition (To go into comments and into Meta Data Hub)]]</f>
        <v>0</v>
      </c>
      <c r="X172" s="55" t="str">
        <f>VLOOKUP((UPPER(SUBSTITUTE(A172," ","_"))),'[2]Consumer View'!A$2:I$329,1,FALSE)</f>
        <v>SECURITY_SOURCE_PRICE_IN_SYSTEM_BASE_CURRENCY</v>
      </c>
      <c r="Y172" s="18" t="s">
        <v>68</v>
      </c>
      <c r="Z172" s="18" t="s">
        <v>375</v>
      </c>
      <c r="AA172" s="18" t="s">
        <v>935</v>
      </c>
      <c r="AB172" s="18"/>
      <c r="AC172" s="18"/>
      <c r="AD172" s="18" t="s">
        <v>860</v>
      </c>
      <c r="AE172" s="46"/>
      <c r="AF172" s="18"/>
      <c r="AG172" s="18"/>
      <c r="AH172" s="18" t="s">
        <v>71</v>
      </c>
    </row>
    <row r="173" spans="1:34" ht="27" customHeight="1">
      <c r="A173" s="51" t="s">
        <v>936</v>
      </c>
      <c r="B173" s="18" t="s">
        <v>937</v>
      </c>
      <c r="C173" s="18" t="s">
        <v>938</v>
      </c>
      <c r="D173" s="55" t="s">
        <v>101</v>
      </c>
      <c r="E173" s="18" t="s">
        <v>63</v>
      </c>
      <c r="F173" s="18" t="s">
        <v>133</v>
      </c>
      <c r="G173" s="45" t="s">
        <v>63</v>
      </c>
      <c r="H173" s="46" t="s">
        <v>939</v>
      </c>
      <c r="I173" s="18"/>
      <c r="J173" s="18" t="s">
        <v>381</v>
      </c>
      <c r="K173" s="18">
        <v>3</v>
      </c>
      <c r="L173" s="18"/>
      <c r="M173" s="18"/>
      <c r="N173" s="18"/>
      <c r="O173" s="18" t="b">
        <f>VLOOKUP(A173,[1]Model!C$2:J$559,2,FALSE)=B173</f>
        <v>1</v>
      </c>
      <c r="P173" s="18" t="e">
        <f>VLOOKUP(A173,Model!C$2:G$228,5,FALSE)=D173</f>
        <v>#N/A</v>
      </c>
      <c r="Q173" s="18">
        <f>VLOOKUP(A173,[2]Model!C$2:L$228,8,FALSE)</f>
        <v>44</v>
      </c>
      <c r="R173" s="18" t="e">
        <f>VLOOKUP(A173,[2]Model!C$2:G$228,3,FALSE)=[3]!Table14[[#This Row],[Business Definition (To go into comments and into Meta Data Hub)]]</f>
        <v>#REF!</v>
      </c>
      <c r="S173" s="18" t="e">
        <f>IF([3]!Table14[[#This Row],[Nullable in Table and in Oracle View
NULL, NOT NULL]]="No","NOT NULL","NULL")=VLOOKUP(A173,[2]Model!C$2:I$228,6,FALSE)</f>
        <v>#REF!</v>
      </c>
      <c r="T173" s="18" t="e">
        <f>VLOOKUP(B173,[2]Table!A$2:F$415,1,FALSE)=[3]!Table14[[#This Row],[Physical Name of Attribute (Name of column in Table)
Supplied by DA Team]]</f>
        <v>#REF!</v>
      </c>
      <c r="U173" s="18" t="b">
        <f>VLOOKUP(B173,Table!A$2:F$319,2,FALSE)=Table14[[#This Row],[Data type in Oracle
VARCHAR2(n), DATE, NUMBER(m,n), TIMETSTAMP(6)]]</f>
        <v>1</v>
      </c>
      <c r="V173" s="18" t="b">
        <f>VLOOKUP(B173,Table!A$2:F$231,3,FALSE)=Table14[[#This Row],[Nullable in Table and in Oracle View
NULL, NOT NULL]]</f>
        <v>1</v>
      </c>
      <c r="W173" s="18" t="b">
        <f>VLOOKUP(B173,Table!A$2:H$228,6,FALSE)=Table14[[#This Row],[Business Definition (To go into comments and into Meta Data Hub)]]</f>
        <v>0</v>
      </c>
      <c r="X173" s="55" t="str">
        <f>VLOOKUP((UPPER(SUBSTITUTE(A173," ","_"))),'[2]Consumer View'!A$2:I$329,1,FALSE)</f>
        <v>SECURITY_SOURCE_SEQUENCE_NUMBER</v>
      </c>
      <c r="Y173" s="18" t="s">
        <v>68</v>
      </c>
      <c r="Z173" s="18" t="s">
        <v>375</v>
      </c>
      <c r="AA173" s="18" t="s">
        <v>555</v>
      </c>
      <c r="AB173" s="18"/>
      <c r="AC173" s="18"/>
      <c r="AD173" s="18" t="s">
        <v>860</v>
      </c>
      <c r="AE173" s="46"/>
      <c r="AF173" s="18"/>
      <c r="AG173" s="18"/>
      <c r="AH173" s="18" t="s">
        <v>71</v>
      </c>
    </row>
    <row r="174" spans="1:34" ht="27" customHeight="1">
      <c r="A174" s="51" t="s">
        <v>940</v>
      </c>
      <c r="B174" s="18" t="s">
        <v>941</v>
      </c>
      <c r="C174" s="18" t="s">
        <v>942</v>
      </c>
      <c r="D174" s="55" t="s">
        <v>559</v>
      </c>
      <c r="E174" s="18" t="s">
        <v>63</v>
      </c>
      <c r="F174" s="18" t="s">
        <v>560</v>
      </c>
      <c r="G174" s="45" t="s">
        <v>63</v>
      </c>
      <c r="H174" s="46" t="s">
        <v>943</v>
      </c>
      <c r="I174" s="18"/>
      <c r="J174" s="18" t="s">
        <v>381</v>
      </c>
      <c r="K174" s="18">
        <v>3</v>
      </c>
      <c r="L174" s="18"/>
      <c r="M174" s="18"/>
      <c r="N174" s="18"/>
      <c r="O174" s="18" t="b">
        <f>VLOOKUP(A174,[1]Model!C$2:J$559,2,FALSE)=B174</f>
        <v>1</v>
      </c>
      <c r="P174" s="18" t="e">
        <f>VLOOKUP(A174,Model!C$2:G$228,5,FALSE)=D174</f>
        <v>#N/A</v>
      </c>
      <c r="Q174" s="18">
        <f>VLOOKUP(A174,[2]Model!C$2:L$228,8,FALSE)</f>
        <v>39</v>
      </c>
      <c r="R174" s="18" t="e">
        <f>VLOOKUP(A174,[2]Model!C$2:G$228,3,FALSE)=[3]!Table14[[#This Row],[Business Definition (To go into comments and into Meta Data Hub)]]</f>
        <v>#REF!</v>
      </c>
      <c r="S174" s="18" t="e">
        <f>IF([3]!Table14[[#This Row],[Nullable in Table and in Oracle View
NULL, NOT NULL]]="No","NOT NULL","NULL")=VLOOKUP(A174,[2]Model!C$2:I$228,6,FALSE)</f>
        <v>#REF!</v>
      </c>
      <c r="T174" s="18" t="e">
        <f>VLOOKUP(B174,[2]Table!A$2:F$415,1,FALSE)=[3]!Table14[[#This Row],[Physical Name of Attribute (Name of column in Table)
Supplied by DA Team]]</f>
        <v>#REF!</v>
      </c>
      <c r="U174" s="18" t="b">
        <f>VLOOKUP(B174,Table!A$2:F$319,2,FALSE)=Table14[[#This Row],[Data type in Oracle
VARCHAR2(n), DATE, NUMBER(m,n), TIMETSTAMP(6)]]</f>
        <v>1</v>
      </c>
      <c r="V174" s="18" t="b">
        <f>VLOOKUP(B174,Table!A$2:F$231,3,FALSE)=Table14[[#This Row],[Nullable in Table and in Oracle View
NULL, NOT NULL]]</f>
        <v>1</v>
      </c>
      <c r="W174" s="18" t="b">
        <f>VLOOKUP(B174,Table!A$2:H$228,6,FALSE)=Table14[[#This Row],[Business Definition (To go into comments and into Meta Data Hub)]]</f>
        <v>0</v>
      </c>
      <c r="X174" s="55" t="str">
        <f>VLOOKUP((UPPER(SUBSTITUTE(A174," ","_"))),'[2]Consumer View'!A$2:I$329,1,FALSE)</f>
        <v>SECURITY_SYSTEM_BASE_CURRENCY_AMOUNT</v>
      </c>
      <c r="Y174" s="18" t="s">
        <v>68</v>
      </c>
      <c r="Z174" s="18" t="s">
        <v>375</v>
      </c>
      <c r="AA174" s="18" t="s">
        <v>562</v>
      </c>
      <c r="AB174" s="18"/>
      <c r="AC174" s="18"/>
      <c r="AD174" s="18" t="s">
        <v>860</v>
      </c>
      <c r="AE174" s="46"/>
      <c r="AF174" s="18"/>
      <c r="AG174" s="18"/>
      <c r="AH174" s="18" t="s">
        <v>71</v>
      </c>
    </row>
    <row r="175" spans="1:34" ht="27" customHeight="1">
      <c r="A175" s="51" t="s">
        <v>944</v>
      </c>
      <c r="B175" s="18" t="s">
        <v>945</v>
      </c>
      <c r="C175" s="18" t="s">
        <v>946</v>
      </c>
      <c r="D175" s="55" t="s">
        <v>559</v>
      </c>
      <c r="E175" s="18" t="s">
        <v>63</v>
      </c>
      <c r="F175" s="18" t="s">
        <v>560</v>
      </c>
      <c r="G175" s="45" t="s">
        <v>63</v>
      </c>
      <c r="H175" s="46" t="s">
        <v>947</v>
      </c>
      <c r="I175" s="18"/>
      <c r="J175" s="18" t="s">
        <v>381</v>
      </c>
      <c r="K175" s="18">
        <v>3</v>
      </c>
      <c r="L175" s="18"/>
      <c r="M175" s="18"/>
      <c r="N175" s="18"/>
      <c r="O175" s="18" t="b">
        <f>VLOOKUP(A175,[1]Model!C$2:J$559,2,FALSE)=B175</f>
        <v>1</v>
      </c>
      <c r="P175" s="18" t="e">
        <f>VLOOKUP(A175,Model!C$2:G$228,5,FALSE)=D175</f>
        <v>#N/A</v>
      </c>
      <c r="Q175" s="18">
        <f>VLOOKUP(A175,[2]Model!C$2:L$228,8,FALSE)</f>
        <v>29</v>
      </c>
      <c r="R175" s="18" t="e">
        <f>VLOOKUP(A175,[2]Model!C$2:G$228,3,FALSE)=[3]!Table14[[#This Row],[Business Definition (To go into comments and into Meta Data Hub)]]</f>
        <v>#REF!</v>
      </c>
      <c r="S175" s="18" t="e">
        <f>IF([3]!Table14[[#This Row],[Nullable in Table and in Oracle View
NULL, NOT NULL]]="No","NOT NULL","NULL")=VLOOKUP(A175,[2]Model!C$2:I$228,6,FALSE)</f>
        <v>#REF!</v>
      </c>
      <c r="T175" s="18" t="e">
        <f>VLOOKUP(B175,[2]Table!A$2:F$415,1,FALSE)=[3]!Table14[[#This Row],[Physical Name of Attribute (Name of column in Table)
Supplied by DA Team]]</f>
        <v>#REF!</v>
      </c>
      <c r="U175" s="18" t="b">
        <f>VLOOKUP(B175,Table!A$2:F$319,2,FALSE)=Table14[[#This Row],[Data type in Oracle
VARCHAR2(n), DATE, NUMBER(m,n), TIMETSTAMP(6)]]</f>
        <v>1</v>
      </c>
      <c r="V175" s="18" t="b">
        <f>VLOOKUP(B175,Table!A$2:F$231,3,FALSE)=Table14[[#This Row],[Nullable in Table and in Oracle View
NULL, NOT NULL]]</f>
        <v>1</v>
      </c>
      <c r="W175" s="18" t="b">
        <f>VLOOKUP(B175,Table!A$2:H$228,6,FALSE)=Table14[[#This Row],[Business Definition (To go into comments and into Meta Data Hub)]]</f>
        <v>0</v>
      </c>
      <c r="X175" s="55" t="str">
        <f>VLOOKUP((UPPER(SUBSTITUTE(A175," ","_"))),'[2]Consumer View'!A$2:I$329,1,FALSE)</f>
        <v>SECURITY_TRANSACTION_AMOUNT</v>
      </c>
      <c r="Y175" s="18" t="s">
        <v>68</v>
      </c>
      <c r="Z175" s="18" t="s">
        <v>375</v>
      </c>
      <c r="AA175" s="18" t="s">
        <v>568</v>
      </c>
      <c r="AB175" s="18"/>
      <c r="AC175" s="18"/>
      <c r="AD175" s="18" t="s">
        <v>860</v>
      </c>
      <c r="AE175" s="46"/>
      <c r="AF175" s="18"/>
      <c r="AG175" s="18"/>
      <c r="AH175" s="18" t="s">
        <v>71</v>
      </c>
    </row>
    <row r="176" spans="1:34" ht="27" customHeight="1">
      <c r="A176" s="51" t="s">
        <v>948</v>
      </c>
      <c r="B176" s="18" t="s">
        <v>949</v>
      </c>
      <c r="C176" s="18" t="s">
        <v>950</v>
      </c>
      <c r="D176" s="18" t="s">
        <v>157</v>
      </c>
      <c r="E176" s="18" t="s">
        <v>63</v>
      </c>
      <c r="F176" s="18" t="s">
        <v>158</v>
      </c>
      <c r="G176" s="45" t="s">
        <v>63</v>
      </c>
      <c r="H176" s="46" t="s">
        <v>951</v>
      </c>
      <c r="I176" s="18"/>
      <c r="J176" s="18" t="s">
        <v>347</v>
      </c>
      <c r="K176" s="18">
        <v>3</v>
      </c>
      <c r="L176" s="18"/>
      <c r="M176" s="18"/>
      <c r="N176" s="18"/>
      <c r="O176" s="18" t="b">
        <f>VLOOKUP(A176,[1]Model!C$2:J$559,2,FALSE)=B176</f>
        <v>1</v>
      </c>
      <c r="P176" s="18" t="e">
        <f>VLOOKUP(A176,Model!C$2:G$228,5,FALSE)=D176</f>
        <v>#N/A</v>
      </c>
      <c r="Q176" s="18">
        <f>VLOOKUP(A176,[2]Model!C$2:L$228,8,FALSE)</f>
        <v>20</v>
      </c>
      <c r="R176" s="18" t="e">
        <f>VLOOKUP(A176,[2]Model!C$2:G$228,3,FALSE)=[3]!Table14[[#This Row],[Business Definition (To go into comments and into Meta Data Hub)]]</f>
        <v>#REF!</v>
      </c>
      <c r="S176" s="18" t="e">
        <f>IF([3]!Table14[[#This Row],[Nullable in Table and in Oracle View
NULL, NOT NULL]]="No","NOT NULL","NULL")=VLOOKUP(A176,[2]Model!C$2:I$228,6,FALSE)</f>
        <v>#REF!</v>
      </c>
      <c r="T176" s="18" t="e">
        <f>VLOOKUP(B176,[2]Table!A$2:F$415,1,FALSE)=[3]!Table14[[#This Row],[Physical Name of Attribute (Name of column in Table)
Supplied by DA Team]]</f>
        <v>#REF!</v>
      </c>
      <c r="U176" s="18" t="b">
        <f>VLOOKUP(B176,Table!A$2:F$319,2,FALSE)=Table14[[#This Row],[Data type in Oracle
VARCHAR2(n), DATE, NUMBER(m,n), TIMETSTAMP(6)]]</f>
        <v>1</v>
      </c>
      <c r="V176" s="18" t="b">
        <f>VLOOKUP(B176,Table!A$2:F$231,3,FALSE)=Table14[[#This Row],[Nullable in Table and in Oracle View
NULL, NOT NULL]]</f>
        <v>1</v>
      </c>
      <c r="W176" s="18" t="b">
        <f>VLOOKUP(B176,Table!A$2:H$228,6,FALSE)=Table14[[#This Row],[Business Definition (To go into comments and into Meta Data Hub)]]</f>
        <v>1</v>
      </c>
      <c r="X176" s="55" t="str">
        <f>VLOOKUP((UPPER(SUBSTITUTE(A176," ","_"))),'[2]Consumer View'!A$2:I$329,1,FALSE)</f>
        <v>SETTLEMENT_DATE</v>
      </c>
      <c r="Y176" s="18" t="s">
        <v>68</v>
      </c>
      <c r="Z176" s="18" t="s">
        <v>69</v>
      </c>
      <c r="AA176" s="18" t="s">
        <v>949</v>
      </c>
      <c r="AB176" s="18"/>
      <c r="AC176" s="18"/>
      <c r="AD176" s="18"/>
      <c r="AE176" s="46"/>
      <c r="AF176" s="18"/>
      <c r="AG176" s="18"/>
      <c r="AH176" s="18" t="s">
        <v>71</v>
      </c>
    </row>
    <row r="177" spans="1:34" ht="27" hidden="1" customHeight="1">
      <c r="A177" s="51" t="s">
        <v>952</v>
      </c>
      <c r="B177" s="18" t="s">
        <v>953</v>
      </c>
      <c r="C177" s="18"/>
      <c r="D177" s="18" t="s">
        <v>101</v>
      </c>
      <c r="E177" s="18" t="s">
        <v>345</v>
      </c>
      <c r="F177" s="18" t="s">
        <v>133</v>
      </c>
      <c r="G177" s="45" t="s">
        <v>63</v>
      </c>
      <c r="H177" s="46" t="s">
        <v>954</v>
      </c>
      <c r="I177" s="18"/>
      <c r="J177" s="18" t="s">
        <v>347</v>
      </c>
      <c r="K177" s="18">
        <v>3</v>
      </c>
      <c r="L177" s="18"/>
      <c r="M177" s="18"/>
      <c r="N177" s="18"/>
      <c r="O177" s="18" t="b">
        <f>VLOOKUP(A177,[1]Model!C$2:J$559,2,FALSE)=B177</f>
        <v>1</v>
      </c>
      <c r="P177" s="18" t="e">
        <f>VLOOKUP(A177,Model!C$2:G$228,5,FALSE)=D177</f>
        <v>#N/A</v>
      </c>
      <c r="Q177" s="18">
        <f>VLOOKUP(A177,[2]Model!C$2:L$228,8,FALSE)</f>
        <v>17</v>
      </c>
      <c r="R177" s="18" t="e">
        <f>VLOOKUP(A177,[2]Model!C$2:G$228,3,FALSE)=[3]!Table14[[#This Row],[Business Definition (To go into comments and into Meta Data Hub)]]</f>
        <v>#REF!</v>
      </c>
      <c r="S177" s="18" t="e">
        <f>IF([3]!Table14[[#This Row],[Nullable in Table and in Oracle View
NULL, NOT NULL]]="No","NOT NULL","NULL")=VLOOKUP(A177,[2]Model!C$2:I$228,6,FALSE)</f>
        <v>#REF!</v>
      </c>
      <c r="T177" s="18" t="e">
        <f>VLOOKUP(B177,[2]Table!A$2:F$415,1,FALSE)=[3]!Table14[[#This Row],[Physical Name of Attribute (Name of column in Table)
Supplied by DA Team]]</f>
        <v>#REF!</v>
      </c>
      <c r="U177" s="18" t="b">
        <f>VLOOKUP(B177,Table!A$2:F$319,2,FALSE)=Table14[[#This Row],[Data type in Oracle
VARCHAR2(n), DATE, NUMBER(m,n), TIMETSTAMP(6)]]</f>
        <v>1</v>
      </c>
      <c r="V177" s="18" t="b">
        <f>VLOOKUP(B177,Table!A$2:F$231,3,FALSE)=Table14[[#This Row],[Nullable in Table and in Oracle View
NULL, NOT NULL]]</f>
        <v>1</v>
      </c>
      <c r="W177" s="18" t="b">
        <f>VLOOKUP(B177,Table!A$2:H$228,6,FALSE)=Table14[[#This Row],[Business Definition (To go into comments and into Meta Data Hub)]]</f>
        <v>1</v>
      </c>
      <c r="X177" s="55" t="str">
        <f>VLOOKUP((UPPER(SUBSTITUTE(A177," ","_"))),'[2]Consumer View'!A$2:I$329,1,FALSE)</f>
        <v>SETTLEMENT_DATE_DIMENSION_ID</v>
      </c>
      <c r="Y177" s="18" t="s">
        <v>262</v>
      </c>
      <c r="Z177" s="18" t="s">
        <v>348</v>
      </c>
      <c r="AA177" s="18" t="s">
        <v>349</v>
      </c>
      <c r="AB177" s="18"/>
      <c r="AC177" s="18"/>
      <c r="AD177" s="18" t="s">
        <v>955</v>
      </c>
      <c r="AE177" s="46"/>
      <c r="AF177" s="18"/>
      <c r="AG177" s="18"/>
      <c r="AH177" s="18" t="s">
        <v>351</v>
      </c>
    </row>
    <row r="178" spans="1:34" ht="27" customHeight="1">
      <c r="A178" s="51" t="s">
        <v>956</v>
      </c>
      <c r="B178" s="18" t="s">
        <v>957</v>
      </c>
      <c r="C178" s="18" t="s">
        <v>958</v>
      </c>
      <c r="D178" s="18" t="s">
        <v>62</v>
      </c>
      <c r="E178" s="18" t="s">
        <v>63</v>
      </c>
      <c r="F178" s="18" t="s">
        <v>64</v>
      </c>
      <c r="G178" s="45" t="s">
        <v>63</v>
      </c>
      <c r="H178" s="46" t="s">
        <v>959</v>
      </c>
      <c r="I178" s="18"/>
      <c r="J178" s="18" t="s">
        <v>347</v>
      </c>
      <c r="K178" s="18">
        <v>3</v>
      </c>
      <c r="L178" s="18"/>
      <c r="M178" s="18"/>
      <c r="N178" s="18"/>
      <c r="O178" s="18" t="b">
        <f>VLOOKUP(A178,[1]Model!C$2:J$559,2,FALSE)=B178</f>
        <v>1</v>
      </c>
      <c r="P178" s="18" t="e">
        <f>VLOOKUP(A178,Model!C$2:G$228,5,FALSE)=D178</f>
        <v>#N/A</v>
      </c>
      <c r="Q178" s="18">
        <f>VLOOKUP(A178,[2]Model!C$2:L$228,8,FALSE)</f>
        <v>134</v>
      </c>
      <c r="R178" s="18" t="e">
        <f>VLOOKUP(A178,[2]Model!C$2:G$228,3,FALSE)=[3]!Table14[[#This Row],[Business Definition (To go into comments and into Meta Data Hub)]]</f>
        <v>#REF!</v>
      </c>
      <c r="S178" s="18" t="e">
        <f>IF([3]!Table14[[#This Row],[Nullable in Table and in Oracle View
NULL, NOT NULL]]="No","NOT NULL","NULL")=VLOOKUP(A178,[2]Model!C$2:I$228,6,FALSE)</f>
        <v>#REF!</v>
      </c>
      <c r="T178" s="18" t="e">
        <f>VLOOKUP(B178,[2]Table!A$2:F$415,1,FALSE)=[3]!Table14[[#This Row],[Physical Name of Attribute (Name of column in Table)
Supplied by DA Team]]</f>
        <v>#REF!</v>
      </c>
      <c r="U178" s="18" t="b">
        <f>VLOOKUP(B178,Table!A$2:F$319,2,FALSE)=Table14[[#This Row],[Data type in Oracle
VARCHAR2(n), DATE, NUMBER(m,n), TIMETSTAMP(6)]]</f>
        <v>0</v>
      </c>
      <c r="V178" s="18" t="b">
        <f>VLOOKUP(B178,Table!A$2:F$231,3,FALSE)=Table14[[#This Row],[Nullable in Table and in Oracle View
NULL, NOT NULL]]</f>
        <v>1</v>
      </c>
      <c r="W178" s="18" t="b">
        <f>VLOOKUP(B178,Table!A$2:H$228,6,FALSE)=Table14[[#This Row],[Business Definition (To go into comments and into Meta Data Hub)]]</f>
        <v>1</v>
      </c>
      <c r="X178" s="55" t="str">
        <f>VLOOKUP((UPPER(SUBSTITUTE(A178," ","_"))),'[2]Consumer View'!A$2:I$329,1,FALSE)</f>
        <v>SOURCE_CREATE_USER_NAME</v>
      </c>
      <c r="Y178" s="18" t="s">
        <v>68</v>
      </c>
      <c r="Z178" s="18" t="s">
        <v>69</v>
      </c>
      <c r="AA178" s="18" t="s">
        <v>957</v>
      </c>
      <c r="AB178" s="18"/>
      <c r="AC178" s="18"/>
      <c r="AD178" s="18"/>
      <c r="AE178" s="46"/>
      <c r="AF178" s="18"/>
      <c r="AG178" s="18"/>
      <c r="AH178" s="18" t="s">
        <v>71</v>
      </c>
    </row>
    <row r="179" spans="1:34" ht="27" customHeight="1">
      <c r="A179" s="51" t="s">
        <v>960</v>
      </c>
      <c r="B179" s="18" t="s">
        <v>961</v>
      </c>
      <c r="C179" s="18" t="s">
        <v>962</v>
      </c>
      <c r="D179" s="18" t="s">
        <v>157</v>
      </c>
      <c r="E179" s="18" t="s">
        <v>63</v>
      </c>
      <c r="F179" s="18" t="s">
        <v>158</v>
      </c>
      <c r="G179" s="45" t="s">
        <v>63</v>
      </c>
      <c r="H179" s="46" t="s">
        <v>963</v>
      </c>
      <c r="I179" s="18"/>
      <c r="J179" s="18" t="s">
        <v>347</v>
      </c>
      <c r="K179" s="18">
        <v>3</v>
      </c>
      <c r="L179" s="18"/>
      <c r="M179" s="18"/>
      <c r="N179" s="18"/>
      <c r="O179" s="18" t="b">
        <f>VLOOKUP(A179,[1]Model!C$2:J$559,2,FALSE)=B179</f>
        <v>1</v>
      </c>
      <c r="P179" s="18" t="e">
        <f>VLOOKUP(A179,Model!C$2:G$228,5,FALSE)=D179</f>
        <v>#N/A</v>
      </c>
      <c r="Q179" s="18">
        <f>VLOOKUP(A179,[2]Model!C$2:L$228,8,FALSE)</f>
        <v>135</v>
      </c>
      <c r="R179" s="18" t="e">
        <f>VLOOKUP(A179,[2]Model!C$2:G$228,3,FALSE)=[3]!Table14[[#This Row],[Business Definition (To go into comments and into Meta Data Hub)]]</f>
        <v>#REF!</v>
      </c>
      <c r="S179" s="18" t="e">
        <f>IF([3]!Table14[[#This Row],[Nullable in Table and in Oracle View
NULL, NOT NULL]]="No","NOT NULL","NULL")=VLOOKUP(A179,[2]Model!C$2:I$228,6,FALSE)</f>
        <v>#REF!</v>
      </c>
      <c r="T179" s="18" t="e">
        <f>VLOOKUP(B179,[2]Table!A$2:F$415,1,FALSE)=[3]!Table14[[#This Row],[Physical Name of Attribute (Name of column in Table)
Supplied by DA Team]]</f>
        <v>#REF!</v>
      </c>
      <c r="U179" s="18" t="b">
        <f>VLOOKUP(B179,Table!A$2:F$319,2,FALSE)=Table14[[#This Row],[Data type in Oracle
VARCHAR2(n), DATE, NUMBER(m,n), TIMETSTAMP(6)]]</f>
        <v>1</v>
      </c>
      <c r="V179" s="18" t="b">
        <f>VLOOKUP(B179,Table!A$2:F$231,3,FALSE)=Table14[[#This Row],[Nullable in Table and in Oracle View
NULL, NOT NULL]]</f>
        <v>1</v>
      </c>
      <c r="W179" s="18" t="b">
        <f>VLOOKUP(B179,Table!A$2:H$228,6,FALSE)=Table14[[#This Row],[Business Definition (To go into comments and into Meta Data Hub)]]</f>
        <v>1</v>
      </c>
      <c r="X179" s="55" t="str">
        <f>VLOOKUP((UPPER(SUBSTITUTE(A179," ","_"))),'[2]Consumer View'!A$2:I$329,1,FALSE)</f>
        <v>SOURCE_EFFECTIVE_DATE</v>
      </c>
      <c r="Y179" s="18" t="s">
        <v>68</v>
      </c>
      <c r="Z179" s="18" t="s">
        <v>375</v>
      </c>
      <c r="AA179" s="18" t="s">
        <v>961</v>
      </c>
      <c r="AB179" s="18"/>
      <c r="AC179" s="18"/>
      <c r="AD179" s="46" t="s">
        <v>964</v>
      </c>
      <c r="AE179" s="46"/>
      <c r="AF179" s="18"/>
      <c r="AG179" s="18"/>
      <c r="AH179" s="18" t="s">
        <v>71</v>
      </c>
    </row>
    <row r="180" spans="1:34" ht="27" customHeight="1">
      <c r="A180" s="51" t="s">
        <v>965</v>
      </c>
      <c r="B180" s="18" t="s">
        <v>966</v>
      </c>
      <c r="C180" s="18" t="s">
        <v>967</v>
      </c>
      <c r="D180" s="18" t="s">
        <v>139</v>
      </c>
      <c r="E180" s="18" t="s">
        <v>63</v>
      </c>
      <c r="F180" s="18" t="s">
        <v>140</v>
      </c>
      <c r="G180" s="45" t="s">
        <v>63</v>
      </c>
      <c r="H180" s="46" t="s">
        <v>968</v>
      </c>
      <c r="I180" s="18"/>
      <c r="J180" s="18" t="s">
        <v>347</v>
      </c>
      <c r="K180" s="18">
        <v>3</v>
      </c>
      <c r="L180" s="18"/>
      <c r="M180" s="18"/>
      <c r="N180" s="18"/>
      <c r="O180" s="18" t="b">
        <f>VLOOKUP(A180,[1]Model!C$2:J$559,2,FALSE)=B180</f>
        <v>1</v>
      </c>
      <c r="P180" s="18" t="e">
        <f>VLOOKUP(A180,Model!C$2:G$228,5,FALSE)=D180</f>
        <v>#N/A</v>
      </c>
      <c r="Q180" s="18">
        <f>VLOOKUP(A180,[2]Model!C$2:L$228,8,FALSE)</f>
        <v>136</v>
      </c>
      <c r="R180" s="18" t="e">
        <f>VLOOKUP(A180,[2]Model!C$2:G$228,3,FALSE)=[3]!Table14[[#This Row],[Business Definition (To go into comments and into Meta Data Hub)]]</f>
        <v>#VALUE!</v>
      </c>
      <c r="S180" s="18" t="e">
        <f>IF([3]!Table14[[#This Row],[Nullable in Table and in Oracle View
NULL, NOT NULL]]="No","NOT NULL","NULL")=VLOOKUP(A180,[2]Model!C$2:I$228,6,FALSE)</f>
        <v>#REF!</v>
      </c>
      <c r="T180" s="18" t="e">
        <f>VLOOKUP(B180,[2]Table!A$2:F$415,1,FALSE)=[3]!Table14[[#This Row],[Physical Name of Attribute (Name of column in Table)
Supplied by DA Team]]</f>
        <v>#REF!</v>
      </c>
      <c r="U180" s="18" t="b">
        <f>VLOOKUP(B180,Table!A$2:F$319,2,FALSE)=Table14[[#This Row],[Data type in Oracle
VARCHAR2(n), DATE, NUMBER(m,n), TIMETSTAMP(6)]]</f>
        <v>0</v>
      </c>
      <c r="V180" s="18" t="b">
        <f>VLOOKUP(B180,Table!A$2:F$231,3,FALSE)=Table14[[#This Row],[Nullable in Table and in Oracle View
NULL, NOT NULL]]</f>
        <v>1</v>
      </c>
      <c r="W180" s="18" t="b">
        <f>VLOOKUP(B180,Table!A$2:H$228,6,FALSE)=Table14[[#This Row],[Business Definition (To go into comments and into Meta Data Hub)]]</f>
        <v>1</v>
      </c>
      <c r="X180" s="55" t="str">
        <f>VLOOKUP((UPPER(SUBSTITUTE(A180," ","_"))),'[2]Consumer View'!A$2:I$329,1,FALSE)</f>
        <v>SOURCE_ENTRY_CHANNEL_TYPE_CODE</v>
      </c>
      <c r="Y180" s="18" t="s">
        <v>8</v>
      </c>
      <c r="Z180" s="18" t="s">
        <v>969</v>
      </c>
      <c r="AA180" s="18" t="s">
        <v>966</v>
      </c>
      <c r="AB180" s="18"/>
      <c r="AC180" s="18"/>
      <c r="AD180" s="18" t="s">
        <v>970</v>
      </c>
      <c r="AE180" s="46"/>
      <c r="AF180" s="18"/>
      <c r="AG180" s="18"/>
      <c r="AH180" s="18" t="s">
        <v>971</v>
      </c>
    </row>
    <row r="181" spans="1:34" ht="27" hidden="1" customHeight="1">
      <c r="A181" s="51" t="s">
        <v>972</v>
      </c>
      <c r="B181" s="18" t="s">
        <v>973</v>
      </c>
      <c r="C181" s="18"/>
      <c r="D181" s="18" t="s">
        <v>101</v>
      </c>
      <c r="E181" s="18" t="s">
        <v>345</v>
      </c>
      <c r="F181" s="18" t="s">
        <v>133</v>
      </c>
      <c r="G181" s="45" t="s">
        <v>63</v>
      </c>
      <c r="H181" s="46" t="s">
        <v>974</v>
      </c>
      <c r="I181" s="18"/>
      <c r="J181" s="18" t="s">
        <v>347</v>
      </c>
      <c r="K181" s="18">
        <v>3</v>
      </c>
      <c r="L181" s="18"/>
      <c r="M181" s="18"/>
      <c r="N181" s="18"/>
      <c r="O181" s="18" t="b">
        <f>VLOOKUP(A181,[1]Model!C$2:J$559,2,FALSE)=B181</f>
        <v>1</v>
      </c>
      <c r="P181" s="18" t="e">
        <f>VLOOKUP(A181,Model!C$2:G$228,5,FALSE)=D181</f>
        <v>#N/A</v>
      </c>
      <c r="Q181" s="18">
        <f>VLOOKUP(A181,[2]Model!C$2:L$228,8,FALSE)</f>
        <v>12</v>
      </c>
      <c r="R181" s="18" t="e">
        <f>VLOOKUP(A181,[2]Model!C$2:G$228,3,FALSE)=[3]!Table14[[#This Row],[Business Definition (To go into comments and into Meta Data Hub)]]</f>
        <v>#REF!</v>
      </c>
      <c r="S181" s="18" t="e">
        <f>IF([3]!Table14[[#This Row],[Nullable in Table and in Oracle View
NULL, NOT NULL]]="No","NOT NULL","NULL")=VLOOKUP(A181,[2]Model!C$2:I$228,6,FALSE)</f>
        <v>#REF!</v>
      </c>
      <c r="T181" s="18" t="e">
        <f>VLOOKUP(B181,[2]Table!A$2:F$415,1,FALSE)=[3]!Table14[[#This Row],[Physical Name of Attribute (Name of column in Table)
Supplied by DA Team]]</f>
        <v>#REF!</v>
      </c>
      <c r="U181" s="18" t="b">
        <f>VLOOKUP(B181,Table!A$2:F$319,2,FALSE)=Table14[[#This Row],[Data type in Oracle
VARCHAR2(n), DATE, NUMBER(m,n), TIMETSTAMP(6)]]</f>
        <v>1</v>
      </c>
      <c r="V181" s="18" t="b">
        <f>VLOOKUP(B181,Table!A$2:F$231,3,FALSE)=Table14[[#This Row],[Nullable in Table and in Oracle View
NULL, NOT NULL]]</f>
        <v>1</v>
      </c>
      <c r="W181" s="18" t="b">
        <f>VLOOKUP(B181,Table!A$2:H$228,6,FALSE)=Table14[[#This Row],[Business Definition (To go into comments and into Meta Data Hub)]]</f>
        <v>1</v>
      </c>
      <c r="X181" s="18" t="str">
        <f>VLOOKUP((UPPER(SUBSTITUTE(A181," ","_"))),'[2]Consumer View'!A$2:I$329,1,FALSE)</f>
        <v>SOURCE_ENTRY_CHANNEL_TYPE_DIMENSION_ID</v>
      </c>
      <c r="Y181" s="18" t="s">
        <v>8</v>
      </c>
      <c r="Z181" s="18" t="s">
        <v>969</v>
      </c>
      <c r="AA181" s="18" t="s">
        <v>973</v>
      </c>
      <c r="AB181" s="18"/>
      <c r="AC181" s="18"/>
      <c r="AD181" s="18" t="s">
        <v>970</v>
      </c>
      <c r="AE181" s="46"/>
      <c r="AF181" s="18"/>
      <c r="AG181" s="18"/>
      <c r="AH181" s="18" t="s">
        <v>351</v>
      </c>
    </row>
    <row r="182" spans="1:34" ht="27" customHeight="1">
      <c r="A182" s="51" t="s">
        <v>975</v>
      </c>
      <c r="B182" s="18" t="s">
        <v>976</v>
      </c>
      <c r="C182" s="18" t="s">
        <v>977</v>
      </c>
      <c r="D182" s="18" t="s">
        <v>109</v>
      </c>
      <c r="E182" s="18" t="s">
        <v>63</v>
      </c>
      <c r="F182" s="18" t="s">
        <v>110</v>
      </c>
      <c r="G182" s="45" t="s">
        <v>63</v>
      </c>
      <c r="H182" s="46" t="s">
        <v>978</v>
      </c>
      <c r="I182" s="18"/>
      <c r="J182" s="18" t="s">
        <v>347</v>
      </c>
      <c r="K182" s="18">
        <v>3</v>
      </c>
      <c r="L182" s="18"/>
      <c r="M182" s="18"/>
      <c r="N182" s="18"/>
      <c r="O182" s="18" t="b">
        <f>VLOOKUP(A182,[1]Model!C$2:J$559,2,FALSE)=B182</f>
        <v>1</v>
      </c>
      <c r="P182" s="18" t="e">
        <f>VLOOKUP(A182,Model!C$2:G$228,5,FALSE)=D182</f>
        <v>#N/A</v>
      </c>
      <c r="Q182" s="18">
        <f>VLOOKUP(A182,[2]Model!C$2:L$228,8,FALSE)</f>
        <v>137</v>
      </c>
      <c r="R182" s="18" t="e">
        <f>VLOOKUP(A182,[2]Model!C$2:G$228,3,FALSE)=[3]!Table14[[#This Row],[Business Definition (To go into comments and into Meta Data Hub)]]</f>
        <v>#VALUE!</v>
      </c>
      <c r="S182" s="18" t="e">
        <f>IF([3]!Table14[[#This Row],[Nullable in Table and in Oracle View
NULL, NOT NULL]]="No","NOT NULL","NULL")=VLOOKUP(A182,[2]Model!C$2:I$228,6,FALSE)</f>
        <v>#REF!</v>
      </c>
      <c r="T182" s="18" t="e">
        <f>VLOOKUP(B182,[2]Table!A$2:F$415,1,FALSE)=[3]!Table14[[#This Row],[Physical Name of Attribute (Name of column in Table)
Supplied by DA Team]]</f>
        <v>#REF!</v>
      </c>
      <c r="U182" s="18" t="b">
        <f>VLOOKUP(B182,Table!A$2:F$319,2,FALSE)=Table14[[#This Row],[Data type in Oracle
VARCHAR2(n), DATE, NUMBER(m,n), TIMETSTAMP(6)]]</f>
        <v>0</v>
      </c>
      <c r="V182" s="18" t="b">
        <f>VLOOKUP(B182,Table!A$2:F$231,3,FALSE)=Table14[[#This Row],[Nullable in Table and in Oracle View
NULL, NOT NULL]]</f>
        <v>1</v>
      </c>
      <c r="W182" s="18" t="b">
        <f>VLOOKUP(B182,Table!A$2:H$228,6,FALSE)=Table14[[#This Row],[Business Definition (To go into comments and into Meta Data Hub)]]</f>
        <v>1</v>
      </c>
      <c r="X182" s="55" t="str">
        <f>VLOOKUP((UPPER(SUBSTITUTE(A182," ","_"))),'[2]Consumer View'!A$2:I$329,1,FALSE)</f>
        <v>SOURCE_ENTRY_CHANNEL_TYPE_NAME</v>
      </c>
      <c r="Y182" s="18" t="s">
        <v>8</v>
      </c>
      <c r="Z182" s="18" t="s">
        <v>969</v>
      </c>
      <c r="AA182" s="18" t="s">
        <v>976</v>
      </c>
      <c r="AB182" s="18"/>
      <c r="AC182" s="18"/>
      <c r="AD182" s="18" t="s">
        <v>970</v>
      </c>
      <c r="AE182" s="46"/>
      <c r="AF182" s="18"/>
      <c r="AG182" s="18"/>
      <c r="AH182" s="18" t="s">
        <v>971</v>
      </c>
    </row>
    <row r="183" spans="1:34" ht="27" customHeight="1">
      <c r="A183" s="51" t="s">
        <v>979</v>
      </c>
      <c r="B183" s="18" t="s">
        <v>980</v>
      </c>
      <c r="C183" s="18"/>
      <c r="D183" s="18" t="s">
        <v>101</v>
      </c>
      <c r="E183" s="18" t="s">
        <v>63</v>
      </c>
      <c r="F183" s="18" t="s">
        <v>133</v>
      </c>
      <c r="G183" s="45" t="s">
        <v>63</v>
      </c>
      <c r="H183" s="46" t="s">
        <v>981</v>
      </c>
      <c r="I183" s="18"/>
      <c r="J183" s="18" t="s">
        <v>67</v>
      </c>
      <c r="K183" s="18">
        <v>3</v>
      </c>
      <c r="L183" s="18"/>
      <c r="M183" s="18"/>
      <c r="N183" s="18"/>
      <c r="O183" s="18" t="b">
        <f>VLOOKUP(A183,[1]Model!C$2:J$559,2,FALSE)=B183</f>
        <v>1</v>
      </c>
      <c r="P183" s="18" t="e">
        <f>VLOOKUP(A183,Model!C$2:G$228,5,FALSE)=D183</f>
        <v>#N/A</v>
      </c>
      <c r="Q183" s="18">
        <f>VLOOKUP(A183,[2]Model!C$2:L$228,8,FALSE)</f>
        <v>208</v>
      </c>
      <c r="R183" s="18" t="e">
        <f>VLOOKUP(A183,[2]Model!C$2:G$228,3,FALSE)=[3]!Table14[[#This Row],[Business Definition (To go into comments and into Meta Data Hub)]]</f>
        <v>#REF!</v>
      </c>
      <c r="S183" s="18" t="e">
        <f>IF([3]!Table14[[#This Row],[Nullable in Table and in Oracle View
NULL, NOT NULL]]="No","NOT NULL","NULL")=VLOOKUP(A183,[2]Model!C$2:I$228,6,FALSE)</f>
        <v>#REF!</v>
      </c>
      <c r="T183" s="18" t="e">
        <f>VLOOKUP(B183,[2]Table!A$2:F$415,1,FALSE)=[3]!Table14[[#This Row],[Physical Name of Attribute (Name of column in Table)
Supplied by DA Team]]</f>
        <v>#REF!</v>
      </c>
      <c r="U183" s="18" t="b">
        <f>VLOOKUP(B183,Table!A$2:F$319,2,FALSE)=Table14[[#This Row],[Data type in Oracle
VARCHAR2(n), DATE, NUMBER(m,n), TIMETSTAMP(6)]]</f>
        <v>1</v>
      </c>
      <c r="V183" s="18" t="b">
        <f>VLOOKUP(B183,Table!A$2:F$231,3,FALSE)=Table14[[#This Row],[Nullable in Table and in Oracle View
NULL, NOT NULL]]</f>
        <v>1</v>
      </c>
      <c r="W183" s="18" t="b">
        <f>VLOOKUP(B183,Table!A$2:H$228,6,FALSE)=Table14[[#This Row],[Business Definition (To go into comments and into Meta Data Hub)]]</f>
        <v>1</v>
      </c>
      <c r="X183" s="18" t="str">
        <f>VLOOKUP((UPPER(SUBSTITUTE(A183," ","_"))),'[2]Consumer View'!A$2:I$329,1,FALSE)</f>
        <v>SOURCE_ENTRY_CHANNEL_TYPE_ID</v>
      </c>
      <c r="Y183" s="18" t="s">
        <v>68</v>
      </c>
      <c r="Z183" s="18" t="s">
        <v>69</v>
      </c>
      <c r="AA183" s="18" t="s">
        <v>980</v>
      </c>
      <c r="AB183" s="18"/>
      <c r="AC183" s="18"/>
      <c r="AD183" s="18"/>
      <c r="AE183" s="46"/>
      <c r="AF183" s="18"/>
      <c r="AG183" s="18"/>
      <c r="AH183" s="18" t="s">
        <v>71</v>
      </c>
    </row>
    <row r="184" spans="1:34" ht="27" customHeight="1">
      <c r="A184" s="51" t="s">
        <v>982</v>
      </c>
      <c r="B184" s="18" t="s">
        <v>983</v>
      </c>
      <c r="C184" s="18" t="s">
        <v>984</v>
      </c>
      <c r="D184" s="18" t="s">
        <v>624</v>
      </c>
      <c r="E184" s="18" t="s">
        <v>63</v>
      </c>
      <c r="F184" s="18" t="s">
        <v>624</v>
      </c>
      <c r="G184" s="45" t="s">
        <v>63</v>
      </c>
      <c r="H184" s="46" t="s">
        <v>985</v>
      </c>
      <c r="I184" s="18"/>
      <c r="J184" s="18" t="s">
        <v>347</v>
      </c>
      <c r="K184" s="18">
        <v>3</v>
      </c>
      <c r="L184" s="18"/>
      <c r="M184" s="18"/>
      <c r="N184" s="18"/>
      <c r="O184" s="18" t="b">
        <f>VLOOKUP(A184,[1]Model!C$2:J$559,2,FALSE)=B184</f>
        <v>1</v>
      </c>
      <c r="P184" s="18" t="e">
        <f>VLOOKUP(A184,Model!C$2:G$228,5,FALSE)=D184</f>
        <v>#N/A</v>
      </c>
      <c r="Q184" s="18">
        <f>VLOOKUP(A184,[2]Model!C$2:L$228,8,FALSE)</f>
        <v>138</v>
      </c>
      <c r="R184" s="18" t="e">
        <f>VLOOKUP(A184,[2]Model!C$2:G$228,3,FALSE)=[3]!Table14[[#This Row],[Business Definition (To go into comments and into Meta Data Hub)]]</f>
        <v>#REF!</v>
      </c>
      <c r="S184" s="18" t="e">
        <f>IF([3]!Table14[[#This Row],[Nullable in Table and in Oracle View
NULL, NOT NULL]]="No","NOT NULL","NULL")=VLOOKUP(A184,[2]Model!C$2:I$228,6,FALSE)</f>
        <v>#REF!</v>
      </c>
      <c r="T184" s="18" t="e">
        <f>VLOOKUP(B184,[2]Table!A$2:F$415,1,FALSE)=[3]!Table14[[#This Row],[Physical Name of Attribute (Name of column in Table)
Supplied by DA Team]]</f>
        <v>#REF!</v>
      </c>
      <c r="U184" s="18" t="b">
        <f>VLOOKUP(B184,Table!A$2:F$319,2,FALSE)=Table14[[#This Row],[Data type in Oracle
VARCHAR2(n), DATE, NUMBER(m,n), TIMETSTAMP(6)]]</f>
        <v>1</v>
      </c>
      <c r="V184" s="18" t="b">
        <f>VLOOKUP(B184,Table!A$2:F$231,3,FALSE)=Table14[[#This Row],[Nullable in Table and in Oracle View
NULL, NOT NULL]]</f>
        <v>1</v>
      </c>
      <c r="W184" s="18" t="b">
        <f>VLOOKUP(B184,Table!A$2:H$228,6,FALSE)=Table14[[#This Row],[Business Definition (To go into comments and into Meta Data Hub)]]</f>
        <v>1</v>
      </c>
      <c r="X184" s="18" t="str">
        <f>VLOOKUP((UPPER(SUBSTITUTE(A184," ","_"))),'[2]Consumer View'!A$2:I$329,1,FALSE)</f>
        <v>SOURCE_ENTRY_DATETIME</v>
      </c>
      <c r="Y184" s="18" t="s">
        <v>68</v>
      </c>
      <c r="Z184" s="18" t="s">
        <v>69</v>
      </c>
      <c r="AA184" s="18" t="s">
        <v>983</v>
      </c>
      <c r="AB184" s="18"/>
      <c r="AC184" s="18"/>
      <c r="AD184" s="18"/>
      <c r="AE184" s="46"/>
      <c r="AF184" s="18"/>
      <c r="AG184" s="18"/>
      <c r="AH184" s="18" t="s">
        <v>71</v>
      </c>
    </row>
    <row r="185" spans="1:34" ht="27" hidden="1" customHeight="1">
      <c r="A185" s="51" t="s">
        <v>986</v>
      </c>
      <c r="B185" s="18" t="s">
        <v>987</v>
      </c>
      <c r="C185" s="18"/>
      <c r="D185" s="18" t="s">
        <v>101</v>
      </c>
      <c r="E185" s="18" t="s">
        <v>345</v>
      </c>
      <c r="F185" s="18" t="s">
        <v>133</v>
      </c>
      <c r="G185" s="45" t="s">
        <v>63</v>
      </c>
      <c r="H185" s="18" t="s">
        <v>988</v>
      </c>
      <c r="I185" s="18"/>
      <c r="J185" s="18" t="s">
        <v>347</v>
      </c>
      <c r="K185" s="18">
        <v>3</v>
      </c>
      <c r="L185" s="18"/>
      <c r="M185" s="18"/>
      <c r="N185" s="18"/>
      <c r="O185" s="18" t="b">
        <f>VLOOKUP(A185,[1]Model!C$2:J$559,2,FALSE)=B185</f>
        <v>1</v>
      </c>
      <c r="P185" s="18" t="e">
        <f>VLOOKUP(A185,Model!C$2:G$228,5,FALSE)=D185</f>
        <v>#N/A</v>
      </c>
      <c r="Q185" s="18">
        <f>VLOOKUP(A185,[2]Model!C$2:L$228,8,FALSE)</f>
        <v>11</v>
      </c>
      <c r="R185" s="18" t="e">
        <f>VLOOKUP(A185,[2]Model!C$2:G$228,3,FALSE)=[3]!Table14[[#This Row],[Business Definition (To go into comments and into Meta Data Hub)]]</f>
        <v>#REF!</v>
      </c>
      <c r="S185" s="18" t="e">
        <f>IF([3]!Table14[[#This Row],[Nullable in Table and in Oracle View
NULL, NOT NULL]]="No","NOT NULL","NULL")=VLOOKUP(A185,[2]Model!C$2:I$228,6,FALSE)</f>
        <v>#REF!</v>
      </c>
      <c r="T185" s="18" t="e">
        <f>VLOOKUP(B185,[2]Table!A$2:F$415,1,FALSE)=[3]!Table14[[#This Row],[Physical Name of Attribute (Name of column in Table)
Supplied by DA Team]]</f>
        <v>#REF!</v>
      </c>
      <c r="U185" s="18" t="b">
        <f>VLOOKUP(B185,Table!A$2:F$319,2,FALSE)=Table14[[#This Row],[Data type in Oracle
VARCHAR2(n), DATE, NUMBER(m,n), TIMETSTAMP(6)]]</f>
        <v>1</v>
      </c>
      <c r="V185" s="18" t="b">
        <f>VLOOKUP(B185,Table!A$2:F$231,3,FALSE)=Table14[[#This Row],[Nullable in Table and in Oracle View
NULL, NOT NULL]]</f>
        <v>1</v>
      </c>
      <c r="W185" s="18" t="b">
        <f>VLOOKUP(B185,Table!A$2:H$228,6,FALSE)=Table14[[#This Row],[Business Definition (To go into comments and into Meta Data Hub)]]</f>
        <v>1</v>
      </c>
      <c r="X185" s="55" t="str">
        <f>VLOOKUP((UPPER(SUBSTITUTE(A185," ","_"))),'[2]Consumer View'!A$2:I$329,1,FALSE)</f>
        <v>SOURCE_PROCESSING_TYPE_DIMENSION_ID</v>
      </c>
      <c r="Y185" s="18" t="s">
        <v>8</v>
      </c>
      <c r="Z185" s="18" t="s">
        <v>989</v>
      </c>
      <c r="AA185" s="18" t="s">
        <v>987</v>
      </c>
      <c r="AB185" s="18"/>
      <c r="AC185" s="18"/>
      <c r="AD185" s="18" t="s">
        <v>990</v>
      </c>
      <c r="AE185" s="46"/>
      <c r="AF185" s="18"/>
      <c r="AG185" s="18"/>
      <c r="AH185" s="18" t="s">
        <v>351</v>
      </c>
    </row>
    <row r="186" spans="1:34" ht="27" customHeight="1">
      <c r="A186" s="51" t="s">
        <v>991</v>
      </c>
      <c r="B186" s="18" t="s">
        <v>992</v>
      </c>
      <c r="C186" s="18"/>
      <c r="D186" s="18" t="s">
        <v>101</v>
      </c>
      <c r="E186" s="18" t="s">
        <v>63</v>
      </c>
      <c r="F186" s="18" t="s">
        <v>133</v>
      </c>
      <c r="G186" s="45" t="s">
        <v>63</v>
      </c>
      <c r="H186" s="46" t="s">
        <v>993</v>
      </c>
      <c r="I186" s="18"/>
      <c r="J186" s="18" t="s">
        <v>67</v>
      </c>
      <c r="K186" s="18">
        <v>3</v>
      </c>
      <c r="L186" s="18"/>
      <c r="M186" s="18"/>
      <c r="N186" s="18"/>
      <c r="O186" s="18" t="b">
        <f>VLOOKUP(A186,[1]Model!C$2:J$559,2,FALSE)=B186</f>
        <v>1</v>
      </c>
      <c r="P186" s="18" t="e">
        <f>VLOOKUP(A186,Model!C$2:G$228,5,FALSE)=D186</f>
        <v>#N/A</v>
      </c>
      <c r="Q186" s="18">
        <f>VLOOKUP(A186,[2]Model!C$2:L$228,8,FALSE)</f>
        <v>209</v>
      </c>
      <c r="R186" s="18" t="e">
        <f>VLOOKUP(A186,[2]Model!C$2:G$228,3,FALSE)=[3]!Table14[[#This Row],[Business Definition (To go into comments and into Meta Data Hub)]]</f>
        <v>#REF!</v>
      </c>
      <c r="S186" s="18" t="e">
        <f>IF([3]!Table14[[#This Row],[Nullable in Table and in Oracle View
NULL, NOT NULL]]="No","NOT NULL","NULL")=VLOOKUP(A186,[2]Model!C$2:I$228,6,FALSE)</f>
        <v>#REF!</v>
      </c>
      <c r="T186" s="18" t="e">
        <f>VLOOKUP(B186,[2]Table!A$2:F$415,1,FALSE)=[3]!Table14[[#This Row],[Physical Name of Attribute (Name of column in Table)
Supplied by DA Team]]</f>
        <v>#REF!</v>
      </c>
      <c r="U186" s="18" t="b">
        <f>VLOOKUP(B186,Table!A$2:F$319,2,FALSE)=Table14[[#This Row],[Data type in Oracle
VARCHAR2(n), DATE, NUMBER(m,n), TIMETSTAMP(6)]]</f>
        <v>1</v>
      </c>
      <c r="V186" s="18" t="b">
        <f>VLOOKUP(B186,Table!A$2:F$231,3,FALSE)=Table14[[#This Row],[Nullable in Table and in Oracle View
NULL, NOT NULL]]</f>
        <v>1</v>
      </c>
      <c r="W186" s="18" t="b">
        <f>VLOOKUP(B186,Table!A$2:H$228,6,FALSE)=Table14[[#This Row],[Business Definition (To go into comments and into Meta Data Hub)]]</f>
        <v>1</v>
      </c>
      <c r="X186" s="18" t="str">
        <f>VLOOKUP((UPPER(SUBSTITUTE(A186," ","_"))),'[2]Consumer View'!A$2:I$329,1,FALSE)</f>
        <v>SOURCE_PROCESSING_TYPE_ID</v>
      </c>
      <c r="Y186" s="18" t="s">
        <v>68</v>
      </c>
      <c r="Z186" s="18" t="s">
        <v>69</v>
      </c>
      <c r="AA186" s="18" t="s">
        <v>992</v>
      </c>
      <c r="AB186" s="18"/>
      <c r="AC186" s="18"/>
      <c r="AD186" s="18" t="s">
        <v>990</v>
      </c>
      <c r="AE186" s="46"/>
      <c r="AF186" s="18"/>
      <c r="AG186" s="18"/>
      <c r="AH186" s="18" t="s">
        <v>71</v>
      </c>
    </row>
    <row r="187" spans="1:34" ht="27" customHeight="1">
      <c r="A187" s="51" t="s">
        <v>994</v>
      </c>
      <c r="B187" s="18" t="s">
        <v>995</v>
      </c>
      <c r="C187" s="18" t="s">
        <v>996</v>
      </c>
      <c r="D187" s="18" t="s">
        <v>139</v>
      </c>
      <c r="E187" s="18" t="s">
        <v>63</v>
      </c>
      <c r="F187" s="18" t="s">
        <v>140</v>
      </c>
      <c r="G187" s="45" t="s">
        <v>63</v>
      </c>
      <c r="H187" s="46" t="s">
        <v>997</v>
      </c>
      <c r="I187" s="18"/>
      <c r="J187" s="18" t="s">
        <v>347</v>
      </c>
      <c r="K187" s="18">
        <v>3</v>
      </c>
      <c r="L187" s="18"/>
      <c r="M187" s="18"/>
      <c r="N187" s="18"/>
      <c r="O187" s="18" t="b">
        <f>VLOOKUP(A187,[1]Model!C$2:J$559,2,FALSE)=B187</f>
        <v>1</v>
      </c>
      <c r="P187" s="18" t="e">
        <f>VLOOKUP(A187,Model!C$2:G$228,5,FALSE)=D187</f>
        <v>#N/A</v>
      </c>
      <c r="Q187" s="18">
        <f>VLOOKUP(A187,[2]Model!C$2:L$228,8,FALSE)</f>
        <v>139</v>
      </c>
      <c r="R187" s="18" t="e">
        <f>VLOOKUP(A187,[2]Model!C$2:G$228,3,FALSE)=[3]!Table14[[#This Row],[Business Definition (To go into comments and into Meta Data Hub)]]</f>
        <v>#REF!</v>
      </c>
      <c r="S187" s="18" t="e">
        <f>IF([3]!Table14[[#This Row],[Nullable in Table and in Oracle View
NULL, NOT NULL]]="No","NOT NULL","NULL")=VLOOKUP(A187,[2]Model!C$2:I$228,6,FALSE)</f>
        <v>#REF!</v>
      </c>
      <c r="T187" s="18" t="e">
        <f>VLOOKUP(B187,[2]Table!A$2:F$415,1,FALSE)=[3]!Table14[[#This Row],[Physical Name of Attribute (Name of column in Table)
Supplied by DA Team]]</f>
        <v>#REF!</v>
      </c>
      <c r="U187" s="18" t="b">
        <f>VLOOKUP(B187,Table!A$2:F$319,2,FALSE)=Table14[[#This Row],[Data type in Oracle
VARCHAR2(n), DATE, NUMBER(m,n), TIMETSTAMP(6)]]</f>
        <v>0</v>
      </c>
      <c r="V187" s="18" t="b">
        <f>VLOOKUP(B187,Table!A$2:F$231,3,FALSE)=Table14[[#This Row],[Nullable in Table and in Oracle View
NULL, NOT NULL]]</f>
        <v>1</v>
      </c>
      <c r="W187" s="18" t="b">
        <f>VLOOKUP(B187,Table!A$2:H$228,6,FALSE)=Table14[[#This Row],[Business Definition (To go into comments and into Meta Data Hub)]]</f>
        <v>1</v>
      </c>
      <c r="X187" s="55" t="str">
        <f>VLOOKUP((UPPER(SUBSTITUTE(A187," ","_"))),'[2]Consumer View'!A$2:I$329,1,FALSE)</f>
        <v>SOURCE_PROCESSING_TYPE_CODE</v>
      </c>
      <c r="Y187" s="18" t="s">
        <v>8</v>
      </c>
      <c r="Z187" s="18" t="s">
        <v>989</v>
      </c>
      <c r="AA187" s="18" t="s">
        <v>995</v>
      </c>
      <c r="AB187" s="18"/>
      <c r="AC187" s="18"/>
      <c r="AD187" s="18" t="s">
        <v>990</v>
      </c>
      <c r="AE187" s="46"/>
      <c r="AF187" s="18"/>
      <c r="AG187" s="18"/>
      <c r="AH187" s="18" t="s">
        <v>71</v>
      </c>
    </row>
    <row r="188" spans="1:34" ht="27" customHeight="1">
      <c r="A188" s="51" t="s">
        <v>998</v>
      </c>
      <c r="B188" s="18" t="s">
        <v>999</v>
      </c>
      <c r="C188" s="18" t="s">
        <v>1000</v>
      </c>
      <c r="D188" s="18" t="s">
        <v>109</v>
      </c>
      <c r="E188" s="18" t="s">
        <v>63</v>
      </c>
      <c r="F188" s="18" t="s">
        <v>110</v>
      </c>
      <c r="G188" s="45" t="s">
        <v>63</v>
      </c>
      <c r="H188" s="46" t="s">
        <v>1001</v>
      </c>
      <c r="I188" s="18"/>
      <c r="J188" s="18" t="s">
        <v>347</v>
      </c>
      <c r="K188" s="18">
        <v>3</v>
      </c>
      <c r="L188" s="18"/>
      <c r="M188" s="18"/>
      <c r="N188" s="18"/>
      <c r="O188" s="18" t="b">
        <f>VLOOKUP(A188,[1]Model!C$2:J$559,2,FALSE)=B188</f>
        <v>1</v>
      </c>
      <c r="P188" s="18" t="e">
        <f>VLOOKUP(A188,Model!C$2:G$228,5,FALSE)=D188</f>
        <v>#N/A</v>
      </c>
      <c r="Q188" s="18">
        <f>VLOOKUP(A188,[2]Model!C$2:L$228,8,FALSE)</f>
        <v>140</v>
      </c>
      <c r="R188" s="18" t="e">
        <f>VLOOKUP(A188,[2]Model!C$2:G$228,3,FALSE)=[3]!Table14[[#This Row],[Business Definition (To go into comments and into Meta Data Hub)]]</f>
        <v>#REF!</v>
      </c>
      <c r="S188" s="18" t="e">
        <f>IF([3]!Table14[[#This Row],[Nullable in Table and in Oracle View
NULL, NOT NULL]]="No","NOT NULL","NULL")=VLOOKUP(A188,[2]Model!C$2:I$228,6,FALSE)</f>
        <v>#REF!</v>
      </c>
      <c r="T188" s="18" t="e">
        <f>VLOOKUP(B188,[2]Table!A$2:F$415,1,FALSE)=[3]!Table14[[#This Row],[Physical Name of Attribute (Name of column in Table)
Supplied by DA Team]]</f>
        <v>#REF!</v>
      </c>
      <c r="U188" s="18" t="b">
        <f>VLOOKUP(B188,Table!A$2:F$319,2,FALSE)=Table14[[#This Row],[Data type in Oracle
VARCHAR2(n), DATE, NUMBER(m,n), TIMETSTAMP(6)]]</f>
        <v>0</v>
      </c>
      <c r="V188" s="18" t="b">
        <f>VLOOKUP(B188,Table!A$2:F$231,3,FALSE)=Table14[[#This Row],[Nullable in Table and in Oracle View
NULL, NOT NULL]]</f>
        <v>1</v>
      </c>
      <c r="W188" s="18" t="b">
        <f>VLOOKUP(B188,Table!A$2:H$228,6,FALSE)=Table14[[#This Row],[Business Definition (To go into comments and into Meta Data Hub)]]</f>
        <v>1</v>
      </c>
      <c r="X188" s="55" t="str">
        <f>VLOOKUP((UPPER(SUBSTITUTE(A188," ","_"))),'[2]Consumer View'!A$2:I$329,1,FALSE)</f>
        <v>SOURCE_PROCESSING_TYPE_NAME</v>
      </c>
      <c r="Y188" s="18" t="s">
        <v>8</v>
      </c>
      <c r="Z188" s="18" t="s">
        <v>989</v>
      </c>
      <c r="AA188" s="18" t="s">
        <v>999</v>
      </c>
      <c r="AB188" s="18"/>
      <c r="AC188" s="18"/>
      <c r="AD188" s="18" t="s">
        <v>990</v>
      </c>
      <c r="AE188" s="46"/>
      <c r="AF188" s="18"/>
      <c r="AG188" s="18"/>
      <c r="AH188" s="18" t="s">
        <v>71</v>
      </c>
    </row>
    <row r="189" spans="1:34" ht="27" customHeight="1">
      <c r="A189" s="51" t="s">
        <v>1002</v>
      </c>
      <c r="B189" s="18" t="s">
        <v>792</v>
      </c>
      <c r="C189" s="18" t="s">
        <v>1003</v>
      </c>
      <c r="D189" s="18" t="s">
        <v>139</v>
      </c>
      <c r="E189" s="18" t="s">
        <v>63</v>
      </c>
      <c r="F189" s="18" t="s">
        <v>140</v>
      </c>
      <c r="G189" s="45" t="s">
        <v>63</v>
      </c>
      <c r="H189" s="46" t="s">
        <v>1004</v>
      </c>
      <c r="I189" s="18"/>
      <c r="J189" s="18" t="s">
        <v>347</v>
      </c>
      <c r="K189" s="18">
        <v>3</v>
      </c>
      <c r="L189" s="18"/>
      <c r="M189" s="18"/>
      <c r="N189" s="18"/>
      <c r="O189" s="18" t="b">
        <f>VLOOKUP(A189,[1]Model!C$2:J$559,2,FALSE)=B189</f>
        <v>1</v>
      </c>
      <c r="P189" s="18" t="e">
        <f>VLOOKUP(A189,Model!C$2:G$228,5,FALSE)=D189</f>
        <v>#N/A</v>
      </c>
      <c r="Q189" s="18">
        <f>VLOOKUP(A189,[2]Model!C$2:L$228,8,FALSE)</f>
        <v>164</v>
      </c>
      <c r="R189" s="18" t="e">
        <f>VLOOKUP(A189,[2]Model!C$2:G$228,3,FALSE)=[3]!Table14[[#This Row],[Business Definition (To go into comments and into Meta Data Hub)]]</f>
        <v>#REF!</v>
      </c>
      <c r="S189" s="18" t="e">
        <f>IF([3]!Table14[[#This Row],[Nullable in Table and in Oracle View
NULL, NOT NULL]]="No","NOT NULL","NULL")=VLOOKUP(A189,[2]Model!C$2:I$228,6,FALSE)</f>
        <v>#REF!</v>
      </c>
      <c r="T189" s="18" t="e">
        <f>VLOOKUP(B189,[2]Table!A$2:F$415,1,FALSE)=[3]!Table14[[#This Row],[Physical Name of Attribute (Name of column in Table)
Supplied by DA Team]]</f>
        <v>#REF!</v>
      </c>
      <c r="U189" s="18" t="b">
        <f>VLOOKUP(B189,Table!A$2:F$319,2,FALSE)=Table14[[#This Row],[Data type in Oracle
VARCHAR2(n), DATE, NUMBER(m,n), TIMETSTAMP(6)]]</f>
        <v>0</v>
      </c>
      <c r="V189" s="18" t="b">
        <f>VLOOKUP(B189,Table!A$2:F$231,3,FALSE)=Table14[[#This Row],[Nullable in Table and in Oracle View
NULL, NOT NULL]]</f>
        <v>1</v>
      </c>
      <c r="W189" s="18" t="b">
        <f>VLOOKUP(B189,Table!A$2:H$228,6,FALSE)=Table14[[#This Row],[Business Definition (To go into comments and into Meta Data Hub)]]</f>
        <v>1</v>
      </c>
      <c r="X189" s="55" t="str">
        <f>VLOOKUP((UPPER(SUBSTITUTE(A189," ","_"))),'[2]Consumer View'!A$2:I$329,1,FALSE)</f>
        <v>SOURCE_SYSTEM_CODE</v>
      </c>
      <c r="Y189" s="18" t="s">
        <v>262</v>
      </c>
      <c r="Z189" s="18" t="s">
        <v>263</v>
      </c>
      <c r="AA189" s="18" t="s">
        <v>792</v>
      </c>
      <c r="AB189" s="18"/>
      <c r="AC189" s="18"/>
      <c r="AD189" s="18" t="s">
        <v>1005</v>
      </c>
      <c r="AE189" s="46"/>
      <c r="AF189" s="18"/>
      <c r="AG189" s="18"/>
      <c r="AH189" s="18" t="s">
        <v>71</v>
      </c>
    </row>
    <row r="190" spans="1:34" ht="27" hidden="1" customHeight="1">
      <c r="A190" s="51" t="s">
        <v>1006</v>
      </c>
      <c r="B190" s="18" t="s">
        <v>1007</v>
      </c>
      <c r="C190" s="18"/>
      <c r="D190" s="18" t="s">
        <v>101</v>
      </c>
      <c r="E190" s="18" t="s">
        <v>345</v>
      </c>
      <c r="F190" s="18" t="s">
        <v>133</v>
      </c>
      <c r="G190" s="45" t="s">
        <v>63</v>
      </c>
      <c r="H190" s="46" t="s">
        <v>1008</v>
      </c>
      <c r="I190" s="18"/>
      <c r="J190" s="18" t="s">
        <v>347</v>
      </c>
      <c r="K190" s="18">
        <v>3</v>
      </c>
      <c r="L190" s="18"/>
      <c r="M190" s="18"/>
      <c r="N190" s="18"/>
      <c r="O190" s="18" t="b">
        <f>VLOOKUP(A190,[1]Model!C$2:J$559,2,FALSE)=B190</f>
        <v>1</v>
      </c>
      <c r="P190" s="18" t="e">
        <f>VLOOKUP(A190,Model!C$2:G$228,5,FALSE)=D190</f>
        <v>#N/A</v>
      </c>
      <c r="Q190" s="18">
        <f>VLOOKUP(A190,[2]Model!C$2:L$228,8,FALSE)</f>
        <v>14</v>
      </c>
      <c r="R190" s="18" t="e">
        <f>VLOOKUP(A190,[2]Model!C$2:G$228,3,FALSE)=[3]!Table14[[#This Row],[Business Definition (To go into comments and into Meta Data Hub)]]</f>
        <v>#REF!</v>
      </c>
      <c r="S190" s="18" t="e">
        <f>IF([3]!Table14[[#This Row],[Nullable in Table and in Oracle View
NULL, NOT NULL]]="No","NOT NULL","NULL")=VLOOKUP(A190,[2]Model!C$2:I$228,6,FALSE)</f>
        <v>#REF!</v>
      </c>
      <c r="T190" s="18" t="e">
        <f>VLOOKUP(B190,[2]Table!A$2:F$415,1,FALSE)=[3]!Table14[[#This Row],[Physical Name of Attribute (Name of column in Table)
Supplied by DA Team]]</f>
        <v>#REF!</v>
      </c>
      <c r="U190" s="18" t="b">
        <f>VLOOKUP(B190,Table!A$2:F$319,2,FALSE)=Table14[[#This Row],[Data type in Oracle
VARCHAR2(n), DATE, NUMBER(m,n), TIMETSTAMP(6)]]</f>
        <v>1</v>
      </c>
      <c r="V190" s="18" t="b">
        <f>VLOOKUP(B190,Table!A$2:F$231,3,FALSE)=Table14[[#This Row],[Nullable in Table and in Oracle View
NULL, NOT NULL]]</f>
        <v>1</v>
      </c>
      <c r="W190" s="18" t="b">
        <f>VLOOKUP(B190,Table!A$2:H$228,6,FALSE)=Table14[[#This Row],[Business Definition (To go into comments and into Meta Data Hub)]]</f>
        <v>1</v>
      </c>
      <c r="X190" s="55" t="str">
        <f>VLOOKUP((UPPER(SUBSTITUTE(A190," ","_"))),'[2]Consumer View'!A$2:I$329,1,FALSE)</f>
        <v>TRANSACTION_SOURCE_SYSTEM_DIMENSION_ID</v>
      </c>
      <c r="Y190" s="18" t="s">
        <v>262</v>
      </c>
      <c r="Z190" s="18" t="s">
        <v>263</v>
      </c>
      <c r="AA190" s="18" t="s">
        <v>781</v>
      </c>
      <c r="AB190" s="18"/>
      <c r="AC190" s="18"/>
      <c r="AD190" s="18" t="s">
        <v>1005</v>
      </c>
      <c r="AE190" s="46"/>
      <c r="AF190" s="18"/>
      <c r="AG190" s="18"/>
      <c r="AH190" s="18" t="s">
        <v>351</v>
      </c>
    </row>
    <row r="191" spans="1:34" ht="27" customHeight="1">
      <c r="A191" s="51" t="s">
        <v>1009</v>
      </c>
      <c r="B191" s="18" t="s">
        <v>1010</v>
      </c>
      <c r="C191" s="18" t="s">
        <v>1011</v>
      </c>
      <c r="D191" s="18" t="s">
        <v>101</v>
      </c>
      <c r="E191" s="18" t="s">
        <v>63</v>
      </c>
      <c r="F191" s="18" t="s">
        <v>133</v>
      </c>
      <c r="G191" s="45" t="s">
        <v>63</v>
      </c>
      <c r="H191" s="46" t="s">
        <v>1012</v>
      </c>
      <c r="I191" s="18"/>
      <c r="J191" s="18" t="s">
        <v>347</v>
      </c>
      <c r="K191" s="18">
        <v>3</v>
      </c>
      <c r="L191" s="18"/>
      <c r="M191" s="18"/>
      <c r="N191" s="18"/>
      <c r="O191" s="18" t="b">
        <f>VLOOKUP(A191,[1]Model!C$2:J$559,2,FALSE)=B191</f>
        <v>1</v>
      </c>
      <c r="P191" s="18" t="e">
        <f>VLOOKUP(A191,Model!C$2:G$228,5,FALSE)=D191</f>
        <v>#N/A</v>
      </c>
      <c r="Q191" s="18">
        <f>VLOOKUP(A191,[2]Model!C$2:L$228,8,FALSE)</f>
        <v>94</v>
      </c>
      <c r="R191" s="18" t="e">
        <f>VLOOKUP(A191,[2]Model!C$2:G$228,3,FALSE)=[3]!Table14[[#This Row],[Business Definition (To go into comments and into Meta Data Hub)]]</f>
        <v>#REF!</v>
      </c>
      <c r="S191" s="18" t="e">
        <f>IF([3]!Table14[[#This Row],[Nullable in Table and in Oracle View
NULL, NOT NULL]]="No","NOT NULL","NULL")=VLOOKUP(A191,[2]Model!C$2:I$228,6,FALSE)</f>
        <v>#REF!</v>
      </c>
      <c r="T191" s="18" t="e">
        <f>VLOOKUP(B191,[2]Table!A$2:F$415,1,FALSE)=[3]!Table14[[#This Row],[Physical Name of Attribute (Name of column in Table)
Supplied by DA Team]]</f>
        <v>#REF!</v>
      </c>
      <c r="U191" s="18" t="b">
        <f>VLOOKUP(B191,Table!A$2:F$319,2,FALSE)=Table14[[#This Row],[Data type in Oracle
VARCHAR2(n), DATE, NUMBER(m,n), TIMETSTAMP(6)]]</f>
        <v>1</v>
      </c>
      <c r="V191" s="18" t="b">
        <f>VLOOKUP(B191,Table!A$2:F$231,3,FALSE)=Table14[[#This Row],[Nullable in Table and in Oracle View
NULL, NOT NULL]]</f>
        <v>1</v>
      </c>
      <c r="W191" s="18" t="b">
        <f>VLOOKUP(B191,Table!A$2:H$228,6,FALSE)=Table14[[#This Row],[Business Definition (To go into comments and into Meta Data Hub)]]</f>
        <v>1</v>
      </c>
      <c r="X191" s="55" t="str">
        <f>VLOOKUP((UPPER(SUBSTITUTE(A191," ","_"))),'[2]Consumer View'!A$2:I$329,1,FALSE)</f>
        <v>SOURCE_TRANSACTION_CODE</v>
      </c>
      <c r="Y191" s="18" t="s">
        <v>68</v>
      </c>
      <c r="Z191" s="18" t="s">
        <v>69</v>
      </c>
      <c r="AA191" s="18" t="s">
        <v>1010</v>
      </c>
      <c r="AB191" s="18"/>
      <c r="AC191" s="18"/>
      <c r="AD191" s="18" t="s">
        <v>1013</v>
      </c>
      <c r="AE191" s="46"/>
      <c r="AF191" s="18"/>
      <c r="AG191" s="18"/>
      <c r="AH191" s="18" t="s">
        <v>71</v>
      </c>
    </row>
    <row r="192" spans="1:34" ht="27" customHeight="1">
      <c r="A192" s="51" t="s">
        <v>1014</v>
      </c>
      <c r="B192" s="18" t="s">
        <v>1015</v>
      </c>
      <c r="C192" s="18" t="s">
        <v>1016</v>
      </c>
      <c r="D192" s="18" t="s">
        <v>157</v>
      </c>
      <c r="E192" s="18" t="s">
        <v>63</v>
      </c>
      <c r="F192" s="18" t="s">
        <v>158</v>
      </c>
      <c r="G192" s="45" t="s">
        <v>63</v>
      </c>
      <c r="H192" s="46" t="s">
        <v>1017</v>
      </c>
      <c r="I192" s="18"/>
      <c r="J192" s="18" t="s">
        <v>347</v>
      </c>
      <c r="K192" s="18">
        <v>3</v>
      </c>
      <c r="L192" s="18"/>
      <c r="M192" s="18"/>
      <c r="N192" s="18"/>
      <c r="O192" s="18" t="b">
        <f>VLOOKUP(A192,[1]Model!C$2:J$559,2,FALSE)=B192</f>
        <v>1</v>
      </c>
      <c r="P192" s="18" t="e">
        <f>VLOOKUP(A192,Model!C$2:G$228,5,FALSE)=D192</f>
        <v>#N/A</v>
      </c>
      <c r="Q192" s="18">
        <f>VLOOKUP(A192,[2]Model!C$2:L$228,8,FALSE)</f>
        <v>42</v>
      </c>
      <c r="R192" s="18" t="e">
        <f>VLOOKUP(A192,[2]Model!C$2:G$228,3,FALSE)=[3]!Table14[[#This Row],[Business Definition (To go into comments and into Meta Data Hub)]]</f>
        <v>#REF!</v>
      </c>
      <c r="S192" s="18" t="e">
        <f>IF([3]!Table14[[#This Row],[Nullable in Table and in Oracle View
NULL, NOT NULL]]="No","NOT NULL","NULL")=VLOOKUP(A192,[2]Model!C$2:I$228,6,FALSE)</f>
        <v>#REF!</v>
      </c>
      <c r="T192" s="18" t="e">
        <f>VLOOKUP(B192,[2]Table!A$2:F$415,1,FALSE)=[3]!Table14[[#This Row],[Physical Name of Attribute (Name of column in Table)
Supplied by DA Team]]</f>
        <v>#REF!</v>
      </c>
      <c r="U192" s="18" t="b">
        <f>VLOOKUP(B192,Table!A$2:F$319,2,FALSE)=Table14[[#This Row],[Data type in Oracle
VARCHAR2(n), DATE, NUMBER(m,n), TIMETSTAMP(6)]]</f>
        <v>1</v>
      </c>
      <c r="V192" s="18" t="b">
        <f>VLOOKUP(B192,Table!A$2:F$231,3,FALSE)=Table14[[#This Row],[Nullable in Table and in Oracle View
NULL, NOT NULL]]</f>
        <v>1</v>
      </c>
      <c r="W192" s="18" t="b">
        <f>VLOOKUP(B192,Table!A$2:H$228,6,FALSE)=Table14[[#This Row],[Business Definition (To go into comments and into Meta Data Hub)]]</f>
        <v>1</v>
      </c>
      <c r="X192" s="55" t="str">
        <f>VLOOKUP((UPPER(SUBSTITUTE(A192," ","_"))),'[2]Consumer View'!A$2:I$329,1,FALSE)</f>
        <v>SYSTEM_BASE_CURRENCY_CALCULATION_DATE</v>
      </c>
      <c r="Y192" s="18" t="s">
        <v>68</v>
      </c>
      <c r="Z192" s="18" t="s">
        <v>375</v>
      </c>
      <c r="AA192" s="18" t="s">
        <v>1018</v>
      </c>
      <c r="AB192" s="18"/>
      <c r="AC192" s="18"/>
      <c r="AD192" s="18" t="s">
        <v>539</v>
      </c>
      <c r="AE192" s="46"/>
      <c r="AF192" s="18"/>
      <c r="AG192" s="18"/>
      <c r="AH192" s="18" t="s">
        <v>71</v>
      </c>
    </row>
    <row r="193" spans="1:34" ht="27" customHeight="1">
      <c r="A193" s="51" t="s">
        <v>1019</v>
      </c>
      <c r="B193" s="18" t="s">
        <v>1020</v>
      </c>
      <c r="C193" s="18" t="s">
        <v>1021</v>
      </c>
      <c r="D193" s="18" t="s">
        <v>268</v>
      </c>
      <c r="E193" s="18" t="s">
        <v>63</v>
      </c>
      <c r="F193" s="18" t="s">
        <v>269</v>
      </c>
      <c r="G193" s="45" t="s">
        <v>63</v>
      </c>
      <c r="H193" s="46" t="s">
        <v>1022</v>
      </c>
      <c r="I193" s="18"/>
      <c r="J193" s="18" t="s">
        <v>347</v>
      </c>
      <c r="K193" s="18">
        <v>3</v>
      </c>
      <c r="L193" s="18"/>
      <c r="M193" s="18"/>
      <c r="N193" s="18"/>
      <c r="O193" s="18" t="b">
        <f>VLOOKUP(A193,[1]Model!C$2:J$559,2,FALSE)=B193</f>
        <v>1</v>
      </c>
      <c r="P193" s="18" t="e">
        <f>VLOOKUP(A193,Model!C$2:G$228,5,FALSE)=D193</f>
        <v>#N/A</v>
      </c>
      <c r="Q193" s="18">
        <f>VLOOKUP(A193,[2]Model!C$2:L$228,8,FALSE)</f>
        <v>130</v>
      </c>
      <c r="R193" s="18" t="e">
        <f>VLOOKUP(A193,[2]Model!C$2:G$228,3,FALSE)=[3]!Table14[[#This Row],[Business Definition (To go into comments and into Meta Data Hub)]]</f>
        <v>#REF!</v>
      </c>
      <c r="S193" s="18" t="e">
        <f>IF([3]!Table14[[#This Row],[Nullable in Table and in Oracle View
NULL, NOT NULL]]="No","NOT NULL","NULL")=VLOOKUP(A193,[2]Model!C$2:I$228,6,FALSE)</f>
        <v>#REF!</v>
      </c>
      <c r="T193" s="18" t="e">
        <f>VLOOKUP(B193,[2]Table!A$2:F$415,1,FALSE)=[3]!Table14[[#This Row],[Physical Name of Attribute (Name of column in Table)
Supplied by DA Team]]</f>
        <v>#REF!</v>
      </c>
      <c r="U193" s="18" t="b">
        <f>VLOOKUP(B193,Table!A$2:F$319,2,FALSE)=Table14[[#This Row],[Data type in Oracle
VARCHAR2(n), DATE, NUMBER(m,n), TIMETSTAMP(6)]]</f>
        <v>0</v>
      </c>
      <c r="V193" s="18" t="b">
        <f>VLOOKUP(B193,Table!A$2:F$231,3,FALSE)=Table14[[#This Row],[Nullable in Table and in Oracle View
NULL, NOT NULL]]</f>
        <v>1</v>
      </c>
      <c r="W193" s="18" t="b">
        <f>VLOOKUP(B193,Table!A$2:H$228,6,FALSE)=Table14[[#This Row],[Business Definition (To go into comments and into Meta Data Hub)]]</f>
        <v>1</v>
      </c>
      <c r="X193" s="55" t="str">
        <f>VLOOKUP((UPPER(SUBSTITUTE(A193," ","_"))),'[2]Consumer View'!A$2:I$329,1,FALSE)</f>
        <v>SYSTEM_BASE_CURRENCY_CODE</v>
      </c>
      <c r="Y193" s="18" t="s">
        <v>68</v>
      </c>
      <c r="Z193" s="18" t="s">
        <v>375</v>
      </c>
      <c r="AA193" s="18" t="s">
        <v>1023</v>
      </c>
      <c r="AB193" s="18"/>
      <c r="AC193" s="18"/>
      <c r="AD193" s="18" t="s">
        <v>539</v>
      </c>
      <c r="AE193" s="46"/>
      <c r="AF193" s="18"/>
      <c r="AG193" s="18"/>
      <c r="AH193" s="18" t="s">
        <v>71</v>
      </c>
    </row>
    <row r="194" spans="1:34" ht="27" hidden="1" customHeight="1">
      <c r="A194" s="51" t="s">
        <v>1024</v>
      </c>
      <c r="B194" s="18" t="s">
        <v>1025</v>
      </c>
      <c r="C194" s="18"/>
      <c r="D194" s="18" t="s">
        <v>101</v>
      </c>
      <c r="E194" s="18" t="s">
        <v>345</v>
      </c>
      <c r="F194" s="18" t="s">
        <v>133</v>
      </c>
      <c r="G194" s="45" t="s">
        <v>63</v>
      </c>
      <c r="H194" s="46" t="s">
        <v>1026</v>
      </c>
      <c r="I194" s="18"/>
      <c r="J194" s="18" t="s">
        <v>347</v>
      </c>
      <c r="K194" s="18">
        <v>3</v>
      </c>
      <c r="L194" s="18"/>
      <c r="M194" s="18"/>
      <c r="N194" s="18"/>
      <c r="O194" s="18" t="b">
        <f>VLOOKUP(A194,[1]Model!C$2:J$559,2,FALSE)=B194</f>
        <v>1</v>
      </c>
      <c r="P194" s="18" t="e">
        <f>VLOOKUP(A194,Model!C$2:G$228,5,FALSE)=D194</f>
        <v>#N/A</v>
      </c>
      <c r="Q194" s="18">
        <f>VLOOKUP(A194,[2]Model!C$2:L$228,8,FALSE)</f>
        <v>16</v>
      </c>
      <c r="R194" s="18" t="e">
        <f>VLOOKUP(A194,[2]Model!C$2:G$228,3,FALSE)=[3]!Table14[[#This Row],[Business Definition (To go into comments and into Meta Data Hub)]]</f>
        <v>#REF!</v>
      </c>
      <c r="S194" s="18" t="e">
        <f>IF([3]!Table14[[#This Row],[Nullable in Table and in Oracle View
NULL, NOT NULL]]="No","NOT NULL","NULL")=VLOOKUP(A194,[2]Model!C$2:I$228,6,FALSE)</f>
        <v>#REF!</v>
      </c>
      <c r="T194" s="18" t="e">
        <f>VLOOKUP(B194,[2]Table!A$2:F$415,1,FALSE)=[3]!Table14[[#This Row],[Physical Name of Attribute (Name of column in Table)
Supplied by DA Team]]</f>
        <v>#REF!</v>
      </c>
      <c r="U194" s="18" t="b">
        <f>VLOOKUP(B194,Table!A$2:F$319,2,FALSE)=Table14[[#This Row],[Data type in Oracle
VARCHAR2(n), DATE, NUMBER(m,n), TIMETSTAMP(6)]]</f>
        <v>1</v>
      </c>
      <c r="V194" s="18" t="b">
        <f>VLOOKUP(B194,Table!A$2:F$231,3,FALSE)=Table14[[#This Row],[Nullable in Table and in Oracle View
NULL, NOT NULL]]</f>
        <v>1</v>
      </c>
      <c r="W194" s="18" t="b">
        <f>VLOOKUP(B194,Table!A$2:H$228,6,FALSE)=Table14[[#This Row],[Business Definition (To go into comments and into Meta Data Hub)]]</f>
        <v>1</v>
      </c>
      <c r="X194" s="55" t="str">
        <f>VLOOKUP((UPPER(SUBSTITUTE(A194," ","_"))),'[2]Consumer View'!A$2:I$329,1,FALSE)</f>
        <v>SYSTEM_BASE_CURRENCY_DIMENSION_ID</v>
      </c>
      <c r="Y194" s="18" t="s">
        <v>355</v>
      </c>
      <c r="Z194" s="18" t="s">
        <v>592</v>
      </c>
      <c r="AA194" s="15" t="s">
        <v>590</v>
      </c>
      <c r="AB194" s="18"/>
      <c r="AC194" s="18"/>
      <c r="AD194" s="18" t="s">
        <v>1027</v>
      </c>
      <c r="AE194" s="46"/>
      <c r="AF194" s="18"/>
      <c r="AG194" s="18"/>
      <c r="AH194" s="18" t="s">
        <v>351</v>
      </c>
    </row>
    <row r="195" spans="1:34" ht="27" customHeight="1">
      <c r="A195" s="51" t="s">
        <v>1028</v>
      </c>
      <c r="B195" s="18" t="s">
        <v>1029</v>
      </c>
      <c r="C195" s="18" t="s">
        <v>1030</v>
      </c>
      <c r="D195" s="55" t="s">
        <v>559</v>
      </c>
      <c r="E195" s="18" t="s">
        <v>63</v>
      </c>
      <c r="F195" s="18" t="s">
        <v>560</v>
      </c>
      <c r="G195" s="45" t="s">
        <v>63</v>
      </c>
      <c r="H195" s="46" t="s">
        <v>1031</v>
      </c>
      <c r="I195" s="18"/>
      <c r="J195" s="18" t="s">
        <v>381</v>
      </c>
      <c r="K195" s="18">
        <v>3</v>
      </c>
      <c r="L195" s="18"/>
      <c r="M195" s="18"/>
      <c r="N195" s="18"/>
      <c r="O195" s="18" t="b">
        <f>VLOOKUP(A195,[1]Model!C$2:J$559,2,FALSE)=B195</f>
        <v>1</v>
      </c>
      <c r="P195" s="18" t="e">
        <f>VLOOKUP(A195,Model!C$2:G$228,5,FALSE)=D195</f>
        <v>#N/A</v>
      </c>
      <c r="Q195" s="18">
        <f>VLOOKUP(A195,[2]Model!C$2:L$228,8,FALSE)</f>
        <v>43</v>
      </c>
      <c r="R195" s="18" t="e">
        <f>VLOOKUP(A195,[2]Model!C$2:G$228,3,FALSE)=[3]!Table14[[#This Row],[Business Definition (To go into comments and into Meta Data Hub)]]</f>
        <v>#REF!</v>
      </c>
      <c r="S195" s="18" t="e">
        <f>IF([3]!Table14[[#This Row],[Nullable in Table and in Oracle View
NULL, NOT NULL]]="No","NOT NULL","NULL")=VLOOKUP(A195,[2]Model!C$2:I$228,6,FALSE)</f>
        <v>#REF!</v>
      </c>
      <c r="T195" s="18" t="e">
        <f>VLOOKUP(B195,[2]Table!A$2:F$415,1,FALSE)=[3]!Table14[[#This Row],[Physical Name of Attribute (Name of column in Table)
Supplied by DA Team]]</f>
        <v>#REF!</v>
      </c>
      <c r="U195" s="18" t="b">
        <f>VLOOKUP(B195,Table!A$2:F$319,2,FALSE)=Table14[[#This Row],[Data type in Oracle
VARCHAR2(n), DATE, NUMBER(m,n), TIMETSTAMP(6)]]</f>
        <v>1</v>
      </c>
      <c r="V195" s="18" t="b">
        <f>VLOOKUP(B195,Table!A$2:F$231,3,FALSE)=Table14[[#This Row],[Nullable in Table and in Oracle View
NULL, NOT NULL]]</f>
        <v>1</v>
      </c>
      <c r="W195" s="18" t="b">
        <f>VLOOKUP(B195,Table!A$2:H$228,6,FALSE)=Table14[[#This Row],[Business Definition (To go into comments and into Meta Data Hub)]]</f>
        <v>1</v>
      </c>
      <c r="X195" s="55" t="str">
        <f>VLOOKUP((UPPER(SUBSTITUTE(A195," ","_"))),'[2]Consumer View'!A$2:I$329,1,FALSE)</f>
        <v>SYSTEM_BASE_CURRENCY_EXCHANGE_RATE</v>
      </c>
      <c r="Y195" s="18" t="s">
        <v>68</v>
      </c>
      <c r="Z195" s="18" t="s">
        <v>375</v>
      </c>
      <c r="AA195" s="18" t="s">
        <v>1032</v>
      </c>
      <c r="AB195" s="18"/>
      <c r="AC195" s="18"/>
      <c r="AD195" s="18" t="s">
        <v>539</v>
      </c>
      <c r="AE195" s="46"/>
      <c r="AF195" s="18"/>
      <c r="AG195" s="18"/>
      <c r="AH195" s="18" t="s">
        <v>71</v>
      </c>
    </row>
    <row r="196" spans="1:34" ht="27" customHeight="1">
      <c r="A196" s="52" t="s">
        <v>1033</v>
      </c>
      <c r="B196" s="18" t="s">
        <v>1034</v>
      </c>
      <c r="C196" s="18" t="s">
        <v>1035</v>
      </c>
      <c r="D196" s="18" t="s">
        <v>101</v>
      </c>
      <c r="E196" s="18" t="s">
        <v>63</v>
      </c>
      <c r="F196" s="18" t="s">
        <v>133</v>
      </c>
      <c r="G196" s="45" t="s">
        <v>63</v>
      </c>
      <c r="H196" s="46" t="s">
        <v>1036</v>
      </c>
      <c r="I196" s="18"/>
      <c r="J196" s="18" t="s">
        <v>381</v>
      </c>
      <c r="K196" s="18">
        <v>3</v>
      </c>
      <c r="L196" s="18"/>
      <c r="M196" s="18"/>
      <c r="N196" s="18"/>
      <c r="O196" s="18" t="b">
        <f>VLOOKUP(A196,[1]Model!C$2:J$559,2,FALSE)=B196</f>
        <v>1</v>
      </c>
      <c r="P196" s="18" t="e">
        <f>VLOOKUP(A196,Model!C$2:G$228,5,FALSE)=D196</f>
        <v>#N/A</v>
      </c>
      <c r="Q196" s="18">
        <f>VLOOKUP(A196,[2]Model!C$2:L$228,8,FALSE)</f>
        <v>204</v>
      </c>
      <c r="R196" s="18" t="e">
        <f>VLOOKUP(A196,[2]Model!C$2:G$228,3,FALSE)=[3]!Table14[[#This Row],[Business Definition (To go into comments and into Meta Data Hub)]]</f>
        <v>#REF!</v>
      </c>
      <c r="S196" s="18" t="e">
        <f>IF([3]!Table14[[#This Row],[Nullable in Table and in Oracle View
NULL, NOT NULL]]="No","NOT NULL","NULL")=VLOOKUP(A196,[2]Model!C$2:I$228,6,FALSE)</f>
        <v>#REF!</v>
      </c>
      <c r="T196" s="18" t="e">
        <f>VLOOKUP(B196,[2]Table!A$2:F$415,1,FALSE)=[3]!Table14[[#This Row],[Physical Name of Attribute (Name of column in Table)
Supplied by DA Team]]</f>
        <v>#REF!</v>
      </c>
      <c r="U196" s="18" t="b">
        <f>VLOOKUP(B196,Table!A$2:F$319,2,FALSE)=Table14[[#This Row],[Data type in Oracle
VARCHAR2(n), DATE, NUMBER(m,n), TIMETSTAMP(6)]]</f>
        <v>1</v>
      </c>
      <c r="V196" s="18" t="b">
        <f>VLOOKUP(B196,Table!A$2:F$231,3,FALSE)=Table14[[#This Row],[Nullable in Table and in Oracle View
NULL, NOT NULL]]</f>
        <v>1</v>
      </c>
      <c r="W196" s="18" t="b">
        <f>VLOOKUP(B196,Table!A$2:H$228,6,FALSE)=Table14[[#This Row],[Business Definition (To go into comments and into Meta Data Hub)]]</f>
        <v>1</v>
      </c>
      <c r="X196" s="55" t="str">
        <f>VLOOKUP((UPPER(SUBSTITUTE(A196," ","_"))),'[2]Consumer View'!A$2:I$329,1,FALSE)</f>
        <v>TARGET_TRANSACTION_ID</v>
      </c>
      <c r="Y196" s="18" t="s">
        <v>68</v>
      </c>
      <c r="Z196" s="18" t="s">
        <v>796</v>
      </c>
      <c r="AA196" s="18" t="s">
        <v>1037</v>
      </c>
      <c r="AB196" s="18"/>
      <c r="AC196" s="18"/>
      <c r="AD196" s="18" t="s">
        <v>1038</v>
      </c>
      <c r="AE196" s="57" t="s">
        <v>1039</v>
      </c>
      <c r="AF196" s="18"/>
      <c r="AG196" s="18"/>
      <c r="AH196" s="18" t="s">
        <v>71</v>
      </c>
    </row>
    <row r="197" spans="1:34" ht="27" customHeight="1">
      <c r="A197" s="51" t="s">
        <v>1040</v>
      </c>
      <c r="B197" s="18" t="s">
        <v>1041</v>
      </c>
      <c r="C197" s="18" t="s">
        <v>1042</v>
      </c>
      <c r="D197" s="18" t="s">
        <v>157</v>
      </c>
      <c r="E197" s="78" t="s">
        <v>345</v>
      </c>
      <c r="F197" s="18" t="s">
        <v>158</v>
      </c>
      <c r="G197" s="45" t="s">
        <v>63</v>
      </c>
      <c r="H197" s="46" t="s">
        <v>1043</v>
      </c>
      <c r="I197" s="18"/>
      <c r="J197" s="18" t="s">
        <v>381</v>
      </c>
      <c r="K197" s="18">
        <v>3</v>
      </c>
      <c r="L197" s="18"/>
      <c r="M197" s="18"/>
      <c r="N197" s="18"/>
      <c r="O197" s="18" t="b">
        <f>VLOOKUP(A197,[1]Model!C$2:J$559,2,FALSE)=B197</f>
        <v>1</v>
      </c>
      <c r="P197" s="18" t="e">
        <f>VLOOKUP(A197,Model!C$2:G$228,5,FALSE)=D197</f>
        <v>#N/A</v>
      </c>
      <c r="Q197" s="18">
        <f>VLOOKUP(A197,[2]Model!C$2:L$228,8,FALSE)</f>
        <v>19</v>
      </c>
      <c r="R197" s="18" t="e">
        <f>VLOOKUP(A197,[2]Model!C$2:G$228,3,FALSE)=[3]!Table14[[#This Row],[Business Definition (To go into comments and into Meta Data Hub)]]</f>
        <v>#REF!</v>
      </c>
      <c r="S197" s="18" t="e">
        <f>IF([3]!Table14[[#This Row],[Nullable in Table and in Oracle View
NULL, NOT NULL]]="No","NOT NULL","NULL")=VLOOKUP(A197,[2]Model!C$2:I$228,6,FALSE)</f>
        <v>#REF!</v>
      </c>
      <c r="T197" s="18" t="e">
        <f>VLOOKUP(B197,[2]Table!A$2:F$415,1,FALSE)=[3]!Table14[[#This Row],[Physical Name of Attribute (Name of column in Table)
Supplied by DA Team]]</f>
        <v>#REF!</v>
      </c>
      <c r="U197" s="18" t="b">
        <f>VLOOKUP(B197,Table!A$2:F$319,2,FALSE)=Table14[[#This Row],[Data type in Oracle
VARCHAR2(n), DATE, NUMBER(m,n), TIMETSTAMP(6)]]</f>
        <v>1</v>
      </c>
      <c r="V197" s="18" t="b">
        <f>VLOOKUP(B197,Table!A$2:F$231,3,FALSE)=Table14[[#This Row],[Nullable in Table and in Oracle View
NULL, NOT NULL]]</f>
        <v>1</v>
      </c>
      <c r="W197" s="18" t="b">
        <f>VLOOKUP(B197,Table!A$2:H$228,6,FALSE)=Table14[[#This Row],[Business Definition (To go into comments and into Meta Data Hub)]]</f>
        <v>1</v>
      </c>
      <c r="X197" s="55" t="str">
        <f>VLOOKUP((UPPER(SUBSTITUTE(A197," ","_"))),'[2]Consumer View'!A$2:I$329,1,FALSE)</f>
        <v>TRADE_DATE</v>
      </c>
      <c r="Y197" s="18" t="s">
        <v>68</v>
      </c>
      <c r="Z197" s="18" t="s">
        <v>69</v>
      </c>
      <c r="AA197" s="18" t="s">
        <v>1041</v>
      </c>
      <c r="AB197" s="18"/>
      <c r="AC197" s="18"/>
      <c r="AD197" s="18"/>
      <c r="AE197" s="46"/>
      <c r="AF197" s="18"/>
      <c r="AG197" s="18"/>
      <c r="AH197" s="18" t="s">
        <v>71</v>
      </c>
    </row>
    <row r="198" spans="1:34" ht="27" customHeight="1">
      <c r="A198" s="51" t="s">
        <v>1044</v>
      </c>
      <c r="B198" s="18" t="s">
        <v>1045</v>
      </c>
      <c r="C198" s="18" t="s">
        <v>1046</v>
      </c>
      <c r="D198" s="18" t="s">
        <v>139</v>
      </c>
      <c r="E198" s="18" t="s">
        <v>63</v>
      </c>
      <c r="F198" s="18" t="s">
        <v>228</v>
      </c>
      <c r="G198" s="45" t="s">
        <v>63</v>
      </c>
      <c r="H198" s="46" t="s">
        <v>1047</v>
      </c>
      <c r="I198" s="18"/>
      <c r="J198" s="18" t="s">
        <v>347</v>
      </c>
      <c r="K198" s="18">
        <v>3</v>
      </c>
      <c r="L198" s="18"/>
      <c r="M198" s="18"/>
      <c r="N198" s="18"/>
      <c r="O198" s="18" t="b">
        <f>VLOOKUP(A198,[1]Model!C$2:J$559,2,FALSE)=B198</f>
        <v>1</v>
      </c>
      <c r="P198" s="18" t="e">
        <f>VLOOKUP(A198,Model!C$2:G$228,5,FALSE)=D198</f>
        <v>#N/A</v>
      </c>
      <c r="Q198" s="18">
        <f>VLOOKUP(A198,[2]Model!C$2:L$228,8,FALSE)</f>
        <v>25</v>
      </c>
      <c r="R198" s="18" t="e">
        <f>VLOOKUP(A198,[2]Model!C$2:G$228,3,FALSE)=[3]!Table14[[#This Row],[Business Definition (To go into comments and into Meta Data Hub)]]</f>
        <v>#REF!</v>
      </c>
      <c r="S198" s="18" t="e">
        <f>IF([3]!Table14[[#This Row],[Nullable in Table and in Oracle View
NULL, NOT NULL]]="No","NOT NULL","NULL")=VLOOKUP(A198,[2]Model!C$2:I$228,6,FALSE)</f>
        <v>#REF!</v>
      </c>
      <c r="T198" s="18" t="e">
        <f>VLOOKUP(B198,[2]Table!A$2:F$415,1,FALSE)=[3]!Table14[[#This Row],[Physical Name of Attribute (Name of column in Table)
Supplied by DA Team]]</f>
        <v>#REF!</v>
      </c>
      <c r="U198" s="18" t="b">
        <f>VLOOKUP(B198,Table!A$2:F$319,2,FALSE)=Table14[[#This Row],[Data type in Oracle
VARCHAR2(n), DATE, NUMBER(m,n), TIMETSTAMP(6)]]</f>
        <v>0</v>
      </c>
      <c r="V198" s="18" t="b">
        <f>VLOOKUP(B198,Table!A$2:F$231,3,FALSE)=Table14[[#This Row],[Nullable in Table and in Oracle View
NULL, NOT NULL]]</f>
        <v>1</v>
      </c>
      <c r="W198" s="18" t="b">
        <f>VLOOKUP(B198,Table!A$2:H$228,6,FALSE)=Table14[[#This Row],[Business Definition (To go into comments and into Meta Data Hub)]]</f>
        <v>1</v>
      </c>
      <c r="X198" s="18" t="str">
        <f>VLOOKUP((UPPER(SUBSTITUTE(A198," ","_"))),'[2]Consumer View'!A$2:I$329,1,FALSE)</f>
        <v>TRADE_NUMBER</v>
      </c>
      <c r="Y198" s="18" t="s">
        <v>68</v>
      </c>
      <c r="Z198" s="18" t="s">
        <v>69</v>
      </c>
      <c r="AA198" s="18" t="s">
        <v>1045</v>
      </c>
      <c r="AB198" s="18"/>
      <c r="AC198" s="18"/>
      <c r="AD198" s="18"/>
      <c r="AE198" s="46"/>
      <c r="AF198" s="18"/>
      <c r="AG198" s="18"/>
      <c r="AH198" s="18" t="s">
        <v>71</v>
      </c>
    </row>
    <row r="199" spans="1:34" ht="27" hidden="1" customHeight="1">
      <c r="A199" s="51" t="s">
        <v>1048</v>
      </c>
      <c r="B199" s="18" t="s">
        <v>1049</v>
      </c>
      <c r="C199" s="18"/>
      <c r="D199" s="18" t="s">
        <v>101</v>
      </c>
      <c r="E199" s="18" t="s">
        <v>345</v>
      </c>
      <c r="F199" s="18" t="s">
        <v>133</v>
      </c>
      <c r="G199" s="45" t="s">
        <v>63</v>
      </c>
      <c r="H199" s="46" t="s">
        <v>1050</v>
      </c>
      <c r="I199" s="18"/>
      <c r="J199" s="18" t="s">
        <v>347</v>
      </c>
      <c r="K199" s="18">
        <v>3</v>
      </c>
      <c r="L199" s="18"/>
      <c r="M199" s="18"/>
      <c r="N199" s="18"/>
      <c r="O199" s="18" t="b">
        <f>VLOOKUP(A199,[1]Model!C$2:J$559,2,FALSE)=B199</f>
        <v>1</v>
      </c>
      <c r="P199" s="18" t="e">
        <f>VLOOKUP(A199,Model!C$2:G$228,5,FALSE)=D199</f>
        <v>#N/A</v>
      </c>
      <c r="Q199" s="18">
        <f>VLOOKUP(A199,[2]Model!C$2:L$228,8,FALSE)</f>
        <v>13</v>
      </c>
      <c r="R199" s="18" t="e">
        <f>VLOOKUP(A199,[2]Model!C$2:G$228,3,FALSE)=[3]!Table14[[#This Row],[Business Definition (To go into comments and into Meta Data Hub)]]</f>
        <v>#REF!</v>
      </c>
      <c r="S199" s="18" t="e">
        <f>IF([3]!Table14[[#This Row],[Nullable in Table and in Oracle View
NULL, NOT NULL]]="No","NOT NULL","NULL")=VLOOKUP(A199,[2]Model!C$2:I$228,6,FALSE)</f>
        <v>#REF!</v>
      </c>
      <c r="T199" s="18" t="e">
        <f>VLOOKUP(B199,[2]Table!A$2:F$415,1,FALSE)=[3]!Table14[[#This Row],[Physical Name of Attribute (Name of column in Table)
Supplied by DA Team]]</f>
        <v>#REF!</v>
      </c>
      <c r="U199" s="18" t="b">
        <f>VLOOKUP(B199,Table!A$2:F$319,2,FALSE)=Table14[[#This Row],[Data type in Oracle
VARCHAR2(n), DATE, NUMBER(m,n), TIMETSTAMP(6)]]</f>
        <v>1</v>
      </c>
      <c r="V199" s="18" t="b">
        <f>VLOOKUP(B199,Table!A$2:F$231,3,FALSE)=Table14[[#This Row],[Nullable in Table and in Oracle View
NULL, NOT NULL]]</f>
        <v>1</v>
      </c>
      <c r="W199" s="18" t="b">
        <f>VLOOKUP(B199,Table!A$2:H$228,6,FALSE)=Table14[[#This Row],[Business Definition (To go into comments and into Meta Data Hub)]]</f>
        <v>1</v>
      </c>
      <c r="X199" s="18" t="str">
        <f>VLOOKUP((UPPER(SUBSTITUTE(A199," ","_"))),'[2]Consumer View'!A$2:I$329,1,FALSE)</f>
        <v>TRADE_SOLICITATION_TYPE_DIMENSION_ID</v>
      </c>
      <c r="Y199" s="18" t="s">
        <v>8</v>
      </c>
      <c r="Z199" s="18" t="s">
        <v>1051</v>
      </c>
      <c r="AA199" s="18" t="s">
        <v>1049</v>
      </c>
      <c r="AB199" s="18"/>
      <c r="AC199" s="18"/>
      <c r="AD199" s="18" t="s">
        <v>1052</v>
      </c>
      <c r="AE199" s="46" t="s">
        <v>1053</v>
      </c>
      <c r="AF199" s="18"/>
      <c r="AG199" s="18"/>
      <c r="AH199" s="18" t="s">
        <v>351</v>
      </c>
    </row>
    <row r="200" spans="1:34" ht="27" customHeight="1">
      <c r="A200" s="51" t="s">
        <v>1054</v>
      </c>
      <c r="B200" s="18" t="s">
        <v>1055</v>
      </c>
      <c r="C200" s="18"/>
      <c r="D200" s="18" t="s">
        <v>101</v>
      </c>
      <c r="E200" s="18" t="s">
        <v>63</v>
      </c>
      <c r="F200" s="18" t="s">
        <v>133</v>
      </c>
      <c r="G200" s="45" t="s">
        <v>63</v>
      </c>
      <c r="H200" s="46" t="s">
        <v>1056</v>
      </c>
      <c r="I200" s="18"/>
      <c r="J200" s="18" t="s">
        <v>67</v>
      </c>
      <c r="K200" s="18">
        <v>3</v>
      </c>
      <c r="L200" s="18"/>
      <c r="M200" s="18"/>
      <c r="N200" s="18"/>
      <c r="O200" s="18" t="b">
        <f>VLOOKUP(A200,[1]Model!C$2:J$559,2,FALSE)=B200</f>
        <v>1</v>
      </c>
      <c r="P200" s="18" t="e">
        <f>VLOOKUP(A200,Model!C$2:G$228,5,FALSE)=D200</f>
        <v>#N/A</v>
      </c>
      <c r="Q200" s="18">
        <f>VLOOKUP(A200,[2]Model!C$2:L$228,8,FALSE)</f>
        <v>210</v>
      </c>
      <c r="R200" s="18" t="e">
        <f>VLOOKUP(A200,[2]Model!C$2:G$228,3,FALSE)=[3]!Table14[[#This Row],[Business Definition (To go into comments and into Meta Data Hub)]]</f>
        <v>#REF!</v>
      </c>
      <c r="S200" s="18" t="e">
        <f>IF([3]!Table14[[#This Row],[Nullable in Table and in Oracle View
NULL, NOT NULL]]="No","NOT NULL","NULL")=VLOOKUP(A200,[2]Model!C$2:I$228,6,FALSE)</f>
        <v>#REF!</v>
      </c>
      <c r="T200" s="18" t="e">
        <f>VLOOKUP(B200,[2]Table!A$2:F$415,1,FALSE)=[3]!Table14[[#This Row],[Physical Name of Attribute (Name of column in Table)
Supplied by DA Team]]</f>
        <v>#REF!</v>
      </c>
      <c r="U200" s="18" t="b">
        <f>VLOOKUP(B200,Table!A$2:F$319,2,FALSE)=Table14[[#This Row],[Data type in Oracle
VARCHAR2(n), DATE, NUMBER(m,n), TIMETSTAMP(6)]]</f>
        <v>1</v>
      </c>
      <c r="V200" s="18" t="b">
        <f>VLOOKUP(B200,Table!A$2:F$231,3,FALSE)=Table14[[#This Row],[Nullable in Table and in Oracle View
NULL, NOT NULL]]</f>
        <v>1</v>
      </c>
      <c r="W200" s="18" t="b">
        <f>VLOOKUP(B200,Table!A$2:H$228,6,FALSE)=Table14[[#This Row],[Business Definition (To go into comments and into Meta Data Hub)]]</f>
        <v>1</v>
      </c>
      <c r="X200" s="18" t="str">
        <f>VLOOKUP((UPPER(SUBSTITUTE(A200," ","_"))),'[2]Consumer View'!A$2:I$329,1,FALSE)</f>
        <v>TRADE_SOLICITATION_TYPE_ID</v>
      </c>
      <c r="Y200" s="18" t="s">
        <v>68</v>
      </c>
      <c r="Z200" s="18" t="s">
        <v>69</v>
      </c>
      <c r="AA200" s="18" t="s">
        <v>1055</v>
      </c>
      <c r="AB200" s="18"/>
      <c r="AC200" s="18"/>
      <c r="AD200" s="18"/>
      <c r="AE200" s="46" t="s">
        <v>1053</v>
      </c>
      <c r="AF200" s="18"/>
      <c r="AG200" s="18"/>
      <c r="AH200" s="18" t="s">
        <v>71</v>
      </c>
    </row>
    <row r="201" spans="1:34" ht="27" customHeight="1">
      <c r="A201" s="51" t="s">
        <v>1057</v>
      </c>
      <c r="B201" s="18" t="s">
        <v>1058</v>
      </c>
      <c r="C201" s="18" t="s">
        <v>1059</v>
      </c>
      <c r="D201" s="18" t="s">
        <v>139</v>
      </c>
      <c r="E201" s="18" t="s">
        <v>63</v>
      </c>
      <c r="F201" s="18" t="s">
        <v>140</v>
      </c>
      <c r="G201" s="45" t="s">
        <v>63</v>
      </c>
      <c r="H201" s="46" t="s">
        <v>1060</v>
      </c>
      <c r="I201" s="18"/>
      <c r="J201" s="18" t="s">
        <v>347</v>
      </c>
      <c r="K201" s="18">
        <v>3</v>
      </c>
      <c r="L201" s="18"/>
      <c r="M201" s="18"/>
      <c r="N201" s="18"/>
      <c r="O201" s="18" t="b">
        <f>VLOOKUP(A201,[1]Model!C$2:J$559,2,FALSE)=B201</f>
        <v>1</v>
      </c>
      <c r="P201" s="18" t="e">
        <f>VLOOKUP(A201,Model!C$2:G$228,5,FALSE)=D201</f>
        <v>#N/A</v>
      </c>
      <c r="Q201" s="18">
        <f>VLOOKUP(A201,[2]Model!C$2:L$228,8,FALSE)</f>
        <v>141</v>
      </c>
      <c r="R201" s="18" t="e">
        <f>VLOOKUP(A201,[2]Model!C$2:G$228,3,FALSE)=[3]!Table14[[#This Row],[Business Definition (To go into comments and into Meta Data Hub)]]</f>
        <v>#REF!</v>
      </c>
      <c r="S201" s="18" t="e">
        <f>IF([3]!Table14[[#This Row],[Nullable in Table and in Oracle View
NULL, NOT NULL]]="No","NOT NULL","NULL")=VLOOKUP(A201,[2]Model!C$2:I$228,6,FALSE)</f>
        <v>#REF!</v>
      </c>
      <c r="T201" s="18" t="e">
        <f>VLOOKUP(B201,[2]Table!A$2:F$415,1,FALSE)=[3]!Table14[[#This Row],[Physical Name of Attribute (Name of column in Table)
Supplied by DA Team]]</f>
        <v>#REF!</v>
      </c>
      <c r="U201" s="18" t="b">
        <f>VLOOKUP(B201,Table!A$2:F$319,2,FALSE)=Table14[[#This Row],[Data type in Oracle
VARCHAR2(n), DATE, NUMBER(m,n), TIMETSTAMP(6)]]</f>
        <v>0</v>
      </c>
      <c r="V201" s="18" t="b">
        <f>VLOOKUP(B201,Table!A$2:F$231,3,FALSE)=Table14[[#This Row],[Nullable in Table and in Oracle View
NULL, NOT NULL]]</f>
        <v>1</v>
      </c>
      <c r="W201" s="18" t="b">
        <f>VLOOKUP(B201,Table!A$2:H$228,6,FALSE)=Table14[[#This Row],[Business Definition (To go into comments and into Meta Data Hub)]]</f>
        <v>1</v>
      </c>
      <c r="X201" s="55" t="str">
        <f>VLOOKUP((UPPER(SUBSTITUTE(A201," ","_"))),'[2]Consumer View'!A$2:I$329,1,FALSE)</f>
        <v>TRADE_SOLICITATION_TYPE_CODE</v>
      </c>
      <c r="Y201" s="18" t="s">
        <v>8</v>
      </c>
      <c r="Z201" s="18" t="s">
        <v>1051</v>
      </c>
      <c r="AA201" s="18" t="s">
        <v>1058</v>
      </c>
      <c r="AB201" s="18"/>
      <c r="AC201" s="18"/>
      <c r="AD201" s="18" t="s">
        <v>1052</v>
      </c>
      <c r="AE201" s="46" t="s">
        <v>1053</v>
      </c>
      <c r="AF201" s="18"/>
      <c r="AG201" s="18"/>
      <c r="AH201" s="18" t="s">
        <v>71</v>
      </c>
    </row>
    <row r="202" spans="1:34" ht="27" customHeight="1">
      <c r="A202" s="51" t="s">
        <v>1061</v>
      </c>
      <c r="B202" s="18" t="s">
        <v>1062</v>
      </c>
      <c r="C202" s="18" t="s">
        <v>1063</v>
      </c>
      <c r="D202" s="18" t="s">
        <v>109</v>
      </c>
      <c r="E202" s="18" t="s">
        <v>63</v>
      </c>
      <c r="F202" s="18" t="s">
        <v>110</v>
      </c>
      <c r="G202" s="45" t="s">
        <v>63</v>
      </c>
      <c r="H202" s="46" t="s">
        <v>1064</v>
      </c>
      <c r="I202" s="18"/>
      <c r="J202" s="18" t="s">
        <v>347</v>
      </c>
      <c r="K202" s="18">
        <v>3</v>
      </c>
      <c r="L202" s="18"/>
      <c r="M202" s="18"/>
      <c r="N202" s="18"/>
      <c r="O202" s="18" t="b">
        <f>VLOOKUP(A202,[1]Model!C$2:J$559,2,FALSE)=B202</f>
        <v>1</v>
      </c>
      <c r="P202" s="18" t="e">
        <f>VLOOKUP(A202,Model!C$2:G$228,5,FALSE)=D202</f>
        <v>#N/A</v>
      </c>
      <c r="Q202" s="18">
        <f>VLOOKUP(A202,[2]Model!C$2:L$228,8,FALSE)</f>
        <v>142</v>
      </c>
      <c r="R202" s="18" t="e">
        <f>VLOOKUP(A202,[2]Model!C$2:G$228,3,FALSE)=[3]!Table14[[#This Row],[Business Definition (To go into comments and into Meta Data Hub)]]</f>
        <v>#REF!</v>
      </c>
      <c r="S202" s="18" t="e">
        <f>IF([3]!Table14[[#This Row],[Nullable in Table and in Oracle View
NULL, NOT NULL]]="No","NOT NULL","NULL")=VLOOKUP(A202,[2]Model!C$2:I$228,6,FALSE)</f>
        <v>#REF!</v>
      </c>
      <c r="T202" s="18" t="e">
        <f>VLOOKUP(B202,[2]Table!A$2:F$415,1,FALSE)=[3]!Table14[[#This Row],[Physical Name of Attribute (Name of column in Table)
Supplied by DA Team]]</f>
        <v>#REF!</v>
      </c>
      <c r="U202" s="18" t="b">
        <f>VLOOKUP(B202,Table!A$2:F$319,2,FALSE)=Table14[[#This Row],[Data type in Oracle
VARCHAR2(n), DATE, NUMBER(m,n), TIMETSTAMP(6)]]</f>
        <v>0</v>
      </c>
      <c r="V202" s="18" t="b">
        <f>VLOOKUP(B202,Table!A$2:F$231,3,FALSE)=Table14[[#This Row],[Nullable in Table and in Oracle View
NULL, NOT NULL]]</f>
        <v>1</v>
      </c>
      <c r="W202" s="18" t="b">
        <f>VLOOKUP(B202,Table!A$2:H$228,6,FALSE)=Table14[[#This Row],[Business Definition (To go into comments and into Meta Data Hub)]]</f>
        <v>1</v>
      </c>
      <c r="X202" s="55" t="str">
        <f>VLOOKUP((UPPER(SUBSTITUTE(A202," ","_"))),'[2]Consumer View'!A$2:I$329,1,FALSE)</f>
        <v>TRADE_SOLICITATION_TYPE_NAME</v>
      </c>
      <c r="Y202" s="18" t="s">
        <v>8</v>
      </c>
      <c r="Z202" s="18" t="s">
        <v>1051</v>
      </c>
      <c r="AA202" s="18" t="s">
        <v>1062</v>
      </c>
      <c r="AB202" s="18"/>
      <c r="AC202" s="18"/>
      <c r="AD202" s="18" t="s">
        <v>1052</v>
      </c>
      <c r="AE202" s="46"/>
      <c r="AF202" s="18"/>
      <c r="AG202" s="18"/>
      <c r="AH202" s="18" t="s">
        <v>71</v>
      </c>
    </row>
    <row r="203" spans="1:34" ht="27" customHeight="1">
      <c r="A203" s="51" t="s">
        <v>1065</v>
      </c>
      <c r="B203" s="18" t="s">
        <v>1066</v>
      </c>
      <c r="C203" s="18" t="s">
        <v>1067</v>
      </c>
      <c r="D203" s="18" t="s">
        <v>519</v>
      </c>
      <c r="E203" s="18" t="s">
        <v>63</v>
      </c>
      <c r="F203" s="18" t="s">
        <v>520</v>
      </c>
      <c r="G203" s="45" t="s">
        <v>63</v>
      </c>
      <c r="H203" s="46" t="s">
        <v>1065</v>
      </c>
      <c r="I203" s="18"/>
      <c r="J203" s="18" t="s">
        <v>347</v>
      </c>
      <c r="K203" s="18">
        <v>3</v>
      </c>
      <c r="L203" s="18"/>
      <c r="M203" s="18"/>
      <c r="N203" s="18"/>
      <c r="O203" s="18" t="b">
        <f>VLOOKUP(A203,[1]Model!C$2:J$559,2,FALSE)=B203</f>
        <v>1</v>
      </c>
      <c r="P203" s="18" t="e">
        <f>VLOOKUP(A203,Model!C$2:G$228,5,FALSE)=D203</f>
        <v>#N/A</v>
      </c>
      <c r="Q203" s="18">
        <f>VLOOKUP(A203,[2]Model!C$2:L$228,8,FALSE)</f>
        <v>54</v>
      </c>
      <c r="R203" s="18" t="e">
        <f>VLOOKUP(A203,[2]Model!C$2:G$228,3,FALSE)=[3]!Table14[[#This Row],[Business Definition (To go into comments and into Meta Data Hub)]]</f>
        <v>#REF!</v>
      </c>
      <c r="S203" s="18" t="e">
        <f>IF([3]!Table14[[#This Row],[Nullable in Table and in Oracle View
NULL, NOT NULL]]="No","NOT NULL","NULL")=VLOOKUP(A203,[2]Model!C$2:I$228,6,FALSE)</f>
        <v>#REF!</v>
      </c>
      <c r="T203" s="18" t="e">
        <f>VLOOKUP(B203,[2]Table!A$2:F$415,1,FALSE)=[3]!Table14[[#This Row],[Physical Name of Attribute (Name of column in Table)
Supplied by DA Team]]</f>
        <v>#REF!</v>
      </c>
      <c r="U203" s="18" t="b">
        <f>VLOOKUP(B203,Table!A$2:F$319,2,FALSE)=Table14[[#This Row],[Data type in Oracle
VARCHAR2(n), DATE, NUMBER(m,n), TIMETSTAMP(6)]]</f>
        <v>0</v>
      </c>
      <c r="V203" s="18" t="b">
        <f>VLOOKUP(B203,Table!A$2:F$231,3,FALSE)=Table14[[#This Row],[Nullable in Table and in Oracle View
NULL, NOT NULL]]</f>
        <v>1</v>
      </c>
      <c r="W203" s="18" t="b">
        <f>VLOOKUP(B203,Table!A$2:H$228,6,FALSE)=Table14[[#This Row],[Business Definition (To go into comments and into Meta Data Hub)]]</f>
        <v>1</v>
      </c>
      <c r="X203" s="18" t="str">
        <f>VLOOKUP((UPPER(SUBSTITUTE(A203," ","_"))),'[2]Consumer View'!A$2:I$329,1,FALSE)</f>
        <v>TRANSACTION_CLASSIFICATION_FLAG</v>
      </c>
      <c r="Y203" s="18" t="s">
        <v>68</v>
      </c>
      <c r="Z203" s="18" t="s">
        <v>69</v>
      </c>
      <c r="AA203" s="18" t="s">
        <v>1066</v>
      </c>
      <c r="AB203" s="18"/>
      <c r="AC203" s="18"/>
      <c r="AD203" s="18"/>
      <c r="AE203" s="46"/>
      <c r="AF203" s="18"/>
      <c r="AG203" s="18"/>
      <c r="AH203" s="18" t="s">
        <v>71</v>
      </c>
    </row>
    <row r="204" spans="1:34" ht="27" customHeight="1">
      <c r="A204" s="51" t="s">
        <v>1068</v>
      </c>
      <c r="B204" s="18" t="s">
        <v>1069</v>
      </c>
      <c r="C204" s="18" t="s">
        <v>1070</v>
      </c>
      <c r="D204" s="18" t="s">
        <v>101</v>
      </c>
      <c r="E204" s="18" t="s">
        <v>345</v>
      </c>
      <c r="F204" s="18" t="s">
        <v>133</v>
      </c>
      <c r="G204" s="45" t="s">
        <v>63</v>
      </c>
      <c r="H204" s="46" t="s">
        <v>1071</v>
      </c>
      <c r="I204" s="18"/>
      <c r="J204" s="18" t="s">
        <v>347</v>
      </c>
      <c r="K204" s="18">
        <v>3</v>
      </c>
      <c r="L204" s="18"/>
      <c r="M204" s="18"/>
      <c r="N204" s="18"/>
      <c r="O204" s="18" t="b">
        <f>VLOOKUP(A204,[1]Model!C$2:J$559,2,FALSE)=B204</f>
        <v>1</v>
      </c>
      <c r="P204" s="18" t="e">
        <f>VLOOKUP(A204,Model!C$2:G$228,5,FALSE)=D204</f>
        <v>#N/A</v>
      </c>
      <c r="Q204" s="18">
        <f>VLOOKUP(A204,[2]Model!C$2:L$228,8,FALSE)</f>
        <v>23</v>
      </c>
      <c r="R204" s="18" t="e">
        <f>VLOOKUP(A204,[2]Model!C$2:G$228,3,FALSE)=[3]!Table14[[#This Row],[Business Definition (To go into comments and into Meta Data Hub)]]</f>
        <v>#REF!</v>
      </c>
      <c r="S204" s="18" t="e">
        <f>IF([3]!Table14[[#This Row],[Nullable in Table and in Oracle View
NULL, NOT NULL]]="No","NOT NULL","NULL")=VLOOKUP(A204,[2]Model!C$2:I$228,6,FALSE)</f>
        <v>#REF!</v>
      </c>
      <c r="T204" s="18" t="e">
        <f>VLOOKUP(B204,[2]Table!A$2:F$415,1,FALSE)=[3]!Table14[[#This Row],[Physical Name of Attribute (Name of column in Table)
Supplied by DA Team]]</f>
        <v>#REF!</v>
      </c>
      <c r="U204" s="18" t="b">
        <f>VLOOKUP(B204,Table!A$2:F$319,2,FALSE)=Table14[[#This Row],[Data type in Oracle
VARCHAR2(n), DATE, NUMBER(m,n), TIMETSTAMP(6)]]</f>
        <v>1</v>
      </c>
      <c r="V204" s="18" t="b">
        <f>VLOOKUP(B204,Table!A$2:F$231,3,FALSE)=Table14[[#This Row],[Nullable in Table and in Oracle View
NULL, NOT NULL]]</f>
        <v>1</v>
      </c>
      <c r="W204" s="18" t="b">
        <f>VLOOKUP(B204,Table!A$2:H$228,6,FALSE)=Table14[[#This Row],[Business Definition (To go into comments and into Meta Data Hub)]]</f>
        <v>1</v>
      </c>
      <c r="X204" s="18" t="str">
        <f>VLOOKUP((UPPER(SUBSTITUTE(A204," ","_"))),'[2]Consumer View'!A$2:I$329,1,FALSE)</f>
        <v>TRANSACTION_ID</v>
      </c>
      <c r="Y204" s="18" t="s">
        <v>68</v>
      </c>
      <c r="Z204" s="18" t="s">
        <v>69</v>
      </c>
      <c r="AA204" s="18" t="s">
        <v>1069</v>
      </c>
      <c r="AB204" s="18"/>
      <c r="AC204" s="18"/>
      <c r="AD204" s="18"/>
      <c r="AE204" s="46"/>
      <c r="AF204" s="18"/>
      <c r="AG204" s="18"/>
      <c r="AH204" s="18" t="s">
        <v>71</v>
      </c>
    </row>
    <row r="205" spans="1:34" ht="27" customHeight="1">
      <c r="A205" s="51" t="s">
        <v>1072</v>
      </c>
      <c r="B205" s="18" t="s">
        <v>1073</v>
      </c>
      <c r="C205" s="18" t="s">
        <v>1074</v>
      </c>
      <c r="D205" s="18" t="s">
        <v>109</v>
      </c>
      <c r="E205" s="18" t="s">
        <v>63</v>
      </c>
      <c r="F205" s="18" t="s">
        <v>110</v>
      </c>
      <c r="G205" s="45" t="s">
        <v>63</v>
      </c>
      <c r="H205" s="46" t="s">
        <v>1075</v>
      </c>
      <c r="I205" s="18"/>
      <c r="J205" s="18" t="s">
        <v>347</v>
      </c>
      <c r="K205" s="18">
        <v>3</v>
      </c>
      <c r="L205" s="18"/>
      <c r="M205" s="18"/>
      <c r="N205" s="18"/>
      <c r="O205" s="18" t="b">
        <f>VLOOKUP(A205,[1]Model!C$2:J$559,2,FALSE)=B205</f>
        <v>1</v>
      </c>
      <c r="P205" s="18" t="e">
        <f>VLOOKUP(A205,Model!C$2:G$228,5,FALSE)=D205</f>
        <v>#N/A</v>
      </c>
      <c r="Q205" s="18">
        <f>VLOOKUP(A205,[2]Model!C$2:L$228,8,FALSE)</f>
        <v>27</v>
      </c>
      <c r="R205" s="18" t="e">
        <f>VLOOKUP(A205,[2]Model!C$2:G$228,3,FALSE)=[3]!Table14[[#This Row],[Business Definition (To go into comments and into Meta Data Hub)]]</f>
        <v>#REF!</v>
      </c>
      <c r="S205" s="18" t="e">
        <f>IF([3]!Table14[[#This Row],[Nullable in Table and in Oracle View
NULL, NOT NULL]]="No","NOT NULL","NULL")=VLOOKUP(A205,[2]Model!C$2:I$228,6,FALSE)</f>
        <v>#REF!</v>
      </c>
      <c r="T205" s="18" t="e">
        <f>VLOOKUP(B205,[2]Table!A$2:F$415,1,FALSE)=[3]!Table14[[#This Row],[Physical Name of Attribute (Name of column in Table)
Supplied by DA Team]]</f>
        <v>#REF!</v>
      </c>
      <c r="U205" s="18" t="b">
        <f>VLOOKUP(B205,Table!A$2:F$319,2,FALSE)=Table14[[#This Row],[Data type in Oracle
VARCHAR2(n), DATE, NUMBER(m,n), TIMETSTAMP(6)]]</f>
        <v>0</v>
      </c>
      <c r="V205" s="18" t="b">
        <f>VLOOKUP(B205,Table!A$2:F$231,3,FALSE)=Table14[[#This Row],[Nullable in Table and in Oracle View
NULL, NOT NULL]]</f>
        <v>1</v>
      </c>
      <c r="W205" s="18" t="b">
        <f>VLOOKUP(B205,Table!A$2:H$228,6,FALSE)=Table14[[#This Row],[Business Definition (To go into comments and into Meta Data Hub)]]</f>
        <v>1</v>
      </c>
      <c r="X205" s="55" t="str">
        <f>VLOOKUP((UPPER(SUBSTITUTE(A205," ","_"))),'[2]Consumer View'!A$2:I$329,1,FALSE)</f>
        <v>TRANSACTION_SOURCE_KEY</v>
      </c>
      <c r="Y205" s="18" t="s">
        <v>68</v>
      </c>
      <c r="Z205" s="18" t="s">
        <v>69</v>
      </c>
      <c r="AA205" s="18" t="s">
        <v>1073</v>
      </c>
      <c r="AB205" s="18"/>
      <c r="AC205" s="18"/>
      <c r="AD205" s="18"/>
      <c r="AE205" s="46"/>
      <c r="AF205" s="18"/>
      <c r="AG205" s="18"/>
      <c r="AH205" s="18" t="s">
        <v>71</v>
      </c>
    </row>
    <row r="206" spans="1:34" ht="27" customHeight="1">
      <c r="A206" s="51" t="s">
        <v>1076</v>
      </c>
      <c r="B206" s="18" t="s">
        <v>1077</v>
      </c>
      <c r="C206" s="18" t="s">
        <v>1078</v>
      </c>
      <c r="D206" s="18" t="s">
        <v>139</v>
      </c>
      <c r="E206" s="18" t="s">
        <v>63</v>
      </c>
      <c r="F206" s="18" t="s">
        <v>140</v>
      </c>
      <c r="G206" s="45" t="s">
        <v>63</v>
      </c>
      <c r="H206" s="46" t="s">
        <v>1079</v>
      </c>
      <c r="I206" s="18"/>
      <c r="J206" s="18" t="s">
        <v>347</v>
      </c>
      <c r="K206" s="18">
        <v>3</v>
      </c>
      <c r="L206" s="18"/>
      <c r="M206" s="18"/>
      <c r="N206" s="18"/>
      <c r="O206" s="18" t="b">
        <f>VLOOKUP(A206,[1]Model!C$2:J$559,2,FALSE)=B206</f>
        <v>1</v>
      </c>
      <c r="P206" s="18" t="e">
        <f>VLOOKUP(A206,Model!C$2:G$228,5,FALSE)=D206</f>
        <v>#N/A</v>
      </c>
      <c r="Q206" s="18">
        <f>VLOOKUP(A206,[2]Model!C$2:L$228,8,FALSE)</f>
        <v>62</v>
      </c>
      <c r="R206" s="18" t="e">
        <f>VLOOKUP(A206,[2]Model!C$2:G$228,3,FALSE)=[3]!Table14[[#This Row],[Business Definition (To go into comments and into Meta Data Hub)]]</f>
        <v>#VALUE!</v>
      </c>
      <c r="S206" s="18" t="e">
        <f>IF([3]!Table14[[#This Row],[Nullable in Table and in Oracle View
NULL, NOT NULL]]="No","NOT NULL","NULL")=VLOOKUP(A206,[2]Model!C$2:I$228,6,FALSE)</f>
        <v>#REF!</v>
      </c>
      <c r="T206" s="18" t="e">
        <f>VLOOKUP(B206,[2]Table!A$2:F$415,1,FALSE)=[3]!Table14[[#This Row],[Physical Name of Attribute (Name of column in Table)
Supplied by DA Team]]</f>
        <v>#REF!</v>
      </c>
      <c r="U206" s="18" t="b">
        <f>VLOOKUP(B206,Table!A$2:F$319,2,FALSE)=Table14[[#This Row],[Data type in Oracle
VARCHAR2(n), DATE, NUMBER(m,n), TIMETSTAMP(6)]]</f>
        <v>0</v>
      </c>
      <c r="V206" s="18" t="b">
        <f>VLOOKUP(B206,Table!A$2:F$231,3,FALSE)=Table14[[#This Row],[Nullable in Table and in Oracle View
NULL, NOT NULL]]</f>
        <v>1</v>
      </c>
      <c r="W206" s="18" t="b">
        <f>VLOOKUP(B206,Table!A$2:H$228,6,FALSE)=Table14[[#This Row],[Business Definition (To go into comments and into Meta Data Hub)]]</f>
        <v>1</v>
      </c>
      <c r="X206" s="55" t="str">
        <f>VLOOKUP((UPPER(SUBSTITUTE(A206," ","_"))),'[2]Consumer View'!A$2:I$329,1,FALSE)</f>
        <v>TRANSACTION_SUBTYPE_CODE</v>
      </c>
      <c r="Y206" s="18" t="s">
        <v>68</v>
      </c>
      <c r="Z206" s="18" t="s">
        <v>113</v>
      </c>
      <c r="AA206" s="18" t="s">
        <v>143</v>
      </c>
      <c r="AB206" s="18"/>
      <c r="AC206" s="18"/>
      <c r="AD206" s="18" t="s">
        <v>1080</v>
      </c>
      <c r="AE206" s="46"/>
      <c r="AF206" s="18"/>
      <c r="AG206" s="18"/>
      <c r="AH206" s="18" t="s">
        <v>71</v>
      </c>
    </row>
    <row r="207" spans="1:34" ht="27" customHeight="1">
      <c r="A207" s="51" t="s">
        <v>1081</v>
      </c>
      <c r="B207" s="18" t="s">
        <v>1082</v>
      </c>
      <c r="C207" s="18" t="s">
        <v>1083</v>
      </c>
      <c r="D207" s="18" t="s">
        <v>485</v>
      </c>
      <c r="E207" s="18" t="s">
        <v>63</v>
      </c>
      <c r="F207" s="18" t="s">
        <v>486</v>
      </c>
      <c r="G207" s="45" t="s">
        <v>63</v>
      </c>
      <c r="H207" s="46" t="s">
        <v>1084</v>
      </c>
      <c r="I207" s="18"/>
      <c r="J207" s="18" t="s">
        <v>347</v>
      </c>
      <c r="K207" s="18">
        <v>3</v>
      </c>
      <c r="L207" s="18"/>
      <c r="M207" s="18"/>
      <c r="N207" s="18"/>
      <c r="O207" s="18" t="b">
        <f>VLOOKUP(A207,[1]Model!C$2:J$559,2,FALSE)=B207</f>
        <v>1</v>
      </c>
      <c r="P207" s="18" t="e">
        <f>VLOOKUP(A207,Model!C$2:G$228,5,FALSE)=D207</f>
        <v>#N/A</v>
      </c>
      <c r="Q207" s="18">
        <f>VLOOKUP(A207,[2]Model!C$2:L$228,8,FALSE)</f>
        <v>64</v>
      </c>
      <c r="R207" s="18" t="e">
        <f>VLOOKUP(A207,[2]Model!C$2:G$228,3,FALSE)=[3]!Table14[[#This Row],[Business Definition (To go into comments and into Meta Data Hub)]]</f>
        <v>#REF!</v>
      </c>
      <c r="S207" s="18" t="e">
        <f>IF([3]!Table14[[#This Row],[Nullable in Table and in Oracle View
NULL, NOT NULL]]="No","NOT NULL","NULL")=VLOOKUP(A207,[2]Model!C$2:I$228,6,FALSE)</f>
        <v>#REF!</v>
      </c>
      <c r="T207" s="18" t="e">
        <f>VLOOKUP(B207,[2]Table!A$2:F$415,1,FALSE)=[3]!Table14[[#This Row],[Physical Name of Attribute (Name of column in Table)
Supplied by DA Team]]</f>
        <v>#REF!</v>
      </c>
      <c r="U207" s="18" t="b">
        <f>VLOOKUP(B207,Table!A$2:F$319,2,FALSE)=Table14[[#This Row],[Data type in Oracle
VARCHAR2(n), DATE, NUMBER(m,n), TIMETSTAMP(6)]]</f>
        <v>0</v>
      </c>
      <c r="V207" s="18" t="b">
        <f>VLOOKUP(B207,Table!A$2:F$231,3,FALSE)=Table14[[#This Row],[Nullable in Table and in Oracle View
NULL, NOT NULL]]</f>
        <v>1</v>
      </c>
      <c r="W207" s="18" t="b">
        <f>VLOOKUP(B207,Table!A$2:H$228,6,FALSE)=Table14[[#This Row],[Business Definition (To go into comments and into Meta Data Hub)]]</f>
        <v>1</v>
      </c>
      <c r="X207" s="55" t="str">
        <f>VLOOKUP((UPPER(SUBSTITUTE(A207," ","_"))),'[2]Consumer View'!A$2:I$329,1,FALSE)</f>
        <v>TRANSACTION_SUBTYPE_DESCRIPTION</v>
      </c>
      <c r="Y207" s="18" t="s">
        <v>68</v>
      </c>
      <c r="Z207" s="18" t="s">
        <v>113</v>
      </c>
      <c r="AA207" s="18" t="s">
        <v>488</v>
      </c>
      <c r="AB207" s="18"/>
      <c r="AC207" s="18"/>
      <c r="AD207" s="18" t="s">
        <v>1085</v>
      </c>
      <c r="AE207" s="46"/>
      <c r="AF207" s="18"/>
      <c r="AG207" s="18"/>
      <c r="AH207" s="18" t="s">
        <v>71</v>
      </c>
    </row>
    <row r="208" spans="1:34" ht="27" customHeight="1">
      <c r="A208" s="51" t="s">
        <v>1086</v>
      </c>
      <c r="B208" s="18" t="s">
        <v>1087</v>
      </c>
      <c r="C208" s="18"/>
      <c r="D208" s="18" t="s">
        <v>101</v>
      </c>
      <c r="E208" s="18" t="s">
        <v>63</v>
      </c>
      <c r="F208" s="18" t="s">
        <v>133</v>
      </c>
      <c r="G208" s="45" t="s">
        <v>63</v>
      </c>
      <c r="H208" s="46" t="s">
        <v>1088</v>
      </c>
      <c r="I208" s="18"/>
      <c r="J208" s="18" t="s">
        <v>347</v>
      </c>
      <c r="K208" s="18">
        <v>3</v>
      </c>
      <c r="L208" s="18"/>
      <c r="M208" s="18"/>
      <c r="N208" s="18"/>
      <c r="O208" s="18" t="b">
        <f>VLOOKUP(A208,[1]Model!C$2:J$559,2,FALSE)=B208</f>
        <v>1</v>
      </c>
      <c r="P208" s="18" t="e">
        <f>VLOOKUP(A208,Model!C$2:G$228,5,FALSE)=D208</f>
        <v>#N/A</v>
      </c>
      <c r="Q208" s="18">
        <f>VLOOKUP(A208,[2]Model!C$2:L$228,8,FALSE)</f>
        <v>61</v>
      </c>
      <c r="R208" s="18" t="e">
        <f>VLOOKUP(A208,[2]Model!C$2:G$228,3,FALSE)=[3]!Table14[[#This Row],[Business Definition (To go into comments and into Meta Data Hub)]]</f>
        <v>#REF!</v>
      </c>
      <c r="S208" s="18" t="e">
        <f>IF([3]!Table14[[#This Row],[Nullable in Table and in Oracle View
NULL, NOT NULL]]="No","NOT NULL","NULL")=VLOOKUP(A208,[2]Model!C$2:I$228,6,FALSE)</f>
        <v>#REF!</v>
      </c>
      <c r="T208" s="18" t="e">
        <f>VLOOKUP(B208,[2]Table!A$2:F$415,1,FALSE)=[3]!Table14[[#This Row],[Physical Name of Attribute (Name of column in Table)
Supplied by DA Team]]</f>
        <v>#REF!</v>
      </c>
      <c r="U208" s="18" t="b">
        <f>VLOOKUP(B208,Table!A$2:F$319,2,FALSE)=Table14[[#This Row],[Data type in Oracle
VARCHAR2(n), DATE, NUMBER(m,n), TIMETSTAMP(6)]]</f>
        <v>1</v>
      </c>
      <c r="V208" s="18" t="b">
        <f>VLOOKUP(B208,Table!A$2:F$231,3,FALSE)=Table14[[#This Row],[Nullable in Table and in Oracle View
NULL, NOT NULL]]</f>
        <v>1</v>
      </c>
      <c r="W208" s="18" t="b">
        <f>VLOOKUP(B208,Table!A$2:H$228,6,FALSE)=Table14[[#This Row],[Business Definition (To go into comments and into Meta Data Hub)]]</f>
        <v>1</v>
      </c>
      <c r="X208" s="18" t="str">
        <f>VLOOKUP((UPPER(SUBSTITUTE(A208," ","_"))),'[2]Consumer View'!A$2:I$329,1,FALSE)</f>
        <v>TRANSACTION_SUBTYPE_ID</v>
      </c>
      <c r="Y208" s="18" t="s">
        <v>68</v>
      </c>
      <c r="Z208" s="18" t="s">
        <v>69</v>
      </c>
      <c r="AA208" s="18" t="s">
        <v>1087</v>
      </c>
      <c r="AB208" s="18"/>
      <c r="AC208" s="18"/>
      <c r="AD208" s="18"/>
      <c r="AE208" s="46"/>
      <c r="AF208" s="18"/>
      <c r="AG208" s="18"/>
      <c r="AH208" s="18" t="s">
        <v>71</v>
      </c>
    </row>
    <row r="209" spans="1:34" ht="27" customHeight="1">
      <c r="A209" s="51" t="s">
        <v>1089</v>
      </c>
      <c r="B209" s="18" t="s">
        <v>1090</v>
      </c>
      <c r="C209" s="18" t="s">
        <v>1091</v>
      </c>
      <c r="D209" s="18" t="s">
        <v>109</v>
      </c>
      <c r="E209" s="18" t="s">
        <v>63</v>
      </c>
      <c r="F209" s="18" t="s">
        <v>110</v>
      </c>
      <c r="G209" s="45" t="s">
        <v>63</v>
      </c>
      <c r="H209" s="46" t="s">
        <v>1092</v>
      </c>
      <c r="I209" s="18"/>
      <c r="J209" s="18" t="s">
        <v>347</v>
      </c>
      <c r="K209" s="18">
        <v>3</v>
      </c>
      <c r="L209" s="18"/>
      <c r="M209" s="18"/>
      <c r="N209" s="18"/>
      <c r="O209" s="18" t="b">
        <f>VLOOKUP(A209,[1]Model!C$2:J$559,2,FALSE)=B209</f>
        <v>1</v>
      </c>
      <c r="P209" s="18" t="e">
        <f>VLOOKUP(A209,Model!C$2:G$228,5,FALSE)=D209</f>
        <v>#N/A</v>
      </c>
      <c r="Q209" s="18">
        <f>VLOOKUP(A209,[2]Model!C$2:L$228,8,FALSE)</f>
        <v>63</v>
      </c>
      <c r="R209" s="18" t="e">
        <f>VLOOKUP(A209,[2]Model!C$2:G$228,3,FALSE)=[3]!Table14[[#This Row],[Business Definition (To go into comments and into Meta Data Hub)]]</f>
        <v>#VALUE!</v>
      </c>
      <c r="S209" s="18" t="e">
        <f>IF([3]!Table14[[#This Row],[Nullable in Table and in Oracle View
NULL, NOT NULL]]="No","NOT NULL","NULL")=VLOOKUP(A209,[2]Model!C$2:I$228,6,FALSE)</f>
        <v>#REF!</v>
      </c>
      <c r="T209" s="18" t="e">
        <f>VLOOKUP(B209,[2]Table!A$2:F$415,1,FALSE)=[3]!Table14[[#This Row],[Physical Name of Attribute (Name of column in Table)
Supplied by DA Team]]</f>
        <v>#REF!</v>
      </c>
      <c r="U209" s="18" t="b">
        <f>VLOOKUP(B209,Table!A$2:F$319,2,FALSE)=Table14[[#This Row],[Data type in Oracle
VARCHAR2(n), DATE, NUMBER(m,n), TIMETSTAMP(6)]]</f>
        <v>0</v>
      </c>
      <c r="V209" s="18" t="b">
        <f>VLOOKUP(B209,Table!A$2:F$231,3,FALSE)=Table14[[#This Row],[Nullable in Table and in Oracle View
NULL, NOT NULL]]</f>
        <v>1</v>
      </c>
      <c r="W209" s="18" t="b">
        <f>VLOOKUP(B209,Table!A$2:H$228,6,FALSE)=Table14[[#This Row],[Business Definition (To go into comments and into Meta Data Hub)]]</f>
        <v>1</v>
      </c>
      <c r="X209" s="55" t="str">
        <f>VLOOKUP((UPPER(SUBSTITUTE(A209," ","_"))),'[2]Consumer View'!A$2:I$329,1,FALSE)</f>
        <v>TRANSACTION_SUBTYPE_NAME</v>
      </c>
      <c r="Y209" s="18" t="s">
        <v>68</v>
      </c>
      <c r="Z209" s="18" t="s">
        <v>113</v>
      </c>
      <c r="AA209" s="18" t="s">
        <v>114</v>
      </c>
      <c r="AB209" s="18"/>
      <c r="AC209" s="18"/>
      <c r="AD209" s="18" t="s">
        <v>1085</v>
      </c>
      <c r="AE209" s="46"/>
      <c r="AF209" s="18"/>
      <c r="AG209" s="18"/>
      <c r="AH209" s="18" t="s">
        <v>71</v>
      </c>
    </row>
    <row r="210" spans="1:34" ht="27" customHeight="1">
      <c r="A210" s="51" t="s">
        <v>1093</v>
      </c>
      <c r="B210" s="18" t="s">
        <v>1094</v>
      </c>
      <c r="C210" s="18" t="s">
        <v>1095</v>
      </c>
      <c r="D210" s="18" t="s">
        <v>139</v>
      </c>
      <c r="E210" s="18" t="s">
        <v>63</v>
      </c>
      <c r="F210" s="18" t="s">
        <v>140</v>
      </c>
      <c r="G210" s="45" t="s">
        <v>63</v>
      </c>
      <c r="H210" s="46" t="s">
        <v>1096</v>
      </c>
      <c r="I210" s="18"/>
      <c r="J210" s="18" t="s">
        <v>347</v>
      </c>
      <c r="K210" s="18">
        <v>3</v>
      </c>
      <c r="L210" s="18"/>
      <c r="M210" s="18"/>
      <c r="N210" s="18"/>
      <c r="O210" s="18" t="b">
        <f>VLOOKUP(A210,[1]Model!C$2:J$559,2,FALSE)=B210</f>
        <v>1</v>
      </c>
      <c r="P210" s="18" t="e">
        <f>VLOOKUP(A210,Model!C$2:G$228,5,FALSE)=D210</f>
        <v>#N/A</v>
      </c>
      <c r="Q210" s="18">
        <f>VLOOKUP(A210,[2]Model!C$2:L$228,8,FALSE)</f>
        <v>58</v>
      </c>
      <c r="R210" s="18" t="e">
        <f>VLOOKUP(A210,[2]Model!C$2:G$228,3,FALSE)=[3]!Table14[[#This Row],[Business Definition (To go into comments and into Meta Data Hub)]]</f>
        <v>#VALUE!</v>
      </c>
      <c r="S210" s="18" t="e">
        <f>IF([3]!Table14[[#This Row],[Nullable in Table and in Oracle View
NULL, NOT NULL]]="No","NOT NULL","NULL")=VLOOKUP(A210,[2]Model!C$2:I$228,6,FALSE)</f>
        <v>#REF!</v>
      </c>
      <c r="T210" s="18" t="e">
        <f>VLOOKUP(B210,[2]Table!A$2:F$415,1,FALSE)=[3]!Table14[[#This Row],[Physical Name of Attribute (Name of column in Table)
Supplied by DA Team]]</f>
        <v>#REF!</v>
      </c>
      <c r="U210" s="18" t="b">
        <f>VLOOKUP(B210,Table!A$2:F$319,2,FALSE)=Table14[[#This Row],[Data type in Oracle
VARCHAR2(n), DATE, NUMBER(m,n), TIMETSTAMP(6)]]</f>
        <v>0</v>
      </c>
      <c r="V210" s="18" t="b">
        <f>VLOOKUP(B210,Table!A$2:F$231,3,FALSE)=Table14[[#This Row],[Nullable in Table and in Oracle View
NULL, NOT NULL]]</f>
        <v>1</v>
      </c>
      <c r="W210" s="18" t="b">
        <f>VLOOKUP(B210,Table!A$2:H$228,6,FALSE)=Table14[[#This Row],[Business Definition (To go into comments and into Meta Data Hub)]]</f>
        <v>0</v>
      </c>
      <c r="X210" s="55" t="str">
        <f>VLOOKUP((UPPER(SUBSTITUTE(A210," ","_"))),'[2]Consumer View'!A$2:I$329,1,FALSE)</f>
        <v>TRANSACTION_TYPE_CODE</v>
      </c>
      <c r="Y210" s="18" t="s">
        <v>68</v>
      </c>
      <c r="Z210" s="18" t="s">
        <v>113</v>
      </c>
      <c r="AA210" s="18" t="s">
        <v>143</v>
      </c>
      <c r="AB210" s="18"/>
      <c r="AC210" s="18"/>
      <c r="AD210" s="18" t="s">
        <v>1097</v>
      </c>
      <c r="AE210" s="46"/>
      <c r="AF210" s="18"/>
      <c r="AG210" s="18"/>
      <c r="AH210" s="18" t="s">
        <v>71</v>
      </c>
    </row>
    <row r="211" spans="1:34" ht="27" customHeight="1">
      <c r="A211" s="51" t="s">
        <v>1098</v>
      </c>
      <c r="B211" s="18" t="s">
        <v>1099</v>
      </c>
      <c r="C211" s="18" t="s">
        <v>1100</v>
      </c>
      <c r="D211" s="18" t="s">
        <v>485</v>
      </c>
      <c r="E211" s="18" t="s">
        <v>63</v>
      </c>
      <c r="F211" s="18" t="s">
        <v>486</v>
      </c>
      <c r="G211" s="45" t="s">
        <v>63</v>
      </c>
      <c r="H211" s="46" t="s">
        <v>1101</v>
      </c>
      <c r="I211" s="18"/>
      <c r="J211" s="18" t="s">
        <v>347</v>
      </c>
      <c r="K211" s="18">
        <v>3</v>
      </c>
      <c r="L211" s="18"/>
      <c r="M211" s="18"/>
      <c r="N211" s="18"/>
      <c r="O211" s="18" t="b">
        <f>VLOOKUP(A211,[1]Model!C$2:J$559,2,FALSE)=B211</f>
        <v>1</v>
      </c>
      <c r="P211" s="18" t="e">
        <f>VLOOKUP(A211,Model!C$2:G$228,5,FALSE)=D211</f>
        <v>#N/A</v>
      </c>
      <c r="Q211" s="18">
        <f>VLOOKUP(A211,[2]Model!C$2:L$228,8,FALSE)</f>
        <v>60</v>
      </c>
      <c r="R211" s="18" t="e">
        <f>VLOOKUP(A211,[2]Model!C$2:G$228,3,FALSE)=[3]!Table14[[#This Row],[Business Definition (To go into comments and into Meta Data Hub)]]</f>
        <v>#REF!</v>
      </c>
      <c r="S211" s="18" t="e">
        <f>IF([3]!Table14[[#This Row],[Nullable in Table and in Oracle View
NULL, NOT NULL]]="No","NOT NULL","NULL")=VLOOKUP(A211,[2]Model!C$2:I$228,6,FALSE)</f>
        <v>#REF!</v>
      </c>
      <c r="T211" s="18" t="e">
        <f>VLOOKUP(B211,[2]Table!A$2:F$415,1,FALSE)=[3]!Table14[[#This Row],[Physical Name of Attribute (Name of column in Table)
Supplied by DA Team]]</f>
        <v>#REF!</v>
      </c>
      <c r="U211" s="18" t="b">
        <f>VLOOKUP(B211,Table!A$2:F$319,2,FALSE)=Table14[[#This Row],[Data type in Oracle
VARCHAR2(n), DATE, NUMBER(m,n), TIMETSTAMP(6)]]</f>
        <v>0</v>
      </c>
      <c r="V211" s="18" t="b">
        <f>VLOOKUP(B211,Table!A$2:F$231,3,FALSE)=Table14[[#This Row],[Nullable in Table and in Oracle View
NULL, NOT NULL]]</f>
        <v>1</v>
      </c>
      <c r="W211" s="18" t="b">
        <f>VLOOKUP(B211,Table!A$2:H$228,6,FALSE)=Table14[[#This Row],[Business Definition (To go into comments and into Meta Data Hub)]]</f>
        <v>1</v>
      </c>
      <c r="X211" s="55" t="str">
        <f>VLOOKUP((UPPER(SUBSTITUTE(A211," ","_"))),'[2]Consumer View'!A$2:I$329,1,FALSE)</f>
        <v>TRANSACTION_TYPE_DESCRIPTION</v>
      </c>
      <c r="Y211" s="18" t="s">
        <v>68</v>
      </c>
      <c r="Z211" s="18" t="s">
        <v>113</v>
      </c>
      <c r="AA211" s="18" t="s">
        <v>488</v>
      </c>
      <c r="AB211" s="18"/>
      <c r="AC211" s="18"/>
      <c r="AD211" s="18" t="s">
        <v>1102</v>
      </c>
      <c r="AE211" s="46"/>
      <c r="AF211" s="18"/>
      <c r="AG211" s="18"/>
      <c r="AH211" s="18" t="s">
        <v>71</v>
      </c>
    </row>
    <row r="212" spans="1:34" ht="27" customHeight="1">
      <c r="A212" s="51" t="s">
        <v>1103</v>
      </c>
      <c r="B212" s="18" t="s">
        <v>1104</v>
      </c>
      <c r="C212" s="18"/>
      <c r="D212" s="18" t="s">
        <v>101</v>
      </c>
      <c r="E212" s="18" t="s">
        <v>63</v>
      </c>
      <c r="F212" s="18" t="s">
        <v>133</v>
      </c>
      <c r="G212" s="45" t="s">
        <v>63</v>
      </c>
      <c r="H212" s="46" t="s">
        <v>1105</v>
      </c>
      <c r="I212" s="18"/>
      <c r="J212" s="18" t="s">
        <v>347</v>
      </c>
      <c r="K212" s="18">
        <v>3</v>
      </c>
      <c r="L212" s="18"/>
      <c r="M212" s="18"/>
      <c r="N212" s="18"/>
      <c r="O212" s="18" t="b">
        <f>VLOOKUP(A212,[1]Model!C$2:J$559,2,FALSE)=B212</f>
        <v>1</v>
      </c>
      <c r="P212" s="18" t="e">
        <f>VLOOKUP(A212,Model!C$2:G$228,5,FALSE)=D212</f>
        <v>#N/A</v>
      </c>
      <c r="Q212" s="18">
        <f>VLOOKUP(A212,[2]Model!C$2:L$228,8,FALSE)</f>
        <v>57</v>
      </c>
      <c r="R212" s="18" t="e">
        <f>VLOOKUP(A212,[2]Model!C$2:G$228,3,FALSE)=[3]!Table14[[#This Row],[Business Definition (To go into comments and into Meta Data Hub)]]</f>
        <v>#REF!</v>
      </c>
      <c r="S212" s="18" t="e">
        <f>IF([3]!Table14[[#This Row],[Nullable in Table and in Oracle View
NULL, NOT NULL]]="No","NOT NULL","NULL")=VLOOKUP(A212,[2]Model!C$2:I$228,6,FALSE)</f>
        <v>#REF!</v>
      </c>
      <c r="T212" s="18" t="e">
        <f>VLOOKUP(B212,[2]Table!A$2:F$415,1,FALSE)=[3]!Table14[[#This Row],[Physical Name of Attribute (Name of column in Table)
Supplied by DA Team]]</f>
        <v>#REF!</v>
      </c>
      <c r="U212" s="18" t="b">
        <f>VLOOKUP(B212,Table!A$2:F$319,2,FALSE)=Table14[[#This Row],[Data type in Oracle
VARCHAR2(n), DATE, NUMBER(m,n), TIMETSTAMP(6)]]</f>
        <v>1</v>
      </c>
      <c r="V212" s="18" t="b">
        <f>VLOOKUP(B212,Table!A$2:F$231,3,FALSE)=Table14[[#This Row],[Nullable in Table and in Oracle View
NULL, NOT NULL]]</f>
        <v>1</v>
      </c>
      <c r="W212" s="18" t="b">
        <f>VLOOKUP(B212,Table!A$2:H$228,6,FALSE)=Table14[[#This Row],[Business Definition (To go into comments and into Meta Data Hub)]]</f>
        <v>1</v>
      </c>
      <c r="X212" s="55" t="str">
        <f>VLOOKUP((UPPER(SUBSTITUTE(A212," ","_"))),'[2]Consumer View'!A$2:I$329,1,FALSE)</f>
        <v>TRANSACTION_TYPE_ID</v>
      </c>
      <c r="Y212" s="18" t="s">
        <v>68</v>
      </c>
      <c r="Z212" s="18" t="s">
        <v>69</v>
      </c>
      <c r="AA212" s="18" t="s">
        <v>1104</v>
      </c>
      <c r="AB212" s="18"/>
      <c r="AC212" s="18"/>
      <c r="AD212" s="18"/>
      <c r="AE212" s="46"/>
      <c r="AF212" s="18"/>
      <c r="AG212" s="18"/>
      <c r="AH212" s="18" t="s">
        <v>71</v>
      </c>
    </row>
    <row r="213" spans="1:34" ht="27" customHeight="1">
      <c r="A213" s="51" t="s">
        <v>1106</v>
      </c>
      <c r="B213" s="18" t="s">
        <v>1107</v>
      </c>
      <c r="C213" s="18" t="s">
        <v>1108</v>
      </c>
      <c r="D213" s="18" t="s">
        <v>109</v>
      </c>
      <c r="E213" s="18" t="s">
        <v>63</v>
      </c>
      <c r="F213" s="18" t="s">
        <v>110</v>
      </c>
      <c r="G213" s="45" t="s">
        <v>63</v>
      </c>
      <c r="H213" s="46" t="s">
        <v>1109</v>
      </c>
      <c r="I213" s="18"/>
      <c r="J213" s="18" t="s">
        <v>347</v>
      </c>
      <c r="K213" s="18">
        <v>3</v>
      </c>
      <c r="L213" s="18"/>
      <c r="M213" s="18"/>
      <c r="N213" s="18"/>
      <c r="O213" s="18" t="b">
        <f>VLOOKUP(A213,[1]Model!C$2:J$559,2,FALSE)=B213</f>
        <v>1</v>
      </c>
      <c r="P213" s="18" t="e">
        <f>VLOOKUP(A213,Model!C$2:G$228,5,FALSE)=D213</f>
        <v>#N/A</v>
      </c>
      <c r="Q213" s="18">
        <f>VLOOKUP(A213,[2]Model!C$2:L$228,8,FALSE)</f>
        <v>59</v>
      </c>
      <c r="R213" s="18" t="e">
        <f>VLOOKUP(A213,[2]Model!C$2:G$228,3,FALSE)=[3]!Table14[[#This Row],[Business Definition (To go into comments and into Meta Data Hub)]]</f>
        <v>#REF!</v>
      </c>
      <c r="S213" s="18" t="e">
        <f>IF([3]!Table14[[#This Row],[Nullable in Table and in Oracle View
NULL, NOT NULL]]="No","NOT NULL","NULL")=VLOOKUP(A213,[2]Model!C$2:I$228,6,FALSE)</f>
        <v>#REF!</v>
      </c>
      <c r="T213" s="18" t="e">
        <f>VLOOKUP(B213,[2]Table!A$2:F$415,1,FALSE)=[3]!Table14[[#This Row],[Physical Name of Attribute (Name of column in Table)
Supplied by DA Team]]</f>
        <v>#REF!</v>
      </c>
      <c r="U213" s="18" t="b">
        <f>VLOOKUP(B213,Table!A$2:F$319,2,FALSE)=Table14[[#This Row],[Data type in Oracle
VARCHAR2(n), DATE, NUMBER(m,n), TIMETSTAMP(6)]]</f>
        <v>0</v>
      </c>
      <c r="V213" s="18" t="b">
        <f>VLOOKUP(B213,Table!A$2:F$231,3,FALSE)=Table14[[#This Row],[Nullable in Table and in Oracle View
NULL, NOT NULL]]</f>
        <v>1</v>
      </c>
      <c r="W213" s="18" t="b">
        <f>VLOOKUP(B213,Table!A$2:H$228,6,FALSE)=Table14[[#This Row],[Business Definition (To go into comments and into Meta Data Hub)]]</f>
        <v>1</v>
      </c>
      <c r="X213" s="55" t="str">
        <f>VLOOKUP((UPPER(SUBSTITUTE(A213," ","_"))),'[2]Consumer View'!A$2:I$329,1,FALSE)</f>
        <v>TRANSACTION_TYPE_NAME</v>
      </c>
      <c r="Y213" s="18" t="s">
        <v>68</v>
      </c>
      <c r="Z213" s="18" t="s">
        <v>113</v>
      </c>
      <c r="AA213" s="18" t="s">
        <v>114</v>
      </c>
      <c r="AB213" s="18"/>
      <c r="AC213" s="18"/>
      <c r="AD213" s="18" t="s">
        <v>1097</v>
      </c>
      <c r="AE213" s="46"/>
      <c r="AF213" s="18"/>
      <c r="AG213" s="18"/>
      <c r="AH213" s="18" t="s">
        <v>71</v>
      </c>
    </row>
    <row r="214" spans="1:34" ht="27" customHeight="1">
      <c r="A214" s="51" t="s">
        <v>1110</v>
      </c>
      <c r="B214" s="18" t="s">
        <v>1111</v>
      </c>
      <c r="C214" s="18"/>
      <c r="D214" s="18" t="s">
        <v>101</v>
      </c>
      <c r="E214" s="18" t="s">
        <v>63</v>
      </c>
      <c r="F214" s="18" t="s">
        <v>133</v>
      </c>
      <c r="G214" s="45" t="s">
        <v>63</v>
      </c>
      <c r="H214" s="46" t="s">
        <v>1112</v>
      </c>
      <c r="I214" s="18"/>
      <c r="J214" s="18" t="s">
        <v>347</v>
      </c>
      <c r="K214" s="18">
        <v>3</v>
      </c>
      <c r="L214" s="18"/>
      <c r="M214" s="18"/>
      <c r="N214" s="18"/>
      <c r="O214" s="18" t="b">
        <f>VLOOKUP(A214,[1]Model!C$2:J$559,2,FALSE)=B214</f>
        <v>1</v>
      </c>
      <c r="P214" s="18" t="b">
        <f>VLOOKUP(A214,Model!C$2:G$228,5,FALSE)=D214</f>
        <v>1</v>
      </c>
      <c r="Q214" s="18">
        <f>VLOOKUP(A214,[2]Model!C$2:L$228,8,FALSE)</f>
        <v>170</v>
      </c>
      <c r="R214" s="18" t="e">
        <f>VLOOKUP(A214,[2]Model!C$2:G$228,3,FALSE)=[3]!Table14[[#This Row],[Business Definition (To go into comments and into Meta Data Hub)]]</f>
        <v>#REF!</v>
      </c>
      <c r="S214" s="18" t="e">
        <f>IF([3]!Table14[[#This Row],[Nullable in Table and in Oracle View
NULL, NOT NULL]]="No","NOT NULL","NULL")=VLOOKUP(A214,[2]Model!C$2:I$228,6,FALSE)</f>
        <v>#REF!</v>
      </c>
      <c r="T214" s="18" t="e">
        <f>VLOOKUP(B214,[2]Table!A$2:F$415,1,FALSE)=[3]!Table14[[#This Row],[Physical Name of Attribute (Name of column in Table)
Supplied by DA Team]]</f>
        <v>#REF!</v>
      </c>
      <c r="U214" s="18" t="b">
        <f>VLOOKUP(B214,Table!A$2:F$319,2,FALSE)=Table14[[#This Row],[Data type in Oracle
VARCHAR2(n), DATE, NUMBER(m,n), TIMETSTAMP(6)]]</f>
        <v>1</v>
      </c>
      <c r="V214" s="18" t="b">
        <f>VLOOKUP(B214,Table!A$2:F$231,3,FALSE)=Table14[[#This Row],[Nullable in Table and in Oracle View
NULL, NOT NULL]]</f>
        <v>1</v>
      </c>
      <c r="W214" s="18" t="b">
        <f>VLOOKUP(B214,Table!A$2:H$228,6,FALSE)=Table14[[#This Row],[Business Definition (To go into comments and into Meta Data Hub)]]</f>
        <v>1</v>
      </c>
      <c r="X214" s="55" t="str">
        <f>VLOOKUP((UPPER(SUBSTITUTE(A214," ","_"))),'[2]Consumer View'!A$2:I$329,1,FALSE)</f>
        <v>ORIGINAL_SOURCE_SYSTEM_ID</v>
      </c>
      <c r="Y214" s="18" t="s">
        <v>68</v>
      </c>
      <c r="Z214" s="18" t="s">
        <v>69</v>
      </c>
      <c r="AA214" s="18" t="s">
        <v>1111</v>
      </c>
      <c r="AB214" s="18"/>
      <c r="AC214" s="18"/>
      <c r="AD214" s="18"/>
      <c r="AE214" s="46"/>
      <c r="AF214" s="18"/>
      <c r="AG214" s="18"/>
      <c r="AH214" s="18" t="s">
        <v>919</v>
      </c>
    </row>
    <row r="215" spans="1:34" ht="27" customHeight="1">
      <c r="A215" s="51" t="s">
        <v>1113</v>
      </c>
      <c r="B215" s="18" t="s">
        <v>249</v>
      </c>
      <c r="C215" s="18" t="s">
        <v>1114</v>
      </c>
      <c r="D215" s="55" t="s">
        <v>427</v>
      </c>
      <c r="E215" s="18" t="s">
        <v>63</v>
      </c>
      <c r="F215" s="18" t="s">
        <v>428</v>
      </c>
      <c r="G215" s="45" t="s">
        <v>63</v>
      </c>
      <c r="H215" s="46" t="s">
        <v>1115</v>
      </c>
      <c r="I215" s="18"/>
      <c r="J215" s="18" t="s">
        <v>347</v>
      </c>
      <c r="K215" s="18">
        <v>3</v>
      </c>
      <c r="L215" s="18"/>
      <c r="M215" s="18"/>
      <c r="N215" s="18"/>
      <c r="O215" s="18" t="b">
        <f>VLOOKUP(A215,[1]Model!C$2:J$559,2,FALSE)=B215</f>
        <v>1</v>
      </c>
      <c r="P215" s="18" t="b">
        <f>VLOOKUP(A215,Model!C$2:G$228,5,FALSE)=D215</f>
        <v>1</v>
      </c>
      <c r="Q215" s="18">
        <f>VLOOKUP(A215,[2]Model!C$2:L$228,8,FALSE)</f>
        <v>169</v>
      </c>
      <c r="R215" s="18" t="e">
        <f>VLOOKUP(A215,[2]Model!C$2:G$228,3,FALSE)=[3]!Table14[[#This Row],[Business Definition (To go into comments and into Meta Data Hub)]]</f>
        <v>#REF!</v>
      </c>
      <c r="S215" s="18" t="e">
        <f>IF([3]!Table14[[#This Row],[Nullable in Table and in Oracle View
NULL, NOT NULL]]="No","NOT NULL","NULL")=VLOOKUP(A215,[2]Model!C$2:I$228,6,FALSE)</f>
        <v>#REF!</v>
      </c>
      <c r="T215" s="18" t="e">
        <f>VLOOKUP(B215,[2]Table!A$2:F$415,1,FALSE)=[3]!Table14[[#This Row],[Physical Name of Attribute (Name of column in Table)
Supplied by DA Team]]</f>
        <v>#REF!</v>
      </c>
      <c r="U215" s="18" t="b">
        <f>VLOOKUP(B215,Table!A$2:F$319,2,FALSE)=Table14[[#This Row],[Data type in Oracle
VARCHAR2(n), DATE, NUMBER(m,n), TIMETSTAMP(6)]]</f>
        <v>0</v>
      </c>
      <c r="V215" s="18" t="b">
        <f>VLOOKUP(B215,Table!A$2:F$231,3,FALSE)=Table14[[#This Row],[Nullable in Table and in Oracle View
NULL, NOT NULL]]</f>
        <v>1</v>
      </c>
      <c r="W215" s="18" t="b">
        <f>VLOOKUP(B215,Table!A$2:H$228,6,FALSE)=Table14[[#This Row],[Business Definition (To go into comments and into Meta Data Hub)]]</f>
        <v>1</v>
      </c>
      <c r="X215" s="55" t="str">
        <f>VLOOKUP((UPPER(SUBSTITUTE(A215," ","_"))),'[2]Consumer View'!A$2:I$329,1,FALSE)</f>
        <v>ORIGINAL_SOURCE_SYSTEM_CODE</v>
      </c>
      <c r="Y215" s="18" t="s">
        <v>68</v>
      </c>
      <c r="Z215" s="18" t="s">
        <v>69</v>
      </c>
      <c r="AA215" s="18" t="s">
        <v>215</v>
      </c>
      <c r="AB215" s="18"/>
      <c r="AC215" s="18"/>
      <c r="AD215" s="18"/>
      <c r="AE215" s="46" t="s">
        <v>1116</v>
      </c>
      <c r="AF215" s="18"/>
      <c r="AG215" s="18"/>
      <c r="AH215" s="18" t="s">
        <v>919</v>
      </c>
    </row>
    <row r="216" spans="1:34" ht="27" hidden="1" customHeight="1">
      <c r="A216" s="51" t="s">
        <v>1117</v>
      </c>
      <c r="B216" s="18" t="s">
        <v>1118</v>
      </c>
      <c r="C216" s="18"/>
      <c r="D216" s="18" t="s">
        <v>101</v>
      </c>
      <c r="E216" s="18" t="s">
        <v>345</v>
      </c>
      <c r="F216" s="18" t="s">
        <v>133</v>
      </c>
      <c r="G216" s="45" t="s">
        <v>63</v>
      </c>
      <c r="H216" s="46" t="s">
        <v>1119</v>
      </c>
      <c r="I216" s="18"/>
      <c r="J216" s="18" t="s">
        <v>347</v>
      </c>
      <c r="K216" s="18">
        <v>3</v>
      </c>
      <c r="L216" s="18"/>
      <c r="M216" s="18"/>
      <c r="N216" s="18"/>
      <c r="O216" s="18" t="b">
        <f>VLOOKUP(A216,[1]Model!C$2:J$559,2,FALSE)=B216</f>
        <v>1</v>
      </c>
      <c r="P216" s="18" t="b">
        <f>VLOOKUP(A216,Model!C$2:G$228,5,FALSE)=D216</f>
        <v>1</v>
      </c>
      <c r="Q216" s="18">
        <f>VLOOKUP(A216,[2]Model!C$2:L$228,8,FALSE)</f>
        <v>4</v>
      </c>
      <c r="R216" s="18" t="e">
        <f>VLOOKUP(A216,[2]Model!C$2:G$228,3,FALSE)=[3]!Table14[[#This Row],[Business Definition (To go into comments and into Meta Data Hub)]]</f>
        <v>#REF!</v>
      </c>
      <c r="S216" s="18" t="e">
        <f>IF([3]!Table14[[#This Row],[Nullable in Table and in Oracle View
NULL, NOT NULL]]="No","NOT NULL","NULL")=VLOOKUP(A216,[2]Model!C$2:I$228,6,FALSE)</f>
        <v>#REF!</v>
      </c>
      <c r="T216" s="18" t="e">
        <f>VLOOKUP(B216,[2]Table!A$2:F$415,1,FALSE)=[3]!Table14[[#This Row],[Physical Name of Attribute (Name of column in Table)
Supplied by DA Team]]</f>
        <v>#REF!</v>
      </c>
      <c r="U216" s="18" t="b">
        <f>VLOOKUP(B216,Table!A$2:F$319,2,FALSE)=Table14[[#This Row],[Data type in Oracle
VARCHAR2(n), DATE, NUMBER(m,n), TIMETSTAMP(6)]]</f>
        <v>1</v>
      </c>
      <c r="V216" s="18" t="b">
        <f>VLOOKUP(B216,Table!A$2:F$231,3,FALSE)=Table14[[#This Row],[Nullable in Table and in Oracle View
NULL, NOT NULL]]</f>
        <v>1</v>
      </c>
      <c r="W216" s="18" t="b">
        <f>VLOOKUP(B216,Table!A$2:H$228,6,FALSE)=Table14[[#This Row],[Business Definition (To go into comments and into Meta Data Hub)]]</f>
        <v>1</v>
      </c>
      <c r="X216" s="55" t="e">
        <f>VLOOKUP((UPPER(SUBSTITUTE(A216," ","_"))),'[2]Consumer View'!A$2:I$329,1,FALSE)</f>
        <v>#N/A</v>
      </c>
      <c r="Y216" s="18" t="s">
        <v>173</v>
      </c>
      <c r="Z216" s="18" t="s">
        <v>248</v>
      </c>
      <c r="AA216" s="18" t="s">
        <v>1120</v>
      </c>
      <c r="AB216" s="18"/>
      <c r="AC216" s="18"/>
      <c r="AD216" s="18" t="s">
        <v>1121</v>
      </c>
      <c r="AE216" s="46" t="s">
        <v>1122</v>
      </c>
      <c r="AF216" s="18"/>
      <c r="AG216" s="18"/>
      <c r="AH216" s="18" t="s">
        <v>351</v>
      </c>
    </row>
    <row r="217" spans="1:34" ht="27" hidden="1" customHeight="1">
      <c r="A217" s="51" t="s">
        <v>1123</v>
      </c>
      <c r="B217" s="18" t="s">
        <v>1124</v>
      </c>
      <c r="C217" s="18"/>
      <c r="D217" s="18" t="s">
        <v>101</v>
      </c>
      <c r="E217" s="18" t="s">
        <v>345</v>
      </c>
      <c r="F217" s="18" t="s">
        <v>133</v>
      </c>
      <c r="G217" s="45" t="s">
        <v>63</v>
      </c>
      <c r="H217" s="46" t="s">
        <v>1125</v>
      </c>
      <c r="I217" s="18"/>
      <c r="J217" s="18" t="s">
        <v>347</v>
      </c>
      <c r="K217" s="18">
        <v>3</v>
      </c>
      <c r="L217" s="18"/>
      <c r="M217" s="18"/>
      <c r="N217" s="18"/>
      <c r="O217" s="18" t="e">
        <f>VLOOKUP(A217,[1]Model!C$2:J$559,2,FALSE)=B217</f>
        <v>#N/A</v>
      </c>
      <c r="P217" s="18" t="e">
        <f>VLOOKUP(A217,Model!C$2:G$228,5,FALSE)=D217</f>
        <v>#N/A</v>
      </c>
      <c r="Q217" s="18" t="e">
        <f>VLOOKUP(A217,[2]Model!C$2:L$228,8,FALSE)</f>
        <v>#N/A</v>
      </c>
      <c r="R217" s="18" t="e">
        <f>VLOOKUP(A217,[2]Model!C$2:G$228,3,FALSE)=[3]!Table14[[#This Row],[Business Definition (To go into comments and into Meta Data Hub)]]</f>
        <v>#N/A</v>
      </c>
      <c r="S217" s="18" t="e">
        <f>IF([3]!Table14[[#This Row],[Nullable in Table and in Oracle View
NULL, NOT NULL]]="No","NOT NULL","NULL")=VLOOKUP(A217,[2]Model!C$2:I$228,6,FALSE)</f>
        <v>#REF!</v>
      </c>
      <c r="T217" s="18" t="e">
        <f>VLOOKUP(B217,[2]Table!A$2:F$415,1,FALSE)=[3]!Table14[[#This Row],[Physical Name of Attribute (Name of column in Table)
Supplied by DA Team]]</f>
        <v>#REF!</v>
      </c>
      <c r="U217" s="18" t="b">
        <f>VLOOKUP(B217,Table!A$2:F$319,2,FALSE)=Table14[[#This Row],[Data type in Oracle
VARCHAR2(n), DATE, NUMBER(m,n), TIMETSTAMP(6)]]</f>
        <v>1</v>
      </c>
      <c r="V217" s="18" t="b">
        <f>VLOOKUP(B217,Table!A$2:F$231,3,FALSE)=Table14[[#This Row],[Nullable in Table and in Oracle View
NULL, NOT NULL]]</f>
        <v>1</v>
      </c>
      <c r="W217" s="18" t="b">
        <f>VLOOKUP(B217,Table!A$2:H$228,6,FALSE)=Table14[[#This Row],[Business Definition (To go into comments and into Meta Data Hub)]]</f>
        <v>1</v>
      </c>
      <c r="X217" s="55" t="e">
        <f>VLOOKUP((UPPER(SUBSTITUTE(A217," ","_"))),'[2]Consumer View'!A$2:I$329,1,FALSE)</f>
        <v>#N/A</v>
      </c>
      <c r="Y217" s="18" t="s">
        <v>173</v>
      </c>
      <c r="Z217" s="18" t="s">
        <v>248</v>
      </c>
      <c r="AA217" s="18" t="s">
        <v>1120</v>
      </c>
      <c r="AB217" s="18"/>
      <c r="AC217" s="18"/>
      <c r="AD217" s="18" t="s">
        <v>1126</v>
      </c>
      <c r="AE217" s="46" t="s">
        <v>313</v>
      </c>
      <c r="AF217" s="18"/>
      <c r="AG217" s="18"/>
      <c r="AH217" s="18" t="s">
        <v>351</v>
      </c>
    </row>
    <row r="218" spans="1:34" ht="27" hidden="1" customHeight="1">
      <c r="A218" s="51" t="s">
        <v>1127</v>
      </c>
      <c r="B218" s="18" t="s">
        <v>1120</v>
      </c>
      <c r="C218" s="18"/>
      <c r="D218" s="18" t="s">
        <v>101</v>
      </c>
      <c r="E218" s="18" t="s">
        <v>345</v>
      </c>
      <c r="F218" s="18" t="s">
        <v>133</v>
      </c>
      <c r="G218" s="45" t="s">
        <v>63</v>
      </c>
      <c r="H218" s="46" t="s">
        <v>1128</v>
      </c>
      <c r="I218" s="18"/>
      <c r="J218" s="18" t="s">
        <v>347</v>
      </c>
      <c r="K218" s="18">
        <v>3</v>
      </c>
      <c r="L218" s="18"/>
      <c r="M218" s="18"/>
      <c r="N218" s="18"/>
      <c r="O218" s="18" t="b">
        <f>VLOOKUP(A218,[1]Model!C$2:J$559,2,FALSE)=B218</f>
        <v>1</v>
      </c>
      <c r="P218" s="18" t="b">
        <f>VLOOKUP(A218,Model!C$2:G$228,5,FALSE)=D218</f>
        <v>1</v>
      </c>
      <c r="Q218" s="18">
        <f>VLOOKUP(A218,[2]Model!C$2:L$228,8,FALSE)</f>
        <v>3</v>
      </c>
      <c r="R218" s="18" t="e">
        <f>VLOOKUP(A218,[2]Model!C$2:G$228,3,FALSE)=[3]!Table14[[#This Row],[Business Definition (To go into comments and into Meta Data Hub)]]</f>
        <v>#REF!</v>
      </c>
      <c r="S218" s="18" t="e">
        <f>IF([3]!Table14[[#This Row],[Nullable in Table and in Oracle View
NULL, NOT NULL]]="No","NOT NULL","NULL")=VLOOKUP(A218,[2]Model!C$2:I$228,6,FALSE)</f>
        <v>#REF!</v>
      </c>
      <c r="T218" s="18" t="e">
        <f>VLOOKUP(B218,[2]Table!A$2:F$415,1,FALSE)=[3]!Table14[[#This Row],[Physical Name of Attribute (Name of column in Table)
Supplied by DA Team]]</f>
        <v>#REF!</v>
      </c>
      <c r="U218" s="18" t="b">
        <f>VLOOKUP(B218,Table!A$2:F$319,2,FALSE)=Table14[[#This Row],[Data type in Oracle
VARCHAR2(n), DATE, NUMBER(m,n), TIMETSTAMP(6)]]</f>
        <v>1</v>
      </c>
      <c r="V218" s="18" t="b">
        <f>VLOOKUP(B218,Table!A$2:F$231,3,FALSE)=Table14[[#This Row],[Nullable in Table and in Oracle View
NULL, NOT NULL]]</f>
        <v>1</v>
      </c>
      <c r="W218" s="18" t="b">
        <f>VLOOKUP(B218,Table!A$2:H$228,6,FALSE)=Table14[[#This Row],[Business Definition (To go into comments and into Meta Data Hub)]]</f>
        <v>1</v>
      </c>
      <c r="X218" s="55" t="e">
        <f>VLOOKUP((UPPER(SUBSTITUTE(A218," ","_"))),'[2]Consumer View'!A$2:I$329,1,FALSE)</f>
        <v>#N/A</v>
      </c>
      <c r="Y218" s="18" t="s">
        <v>173</v>
      </c>
      <c r="Z218" s="18" t="s">
        <v>248</v>
      </c>
      <c r="AA218" s="18" t="s">
        <v>1120</v>
      </c>
      <c r="AB218" s="18"/>
      <c r="AC218" s="18"/>
      <c r="AD218" s="18" t="s">
        <v>306</v>
      </c>
      <c r="AE218" s="46" t="s">
        <v>1129</v>
      </c>
      <c r="AF218" s="18"/>
      <c r="AG218" s="18"/>
      <c r="AH218" s="18" t="s">
        <v>351</v>
      </c>
    </row>
    <row r="219" spans="1:34" ht="27" customHeight="1">
      <c r="A219" s="51" t="s">
        <v>1130</v>
      </c>
      <c r="B219" s="18" t="s">
        <v>1131</v>
      </c>
      <c r="C219" s="18" t="s">
        <v>1132</v>
      </c>
      <c r="D219" s="18" t="s">
        <v>464</v>
      </c>
      <c r="E219" s="78" t="s">
        <v>345</v>
      </c>
      <c r="F219" s="18" t="s">
        <v>465</v>
      </c>
      <c r="G219" s="45" t="s">
        <v>63</v>
      </c>
      <c r="H219" s="46" t="s">
        <v>1133</v>
      </c>
      <c r="I219" s="18"/>
      <c r="J219" s="18" t="s">
        <v>67</v>
      </c>
      <c r="K219" s="18">
        <v>3</v>
      </c>
      <c r="L219" s="18"/>
      <c r="M219" s="18"/>
      <c r="N219" s="18"/>
      <c r="O219" s="18" t="b">
        <f>VLOOKUP(A219,[1]Model!C$2:J$559,2,FALSE)=B219</f>
        <v>1</v>
      </c>
      <c r="P219" s="18" t="b">
        <f>VLOOKUP(A219,Model!C$2:G$228,5,FALSE)=D219</f>
        <v>1</v>
      </c>
      <c r="Q219" s="18">
        <f>VLOOKUP(A219,[2]Model!C$2:L$228,8,FALSE)</f>
        <v>211</v>
      </c>
      <c r="R219" s="18" t="e">
        <f>VLOOKUP(A219,[2]Model!C$2:G$228,3,FALSE)=[3]!Table14[[#This Row],[Business Definition (To go into comments and into Meta Data Hub)]]</f>
        <v>#REF!</v>
      </c>
      <c r="S219" s="18" t="e">
        <f>IF([3]!Table14[[#This Row],[Nullable in Table and in Oracle View
NULL, NOT NULL]]="No","NOT NULL","NULL")=VLOOKUP(A219,[2]Model!C$2:I$228,6,FALSE)</f>
        <v>#REF!</v>
      </c>
      <c r="T219" s="18" t="e">
        <f>VLOOKUP(B219,[2]Table!A$2:F$415,1,FALSE)=[3]!Table14[[#This Row],[Physical Name of Attribute (Name of column in Table)
Supplied by DA Team]]</f>
        <v>#REF!</v>
      </c>
      <c r="U219" s="18" t="b">
        <f>VLOOKUP(B219,Table!A$2:F$319,2,FALSE)=Table14[[#This Row],[Data type in Oracle
VARCHAR2(n), DATE, NUMBER(m,n), TIMETSTAMP(6)]]</f>
        <v>0</v>
      </c>
      <c r="V219" s="18" t="b">
        <f>VLOOKUP(B219,Table!A$2:F$231,3,FALSE)=Table14[[#This Row],[Nullable in Table and in Oracle View
NULL, NOT NULL]]</f>
        <v>1</v>
      </c>
      <c r="W219" s="18" t="b">
        <f>VLOOKUP(B219,Table!A$2:H$228,6,FALSE)=Table14[[#This Row],[Business Definition (To go into comments and into Meta Data Hub)]]</f>
        <v>1</v>
      </c>
      <c r="X219" s="18" t="str">
        <f>VLOOKUP((UPPER(SUBSTITUTE(A219," ","_"))),'[2]Consumer View'!A$2:I$329,1,FALSE)</f>
        <v>LAST_UPDATE_USER_NAME</v>
      </c>
      <c r="Y219" s="18"/>
      <c r="Z219" s="18"/>
      <c r="AA219" s="18"/>
      <c r="AB219" s="18"/>
      <c r="AC219" s="18"/>
      <c r="AD219" s="18" t="s">
        <v>1134</v>
      </c>
      <c r="AE219" s="46"/>
      <c r="AF219" s="18"/>
      <c r="AG219" s="18"/>
      <c r="AH219" s="78" t="s">
        <v>71</v>
      </c>
    </row>
    <row r="220" spans="1:34" ht="27" customHeight="1">
      <c r="A220" s="51" t="s">
        <v>1135</v>
      </c>
      <c r="B220" s="18" t="s">
        <v>1136</v>
      </c>
      <c r="C220" s="18" t="s">
        <v>1137</v>
      </c>
      <c r="D220" s="18" t="s">
        <v>157</v>
      </c>
      <c r="E220" s="78" t="s">
        <v>345</v>
      </c>
      <c r="F220" s="18" t="s">
        <v>158</v>
      </c>
      <c r="G220" s="45" t="s">
        <v>63</v>
      </c>
      <c r="H220" s="46" t="s">
        <v>1138</v>
      </c>
      <c r="I220" s="18"/>
      <c r="J220" s="18" t="s">
        <v>67</v>
      </c>
      <c r="K220" s="18">
        <v>3</v>
      </c>
      <c r="L220" s="18"/>
      <c r="M220" s="18"/>
      <c r="N220" s="18"/>
      <c r="O220" s="18" t="b">
        <f>VLOOKUP(A220,[1]Model!C$2:J$559,2,FALSE)=B220</f>
        <v>1</v>
      </c>
      <c r="P220" s="18" t="b">
        <f>VLOOKUP(A220,Model!C$2:G$228,5,FALSE)=D220</f>
        <v>1</v>
      </c>
      <c r="Q220" s="18">
        <f>VLOOKUP(A220,[2]Model!C$2:L$228,8,FALSE)</f>
        <v>212</v>
      </c>
      <c r="R220" s="18" t="e">
        <f>VLOOKUP(A220,[2]Model!C$2:G$228,3,FALSE)=[3]!Table14[[#This Row],[Business Definition (To go into comments and into Meta Data Hub)]]</f>
        <v>#REF!</v>
      </c>
      <c r="S220" s="18" t="e">
        <f>IF([3]!Table14[[#This Row],[Nullable in Table and in Oracle View
NULL, NOT NULL]]="No","NOT NULL","NULL")=VLOOKUP(A220,[2]Model!C$2:I$228,6,FALSE)</f>
        <v>#REF!</v>
      </c>
      <c r="T220" s="18" t="e">
        <f>VLOOKUP(B220,[2]Table!A$2:F$415,1,FALSE)=[3]!Table14[[#This Row],[Physical Name of Attribute (Name of column in Table)
Supplied by DA Team]]</f>
        <v>#REF!</v>
      </c>
      <c r="U220" s="18" t="b">
        <f>VLOOKUP(B220,Table!A$2:F$319,2,FALSE)=Table14[[#This Row],[Data type in Oracle
VARCHAR2(n), DATE, NUMBER(m,n), TIMETSTAMP(6)]]</f>
        <v>1</v>
      </c>
      <c r="V220" s="18" t="b">
        <f>VLOOKUP(B220,Table!A$2:F$231,3,FALSE)=Table14[[#This Row],[Nullable in Table and in Oracle View
NULL, NOT NULL]]</f>
        <v>1</v>
      </c>
      <c r="W220" s="18" t="b">
        <f>VLOOKUP(B220,Table!A$2:H$228,6,FALSE)=Table14[[#This Row],[Business Definition (To go into comments and into Meta Data Hub)]]</f>
        <v>1</v>
      </c>
      <c r="X220" s="18" t="str">
        <f>VLOOKUP((UPPER(SUBSTITUTE(A220," ","_"))),'[2]Consumer View'!A$2:I$329,1,FALSE)</f>
        <v>LAST_UPDATE_DATETIME</v>
      </c>
      <c r="Y220" s="18"/>
      <c r="Z220" s="18"/>
      <c r="AA220" s="18"/>
      <c r="AB220" s="18"/>
      <c r="AC220" s="18"/>
      <c r="AD220" s="18" t="s">
        <v>1139</v>
      </c>
      <c r="AE220" s="46"/>
      <c r="AF220" s="18"/>
      <c r="AG220" s="18"/>
      <c r="AH220" s="78" t="s">
        <v>71</v>
      </c>
    </row>
    <row r="221" spans="1:34" ht="27" customHeight="1">
      <c r="A221" s="92" t="s">
        <v>1153</v>
      </c>
      <c r="B221" s="64" t="s">
        <v>1154</v>
      </c>
      <c r="C221" s="64"/>
      <c r="D221" s="64" t="s">
        <v>101</v>
      </c>
      <c r="E221" s="65" t="s">
        <v>63</v>
      </c>
      <c r="F221" s="66" t="s">
        <v>133</v>
      </c>
      <c r="G221" s="66" t="s">
        <v>63</v>
      </c>
      <c r="H221" s="66" t="s">
        <v>1155</v>
      </c>
      <c r="I221" s="66"/>
      <c r="J221" s="66" t="s">
        <v>347</v>
      </c>
      <c r="K221" s="66">
        <v>3</v>
      </c>
      <c r="L221" s="66"/>
      <c r="M221" s="66"/>
      <c r="N221" s="66"/>
      <c r="O221" s="18" t="b">
        <f>VLOOKUP(A221,[1]Model!C$2:J$559,2,FALSE)=B221</f>
        <v>1</v>
      </c>
      <c r="P221" s="18" t="e">
        <f>VLOOKUP(A221,Model!C$2:G$228,5,FALSE)=D221</f>
        <v>#N/A</v>
      </c>
      <c r="Q221" s="18">
        <f>VLOOKUP(A221,[2]Model!C$2:L$228,8,FALSE)</f>
        <v>89</v>
      </c>
      <c r="R221" s="18" t="e">
        <f>VLOOKUP(A221,[2]Model!C$2:G$228,3,FALSE)=[3]!Table14[[#This Row],[Business Definition (To go into comments and into Meta Data Hub)]]</f>
        <v>#REF!</v>
      </c>
      <c r="S221" s="18" t="e">
        <f>IF([3]!Table14[[#This Row],[Nullable in Table and in Oracle View
NULL, NOT NULL]]="No","NOT NULL","NULL")=VLOOKUP(A221,[2]Model!C$2:I$228,6,FALSE)</f>
        <v>#REF!</v>
      </c>
      <c r="T221" s="18" t="e">
        <f>VLOOKUP(B221,[2]Table!A$2:F$415,1,FALSE)=[3]!Table14[[#This Row],[Physical Name of Attribute (Name of column in Table)
Supplied by DA Team]]</f>
        <v>#REF!</v>
      </c>
      <c r="U221" s="1" t="b">
        <f>VLOOKUP(B221,Table!A$2:F$319,2,FALSE)=Table14[[#This Row],[Data type in Oracle
VARCHAR2(n), DATE, NUMBER(m,n), TIMETSTAMP(6)]]</f>
        <v>1</v>
      </c>
      <c r="V221" s="1" t="b">
        <f>VLOOKUP(B221,Table!A$2:F$231,3,FALSE)=Table14[[#This Row],[Nullable in Table and in Oracle View
NULL, NOT NULL]]</f>
        <v>1</v>
      </c>
      <c r="W221" s="18" t="b">
        <f>VLOOKUP(B221,Table!A$2:H$228,6,FALSE)=Table14[[#This Row],[Business Definition (To go into comments and into Meta Data Hub)]]</f>
        <v>0</v>
      </c>
      <c r="X221" s="73" t="str">
        <f>VLOOKUP((UPPER(SUBSTITUTE(A221," ","_"))),'[2]Consumer View'!A$2:I$329,1,FALSE)</f>
        <v>SESSION_NUMBER</v>
      </c>
      <c r="Y221" s="66"/>
      <c r="Z221" s="1"/>
      <c r="AA221" s="1"/>
      <c r="AB221" s="1"/>
      <c r="AC221" s="1"/>
      <c r="AD221" s="1"/>
      <c r="AE221" s="12"/>
      <c r="AF221" s="1"/>
      <c r="AG221" s="18"/>
      <c r="AH221" s="78" t="s">
        <v>1144</v>
      </c>
    </row>
    <row r="222" spans="1:34" ht="27" customHeight="1">
      <c r="A222" s="51" t="s">
        <v>1156</v>
      </c>
      <c r="B222" s="51" t="s">
        <v>1157</v>
      </c>
      <c r="C222" s="51" t="s">
        <v>1158</v>
      </c>
      <c r="D222" s="18" t="s">
        <v>90</v>
      </c>
      <c r="E222" s="18" t="s">
        <v>63</v>
      </c>
      <c r="F222" s="18" t="s">
        <v>91</v>
      </c>
      <c r="G222" s="45" t="s">
        <v>63</v>
      </c>
      <c r="H222" s="46" t="s">
        <v>1159</v>
      </c>
      <c r="I222" s="18" t="s">
        <v>1160</v>
      </c>
      <c r="J222" s="18" t="s">
        <v>67</v>
      </c>
      <c r="K222" s="18">
        <v>1</v>
      </c>
      <c r="L222" s="18"/>
      <c r="M222" s="18"/>
      <c r="N222" s="18"/>
      <c r="O222" s="18" t="b">
        <f>VLOOKUP(A222,[1]Model!C$2:J$559,2,FALSE)=B222</f>
        <v>1</v>
      </c>
      <c r="P222" s="18" t="e">
        <f>VLOOKUP(A222,Model!C$2:G$228,5,FALSE)=D222</f>
        <v>#N/A</v>
      </c>
      <c r="Q222" s="18">
        <f>VLOOKUP(A222,[2]Model!C$2:L$228,8,FALSE)</f>
        <v>213</v>
      </c>
      <c r="R222" s="18" t="e">
        <f>VLOOKUP(A222,[2]Model!C$2:G$228,3,FALSE)=[3]!Table14[[#This Row],[Business Definition (To go into comments and into Meta Data Hub)]]</f>
        <v>#REF!</v>
      </c>
      <c r="S222" s="18" t="e">
        <f>IF([3]!Table14[[#This Row],[Nullable in Table and in Oracle View
NULL, NOT NULL]]="No","NOT NULL","NULL")=VLOOKUP(A222,[2]Model!C$2:I$228,6,FALSE)</f>
        <v>#REF!</v>
      </c>
      <c r="T222" s="18" t="e">
        <f>VLOOKUP(B222,[2]Table!A$2:F$415,1,FALSE)=[3]!Table14[[#This Row],[Physical Name of Attribute (Name of column in Table)
Supplied by DA Team]]</f>
        <v>#N/A</v>
      </c>
      <c r="U222" s="18" t="e">
        <f>VLOOKUP(B222,Table!A$2:F$319,2,FALSE)=Table14[[#This Row],[Data type in Oracle
VARCHAR2(n), DATE, NUMBER(m,n), TIMETSTAMP(6)]]</f>
        <v>#N/A</v>
      </c>
      <c r="V222" s="18" t="e">
        <f>VLOOKUP(B222,Table!A$2:F$231,3,FALSE)=Table14[[#This Row],[Nullable in Table and in Oracle View
NULL, NOT NULL]]</f>
        <v>#N/A</v>
      </c>
      <c r="W222" s="18" t="e">
        <f>VLOOKUP(B222,Table!A$2:H$228,6,FALSE)=Table14[[#This Row],[Business Definition (To go into comments and into Meta Data Hub)]]</f>
        <v>#N/A</v>
      </c>
      <c r="X222" s="18" t="e">
        <f>VLOOKUP((UPPER(SUBSTITUTE(A222," ","_"))),'[2]Consumer View'!A$2:I$329,1,FALSE)</f>
        <v>#N/A</v>
      </c>
      <c r="Y222" s="18" t="s">
        <v>68</v>
      </c>
      <c r="Z222" s="18" t="s">
        <v>375</v>
      </c>
      <c r="AA222" s="18" t="s">
        <v>1161</v>
      </c>
      <c r="AB222" s="18"/>
      <c r="AC222" s="18"/>
      <c r="AD222" s="46" t="s">
        <v>913</v>
      </c>
      <c r="AE222" s="46" t="s">
        <v>1162</v>
      </c>
      <c r="AF222" s="18" t="s">
        <v>67</v>
      </c>
      <c r="AG222" s="18"/>
      <c r="AH222" s="18" t="s">
        <v>71</v>
      </c>
    </row>
    <row r="223" spans="1:34" ht="27" customHeight="1">
      <c r="A223" s="51" t="s">
        <v>1163</v>
      </c>
      <c r="B223" s="95" t="s">
        <v>1164</v>
      </c>
      <c r="C223" s="95" t="s">
        <v>1165</v>
      </c>
      <c r="D223" s="18" t="s">
        <v>139</v>
      </c>
      <c r="E223" s="18" t="s">
        <v>63</v>
      </c>
      <c r="F223" s="18" t="s">
        <v>140</v>
      </c>
      <c r="G223" s="45" t="s">
        <v>63</v>
      </c>
      <c r="H223" s="46" t="s">
        <v>1166</v>
      </c>
      <c r="I223" s="18"/>
      <c r="J223" s="18" t="s">
        <v>67</v>
      </c>
      <c r="K223" s="18"/>
      <c r="L223" s="18"/>
      <c r="M223" s="18"/>
      <c r="N223" s="18"/>
      <c r="O223" s="18" t="b">
        <f>VLOOKUP(A223,[1]Model!C$2:J$559,2,FALSE)=B223</f>
        <v>1</v>
      </c>
      <c r="P223" s="18" t="b">
        <f>VLOOKUP(A223,Model!C$2:G$228,5,FALSE)=D223</f>
        <v>1</v>
      </c>
      <c r="Q223" s="18">
        <f>VLOOKUP(A223,[2]Model!C$2:L$228,8,FALSE)</f>
        <v>178</v>
      </c>
      <c r="R223" s="18" t="e">
        <f>VLOOKUP(A223,[2]Model!C$2:G$228,3,FALSE)=[3]!Table14[[#This Row],[Business Definition (To go into comments and into Meta Data Hub)]]</f>
        <v>#REF!</v>
      </c>
      <c r="S223" s="18" t="e">
        <f>IF([3]!Table14[[#This Row],[Nullable in Table and in Oracle View
NULL, NOT NULL]]="No","NOT NULL","NULL")=VLOOKUP(A223,[2]Model!C$2:I$228,6,FALSE)</f>
        <v>#REF!</v>
      </c>
      <c r="T223" s="18" t="e">
        <f>VLOOKUP(B223,[2]Table!A$2:F$415,1,FALSE)=[3]!Table14[[#This Row],[Physical Name of Attribute (Name of column in Table)
Supplied by DA Team]]</f>
        <v>#N/A</v>
      </c>
      <c r="U223" s="58"/>
      <c r="V223" s="58"/>
      <c r="W223" s="58"/>
      <c r="X223" s="18" t="e">
        <f>VLOOKUP((UPPER(SUBSTITUTE(A223," ","_"))),'[2]Consumer View'!A$2:I$329,1,FALSE)</f>
        <v>#N/A</v>
      </c>
      <c r="Y223" s="87" t="s">
        <v>68</v>
      </c>
      <c r="Z223" s="46" t="s">
        <v>113</v>
      </c>
      <c r="AA223" s="46" t="s">
        <v>143</v>
      </c>
      <c r="AB223" s="18"/>
      <c r="AC223" s="18"/>
      <c r="AD223" s="18"/>
      <c r="AE223" s="46" t="s">
        <v>1167</v>
      </c>
      <c r="AF223" s="18"/>
      <c r="AG223" s="18"/>
      <c r="AH223" s="18" t="s">
        <v>71</v>
      </c>
    </row>
    <row r="224" spans="1:34" ht="27" customHeight="1">
      <c r="A224" s="51" t="s">
        <v>1168</v>
      </c>
      <c r="B224" s="95" t="s">
        <v>1169</v>
      </c>
      <c r="C224" s="95" t="s">
        <v>1170</v>
      </c>
      <c r="D224" s="18" t="s">
        <v>109</v>
      </c>
      <c r="E224" s="18" t="s">
        <v>63</v>
      </c>
      <c r="F224" s="18" t="s">
        <v>110</v>
      </c>
      <c r="G224" s="45" t="s">
        <v>63</v>
      </c>
      <c r="H224" s="46" t="s">
        <v>1171</v>
      </c>
      <c r="I224" s="18"/>
      <c r="J224" s="18" t="s">
        <v>67</v>
      </c>
      <c r="K224" s="18"/>
      <c r="L224" s="18"/>
      <c r="M224" s="18"/>
      <c r="N224" s="18"/>
      <c r="O224" s="18" t="b">
        <f>VLOOKUP(A224,[1]Model!C$2:J$559,2,FALSE)=B224</f>
        <v>1</v>
      </c>
      <c r="P224" s="18" t="b">
        <f>VLOOKUP(A224,Model!C$2:G$228,5,FALSE)=D224</f>
        <v>1</v>
      </c>
      <c r="Q224" s="18">
        <f>VLOOKUP(A224,[2]Model!C$2:L$228,8,FALSE)</f>
        <v>180</v>
      </c>
      <c r="R224" s="18" t="e">
        <f>VLOOKUP(A224,[2]Model!C$2:G$228,3,FALSE)=[3]!Table14[[#This Row],[Business Definition (To go into comments and into Meta Data Hub)]]</f>
        <v>#REF!</v>
      </c>
      <c r="S224" s="18" t="e">
        <f>IF([3]!Table14[[#This Row],[Nullable in Table and in Oracle View
NULL, NOT NULL]]="No","NOT NULL","NULL")=VLOOKUP(A224,[2]Model!C$2:I$228,6,FALSE)</f>
        <v>#REF!</v>
      </c>
      <c r="T224" s="18" t="e">
        <f>VLOOKUP(B224,[2]Table!A$2:F$415,1,FALSE)=[3]!Table14[[#This Row],[Physical Name of Attribute (Name of column in Table)
Supplied by DA Team]]</f>
        <v>#N/A</v>
      </c>
      <c r="U224" s="58"/>
      <c r="V224" s="58"/>
      <c r="W224" s="58"/>
      <c r="X224" s="18" t="e">
        <f>VLOOKUP((UPPER(SUBSTITUTE(A224," ","_"))),'[2]Consumer View'!A$2:I$329,1,FALSE)</f>
        <v>#N/A</v>
      </c>
      <c r="Y224" s="87" t="s">
        <v>68</v>
      </c>
      <c r="Z224" s="46" t="s">
        <v>113</v>
      </c>
      <c r="AA224" s="46" t="s">
        <v>114</v>
      </c>
      <c r="AB224" s="18"/>
      <c r="AC224" s="18"/>
      <c r="AD224" s="18"/>
      <c r="AE224" s="46" t="s">
        <v>1167</v>
      </c>
      <c r="AF224" s="18"/>
      <c r="AG224" s="18"/>
      <c r="AH224" s="18" t="s">
        <v>71</v>
      </c>
    </row>
    <row r="225" spans="1:34" ht="27" customHeight="1">
      <c r="A225" s="94" t="s">
        <v>1172</v>
      </c>
      <c r="B225" s="95" t="s">
        <v>1173</v>
      </c>
      <c r="C225" s="95"/>
      <c r="D225" s="87" t="s">
        <v>101</v>
      </c>
      <c r="E225" s="87" t="s">
        <v>63</v>
      </c>
      <c r="F225" s="87" t="s">
        <v>133</v>
      </c>
      <c r="G225" s="89" t="s">
        <v>63</v>
      </c>
      <c r="H225" s="46" t="s">
        <v>1174</v>
      </c>
      <c r="I225" s="87"/>
      <c r="J225" s="87" t="s">
        <v>67</v>
      </c>
      <c r="K225" s="87"/>
      <c r="L225" s="87"/>
      <c r="M225" s="87"/>
      <c r="N225" s="87"/>
      <c r="O225" s="18" t="b">
        <f>VLOOKUP(A225,[1]Model!C$2:J$559,2,FALSE)=B225</f>
        <v>1</v>
      </c>
      <c r="P225" s="18" t="b">
        <f>VLOOKUP(A225,Model!C$2:G$228,5,FALSE)=D225</f>
        <v>1</v>
      </c>
      <c r="Q225" s="87">
        <f>VLOOKUP(A225,[2]Model!C$2:L$228,8,FALSE)</f>
        <v>182</v>
      </c>
      <c r="R225" s="87" t="e">
        <f>VLOOKUP(A225,[2]Model!C$2:G$228,3,FALSE)=[3]!Table14[[#This Row],[Business Definition (To go into comments and into Meta Data Hub)]]</f>
        <v>#REF!</v>
      </c>
      <c r="S225" s="87" t="e">
        <f>IF([3]!Table14[[#This Row],[Nullable in Table and in Oracle View
NULL, NOT NULL]]="No","NOT NULL","NULL")=VLOOKUP(A225,[2]Model!C$2:I$228,6,FALSE)</f>
        <v>#REF!</v>
      </c>
      <c r="T225" s="18" t="e">
        <f>VLOOKUP(B225,[2]Table!A$2:F$415,1,FALSE)=[3]!Table14[[#This Row],[Physical Name of Attribute (Name of column in Table)
Supplied by DA Team]]</f>
        <v>#N/A</v>
      </c>
      <c r="U225" s="88"/>
      <c r="V225" s="88"/>
      <c r="W225" s="88"/>
      <c r="X225" s="18" t="e">
        <f>VLOOKUP((UPPER(SUBSTITUTE(A225," ","_"))),'[2]Consumer View'!A$2:I$329,1,FALSE)</f>
        <v>#N/A</v>
      </c>
      <c r="Y225" s="87" t="s">
        <v>68</v>
      </c>
      <c r="Z225" s="87" t="s">
        <v>69</v>
      </c>
      <c r="AA225" s="87" t="s">
        <v>1175</v>
      </c>
      <c r="AB225" s="87"/>
      <c r="AC225" s="87"/>
      <c r="AD225" s="87"/>
      <c r="AE225" s="83" t="s">
        <v>1176</v>
      </c>
      <c r="AF225" s="87"/>
      <c r="AG225" s="18"/>
      <c r="AH225" s="18" t="s">
        <v>71</v>
      </c>
    </row>
    <row r="226" spans="1:34" ht="27" customHeight="1">
      <c r="A226" s="51" t="s">
        <v>1177</v>
      </c>
      <c r="B226" s="76" t="str">
        <f>VLOOKUP(A226,Model!C$2:D$258,2,FALSE)</f>
        <v>ADL_TRD_INSR</v>
      </c>
      <c r="C226" s="76" t="s">
        <v>1178</v>
      </c>
      <c r="D226" s="18" t="s">
        <v>1179</v>
      </c>
      <c r="E226" s="18" t="s">
        <v>63</v>
      </c>
      <c r="F226" s="18" t="s">
        <v>1180</v>
      </c>
      <c r="G226" s="89" t="s">
        <v>63</v>
      </c>
      <c r="H226" s="46" t="s">
        <v>1181</v>
      </c>
      <c r="I226" s="18"/>
      <c r="J226" s="87" t="s">
        <v>67</v>
      </c>
      <c r="K226" s="18"/>
      <c r="L226" s="18" t="s">
        <v>1182</v>
      </c>
      <c r="M226" s="18" t="s">
        <v>1183</v>
      </c>
      <c r="N226" s="18"/>
      <c r="O226" s="18" t="b">
        <f>VLOOKUP(A226,[1]Model!C$2:J$559,2,FALSE)=B226</f>
        <v>1</v>
      </c>
      <c r="P226" s="18" t="b">
        <f>VLOOKUP(A226,Model!C$2:G$208,5,FALSE)=D226</f>
        <v>1</v>
      </c>
      <c r="Q226" s="18">
        <f>VLOOKUP(A226,[2]Model!C$2:L$228,8,FALSE)</f>
        <v>214</v>
      </c>
      <c r="R226" s="18" t="e">
        <f>VLOOKUP(A226,[2]Model!C$2:G$228,3,FALSE)=[3]!Table14[[#This Row],[Business Definition (To go into comments and into Meta Data Hub)]]</f>
        <v>#REF!</v>
      </c>
      <c r="S226" s="18" t="e">
        <f>IF([3]!Table14[[#This Row],[Nullable in Table and in Oracle View
NULL, NOT NULL]]="No","NOT NULL","NULL")=VLOOKUP(A226,[2]Model!C$2:I$228,6,FALSE)</f>
        <v>#REF!</v>
      </c>
      <c r="T226" s="18" t="e">
        <f>VLOOKUP(B226,[2]Table!A$2:F$415,1,FALSE)=[3]!Table14[[#This Row],[Physical Name of Attribute (Name of column in Table)
Supplied by DA Team]]</f>
        <v>#N/A</v>
      </c>
      <c r="U226" s="18" t="e">
        <f>VLOOKUP(B226,Table!A$2:F$319,2,FALSE)=Table14[[#This Row],[Data type in Oracle
VARCHAR2(n), DATE, NUMBER(m,n), TIMETSTAMP(6)]]</f>
        <v>#N/A</v>
      </c>
      <c r="V226" s="18" t="e">
        <f>VLOOKUP(B226,Table!A$2:F$231,3,FALSE)=Table14[[#This Row],[Nullable in Table and in Oracle View
NULL, NOT NULL]]</f>
        <v>#N/A</v>
      </c>
      <c r="W226" s="18" t="e">
        <f>VLOOKUP(B226,Table!A$2:H$228,6,FALSE)=Table14[[#This Row],[Business Definition (To go into comments and into Meta Data Hub)]]</f>
        <v>#N/A</v>
      </c>
      <c r="X226" s="18" t="e">
        <f>VLOOKUP((UPPER(SUBSTITUTE(A226," ","_"))),'[2]Consumer View'!A$2:I$329,1,FALSE)</f>
        <v>#N/A</v>
      </c>
      <c r="Y226" s="87" t="s">
        <v>68</v>
      </c>
      <c r="Z226" s="87" t="s">
        <v>69</v>
      </c>
      <c r="AA226" s="18" t="s">
        <v>1184</v>
      </c>
      <c r="AB226" s="18"/>
      <c r="AC226" s="18"/>
      <c r="AD226" s="18"/>
      <c r="AE226" s="46" t="s">
        <v>1185</v>
      </c>
      <c r="AF226" s="18"/>
      <c r="AG226" s="18"/>
      <c r="AH226" s="18" t="s">
        <v>71</v>
      </c>
    </row>
    <row r="227" spans="1:34" ht="27" customHeight="1">
      <c r="A227" s="94" t="s">
        <v>1186</v>
      </c>
      <c r="B227" s="76" t="str">
        <f>VLOOKUP(A227,Model!C$2:D$359,2,FALSE)</f>
        <v>TRD_FCTR_RATE</v>
      </c>
      <c r="C227" s="126" t="s">
        <v>1187</v>
      </c>
      <c r="D227" s="87" t="s">
        <v>1188</v>
      </c>
      <c r="E227" s="18" t="s">
        <v>63</v>
      </c>
      <c r="F227" s="87" t="s">
        <v>1189</v>
      </c>
      <c r="G227" s="89" t="s">
        <v>63</v>
      </c>
      <c r="H227" s="83" t="s">
        <v>1190</v>
      </c>
      <c r="I227" s="87"/>
      <c r="J227" s="87" t="s">
        <v>67</v>
      </c>
      <c r="K227" s="87"/>
      <c r="L227" s="18" t="s">
        <v>1182</v>
      </c>
      <c r="M227" s="18" t="s">
        <v>1183</v>
      </c>
      <c r="N227" s="87"/>
      <c r="O227" s="87" t="b">
        <f>VLOOKUP(A227,[1]Model!C$2:J$559,2,FALSE)=B227</f>
        <v>1</v>
      </c>
      <c r="P227" s="87" t="e">
        <f>VLOOKUP(A227,Model!C$2:G$208,5,FALSE)=D227</f>
        <v>#N/A</v>
      </c>
      <c r="Q227" s="87">
        <f>VLOOKUP(A227,[2]Model!C$2:L$228,8,FALSE)</f>
        <v>215</v>
      </c>
      <c r="R227" s="87" t="e">
        <f>VLOOKUP(A227,[2]Model!C$2:G$228,3,FALSE)=[3]!Table14[[#This Row],[Business Definition (To go into comments and into Meta Data Hub)]]</f>
        <v>#VALUE!</v>
      </c>
      <c r="S227" s="87" t="e">
        <f>IF([3]!Table14[[#This Row],[Nullable in Table and in Oracle View
NULL, NOT NULL]]="No","NOT NULL","NULL")=VLOOKUP(A227,[2]Model!C$2:I$228,6,FALSE)</f>
        <v>#REF!</v>
      </c>
      <c r="T227" s="87" t="e">
        <f>VLOOKUP(B227,[2]Table!A$2:F$415,1,FALSE)=[3]!Table14[[#This Row],[Physical Name of Attribute (Name of column in Table)
Supplied by DA Team]]</f>
        <v>#N/A</v>
      </c>
      <c r="U227" s="87" t="e">
        <f>VLOOKUP(B227,Table!A$2:F$319,2,FALSE)=Table14[[#This Row],[Data type in Oracle
VARCHAR2(n), DATE, NUMBER(m,n), TIMETSTAMP(6)]]</f>
        <v>#N/A</v>
      </c>
      <c r="V227" s="87" t="e">
        <f>VLOOKUP(B227,Table!A$2:F$231,3,FALSE)=Table14[[#This Row],[Nullable in Table and in Oracle View
NULL, NOT NULL]]</f>
        <v>#N/A</v>
      </c>
      <c r="W227" s="87" t="e">
        <f>VLOOKUP(B227,Table!A$2:H$228,6,FALSE)=Table14[[#This Row],[Business Definition (To go into comments and into Meta Data Hub)]]</f>
        <v>#N/A</v>
      </c>
      <c r="X227" s="87" t="e">
        <f>VLOOKUP((UPPER(SUBSTITUTE(A227," ","_"))),'[2]Consumer View'!A$2:I$329,1,FALSE)</f>
        <v>#N/A</v>
      </c>
      <c r="Y227" s="87" t="s">
        <v>68</v>
      </c>
      <c r="Z227" s="87" t="s">
        <v>375</v>
      </c>
      <c r="AA227" s="87" t="s">
        <v>1191</v>
      </c>
      <c r="AB227" s="87"/>
      <c r="AC227" s="87"/>
      <c r="AD227" s="87" t="s">
        <v>860</v>
      </c>
      <c r="AE227" s="46" t="s">
        <v>1185</v>
      </c>
      <c r="AF227" s="87"/>
      <c r="AG227" s="18"/>
      <c r="AH227" s="18" t="s">
        <v>71</v>
      </c>
    </row>
    <row r="228" spans="1:34" ht="27" customHeight="1">
      <c r="A228" s="94" t="s">
        <v>1192</v>
      </c>
      <c r="B228" s="76" t="str">
        <f>VLOOKUP(A228,Model!C$2:D$258,2,FALSE)</f>
        <v>MRKUP_RATE</v>
      </c>
      <c r="C228" s="76" t="s">
        <v>1193</v>
      </c>
      <c r="D228" s="18" t="s">
        <v>1194</v>
      </c>
      <c r="E228" s="18" t="s">
        <v>63</v>
      </c>
      <c r="F228" s="87" t="s">
        <v>1195</v>
      </c>
      <c r="G228" s="89" t="s">
        <v>63</v>
      </c>
      <c r="H228" s="83" t="s">
        <v>1196</v>
      </c>
      <c r="I228" s="87"/>
      <c r="J228" s="87" t="s">
        <v>67</v>
      </c>
      <c r="K228" s="87"/>
      <c r="L228" s="18" t="s">
        <v>1182</v>
      </c>
      <c r="M228" s="18" t="s">
        <v>1183</v>
      </c>
      <c r="N228" s="87"/>
      <c r="O228" s="87" t="b">
        <f>VLOOKUP(A228,[1]Model!C$2:J$559,2,FALSE)=B228</f>
        <v>1</v>
      </c>
      <c r="P228" s="87" t="b">
        <f>VLOOKUP(A228,Model!C$2:G$208,5,FALSE)=D228</f>
        <v>1</v>
      </c>
      <c r="Q228" s="87">
        <f>VLOOKUP(A228,[2]Model!C$2:L$228,8,FALSE)</f>
        <v>216</v>
      </c>
      <c r="R228" s="87" t="e">
        <f>VLOOKUP(A228,[2]Model!C$2:G$228,3,FALSE)=[3]!Table14[[#This Row],[Business Definition (To go into comments and into Meta Data Hub)]]</f>
        <v>#REF!</v>
      </c>
      <c r="S228" s="87" t="e">
        <f>IF([3]!Table14[[#This Row],[Nullable in Table and in Oracle View
NULL, NOT NULL]]="No","NOT NULL","NULL")=VLOOKUP(A228,[2]Model!C$2:I$228,6,FALSE)</f>
        <v>#REF!</v>
      </c>
      <c r="T228" s="87" t="e">
        <f>VLOOKUP(B228,[2]Table!A$2:F$415,1,FALSE)=[3]!Table14[[#This Row],[Physical Name of Attribute (Name of column in Table)
Supplied by DA Team]]</f>
        <v>#N/A</v>
      </c>
      <c r="U228" s="87" t="e">
        <f>VLOOKUP(B228,Table!A$2:F$319,2,FALSE)=Table14[[#This Row],[Data type in Oracle
VARCHAR2(n), DATE, NUMBER(m,n), TIMETSTAMP(6)]]</f>
        <v>#N/A</v>
      </c>
      <c r="V228" s="87" t="e">
        <f>VLOOKUP(B228,Table!A$2:F$231,3,FALSE)=Table14[[#This Row],[Nullable in Table and in Oracle View
NULL, NOT NULL]]</f>
        <v>#N/A</v>
      </c>
      <c r="W228" s="87" t="e">
        <f>VLOOKUP(B228,Table!A$2:H$228,6,FALSE)=Table14[[#This Row],[Business Definition (To go into comments and into Meta Data Hub)]]</f>
        <v>#N/A</v>
      </c>
      <c r="X228" s="87" t="e">
        <f>VLOOKUP((UPPER(SUBSTITUTE(A228," ","_"))),'[2]Consumer View'!A$2:I$329,1,FALSE)</f>
        <v>#N/A</v>
      </c>
      <c r="Y228" s="87" t="s">
        <v>68</v>
      </c>
      <c r="Z228" s="87" t="s">
        <v>375</v>
      </c>
      <c r="AA228" s="87" t="s">
        <v>1197</v>
      </c>
      <c r="AB228" s="87"/>
      <c r="AC228" s="87"/>
      <c r="AD228" s="87" t="s">
        <v>860</v>
      </c>
      <c r="AE228" s="46" t="s">
        <v>1185</v>
      </c>
      <c r="AF228" s="87"/>
      <c r="AG228" s="18"/>
      <c r="AH228" s="18" t="s">
        <v>71</v>
      </c>
    </row>
    <row r="229" spans="1:34" ht="27" customHeight="1">
      <c r="A229" s="94" t="s">
        <v>1198</v>
      </c>
      <c r="B229" s="76" t="str">
        <f>VLOOKUP(A229,Model!C$2:D$359,2,FALSE)</f>
        <v>STD_CMSN_AMT</v>
      </c>
      <c r="C229" s="76" t="s">
        <v>1199</v>
      </c>
      <c r="D229" s="46" t="s">
        <v>1194</v>
      </c>
      <c r="E229" s="18" t="s">
        <v>63</v>
      </c>
      <c r="F229" s="87" t="s">
        <v>1195</v>
      </c>
      <c r="G229" s="89" t="s">
        <v>63</v>
      </c>
      <c r="H229" s="83" t="s">
        <v>1200</v>
      </c>
      <c r="I229" s="87"/>
      <c r="J229" s="87" t="s">
        <v>67</v>
      </c>
      <c r="K229" s="87"/>
      <c r="L229" s="18" t="s">
        <v>1182</v>
      </c>
      <c r="M229" s="18" t="s">
        <v>1183</v>
      </c>
      <c r="N229" s="87"/>
      <c r="O229" s="87" t="b">
        <f>VLOOKUP(A229,[1]Model!C$2:J$559,2,FALSE)=B229</f>
        <v>1</v>
      </c>
      <c r="P229" s="87" t="e">
        <f>VLOOKUP(A229,Model!C$2:G$208,5,FALSE)=D229</f>
        <v>#N/A</v>
      </c>
      <c r="Q229" s="87">
        <f>VLOOKUP(A229,[2]Model!C$2:L$228,8,FALSE)</f>
        <v>217</v>
      </c>
      <c r="R229" s="87" t="e">
        <f>VLOOKUP(A229,[2]Model!C$2:G$228,3,FALSE)=[3]!Table14[[#This Row],[Business Definition (To go into comments and into Meta Data Hub)]]</f>
        <v>#REF!</v>
      </c>
      <c r="S229" s="87" t="e">
        <f>IF([3]!Table14[[#This Row],[Nullable in Table and in Oracle View
NULL, NOT NULL]]="No","NOT NULL","NULL")=VLOOKUP(A229,[2]Model!C$2:I$228,6,FALSE)</f>
        <v>#REF!</v>
      </c>
      <c r="T229" s="87" t="e">
        <f>VLOOKUP(B229,[2]Table!A$2:F$415,1,FALSE)=[3]!Table14[[#This Row],[Physical Name of Attribute (Name of column in Table)
Supplied by DA Team]]</f>
        <v>#N/A</v>
      </c>
      <c r="U229" s="87" t="e">
        <f>VLOOKUP(B229,Table!A$2:F$319,2,FALSE)=Table14[[#This Row],[Data type in Oracle
VARCHAR2(n), DATE, NUMBER(m,n), TIMETSTAMP(6)]]</f>
        <v>#N/A</v>
      </c>
      <c r="V229" s="87" t="e">
        <f>VLOOKUP(B229,Table!A$2:F$231,3,FALSE)=Table14[[#This Row],[Nullable in Table and in Oracle View
NULL, NOT NULL]]</f>
        <v>#N/A</v>
      </c>
      <c r="W229" s="87" t="e">
        <f>VLOOKUP(B229,Table!A$2:H$228,6,FALSE)=Table14[[#This Row],[Business Definition (To go into comments and into Meta Data Hub)]]</f>
        <v>#N/A</v>
      </c>
      <c r="X229" s="87" t="e">
        <f>VLOOKUP((UPPER(SUBSTITUTE(A229," ","_"))),'[2]Consumer View'!A$2:I$329,1,FALSE)</f>
        <v>#N/A</v>
      </c>
      <c r="Y229" s="87" t="s">
        <v>68</v>
      </c>
      <c r="Z229" s="87" t="s">
        <v>375</v>
      </c>
      <c r="AA229" s="87" t="s">
        <v>1201</v>
      </c>
      <c r="AB229" s="87"/>
      <c r="AC229" s="87"/>
      <c r="AD229" s="87" t="s">
        <v>468</v>
      </c>
      <c r="AE229" s="46" t="s">
        <v>1185</v>
      </c>
      <c r="AF229" s="87"/>
      <c r="AG229" s="18"/>
      <c r="AH229" s="18" t="s">
        <v>71</v>
      </c>
    </row>
    <row r="230" spans="1:34" ht="27" customHeight="1">
      <c r="A230" s="94" t="s">
        <v>1202</v>
      </c>
      <c r="B230" s="76" t="str">
        <f>VLOOKUP(A230,Model!C$2:D$258,2,FALSE)</f>
        <v>ACT_CMSN_AMT</v>
      </c>
      <c r="C230" s="126" t="s">
        <v>1203</v>
      </c>
      <c r="D230" s="87" t="s">
        <v>559</v>
      </c>
      <c r="E230" s="18" t="s">
        <v>63</v>
      </c>
      <c r="F230" s="87" t="s">
        <v>560</v>
      </c>
      <c r="G230" s="89" t="s">
        <v>63</v>
      </c>
      <c r="H230" s="83" t="s">
        <v>1204</v>
      </c>
      <c r="I230" s="87"/>
      <c r="J230" s="87" t="s">
        <v>67</v>
      </c>
      <c r="K230" s="87"/>
      <c r="L230" s="18" t="s">
        <v>1182</v>
      </c>
      <c r="M230" s="18" t="s">
        <v>1183</v>
      </c>
      <c r="N230" s="87"/>
      <c r="O230" s="87" t="b">
        <f>VLOOKUP(A230,[1]Model!C$2:J$559,2,FALSE)=B230</f>
        <v>1</v>
      </c>
      <c r="P230" s="87" t="b">
        <f>VLOOKUP(A230,Model!C$2:G$208,5,FALSE)=D230</f>
        <v>1</v>
      </c>
      <c r="Q230" s="87">
        <f>VLOOKUP(A230,[2]Model!C$2:L$228,8,FALSE)</f>
        <v>218</v>
      </c>
      <c r="R230" s="87" t="e">
        <f>VLOOKUP(A230,[2]Model!C$2:G$228,3,FALSE)=[3]!Table14[[#This Row],[Business Definition (To go into comments and into Meta Data Hub)]]</f>
        <v>#REF!</v>
      </c>
      <c r="S230" s="87" t="e">
        <f>IF([3]!Table14[[#This Row],[Nullable in Table and in Oracle View
NULL, NOT NULL]]="No","NOT NULL","NULL")=VLOOKUP(A230,[2]Model!C$2:I$228,6,FALSE)</f>
        <v>#REF!</v>
      </c>
      <c r="T230" s="87" t="e">
        <f>VLOOKUP(B230,[2]Table!A$2:F$415,1,FALSE)=[3]!Table14[[#This Row],[Physical Name of Attribute (Name of column in Table)
Supplied by DA Team]]</f>
        <v>#N/A</v>
      </c>
      <c r="U230" s="87" t="e">
        <f>VLOOKUP(B230,Table!A$2:F$319,2,FALSE)=Table14[[#This Row],[Data type in Oracle
VARCHAR2(n), DATE, NUMBER(m,n), TIMETSTAMP(6)]]</f>
        <v>#N/A</v>
      </c>
      <c r="V230" s="87" t="e">
        <f>VLOOKUP(B230,Table!A$2:F$231,3,FALSE)=Table14[[#This Row],[Nullable in Table and in Oracle View
NULL, NOT NULL]]</f>
        <v>#N/A</v>
      </c>
      <c r="W230" s="87" t="e">
        <f>VLOOKUP(B230,Table!A$2:H$228,6,FALSE)=Table14[[#This Row],[Business Definition (To go into comments and into Meta Data Hub)]]</f>
        <v>#N/A</v>
      </c>
      <c r="X230" s="87" t="e">
        <f>VLOOKUP((UPPER(SUBSTITUTE(A230," ","_"))),'[2]Consumer View'!A$2:I$329,1,FALSE)</f>
        <v>#N/A</v>
      </c>
      <c r="Y230" s="87" t="s">
        <v>68</v>
      </c>
      <c r="Z230" s="87" t="s">
        <v>388</v>
      </c>
      <c r="AA230" s="87" t="s">
        <v>562</v>
      </c>
      <c r="AB230" s="87"/>
      <c r="AC230" s="87"/>
      <c r="AD230" s="87" t="s">
        <v>1205</v>
      </c>
      <c r="AE230" s="46" t="s">
        <v>1185</v>
      </c>
      <c r="AF230" s="87"/>
      <c r="AG230" s="18"/>
      <c r="AH230" s="18" t="s">
        <v>71</v>
      </c>
    </row>
    <row r="231" spans="1:34" ht="27" customHeight="1">
      <c r="A231" s="94" t="s">
        <v>1206</v>
      </c>
      <c r="B231" s="76" t="str">
        <f>VLOOKUP(A231,Model!C$2:D$359,2,FALSE)</f>
        <v>TRD_PCS_FEE_AMT</v>
      </c>
      <c r="C231" s="126" t="s">
        <v>1207</v>
      </c>
      <c r="D231" s="87" t="s">
        <v>559</v>
      </c>
      <c r="E231" s="18" t="s">
        <v>63</v>
      </c>
      <c r="F231" s="87" t="s">
        <v>560</v>
      </c>
      <c r="G231" s="89" t="s">
        <v>63</v>
      </c>
      <c r="H231" s="83" t="s">
        <v>1208</v>
      </c>
      <c r="I231" s="87"/>
      <c r="J231" s="87" t="s">
        <v>67</v>
      </c>
      <c r="K231" s="87"/>
      <c r="L231" s="18" t="s">
        <v>1182</v>
      </c>
      <c r="M231" s="18" t="s">
        <v>1183</v>
      </c>
      <c r="N231" s="87"/>
      <c r="O231" s="87" t="b">
        <f>VLOOKUP(A231,[1]Model!C$2:J$559,2,FALSE)=B231</f>
        <v>1</v>
      </c>
      <c r="P231" s="87" t="e">
        <f>VLOOKUP(A231,Model!C$2:G$208,5,FALSE)=D231</f>
        <v>#N/A</v>
      </c>
      <c r="Q231" s="87">
        <f>VLOOKUP(A231,[2]Model!C$2:L$228,8,FALSE)</f>
        <v>219</v>
      </c>
      <c r="R231" s="87" t="e">
        <f>VLOOKUP(A231,[2]Model!C$2:G$228,3,FALSE)=[3]!Table14[[#This Row],[Business Definition (To go into comments and into Meta Data Hub)]]</f>
        <v>#REF!</v>
      </c>
      <c r="S231" s="87" t="e">
        <f>IF([3]!Table14[[#This Row],[Nullable in Table and in Oracle View
NULL, NOT NULL]]="No","NOT NULL","NULL")=VLOOKUP(A231,[2]Model!C$2:I$228,6,FALSE)</f>
        <v>#REF!</v>
      </c>
      <c r="T231" s="87" t="e">
        <f>VLOOKUP(B231,[2]Table!A$2:F$415,1,FALSE)=[3]!Table14[[#This Row],[Physical Name of Attribute (Name of column in Table)
Supplied by DA Team]]</f>
        <v>#N/A</v>
      </c>
      <c r="U231" s="87" t="e">
        <f>VLOOKUP(B231,Table!A$2:F$319,2,FALSE)=Table14[[#This Row],[Data type in Oracle
VARCHAR2(n), DATE, NUMBER(m,n), TIMETSTAMP(6)]]</f>
        <v>#N/A</v>
      </c>
      <c r="V231" s="87" t="e">
        <f>VLOOKUP(B231,Table!A$2:F$231,3,FALSE)=Table14[[#This Row],[Nullable in Table and in Oracle View
NULL, NOT NULL]]</f>
        <v>#N/A</v>
      </c>
      <c r="W231" s="87" t="e">
        <f>VLOOKUP(B231,Table!A$2:H$228,6,FALSE)=Table14[[#This Row],[Business Definition (To go into comments and into Meta Data Hub)]]</f>
        <v>#N/A</v>
      </c>
      <c r="X231" s="87" t="e">
        <f>VLOOKUP((UPPER(SUBSTITUTE(A231," ","_"))),'[2]Consumer View'!A$2:I$329,1,FALSE)</f>
        <v>#N/A</v>
      </c>
      <c r="Y231" s="87" t="s">
        <v>68</v>
      </c>
      <c r="Z231" s="87" t="s">
        <v>388</v>
      </c>
      <c r="AA231" s="87" t="s">
        <v>562</v>
      </c>
      <c r="AB231" s="87"/>
      <c r="AC231" s="87"/>
      <c r="AD231" s="87" t="s">
        <v>1209</v>
      </c>
      <c r="AE231" s="46" t="s">
        <v>1185</v>
      </c>
      <c r="AF231" s="87"/>
      <c r="AG231" s="18"/>
      <c r="AH231" s="18" t="s">
        <v>71</v>
      </c>
    </row>
    <row r="232" spans="1:34" ht="27" customHeight="1">
      <c r="A232" s="94" t="s">
        <v>1210</v>
      </c>
      <c r="B232" s="76" t="str">
        <f>VLOOKUP(A232,Model!C$2:D$258,2,FALSE)</f>
        <v>SEC_FEE_AMT</v>
      </c>
      <c r="C232" s="126" t="s">
        <v>1211</v>
      </c>
      <c r="D232" s="87" t="s">
        <v>559</v>
      </c>
      <c r="E232" s="18" t="s">
        <v>63</v>
      </c>
      <c r="F232" s="87" t="s">
        <v>560</v>
      </c>
      <c r="G232" s="89" t="s">
        <v>63</v>
      </c>
      <c r="H232" s="83" t="s">
        <v>1212</v>
      </c>
      <c r="I232" s="87"/>
      <c r="J232" s="87" t="s">
        <v>67</v>
      </c>
      <c r="K232" s="87"/>
      <c r="L232" s="18" t="s">
        <v>1182</v>
      </c>
      <c r="M232" s="18" t="s">
        <v>1183</v>
      </c>
      <c r="N232" s="87"/>
      <c r="O232" s="87" t="b">
        <f>VLOOKUP(A232,[1]Model!C$2:J$559,2,FALSE)=B232</f>
        <v>1</v>
      </c>
      <c r="P232" s="87" t="e">
        <f>VLOOKUP(A232,Model!C$2:G$208,5,FALSE)=D232</f>
        <v>#N/A</v>
      </c>
      <c r="Q232" s="87">
        <f>VLOOKUP(A232,[2]Model!C$2:L$228,8,FALSE)</f>
        <v>220</v>
      </c>
      <c r="R232" s="87" t="e">
        <f>VLOOKUP(A232,[2]Model!C$2:G$228,3,FALSE)=[3]!Table14[[#This Row],[Business Definition (To go into comments and into Meta Data Hub)]]</f>
        <v>#REF!</v>
      </c>
      <c r="S232" s="87" t="e">
        <f>IF([3]!Table14[[#This Row],[Nullable in Table and in Oracle View
NULL, NOT NULL]]="No","NOT NULL","NULL")=VLOOKUP(A232,[2]Model!C$2:I$228,6,FALSE)</f>
        <v>#REF!</v>
      </c>
      <c r="T232" s="87" t="e">
        <f>VLOOKUP(B232,[2]Table!A$2:F$415,1,FALSE)=[3]!Table14[[#This Row],[Physical Name of Attribute (Name of column in Table)
Supplied by DA Team]]</f>
        <v>#N/A</v>
      </c>
      <c r="U232" s="87" t="e">
        <f>VLOOKUP(B232,Table!A$2:F$319,2,FALSE)=Table14[[#This Row],[Data type in Oracle
VARCHAR2(n), DATE, NUMBER(m,n), TIMETSTAMP(6)]]</f>
        <v>#N/A</v>
      </c>
      <c r="V232" s="87" t="e">
        <f>VLOOKUP(B232,Table!A$2:F$231,3,FALSE)=Table14[[#This Row],[Nullable in Table and in Oracle View
NULL, NOT NULL]]</f>
        <v>#N/A</v>
      </c>
      <c r="W232" s="87" t="e">
        <f>VLOOKUP(B232,Table!A$2:H$228,6,FALSE)=Table14[[#This Row],[Business Definition (To go into comments and into Meta Data Hub)]]</f>
        <v>#N/A</v>
      </c>
      <c r="X232" s="87" t="e">
        <f>VLOOKUP((UPPER(SUBSTITUTE(A232," ","_"))),'[2]Consumer View'!A$2:I$329,1,FALSE)</f>
        <v>#N/A</v>
      </c>
      <c r="Y232" s="87" t="s">
        <v>68</v>
      </c>
      <c r="Z232" s="87" t="s">
        <v>388</v>
      </c>
      <c r="AA232" s="87" t="s">
        <v>562</v>
      </c>
      <c r="AB232" s="87"/>
      <c r="AC232" s="87"/>
      <c r="AD232" s="87" t="s">
        <v>1213</v>
      </c>
      <c r="AE232" s="46" t="s">
        <v>1185</v>
      </c>
      <c r="AF232" s="87"/>
      <c r="AG232" s="18"/>
      <c r="AH232" s="18" t="s">
        <v>71</v>
      </c>
    </row>
    <row r="233" spans="1:34" ht="27" customHeight="1">
      <c r="A233" s="94" t="s">
        <v>1214</v>
      </c>
      <c r="B233" s="76" t="str">
        <f>VLOOKUP(A233,Model!C$2:D$258,2,FALSE)</f>
        <v>ACR_INT_AMT</v>
      </c>
      <c r="C233" s="126" t="s">
        <v>1215</v>
      </c>
      <c r="D233" s="87" t="s">
        <v>559</v>
      </c>
      <c r="E233" s="18" t="s">
        <v>63</v>
      </c>
      <c r="F233" s="87" t="s">
        <v>560</v>
      </c>
      <c r="G233" s="89" t="s">
        <v>63</v>
      </c>
      <c r="H233" s="83" t="s">
        <v>1216</v>
      </c>
      <c r="I233" s="87"/>
      <c r="J233" s="87" t="s">
        <v>67</v>
      </c>
      <c r="K233" s="87"/>
      <c r="L233" s="18" t="s">
        <v>1182</v>
      </c>
      <c r="M233" s="18" t="s">
        <v>1183</v>
      </c>
      <c r="N233" s="87"/>
      <c r="O233" s="87" t="b">
        <f>VLOOKUP(A233,[1]Model!C$2:J$559,2,FALSE)=B233</f>
        <v>1</v>
      </c>
      <c r="P233" s="87" t="b">
        <f>VLOOKUP(A233,Model!C$2:G$208,5,FALSE)=D233</f>
        <v>1</v>
      </c>
      <c r="Q233" s="87">
        <f>VLOOKUP(A233,[2]Model!C$2:L$228,8,FALSE)</f>
        <v>221</v>
      </c>
      <c r="R233" s="87" t="e">
        <f>VLOOKUP(A233,[2]Model!C$2:G$228,3,FALSE)=[3]!Table14[[#This Row],[Business Definition (To go into comments and into Meta Data Hub)]]</f>
        <v>#REF!</v>
      </c>
      <c r="S233" s="87" t="e">
        <f>IF([3]!Table14[[#This Row],[Nullable in Table and in Oracle View
NULL, NOT NULL]]="No","NOT NULL","NULL")=VLOOKUP(A233,[2]Model!C$2:I$228,6,FALSE)</f>
        <v>#REF!</v>
      </c>
      <c r="T233" s="87" t="e">
        <f>VLOOKUP(B233,[2]Table!A$2:F$415,1,FALSE)=[3]!Table14[[#This Row],[Physical Name of Attribute (Name of column in Table)
Supplied by DA Team]]</f>
        <v>#N/A</v>
      </c>
      <c r="U233" s="87" t="e">
        <f>VLOOKUP(B233,Table!A$2:F$319,2,FALSE)=Table14[[#This Row],[Data type in Oracle
VARCHAR2(n), DATE, NUMBER(m,n), TIMETSTAMP(6)]]</f>
        <v>#N/A</v>
      </c>
      <c r="V233" s="87" t="e">
        <f>VLOOKUP(B233,Table!A$2:F$231,3,FALSE)=Table14[[#This Row],[Nullable in Table and in Oracle View
NULL, NOT NULL]]</f>
        <v>#N/A</v>
      </c>
      <c r="W233" s="87" t="e">
        <f>VLOOKUP(B233,Table!A$2:H$228,6,FALSE)=Table14[[#This Row],[Business Definition (To go into comments and into Meta Data Hub)]]</f>
        <v>#N/A</v>
      </c>
      <c r="X233" s="87" t="e">
        <f>VLOOKUP((UPPER(SUBSTITUTE(A233," ","_"))),'[2]Consumer View'!A$2:I$329,1,FALSE)</f>
        <v>#N/A</v>
      </c>
      <c r="Y233" s="87" t="s">
        <v>68</v>
      </c>
      <c r="Z233" s="87" t="s">
        <v>388</v>
      </c>
      <c r="AA233" s="87" t="s">
        <v>562</v>
      </c>
      <c r="AB233" s="87"/>
      <c r="AC233" s="87"/>
      <c r="AD233" s="87" t="s">
        <v>1217</v>
      </c>
      <c r="AE233" s="46" t="s">
        <v>1185</v>
      </c>
      <c r="AF233" s="87"/>
      <c r="AG233" s="18"/>
      <c r="AH233" s="18" t="s">
        <v>71</v>
      </c>
    </row>
    <row r="234" spans="1:34" ht="27" customHeight="1">
      <c r="A234" s="94" t="s">
        <v>1218</v>
      </c>
      <c r="B234" s="76" t="str">
        <f>VLOOKUP(A234,Model!C$2:D$258,2,FALSE)</f>
        <v>CNCSN_AMT</v>
      </c>
      <c r="C234" s="126" t="s">
        <v>1219</v>
      </c>
      <c r="D234" s="87" t="s">
        <v>559</v>
      </c>
      <c r="E234" s="18" t="s">
        <v>63</v>
      </c>
      <c r="F234" s="87" t="s">
        <v>560</v>
      </c>
      <c r="G234" s="89" t="s">
        <v>63</v>
      </c>
      <c r="H234" s="83" t="s">
        <v>1220</v>
      </c>
      <c r="I234" s="87"/>
      <c r="J234" s="87" t="s">
        <v>67</v>
      </c>
      <c r="K234" s="87"/>
      <c r="L234" s="18" t="s">
        <v>1182</v>
      </c>
      <c r="M234" s="18" t="s">
        <v>1183</v>
      </c>
      <c r="N234" s="87"/>
      <c r="O234" s="87" t="b">
        <f>VLOOKUP(A234,[1]Model!C$2:J$559,2,FALSE)=B234</f>
        <v>1</v>
      </c>
      <c r="P234" s="87" t="b">
        <f>VLOOKUP(A234,Model!C$2:G$208,5,FALSE)=D234</f>
        <v>1</v>
      </c>
      <c r="Q234" s="87">
        <f>VLOOKUP(A234,[2]Model!C$2:L$228,8,FALSE)</f>
        <v>222</v>
      </c>
      <c r="R234" s="87" t="e">
        <f>VLOOKUP(A234,[2]Model!C$2:G$228,3,FALSE)=[3]!Table14[[#This Row],[Business Definition (To go into comments and into Meta Data Hub)]]</f>
        <v>#REF!</v>
      </c>
      <c r="S234" s="87" t="e">
        <f>IF([3]!Table14[[#This Row],[Nullable in Table and in Oracle View
NULL, NOT NULL]]="No","NOT NULL","NULL")=VLOOKUP(A234,[2]Model!C$2:I$228,6,FALSE)</f>
        <v>#REF!</v>
      </c>
      <c r="T234" s="87" t="e">
        <f>VLOOKUP(B234,[2]Table!A$2:F$415,1,FALSE)=[3]!Table14[[#This Row],[Physical Name of Attribute (Name of column in Table)
Supplied by DA Team]]</f>
        <v>#N/A</v>
      </c>
      <c r="U234" s="87" t="e">
        <f>VLOOKUP(B234,Table!A$2:F$319,2,FALSE)=Table14[[#This Row],[Data type in Oracle
VARCHAR2(n), DATE, NUMBER(m,n), TIMETSTAMP(6)]]</f>
        <v>#N/A</v>
      </c>
      <c r="V234" s="87" t="e">
        <f>VLOOKUP(B234,Table!A$2:F$231,3,FALSE)=Table14[[#This Row],[Nullable in Table and in Oracle View
NULL, NOT NULL]]</f>
        <v>#N/A</v>
      </c>
      <c r="W234" s="87" t="e">
        <f>VLOOKUP(B234,Table!A$2:H$228,6,FALSE)=Table14[[#This Row],[Business Definition (To go into comments and into Meta Data Hub)]]</f>
        <v>#N/A</v>
      </c>
      <c r="X234" s="87" t="e">
        <f>VLOOKUP((UPPER(SUBSTITUTE(A234," ","_"))),'[2]Consumer View'!A$2:I$329,1,FALSE)</f>
        <v>#N/A</v>
      </c>
      <c r="Y234" s="87" t="s">
        <v>68</v>
      </c>
      <c r="Z234" s="87" t="s">
        <v>388</v>
      </c>
      <c r="AA234" s="87" t="s">
        <v>562</v>
      </c>
      <c r="AB234" s="87"/>
      <c r="AC234" s="87"/>
      <c r="AD234" s="87" t="s">
        <v>1221</v>
      </c>
      <c r="AE234" s="46" t="s">
        <v>1185</v>
      </c>
      <c r="AF234" s="87"/>
      <c r="AG234" s="18"/>
      <c r="AH234" s="18" t="s">
        <v>71</v>
      </c>
    </row>
    <row r="235" spans="1:34" ht="27" customHeight="1">
      <c r="A235" s="94" t="s">
        <v>1222</v>
      </c>
      <c r="B235" s="76" t="str">
        <f>VLOOKUP(A235,Model!C$2:D$258,2,FALSE)</f>
        <v>CDSC_AMT</v>
      </c>
      <c r="C235" s="126" t="s">
        <v>1223</v>
      </c>
      <c r="D235" s="87" t="s">
        <v>559</v>
      </c>
      <c r="E235" s="18" t="s">
        <v>63</v>
      </c>
      <c r="F235" s="87" t="s">
        <v>560</v>
      </c>
      <c r="G235" s="89" t="s">
        <v>63</v>
      </c>
      <c r="H235" s="83" t="s">
        <v>1224</v>
      </c>
      <c r="I235" s="87"/>
      <c r="J235" s="87" t="s">
        <v>67</v>
      </c>
      <c r="K235" s="87"/>
      <c r="L235" s="18" t="s">
        <v>1182</v>
      </c>
      <c r="M235" s="18" t="s">
        <v>1183</v>
      </c>
      <c r="N235" s="87"/>
      <c r="O235" s="87" t="b">
        <f>VLOOKUP(A235,[1]Model!C$2:J$559,2,FALSE)=B235</f>
        <v>1</v>
      </c>
      <c r="P235" s="87" t="b">
        <f>VLOOKUP(A235,Model!C$2:G$208,5,FALSE)=D235</f>
        <v>1</v>
      </c>
      <c r="Q235" s="87">
        <f>VLOOKUP(A235,[2]Model!C$2:L$228,8,FALSE)</f>
        <v>223</v>
      </c>
      <c r="R235" s="87" t="e">
        <f>VLOOKUP(A235,[2]Model!C$2:G$228,3,FALSE)=[3]!Table14[[#This Row],[Business Definition (To go into comments and into Meta Data Hub)]]</f>
        <v>#REF!</v>
      </c>
      <c r="S235" s="87" t="e">
        <f>IF([3]!Table14[[#This Row],[Nullable in Table and in Oracle View
NULL, NOT NULL]]="No","NOT NULL","NULL")=VLOOKUP(A235,[2]Model!C$2:I$228,6,FALSE)</f>
        <v>#REF!</v>
      </c>
      <c r="T235" s="87" t="e">
        <f>VLOOKUP(B235,[2]Table!A$2:F$415,1,FALSE)=[3]!Table14[[#This Row],[Physical Name of Attribute (Name of column in Table)
Supplied by DA Team]]</f>
        <v>#N/A</v>
      </c>
      <c r="U235" s="87" t="e">
        <f>VLOOKUP(B235,Table!A$2:F$319,2,FALSE)=Table14[[#This Row],[Data type in Oracle
VARCHAR2(n), DATE, NUMBER(m,n), TIMETSTAMP(6)]]</f>
        <v>#N/A</v>
      </c>
      <c r="V235" s="87" t="e">
        <f>VLOOKUP(B235,Table!A$2:F$231,3,FALSE)=Table14[[#This Row],[Nullable in Table and in Oracle View
NULL, NOT NULL]]</f>
        <v>#N/A</v>
      </c>
      <c r="W235" s="87" t="e">
        <f>VLOOKUP(B235,Table!A$2:H$228,6,FALSE)=Table14[[#This Row],[Business Definition (To go into comments and into Meta Data Hub)]]</f>
        <v>#N/A</v>
      </c>
      <c r="X235" s="87" t="e">
        <f>VLOOKUP((UPPER(SUBSTITUTE(A235," ","_"))),'[2]Consumer View'!A$2:I$329,1,FALSE)</f>
        <v>#N/A</v>
      </c>
      <c r="Y235" s="87" t="s">
        <v>68</v>
      </c>
      <c r="Z235" s="87" t="s">
        <v>388</v>
      </c>
      <c r="AA235" s="83" t="s">
        <v>1225</v>
      </c>
      <c r="AB235" s="87"/>
      <c r="AC235" s="87"/>
      <c r="AD235" s="87" t="s">
        <v>1226</v>
      </c>
      <c r="AE235" s="46" t="s">
        <v>1185</v>
      </c>
      <c r="AF235" s="87"/>
      <c r="AG235" s="18"/>
      <c r="AH235" s="18" t="s">
        <v>71</v>
      </c>
    </row>
    <row r="236" spans="1:34" ht="27" customHeight="1">
      <c r="A236" s="94" t="s">
        <v>1227</v>
      </c>
      <c r="B236" s="76" t="str">
        <f>VLOOKUP(A236,Model!C$2:D$258,2,FALSE)</f>
        <v>OTHR_FEE_AMT</v>
      </c>
      <c r="C236" s="126" t="s">
        <v>1228</v>
      </c>
      <c r="D236" s="87" t="s">
        <v>559</v>
      </c>
      <c r="E236" s="18" t="s">
        <v>63</v>
      </c>
      <c r="F236" s="87" t="s">
        <v>560</v>
      </c>
      <c r="G236" s="89" t="s">
        <v>63</v>
      </c>
      <c r="H236" s="83" t="s">
        <v>1229</v>
      </c>
      <c r="I236" s="87"/>
      <c r="J236" s="87" t="s">
        <v>67</v>
      </c>
      <c r="K236" s="87"/>
      <c r="L236" s="18" t="s">
        <v>1182</v>
      </c>
      <c r="M236" s="18" t="s">
        <v>1183</v>
      </c>
      <c r="N236" s="87"/>
      <c r="O236" s="87" t="b">
        <f>VLOOKUP(A236,[1]Model!C$2:J$559,2,FALSE)=B236</f>
        <v>1</v>
      </c>
      <c r="P236" s="87" t="b">
        <f>VLOOKUP(A236,Model!C$2:G$208,5,FALSE)=D236</f>
        <v>1</v>
      </c>
      <c r="Q236" s="87">
        <f>VLOOKUP(A236,[2]Model!C$2:L$228,8,FALSE)</f>
        <v>224</v>
      </c>
      <c r="R236" s="87" t="e">
        <f>VLOOKUP(A236,[2]Model!C$2:G$228,3,FALSE)=[3]!Table14[[#This Row],[Business Definition (To go into comments and into Meta Data Hub)]]</f>
        <v>#REF!</v>
      </c>
      <c r="S236" s="87" t="e">
        <f>IF([3]!Table14[[#This Row],[Nullable in Table and in Oracle View
NULL, NOT NULL]]="No","NOT NULL","NULL")=VLOOKUP(A236,[2]Model!C$2:I$228,6,FALSE)</f>
        <v>#REF!</v>
      </c>
      <c r="T236" s="87" t="e">
        <f>VLOOKUP(B236,[2]Table!A$2:F$415,1,FALSE)=[3]!Table14[[#This Row],[Physical Name of Attribute (Name of column in Table)
Supplied by DA Team]]</f>
        <v>#N/A</v>
      </c>
      <c r="U236" s="87" t="e">
        <f>VLOOKUP(B236,Table!A$2:F$319,2,FALSE)=Table14[[#This Row],[Data type in Oracle
VARCHAR2(n), DATE, NUMBER(m,n), TIMETSTAMP(6)]]</f>
        <v>#N/A</v>
      </c>
      <c r="V236" s="87" t="e">
        <f>VLOOKUP(B236,Table!A$2:F$231,3,FALSE)=Table14[[#This Row],[Nullable in Table and in Oracle View
NULL, NOT NULL]]</f>
        <v>#N/A</v>
      </c>
      <c r="W236" s="87" t="e">
        <f>VLOOKUP(B236,Table!A$2:H$228,6,FALSE)=Table14[[#This Row],[Business Definition (To go into comments and into Meta Data Hub)]]</f>
        <v>#N/A</v>
      </c>
      <c r="X236" s="87" t="e">
        <f>VLOOKUP((UPPER(SUBSTITUTE(A236," ","_"))),'[2]Consumer View'!A$2:I$329,1,FALSE)</f>
        <v>#N/A</v>
      </c>
      <c r="Y236" s="87" t="s">
        <v>68</v>
      </c>
      <c r="Z236" s="87" t="s">
        <v>388</v>
      </c>
      <c r="AA236" s="83" t="s">
        <v>1225</v>
      </c>
      <c r="AB236" s="87"/>
      <c r="AC236" s="87"/>
      <c r="AD236" s="87" t="s">
        <v>1230</v>
      </c>
      <c r="AE236" s="46" t="s">
        <v>1185</v>
      </c>
      <c r="AF236" s="87"/>
      <c r="AG236" s="18"/>
      <c r="AH236" s="18" t="s">
        <v>71</v>
      </c>
    </row>
    <row r="237" spans="1:34" ht="27" customHeight="1">
      <c r="A237" s="94" t="s">
        <v>1231</v>
      </c>
      <c r="B237" s="76" t="str">
        <f>VLOOKUP(A237,Model!C$2:D$359,2,FALSE)</f>
        <v>TRD_CNCLD_F</v>
      </c>
      <c r="C237" s="126" t="s">
        <v>1232</v>
      </c>
      <c r="D237" s="87" t="s">
        <v>82</v>
      </c>
      <c r="E237" s="18" t="s">
        <v>63</v>
      </c>
      <c r="F237" s="87" t="s">
        <v>83</v>
      </c>
      <c r="G237" s="89" t="s">
        <v>63</v>
      </c>
      <c r="H237" s="83" t="s">
        <v>1233</v>
      </c>
      <c r="I237" s="87"/>
      <c r="J237" s="87" t="s">
        <v>67</v>
      </c>
      <c r="K237" s="87"/>
      <c r="L237" s="18" t="s">
        <v>1182</v>
      </c>
      <c r="M237" s="18" t="s">
        <v>1183</v>
      </c>
      <c r="N237" s="87"/>
      <c r="O237" s="87" t="b">
        <f>VLOOKUP(A237,[1]Model!C$2:J$559,2,FALSE)=B237</f>
        <v>1</v>
      </c>
      <c r="P237" s="87" t="e">
        <f>VLOOKUP(A237,Model!C$2:G$208,5,FALSE)=D237</f>
        <v>#N/A</v>
      </c>
      <c r="Q237" s="87">
        <f>VLOOKUP(A237,[2]Model!C$2:L$228,8,FALSE)</f>
        <v>225</v>
      </c>
      <c r="R237" s="87" t="e">
        <f>VLOOKUP(A237,[2]Model!C$2:G$228,3,FALSE)=[3]!Table14[[#This Row],[Business Definition (To go into comments and into Meta Data Hub)]]</f>
        <v>#REF!</v>
      </c>
      <c r="S237" s="87" t="e">
        <f>IF([3]!Table14[[#This Row],[Nullable in Table and in Oracle View
NULL, NOT NULL]]="No","NOT NULL","NULL")=VLOOKUP(A237,[2]Model!C$2:I$228,6,FALSE)</f>
        <v>#REF!</v>
      </c>
      <c r="T237" s="87" t="e">
        <f>VLOOKUP(B237,[2]Table!A$2:F$415,1,FALSE)=[3]!Table14[[#This Row],[Physical Name of Attribute (Name of column in Table)
Supplied by DA Team]]</f>
        <v>#N/A</v>
      </c>
      <c r="U237" s="87" t="e">
        <f>VLOOKUP(B237,Table!A$2:F$319,2,FALSE)=Table14[[#This Row],[Data type in Oracle
VARCHAR2(n), DATE, NUMBER(m,n), TIMETSTAMP(6)]]</f>
        <v>#N/A</v>
      </c>
      <c r="V237" s="87" t="e">
        <f>VLOOKUP(B237,Table!A$2:F$231,3,FALSE)=Table14[[#This Row],[Nullable in Table and in Oracle View
NULL, NOT NULL]]</f>
        <v>#N/A</v>
      </c>
      <c r="W237" s="87" t="e">
        <f>VLOOKUP(B237,Table!A$2:H$228,6,FALSE)=Table14[[#This Row],[Business Definition (To go into comments and into Meta Data Hub)]]</f>
        <v>#N/A</v>
      </c>
      <c r="X237" s="87" t="e">
        <f>VLOOKUP((UPPER(SUBSTITUTE(A237," ","_"))),'[2]Consumer View'!A$2:I$329,1,FALSE)</f>
        <v>#N/A</v>
      </c>
      <c r="Y237" s="87"/>
      <c r="Z237" s="87"/>
      <c r="AA237" s="87"/>
      <c r="AB237" s="87"/>
      <c r="AC237" s="87"/>
      <c r="AD237" s="87" t="s">
        <v>1234</v>
      </c>
      <c r="AE237" s="46" t="s">
        <v>1235</v>
      </c>
      <c r="AF237" s="87"/>
      <c r="AG237" s="18"/>
      <c r="AH237" s="18" t="s">
        <v>71</v>
      </c>
    </row>
    <row r="238" spans="1:34" ht="27" customHeight="1">
      <c r="A238" s="94" t="s">
        <v>1236</v>
      </c>
      <c r="B238" s="87" t="s">
        <v>1237</v>
      </c>
      <c r="C238" s="87" t="s">
        <v>1236</v>
      </c>
      <c r="D238" s="87" t="s">
        <v>109</v>
      </c>
      <c r="E238" s="18" t="s">
        <v>63</v>
      </c>
      <c r="F238" s="18" t="s">
        <v>110</v>
      </c>
      <c r="G238" s="45" t="s">
        <v>63</v>
      </c>
      <c r="H238" s="46" t="s">
        <v>1238</v>
      </c>
      <c r="I238" s="87"/>
      <c r="J238" s="87"/>
      <c r="K238" s="87" t="s">
        <v>67</v>
      </c>
      <c r="L238" s="18" t="s">
        <v>1182</v>
      </c>
      <c r="M238" s="18" t="s">
        <v>1183</v>
      </c>
      <c r="N238" s="87"/>
      <c r="O238" s="87" t="b">
        <f>VLOOKUP(A238,[1]Model!C$2:J$559,2,FALSE)=B238</f>
        <v>1</v>
      </c>
      <c r="P238" s="87" t="e">
        <f>VLOOKUP(A238,Model!C$2:G$208,5,FALSE)=D238</f>
        <v>#N/A</v>
      </c>
      <c r="Q238" s="87">
        <f>VLOOKUP(A238,[2]Model!C$2:L$228,8,FALSE)</f>
        <v>226</v>
      </c>
      <c r="R238" s="87" t="e">
        <f>VLOOKUP(A238,[2]Model!C$2:G$228,3,FALSE)=[3]!Table14[[#This Row],[Business Definition (To go into comments and into Meta Data Hub)]]</f>
        <v>#VALUE!</v>
      </c>
      <c r="S238" s="87" t="e">
        <f>IF([3]!Table14[[#This Row],[Nullable in Table and in Oracle View
NULL, NOT NULL]]="No","NOT NULL","NULL")=VLOOKUP(A238,[2]Model!C$2:I$228,6,FALSE)</f>
        <v>#REF!</v>
      </c>
      <c r="T238" s="87" t="e">
        <f>VLOOKUP(B238,[2]Table!A$2:F$415,1,FALSE)=[3]!Table14[[#This Row],[Physical Name of Attribute (Name of column in Table)
Supplied by DA Team]]</f>
        <v>#N/A</v>
      </c>
      <c r="U238" s="87" t="e">
        <f>VLOOKUP(B238,Table!A$2:F$319,2,FALSE)=Table14[[#This Row],[Data type in Oracle
VARCHAR2(n), DATE, NUMBER(m,n), TIMETSTAMP(6)]]</f>
        <v>#N/A</v>
      </c>
      <c r="V238" s="87" t="e">
        <f>VLOOKUP(B238,Table!A$2:F$231,3,FALSE)=Table14[[#This Row],[Nullable in Table and in Oracle View
NULL, NOT NULL]]</f>
        <v>#N/A</v>
      </c>
      <c r="W238" s="87" t="e">
        <f>VLOOKUP(B238,Table!A$2:H$228,6,FALSE)=Table14[[#This Row],[Business Definition (To go into comments and into Meta Data Hub)]]</f>
        <v>#N/A</v>
      </c>
      <c r="X238" s="87" t="e">
        <f>VLOOKUP((UPPER(SUBSTITUTE(A238," ","_"))),'[2]Consumer View'!A$2:I$329,1,FALSE)</f>
        <v>#N/A</v>
      </c>
      <c r="Y238" s="18" t="s">
        <v>68</v>
      </c>
      <c r="Z238" s="18" t="s">
        <v>375</v>
      </c>
      <c r="AA238" s="18" t="s">
        <v>1237</v>
      </c>
      <c r="AB238" s="87"/>
      <c r="AC238" s="87"/>
      <c r="AD238" s="46" t="s">
        <v>913</v>
      </c>
      <c r="AE238" s="46" t="s">
        <v>1239</v>
      </c>
      <c r="AF238" s="87"/>
      <c r="AG238" s="18"/>
      <c r="AH238" s="18" t="s">
        <v>71</v>
      </c>
    </row>
    <row r="239" spans="1:34" ht="27" customHeight="1">
      <c r="A239" s="99" t="s">
        <v>1240</v>
      </c>
      <c r="B239" s="18" t="s">
        <v>1240</v>
      </c>
      <c r="C239" s="18" t="s">
        <v>1241</v>
      </c>
      <c r="D239" s="18" t="s">
        <v>109</v>
      </c>
      <c r="E239" s="18" t="s">
        <v>63</v>
      </c>
      <c r="F239" s="18" t="s">
        <v>110</v>
      </c>
      <c r="G239" s="45" t="s">
        <v>63</v>
      </c>
      <c r="H239" s="46" t="s">
        <v>1242</v>
      </c>
      <c r="I239" s="18"/>
      <c r="J239" s="87"/>
      <c r="K239" s="18" t="s">
        <v>67</v>
      </c>
      <c r="L239" s="18" t="s">
        <v>1182</v>
      </c>
      <c r="M239" s="18" t="s">
        <v>1183</v>
      </c>
      <c r="N239" s="87"/>
      <c r="O239" s="87" t="b">
        <f>VLOOKUP(A239,[1]Model!C$2:J$559,2,FALSE)=B239</f>
        <v>1</v>
      </c>
      <c r="P239" s="87" t="b">
        <f>VLOOKUP(A239,Model!C$2:G$208,5,FALSE)=D239</f>
        <v>1</v>
      </c>
      <c r="Q239" s="87">
        <f>VLOOKUP(A239,[2]Model!C$2:L$228,8,FALSE)</f>
        <v>227</v>
      </c>
      <c r="R239" s="87" t="e">
        <f>VLOOKUP(A239,[2]Model!C$2:G$228,3,FALSE)=[3]!Table14[[#This Row],[Business Definition (To go into comments and into Meta Data Hub)]]</f>
        <v>#REF!</v>
      </c>
      <c r="S239" s="87" t="e">
        <f>IF([3]!Table14[[#This Row],[Nullable in Table and in Oracle View
NULL, NOT NULL]]="No","NOT NULL","NULL")=VLOOKUP(A239,[2]Model!C$2:I$228,6,FALSE)</f>
        <v>#REF!</v>
      </c>
      <c r="T239" s="87" t="e">
        <f>VLOOKUP(B239,[2]Table!A$2:F$415,1,FALSE)=[3]!Table14[[#This Row],[Physical Name of Attribute (Name of column in Table)
Supplied by DA Team]]</f>
        <v>#N/A</v>
      </c>
      <c r="U239" s="87" t="e">
        <f>VLOOKUP(B239,Table!A$2:F$319,2,FALSE)=Table14[[#This Row],[Data type in Oracle
VARCHAR2(n), DATE, NUMBER(m,n), TIMETSTAMP(6)]]</f>
        <v>#N/A</v>
      </c>
      <c r="V239" s="87" t="e">
        <f>VLOOKUP(B239,Table!A$2:F$231,3,FALSE)=Table14[[#This Row],[Nullable in Table and in Oracle View
NULL, NOT NULL]]</f>
        <v>#N/A</v>
      </c>
      <c r="W239" s="87" t="e">
        <f>VLOOKUP(B239,Table!A$2:H$228,6,FALSE)=Table14[[#This Row],[Business Definition (To go into comments and into Meta Data Hub)]]</f>
        <v>#N/A</v>
      </c>
      <c r="X239" s="87" t="e">
        <f>VLOOKUP((UPPER(SUBSTITUTE(A239," ","_"))),'[2]Consumer View'!A$2:I$329,1,FALSE)</f>
        <v>#N/A</v>
      </c>
      <c r="Y239" s="18" t="s">
        <v>68</v>
      </c>
      <c r="Z239" s="18" t="s">
        <v>375</v>
      </c>
      <c r="AA239" s="18" t="s">
        <v>1240</v>
      </c>
      <c r="AB239" s="87"/>
      <c r="AC239" s="87"/>
      <c r="AD239" s="46" t="s">
        <v>913</v>
      </c>
      <c r="AE239" s="46" t="s">
        <v>1239</v>
      </c>
      <c r="AF239" s="87"/>
      <c r="AG239" s="18"/>
      <c r="AH239" s="18" t="s">
        <v>71</v>
      </c>
    </row>
    <row r="240" spans="1:34" ht="27" customHeight="1">
      <c r="A240" s="94" t="s">
        <v>1243</v>
      </c>
      <c r="B240" s="87" t="s">
        <v>1244</v>
      </c>
      <c r="C240" s="87" t="s">
        <v>1245</v>
      </c>
      <c r="D240" s="87" t="s">
        <v>139</v>
      </c>
      <c r="E240" s="87" t="s">
        <v>63</v>
      </c>
      <c r="F240" s="18" t="s">
        <v>140</v>
      </c>
      <c r="G240" s="89" t="s">
        <v>63</v>
      </c>
      <c r="H240" s="83" t="s">
        <v>1246</v>
      </c>
      <c r="I240" s="87"/>
      <c r="J240" s="87" t="s">
        <v>67</v>
      </c>
      <c r="K240" s="18"/>
      <c r="L240" s="87" t="s">
        <v>1247</v>
      </c>
      <c r="M240" s="87" t="s">
        <v>1248</v>
      </c>
      <c r="N240" s="87"/>
      <c r="O240" s="87" t="b">
        <f>VLOOKUP(A240,[1]Model!C$2:J$559,2,FALSE)=B240</f>
        <v>1</v>
      </c>
      <c r="P240" s="87" t="e">
        <f>VLOOKUP(A240,Model!C$2:G$208,5,FALSE)=D240</f>
        <v>#N/A</v>
      </c>
      <c r="Q240" s="87" t="e">
        <f>VLOOKUP(A240,[2]Model!C$2:L$228,8,FALSE)</f>
        <v>#N/A</v>
      </c>
      <c r="R240" s="87" t="e">
        <f>VLOOKUP(A240,[2]Model!C$2:G$228,3,FALSE)=[3]!Table14[[#This Row],[Business Definition (To go into comments and into Meta Data Hub)]]</f>
        <v>#N/A</v>
      </c>
      <c r="S240" s="87" t="e">
        <f>IF([3]!Table14[[#This Row],[Nullable in Table and in Oracle View
NULL, NOT NULL]]="No","NOT NULL","NULL")=VLOOKUP(A240,[2]Model!C$2:I$228,6,FALSE)</f>
        <v>#REF!</v>
      </c>
      <c r="T240" s="87" t="e">
        <f>VLOOKUP(B240,[2]Table!A$2:F$415,1,FALSE)=[3]!Table14[[#This Row],[Physical Name of Attribute (Name of column in Table)
Supplied by DA Team]]</f>
        <v>#N/A</v>
      </c>
      <c r="U240" s="87" t="e">
        <f>VLOOKUP(B240,Table!A$2:F$319,2,FALSE)=Table14[[#This Row],[Data type in Oracle
VARCHAR2(n), DATE, NUMBER(m,n), TIMETSTAMP(6)]]</f>
        <v>#N/A</v>
      </c>
      <c r="V240" s="87" t="e">
        <f>VLOOKUP(B240,Table!A$2:F$231,3,FALSE)=Table14[[#This Row],[Nullable in Table and in Oracle View
NULL, NOT NULL]]</f>
        <v>#N/A</v>
      </c>
      <c r="W240" s="87" t="e">
        <f>VLOOKUP(B240,Table!A$2:H$228,6,FALSE)=Table14[[#This Row],[Business Definition (To go into comments and into Meta Data Hub)]]</f>
        <v>#N/A</v>
      </c>
      <c r="X240" s="87" t="e">
        <f>VLOOKUP((UPPER(SUBSTITUTE(A240," ","_"))),'[2]Consumer View'!A$2:I$329,1,FALSE)</f>
        <v>#N/A</v>
      </c>
      <c r="Y240" s="87" t="s">
        <v>68</v>
      </c>
      <c r="Z240" s="94" t="s">
        <v>1249</v>
      </c>
      <c r="AA240" s="94" t="s">
        <v>1250</v>
      </c>
      <c r="AB240" s="87"/>
      <c r="AC240" s="87"/>
      <c r="AD240" s="94" t="s">
        <v>1251</v>
      </c>
      <c r="AE240" s="83" t="s">
        <v>1252</v>
      </c>
      <c r="AF240" s="87"/>
      <c r="AG240" s="18"/>
      <c r="AH240" s="18" t="s">
        <v>71</v>
      </c>
    </row>
    <row r="241" spans="1:34" ht="27" customHeight="1">
      <c r="A241" s="94" t="s">
        <v>1253</v>
      </c>
      <c r="B241" s="87" t="s">
        <v>1254</v>
      </c>
      <c r="C241" s="87" t="s">
        <v>1255</v>
      </c>
      <c r="D241" s="87" t="s">
        <v>90</v>
      </c>
      <c r="E241" s="87" t="s">
        <v>63</v>
      </c>
      <c r="F241" s="18" t="s">
        <v>91</v>
      </c>
      <c r="G241" s="89" t="s">
        <v>63</v>
      </c>
      <c r="H241" s="83" t="s">
        <v>1256</v>
      </c>
      <c r="I241" s="87"/>
      <c r="J241" s="87" t="s">
        <v>67</v>
      </c>
      <c r="K241" s="18"/>
      <c r="L241" s="87" t="s">
        <v>1247</v>
      </c>
      <c r="M241" s="87" t="s">
        <v>1248</v>
      </c>
      <c r="N241" s="87"/>
      <c r="O241" s="87" t="b">
        <f>VLOOKUP(A241,[1]Model!C$2:J$559,2,FALSE)=B241</f>
        <v>1</v>
      </c>
      <c r="P241" s="87" t="e">
        <f>VLOOKUP(A241,Model!C$2:G$208,5,FALSE)=D241</f>
        <v>#N/A</v>
      </c>
      <c r="Q241" s="87" t="e">
        <f>VLOOKUP(A241,[2]Model!C$2:L$228,8,FALSE)</f>
        <v>#N/A</v>
      </c>
      <c r="R241" s="87" t="e">
        <f>VLOOKUP(A241,[2]Model!C$2:G$228,3,FALSE)=[3]!Table14[[#This Row],[Business Definition (To go into comments and into Meta Data Hub)]]</f>
        <v>#N/A</v>
      </c>
      <c r="S241" s="87" t="e">
        <f>IF([3]!Table14[[#This Row],[Nullable in Table and in Oracle View
NULL, NOT NULL]]="No","NOT NULL","NULL")=VLOOKUP(A241,[2]Model!C$2:I$228,6,FALSE)</f>
        <v>#REF!</v>
      </c>
      <c r="T241" s="87" t="e">
        <f>VLOOKUP(B241,[2]Table!A$2:F$415,1,FALSE)=[3]!Table14[[#This Row],[Physical Name of Attribute (Name of column in Table)
Supplied by DA Team]]</f>
        <v>#N/A</v>
      </c>
      <c r="U241" s="87" t="e">
        <f>VLOOKUP(B241,Table!A$2:F$319,2,FALSE)=Table14[[#This Row],[Data type in Oracle
VARCHAR2(n), DATE, NUMBER(m,n), TIMETSTAMP(6)]]</f>
        <v>#N/A</v>
      </c>
      <c r="V241" s="87" t="e">
        <f>VLOOKUP(B241,Table!A$2:F$231,3,FALSE)=Table14[[#This Row],[Nullable in Table and in Oracle View
NULL, NOT NULL]]</f>
        <v>#N/A</v>
      </c>
      <c r="W241" s="87" t="e">
        <f>VLOOKUP(B241,Table!A$2:H$228,6,FALSE)=Table14[[#This Row],[Business Definition (To go into comments and into Meta Data Hub)]]</f>
        <v>#N/A</v>
      </c>
      <c r="X241" s="87" t="e">
        <f>VLOOKUP((UPPER(SUBSTITUTE(A241," ","_"))),'[2]Consumer View'!A$2:I$329,1,FALSE)</f>
        <v>#N/A</v>
      </c>
      <c r="Y241" s="87" t="s">
        <v>68</v>
      </c>
      <c r="Z241" s="94" t="s">
        <v>1249</v>
      </c>
      <c r="AA241" s="94" t="s">
        <v>1257</v>
      </c>
      <c r="AB241" s="87"/>
      <c r="AC241" s="87"/>
      <c r="AD241" s="94" t="s">
        <v>1251</v>
      </c>
      <c r="AE241" s="83" t="s">
        <v>1252</v>
      </c>
      <c r="AF241" s="87"/>
      <c r="AG241" s="18"/>
      <c r="AH241" s="18" t="s">
        <v>71</v>
      </c>
    </row>
    <row r="242" spans="1:34" ht="27" customHeight="1">
      <c r="A242" s="94" t="s">
        <v>1258</v>
      </c>
      <c r="B242" s="87" t="s">
        <v>1259</v>
      </c>
      <c r="C242" s="87" t="s">
        <v>1260</v>
      </c>
      <c r="D242" s="87" t="s">
        <v>82</v>
      </c>
      <c r="E242" s="87" t="s">
        <v>63</v>
      </c>
      <c r="F242" s="18" t="s">
        <v>83</v>
      </c>
      <c r="G242" s="89" t="s">
        <v>63</v>
      </c>
      <c r="H242" s="83" t="s">
        <v>1261</v>
      </c>
      <c r="I242" s="87"/>
      <c r="J242" s="87" t="s">
        <v>67</v>
      </c>
      <c r="K242" s="87"/>
      <c r="L242" s="87" t="s">
        <v>1262</v>
      </c>
      <c r="M242" s="87"/>
      <c r="N242" s="87"/>
      <c r="O242" s="87" t="b">
        <f>VLOOKUP(A242,[1]Model!C$2:J$559,2,FALSE)=B242</f>
        <v>1</v>
      </c>
      <c r="P242" s="87" t="e">
        <f>VLOOKUP(A242,Model!C$2:G$208,5,FALSE)=D242</f>
        <v>#N/A</v>
      </c>
      <c r="Q242" s="87" t="e">
        <f>VLOOKUP(A242,[2]Model!C$2:L$228,8,FALSE)</f>
        <v>#N/A</v>
      </c>
      <c r="R242" s="87" t="e">
        <f>VLOOKUP(A242,[2]Model!C$2:G$228,3,FALSE)=[3]!Table14[[#This Row],[Business Definition (To go into comments and into Meta Data Hub)]]</f>
        <v>#N/A</v>
      </c>
      <c r="S242" s="87" t="e">
        <f>IF([3]!Table14[[#This Row],[Nullable in Table and in Oracle View
NULL, NOT NULL]]="No","NOT NULL","NULL")=VLOOKUP(A242,[2]Model!C$2:I$228,6,FALSE)</f>
        <v>#REF!</v>
      </c>
      <c r="T242" s="88" t="e">
        <f>VLOOKUP(B242,[2]Table!A$2:F$415,1,FALSE)=[3]!Table14[[#This Row],[Physical Name of Attribute (Name of column in Table)
Supplied by DA Team]]</f>
        <v>#N/A</v>
      </c>
      <c r="U242" s="88" t="e">
        <f>VLOOKUP(B242,Table!A$2:F$319,2,FALSE)=Table14[[#This Row],[Data type in Oracle
VARCHAR2(n), DATE, NUMBER(m,n), TIMETSTAMP(6)]]</f>
        <v>#N/A</v>
      </c>
      <c r="V242" s="88" t="e">
        <f>VLOOKUP(B242,Table!A$2:F$231,3,FALSE)=Table14[[#This Row],[Nullable in Table and in Oracle View
NULL, NOT NULL]]</f>
        <v>#N/A</v>
      </c>
      <c r="W242" s="88" t="e">
        <f>VLOOKUP(B242,Table!A$2:H$228,6,FALSE)=Table14[[#This Row],[Business Definition (To go into comments and into Meta Data Hub)]]</f>
        <v>#N/A</v>
      </c>
      <c r="X242" s="88" t="e">
        <f>VLOOKUP((UPPER(SUBSTITUTE(A242," ","_"))),'[2]Consumer View'!A$2:I$329,1,FALSE)</f>
        <v>#N/A</v>
      </c>
      <c r="Y242" s="87" t="s">
        <v>68</v>
      </c>
      <c r="Z242" s="87" t="s">
        <v>69</v>
      </c>
      <c r="AA242" s="87"/>
      <c r="AB242" s="87" t="s">
        <v>1263</v>
      </c>
      <c r="AC242" s="87"/>
      <c r="AD242" s="87"/>
      <c r="AE242" s="83"/>
      <c r="AF242" s="87"/>
      <c r="AG242" s="18"/>
      <c r="AH242" s="18" t="s">
        <v>71</v>
      </c>
    </row>
    <row r="243" spans="1:34" ht="27" customHeight="1">
      <c r="A243" s="94" t="s">
        <v>1264</v>
      </c>
      <c r="B243" s="87" t="s">
        <v>1265</v>
      </c>
      <c r="C243" s="87"/>
      <c r="D243" s="18" t="s">
        <v>101</v>
      </c>
      <c r="E243" s="18" t="s">
        <v>63</v>
      </c>
      <c r="F243" s="87" t="s">
        <v>133</v>
      </c>
      <c r="G243" s="45" t="s">
        <v>63</v>
      </c>
      <c r="H243" s="46" t="s">
        <v>1266</v>
      </c>
      <c r="I243" s="87"/>
      <c r="J243" s="87" t="s">
        <v>67</v>
      </c>
      <c r="K243" s="87"/>
      <c r="L243" s="18" t="s">
        <v>1267</v>
      </c>
      <c r="M243" s="18" t="s">
        <v>1268</v>
      </c>
      <c r="N243" s="87" t="s">
        <v>345</v>
      </c>
      <c r="O243" s="87" t="b">
        <f>VLOOKUP(A243,[1]Model!C$2:J$559,2,FALSE)=B243</f>
        <v>1</v>
      </c>
      <c r="P243" s="87" t="b">
        <f>VLOOKUP(A243,Model!C$2:G$208,5,FALSE)=D243</f>
        <v>1</v>
      </c>
      <c r="Q243" s="87" t="e">
        <f>VLOOKUP(A243,[2]Model!C$2:L$228,8,FALSE)</f>
        <v>#N/A</v>
      </c>
      <c r="R243" s="87" t="e">
        <f>VLOOKUP(A243,[2]Model!C$2:G$228,3,FALSE)=[3]!Table14[[#This Row],[Business Definition (To go into comments and into Meta Data Hub)]]</f>
        <v>#N/A</v>
      </c>
      <c r="S243" s="87" t="e">
        <f>IF([3]!Table14[[#This Row],[Nullable in Table and in Oracle View
NULL, NOT NULL]]="No","NOT NULL","NULL")=VLOOKUP(A243,[2]Model!C$2:I$228,6,FALSE)</f>
        <v>#REF!</v>
      </c>
      <c r="T243" s="87" t="e">
        <f>VLOOKUP(B243,[2]Table!A$2:F$415,1,FALSE)=[3]!Table14[[#This Row],[Physical Name of Attribute (Name of column in Table)
Supplied by DA Team]]</f>
        <v>#N/A</v>
      </c>
      <c r="U243" s="87" t="e">
        <f>VLOOKUP(B243,Table!A$2:F$319,2,FALSE)=Table14[[#This Row],[Data type in Oracle
VARCHAR2(n), DATE, NUMBER(m,n), TIMETSTAMP(6)]]</f>
        <v>#N/A</v>
      </c>
      <c r="V243" s="87" t="e">
        <f>VLOOKUP(B243,Table!A$2:F$231,3,FALSE)=Table14[[#This Row],[Nullable in Table and in Oracle View
NULL, NOT NULL]]</f>
        <v>#N/A</v>
      </c>
      <c r="W243" s="87" t="e">
        <f>VLOOKUP(B243,Table!A$2:H$228,6,FALSE)=Table14[[#This Row],[Business Definition (To go into comments and into Meta Data Hub)]]</f>
        <v>#N/A</v>
      </c>
      <c r="X243" s="87" t="e">
        <f>VLOOKUP((UPPER(SUBSTITUTE(A243," ","_"))),'[2]Consumer View'!A$2:I$329,1,FALSE)</f>
        <v>#N/A</v>
      </c>
      <c r="Y243" s="87" t="s">
        <v>68</v>
      </c>
      <c r="Z243" s="18" t="s">
        <v>448</v>
      </c>
      <c r="AA243" s="100" t="s">
        <v>1269</v>
      </c>
      <c r="AB243" s="18" t="s">
        <v>101</v>
      </c>
      <c r="AC243" s="18" t="s">
        <v>63</v>
      </c>
      <c r="AD243" s="18" t="s">
        <v>438</v>
      </c>
      <c r="AE243" s="46" t="s">
        <v>1270</v>
      </c>
      <c r="AF243" s="87"/>
      <c r="AG243" s="18"/>
      <c r="AH243" s="18" t="s">
        <v>71</v>
      </c>
    </row>
    <row r="244" spans="1:34" ht="27" customHeight="1">
      <c r="A244" s="51" t="s">
        <v>1271</v>
      </c>
      <c r="B244" s="18" t="s">
        <v>1272</v>
      </c>
      <c r="C244" s="87" t="s">
        <v>1273</v>
      </c>
      <c r="D244" s="87" t="s">
        <v>62</v>
      </c>
      <c r="E244" s="87" t="s">
        <v>63</v>
      </c>
      <c r="F244" s="87" t="s">
        <v>64</v>
      </c>
      <c r="G244" s="89" t="s">
        <v>63</v>
      </c>
      <c r="H244" s="83" t="s">
        <v>1274</v>
      </c>
      <c r="I244" s="18"/>
      <c r="J244" s="87" t="s">
        <v>67</v>
      </c>
      <c r="K244" s="18"/>
      <c r="L244" s="18" t="s">
        <v>1267</v>
      </c>
      <c r="M244" s="18" t="s">
        <v>1268</v>
      </c>
      <c r="N244" s="87" t="s">
        <v>345</v>
      </c>
      <c r="O244" s="18" t="b">
        <f>VLOOKUP(A244,[1]Model!C$2:J$559,2,FALSE)=B244</f>
        <v>1</v>
      </c>
      <c r="P244" s="18" t="b">
        <f>VLOOKUP(A244,Model!C$2:G$208,5,FALSE)=D244</f>
        <v>1</v>
      </c>
      <c r="Q244" s="18" t="e">
        <f>VLOOKUP(A244,[2]Model!C$2:L$228,8,FALSE)</f>
        <v>#N/A</v>
      </c>
      <c r="R244" s="18" t="e">
        <f>VLOOKUP(A244,[2]Model!C$2:G$228,3,FALSE)=[3]!Table14[[#This Row],[Business Definition (To go into comments and into Meta Data Hub)]]</f>
        <v>#N/A</v>
      </c>
      <c r="S244" s="18" t="e">
        <f>IF([3]!Table14[[#This Row],[Nullable in Table and in Oracle View
NULL, NOT NULL]]="No","NOT NULL","NULL")=VLOOKUP(A244,[2]Model!C$2:I$228,6,FALSE)</f>
        <v>#REF!</v>
      </c>
      <c r="T244" s="18" t="e">
        <f>VLOOKUP(B244,[2]Table!A$2:F$415,1,FALSE)=[3]!Table14[[#This Row],[Physical Name of Attribute (Name of column in Table)
Supplied by DA Team]]</f>
        <v>#N/A</v>
      </c>
      <c r="U244" s="18" t="e">
        <f>VLOOKUP(B244,Table!A$2:F$319,2,FALSE)=Table14[[#This Row],[Data type in Oracle
VARCHAR2(n), DATE, NUMBER(m,n), TIMETSTAMP(6)]]</f>
        <v>#N/A</v>
      </c>
      <c r="V244" s="18" t="e">
        <f>VLOOKUP(B244,Table!A$2:F$231,3,FALSE)=Table14[[#This Row],[Nullable in Table and in Oracle View
NULL, NOT NULL]]</f>
        <v>#N/A</v>
      </c>
      <c r="W244" s="18" t="e">
        <f>VLOOKUP(B244,Table!A$2:H$228,6,FALSE)=Table14[[#This Row],[Business Definition (To go into comments and into Meta Data Hub)]]</f>
        <v>#N/A</v>
      </c>
      <c r="X244" s="18" t="e">
        <f>VLOOKUP((UPPER(SUBSTITUTE(A244," ","_"))),'[2]Consumer View'!A$2:I$329,1,FALSE)</f>
        <v>#N/A</v>
      </c>
      <c r="Y244" s="87" t="s">
        <v>68</v>
      </c>
      <c r="Z244" s="87" t="s">
        <v>1275</v>
      </c>
      <c r="AA244" s="101" t="s">
        <v>1276</v>
      </c>
      <c r="AB244" s="87" t="s">
        <v>62</v>
      </c>
      <c r="AC244" s="87" t="s">
        <v>63</v>
      </c>
      <c r="AD244" s="18" t="s">
        <v>1277</v>
      </c>
      <c r="AE244" s="46" t="s">
        <v>1278</v>
      </c>
      <c r="AF244" s="18"/>
      <c r="AG244" s="18"/>
      <c r="AH244" s="18" t="s">
        <v>71</v>
      </c>
    </row>
    <row r="245" spans="1:34" ht="27" customHeight="1">
      <c r="A245" s="51" t="s">
        <v>1279</v>
      </c>
      <c r="B245" s="18" t="s">
        <v>1280</v>
      </c>
      <c r="C245" s="18"/>
      <c r="D245" s="18" t="s">
        <v>101</v>
      </c>
      <c r="E245" s="18" t="s">
        <v>63</v>
      </c>
      <c r="F245" s="87" t="s">
        <v>133</v>
      </c>
      <c r="G245" s="45" t="s">
        <v>63</v>
      </c>
      <c r="H245" s="46" t="s">
        <v>1281</v>
      </c>
      <c r="I245" s="18"/>
      <c r="J245" s="87" t="s">
        <v>67</v>
      </c>
      <c r="K245" s="18"/>
      <c r="L245" s="18" t="s">
        <v>1267</v>
      </c>
      <c r="M245" s="18" t="s">
        <v>1268</v>
      </c>
      <c r="N245" s="87" t="s">
        <v>345</v>
      </c>
      <c r="O245" s="18" t="b">
        <f>VLOOKUP(A245,[1]Model!C$2:J$559,2,FALSE)=B245</f>
        <v>1</v>
      </c>
      <c r="P245" s="18" t="e">
        <f>VLOOKUP(A245,Model!C$2:G$208,5,FALSE)=D245</f>
        <v>#N/A</v>
      </c>
      <c r="Q245" s="18" t="e">
        <f>VLOOKUP(A245,[2]Model!C$2:L$228,8,FALSE)</f>
        <v>#N/A</v>
      </c>
      <c r="R245" s="18" t="e">
        <f>VLOOKUP(A245,[2]Model!C$2:G$228,3,FALSE)=[3]!Table14[[#This Row],[Business Definition (To go into comments and into Meta Data Hub)]]</f>
        <v>#N/A</v>
      </c>
      <c r="S245" s="18" t="e">
        <f>IF([3]!Table14[[#This Row],[Nullable in Table and in Oracle View
NULL, NOT NULL]]="No","NOT NULL","NULL")=VLOOKUP(A245,[2]Model!C$2:I$228,6,FALSE)</f>
        <v>#REF!</v>
      </c>
      <c r="T245" s="18" t="e">
        <f>VLOOKUP(B245,[2]Table!A$2:F$415,1,FALSE)=[3]!Table14[[#This Row],[Physical Name of Attribute (Name of column in Table)
Supplied by DA Team]]</f>
        <v>#N/A</v>
      </c>
      <c r="U245" s="18" t="e">
        <f>VLOOKUP(B245,Table!A$2:F$319,2,FALSE)=Table14[[#This Row],[Data type in Oracle
VARCHAR2(n), DATE, NUMBER(m,n), TIMETSTAMP(6)]]</f>
        <v>#N/A</v>
      </c>
      <c r="V245" s="18" t="e">
        <f>VLOOKUP(B245,Table!A$2:F$231,3,FALSE)=Table14[[#This Row],[Nullable in Table and in Oracle View
NULL, NOT NULL]]</f>
        <v>#N/A</v>
      </c>
      <c r="W245" s="18" t="e">
        <f>VLOOKUP(B245,Table!A$2:H$228,6,FALSE)=Table14[[#This Row],[Business Definition (To go into comments and into Meta Data Hub)]]</f>
        <v>#N/A</v>
      </c>
      <c r="X245" s="18" t="e">
        <f>VLOOKUP((UPPER(SUBSTITUTE(A245," ","_"))),'[2]Consumer View'!A$2:I$329,1,FALSE)</f>
        <v>#N/A</v>
      </c>
      <c r="Y245" s="87" t="s">
        <v>68</v>
      </c>
      <c r="Z245" s="18" t="s">
        <v>448</v>
      </c>
      <c r="AA245" s="100" t="s">
        <v>1269</v>
      </c>
      <c r="AB245" s="18" t="s">
        <v>101</v>
      </c>
      <c r="AC245" s="18" t="s">
        <v>63</v>
      </c>
      <c r="AD245" s="18" t="s">
        <v>839</v>
      </c>
      <c r="AE245" s="46" t="s">
        <v>1270</v>
      </c>
      <c r="AF245" s="18"/>
      <c r="AG245" s="18"/>
      <c r="AH245" s="18" t="s">
        <v>71</v>
      </c>
    </row>
    <row r="246" spans="1:34" ht="27" customHeight="1">
      <c r="A246" s="51" t="s">
        <v>1282</v>
      </c>
      <c r="B246" s="18" t="s">
        <v>1283</v>
      </c>
      <c r="C246" s="18" t="s">
        <v>1284</v>
      </c>
      <c r="D246" s="18" t="s">
        <v>62</v>
      </c>
      <c r="E246" s="18" t="s">
        <v>63</v>
      </c>
      <c r="F246" s="18" t="s">
        <v>64</v>
      </c>
      <c r="G246" s="45" t="s">
        <v>63</v>
      </c>
      <c r="H246" s="46" t="s">
        <v>1285</v>
      </c>
      <c r="I246" s="18"/>
      <c r="J246" s="18" t="s">
        <v>67</v>
      </c>
      <c r="K246" s="18"/>
      <c r="L246" s="18" t="s">
        <v>1267</v>
      </c>
      <c r="M246" s="18" t="s">
        <v>1268</v>
      </c>
      <c r="N246" s="18" t="s">
        <v>345</v>
      </c>
      <c r="O246" s="18" t="b">
        <f>VLOOKUP(A246,[1]Model!C$2:J$559,2,FALSE)=B246</f>
        <v>1</v>
      </c>
      <c r="P246" s="18" t="e">
        <f>VLOOKUP(A246,Model!C$2:G$208,5,FALSE)=D246</f>
        <v>#N/A</v>
      </c>
      <c r="Q246" s="18" t="e">
        <f>VLOOKUP(A246,[2]Model!C$2:L$228,8,FALSE)</f>
        <v>#N/A</v>
      </c>
      <c r="R246" s="18" t="e">
        <f>VLOOKUP(A246,[2]Model!C$2:G$228,3,FALSE)=[3]!Table14[[#This Row],[Business Definition (To go into comments and into Meta Data Hub)]]</f>
        <v>#N/A</v>
      </c>
      <c r="S246" s="18" t="e">
        <f>IF([3]!Table14[[#This Row],[Nullable in Table and in Oracle View
NULL, NOT NULL]]="No","NOT NULL","NULL")=VLOOKUP(A246,[2]Model!C$2:I$228,6,FALSE)</f>
        <v>#REF!</v>
      </c>
      <c r="T246" s="18" t="e">
        <f>VLOOKUP(B246,[2]Table!A$2:F$415,1,FALSE)=[3]!Table14[[#This Row],[Physical Name of Attribute (Name of column in Table)
Supplied by DA Team]]</f>
        <v>#N/A</v>
      </c>
      <c r="U246" s="18" t="e">
        <f>VLOOKUP(B246,Table!A$2:F$319,2,FALSE)=Table14[[#This Row],[Data type in Oracle
VARCHAR2(n), DATE, NUMBER(m,n), TIMETSTAMP(6)]]</f>
        <v>#N/A</v>
      </c>
      <c r="V246" s="18" t="e">
        <f>VLOOKUP(B246,Table!A$2:F$231,3,FALSE)=Table14[[#This Row],[Nullable in Table and in Oracle View
NULL, NOT NULL]]</f>
        <v>#N/A</v>
      </c>
      <c r="W246" s="18" t="e">
        <f>VLOOKUP(B246,Table!A$2:H$228,6,FALSE)=Table14[[#This Row],[Business Definition (To go into comments and into Meta Data Hub)]]</f>
        <v>#N/A</v>
      </c>
      <c r="X246" s="18" t="e">
        <f>VLOOKUP((UPPER(SUBSTITUTE(A246," ","_"))),'[2]Consumer View'!A$2:I$329,1,FALSE)</f>
        <v>#N/A</v>
      </c>
      <c r="Y246" s="18" t="s">
        <v>68</v>
      </c>
      <c r="Z246" s="18" t="s">
        <v>1275</v>
      </c>
      <c r="AA246" s="100" t="s">
        <v>1276</v>
      </c>
      <c r="AB246" s="18" t="s">
        <v>62</v>
      </c>
      <c r="AC246" s="18" t="s">
        <v>63</v>
      </c>
      <c r="AD246" s="18" t="s">
        <v>1286</v>
      </c>
      <c r="AE246" s="46" t="s">
        <v>1278</v>
      </c>
      <c r="AF246" s="18"/>
      <c r="AG246" s="18"/>
      <c r="AH246" s="18" t="s">
        <v>71</v>
      </c>
    </row>
    <row r="247" spans="1:34" ht="27" customHeight="1">
      <c r="A247" s="94" t="s">
        <v>1287</v>
      </c>
      <c r="B247" s="87" t="s">
        <v>1288</v>
      </c>
      <c r="C247" s="87" t="s">
        <v>1287</v>
      </c>
      <c r="D247" s="87" t="s">
        <v>559</v>
      </c>
      <c r="E247" s="18" t="s">
        <v>63</v>
      </c>
      <c r="F247" s="87" t="s">
        <v>560</v>
      </c>
      <c r="G247" s="89" t="s">
        <v>63</v>
      </c>
      <c r="H247" s="83" t="s">
        <v>1289</v>
      </c>
      <c r="I247" s="87"/>
      <c r="J247" s="87" t="s">
        <v>67</v>
      </c>
      <c r="K247" s="87"/>
      <c r="L247" s="18">
        <v>2115841</v>
      </c>
      <c r="M247" s="18">
        <v>2115841</v>
      </c>
      <c r="N247" s="87" t="s">
        <v>63</v>
      </c>
      <c r="O247" s="87" t="b">
        <f>VLOOKUP(A247,[1]Model!C$2:J$559,2,FALSE)=B247</f>
        <v>1</v>
      </c>
      <c r="P247" s="87" t="e">
        <f>VLOOKUP(A247,Model!C$2:G$208,5,FALSE)=D247</f>
        <v>#N/A</v>
      </c>
      <c r="Q247" s="87" t="e">
        <f>VLOOKUP(A247,[2]Model!C$2:L$228,8,FALSE)</f>
        <v>#N/A</v>
      </c>
      <c r="R247" s="87" t="e">
        <f>VLOOKUP(A247,[2]Model!C$2:G$228,3,FALSE)=[3]!Table14[[#This Row],[Business Definition (To go into comments and into Meta Data Hub)]]</f>
        <v>#N/A</v>
      </c>
      <c r="S247" s="87" t="e">
        <f>IF([3]!Table14[[#This Row],[Nullable in Table and in Oracle View
NULL, NOT NULL]]="No","NOT NULL","NULL")=VLOOKUP(A247,[2]Model!C$2:I$228,6,FALSE)</f>
        <v>#REF!</v>
      </c>
      <c r="T247" s="88" t="e">
        <f>VLOOKUP(B247,[2]Table!A$2:F$415,1,FALSE)=[3]!Table14[[#This Row],[Physical Name of Attribute (Name of column in Table)
Supplied by DA Team]]</f>
        <v>#N/A</v>
      </c>
      <c r="U247" s="88" t="e">
        <f>VLOOKUP(B247,Table!A$2:F$319,2,FALSE)=Table14[[#This Row],[Data type in Oracle
VARCHAR2(n), DATE, NUMBER(m,n), TIMETSTAMP(6)]]</f>
        <v>#N/A</v>
      </c>
      <c r="V247" s="88" t="e">
        <f>VLOOKUP(B247,Table!A$2:F$231,3,FALSE)=Table14[[#This Row],[Nullable in Table and in Oracle View
NULL, NOT NULL]]</f>
        <v>#N/A</v>
      </c>
      <c r="W247" s="88" t="e">
        <f>VLOOKUP(B247,Table!A$2:H$228,6,FALSE)=Table14[[#This Row],[Business Definition (To go into comments and into Meta Data Hub)]]</f>
        <v>#N/A</v>
      </c>
      <c r="X247" s="88" t="e">
        <f>VLOOKUP((UPPER(SUBSTITUTE(A247," ","_"))),'[2]Consumer View'!A$2:I$329,1,FALSE)</f>
        <v>#N/A</v>
      </c>
      <c r="Y247" s="18" t="s">
        <v>68</v>
      </c>
      <c r="Z247" s="87" t="s">
        <v>375</v>
      </c>
      <c r="AA247" s="87" t="s">
        <v>1290</v>
      </c>
      <c r="AB247" s="87" t="s">
        <v>1291</v>
      </c>
      <c r="AC247" s="18" t="s">
        <v>63</v>
      </c>
      <c r="AD247" s="87" t="s">
        <v>1292</v>
      </c>
      <c r="AE247" s="83"/>
      <c r="AF247" s="87"/>
      <c r="AG247" s="18"/>
      <c r="AH247" s="18" t="s">
        <v>71</v>
      </c>
    </row>
    <row r="248" spans="1:34" ht="27" customHeight="1">
      <c r="A248" s="94" t="s">
        <v>1293</v>
      </c>
      <c r="B248" s="87" t="s">
        <v>1294</v>
      </c>
      <c r="C248" s="87" t="s">
        <v>1295</v>
      </c>
      <c r="D248" s="87" t="s">
        <v>559</v>
      </c>
      <c r="E248" s="87" t="s">
        <v>63</v>
      </c>
      <c r="F248" s="87" t="s">
        <v>560</v>
      </c>
      <c r="G248" s="89" t="s">
        <v>63</v>
      </c>
      <c r="H248" s="83" t="s">
        <v>1296</v>
      </c>
      <c r="I248" s="87"/>
      <c r="J248" s="87" t="s">
        <v>67</v>
      </c>
      <c r="K248" s="87"/>
      <c r="L248" s="18">
        <v>2115841</v>
      </c>
      <c r="M248" s="18">
        <v>2115841</v>
      </c>
      <c r="N248" s="87" t="s">
        <v>63</v>
      </c>
      <c r="O248" s="87" t="b">
        <f>VLOOKUP(A248,[1]Model!C$2:J$559,2,FALSE)=B248</f>
        <v>1</v>
      </c>
      <c r="P248" s="87" t="e">
        <f>VLOOKUP(A248,Model!C$2:G$208,5,FALSE)=D248</f>
        <v>#N/A</v>
      </c>
      <c r="Q248" s="87" t="e">
        <f>VLOOKUP(A248,[2]Model!C$2:L$228,8,FALSE)</f>
        <v>#N/A</v>
      </c>
      <c r="R248" s="87" t="e">
        <f>VLOOKUP(A248,[2]Model!C$2:G$228,3,FALSE)=[3]!Table14[[#This Row],[Business Definition (To go into comments and into Meta Data Hub)]]</f>
        <v>#N/A</v>
      </c>
      <c r="S248" s="87" t="e">
        <f>IF([3]!Table14[[#This Row],[Nullable in Table and in Oracle View
NULL, NOT NULL]]="No","NOT NULL","NULL")=VLOOKUP(A248,[2]Model!C$2:I$228,6,FALSE)</f>
        <v>#REF!</v>
      </c>
      <c r="T248" s="88" t="e">
        <f>VLOOKUP(B248,[2]Table!A$2:F$415,1,FALSE)=[3]!Table14[[#This Row],[Physical Name of Attribute (Name of column in Table)
Supplied by DA Team]]</f>
        <v>#N/A</v>
      </c>
      <c r="U248" s="88" t="e">
        <f>VLOOKUP(B248,Table!A$2:F$319,2,FALSE)=Table14[[#This Row],[Data type in Oracle
VARCHAR2(n), DATE, NUMBER(m,n), TIMETSTAMP(6)]]</f>
        <v>#N/A</v>
      </c>
      <c r="V248" s="88" t="e">
        <f>VLOOKUP(B248,Table!A$2:F$231,3,FALSE)=Table14[[#This Row],[Nullable in Table and in Oracle View
NULL, NOT NULL]]</f>
        <v>#N/A</v>
      </c>
      <c r="W248" s="88" t="e">
        <f>VLOOKUP(B248,Table!A$2:H$228,6,FALSE)=Table14[[#This Row],[Business Definition (To go into comments and into Meta Data Hub)]]</f>
        <v>#N/A</v>
      </c>
      <c r="X248" s="88" t="e">
        <f>VLOOKUP((UPPER(SUBSTITUTE(A248," ","_"))),'[2]Consumer View'!A$2:I$329,1,FALSE)</f>
        <v>#N/A</v>
      </c>
      <c r="Y248" s="87" t="s">
        <v>68</v>
      </c>
      <c r="Z248" s="87" t="s">
        <v>375</v>
      </c>
      <c r="AA248" s="103" t="s">
        <v>1297</v>
      </c>
      <c r="AB248" s="87" t="s">
        <v>1291</v>
      </c>
      <c r="AC248" s="87" t="s">
        <v>63</v>
      </c>
      <c r="AD248" s="87" t="s">
        <v>1292</v>
      </c>
      <c r="AE248" s="83"/>
      <c r="AF248" s="87"/>
      <c r="AG248" s="18"/>
      <c r="AH248" s="18" t="s">
        <v>71</v>
      </c>
    </row>
    <row r="249" spans="1:34" ht="27" customHeight="1">
      <c r="A249" s="51" t="s">
        <v>1298</v>
      </c>
      <c r="B249" s="18" t="s">
        <v>1299</v>
      </c>
      <c r="C249" s="18" t="s">
        <v>1300</v>
      </c>
      <c r="D249" s="18" t="s">
        <v>82</v>
      </c>
      <c r="E249" s="18" t="s">
        <v>63</v>
      </c>
      <c r="F249" s="18" t="s">
        <v>1301</v>
      </c>
      <c r="G249" s="45" t="s">
        <v>63</v>
      </c>
      <c r="H249" s="46" t="s">
        <v>1302</v>
      </c>
      <c r="I249" s="18"/>
      <c r="J249" s="18" t="s">
        <v>67</v>
      </c>
      <c r="K249" s="18"/>
      <c r="L249" s="18">
        <v>2115841</v>
      </c>
      <c r="M249" s="18">
        <v>2115841</v>
      </c>
      <c r="N249" s="18" t="s">
        <v>63</v>
      </c>
      <c r="O249" s="18" t="b">
        <f>VLOOKUP(A249,[1]Model!C$2:J$559,2,FALSE)=B249</f>
        <v>1</v>
      </c>
      <c r="P249" s="18" t="e">
        <f>VLOOKUP(A249,Model!C$2:G$208,5,FALSE)=D249</f>
        <v>#N/A</v>
      </c>
      <c r="Q249" s="18" t="e">
        <f>VLOOKUP(A249,[2]Model!C$2:L$228,8,FALSE)</f>
        <v>#N/A</v>
      </c>
      <c r="R249" s="18" t="e">
        <f>VLOOKUP(A249,[2]Model!C$2:G$228,3,FALSE)=[3]!Table14[[#This Row],[Business Definition (To go into comments and into Meta Data Hub)]]</f>
        <v>#N/A</v>
      </c>
      <c r="S249" s="18" t="e">
        <f>IF([3]!Table14[[#This Row],[Nullable in Table and in Oracle View
NULL, NOT NULL]]="No","NOT NULL","NULL")=VLOOKUP(A249,[2]Model!C$2:I$228,6,FALSE)</f>
        <v>#REF!</v>
      </c>
      <c r="T249" s="58" t="e">
        <f>VLOOKUP(B249,[2]Table!A$2:F$415,1,FALSE)=[3]!Table14[[#This Row],[Physical Name of Attribute (Name of column in Table)
Supplied by DA Team]]</f>
        <v>#N/A</v>
      </c>
      <c r="U249" s="58" t="e">
        <f>VLOOKUP(B249,Table!A$2:F$319,2,FALSE)=Table14[[#This Row],[Data type in Oracle
VARCHAR2(n), DATE, NUMBER(m,n), TIMETSTAMP(6)]]</f>
        <v>#N/A</v>
      </c>
      <c r="V249" s="58" t="e">
        <f>VLOOKUP(B249,Table!A$2:F$231,3,FALSE)=Table14[[#This Row],[Nullable in Table and in Oracle View
NULL, NOT NULL]]</f>
        <v>#N/A</v>
      </c>
      <c r="W249" s="58" t="e">
        <f>VLOOKUP(B249,Table!A$2:H$228,6,FALSE)=Table14[[#This Row],[Business Definition (To go into comments and into Meta Data Hub)]]</f>
        <v>#N/A</v>
      </c>
      <c r="X249" s="58" t="e">
        <f>VLOOKUP((UPPER(SUBSTITUTE(A249," ","_"))),'[2]Consumer View'!A$2:I$329,1,FALSE)</f>
        <v>#N/A</v>
      </c>
      <c r="Y249" s="18" t="s">
        <v>68</v>
      </c>
      <c r="Z249" s="18" t="s">
        <v>375</v>
      </c>
      <c r="AA249" s="104" t="s">
        <v>1303</v>
      </c>
      <c r="AB249" s="18" t="s">
        <v>1263</v>
      </c>
      <c r="AC249" s="18" t="s">
        <v>63</v>
      </c>
      <c r="AD249" s="87" t="s">
        <v>1292</v>
      </c>
      <c r="AE249" s="46" t="s">
        <v>1304</v>
      </c>
      <c r="AF249" s="18"/>
      <c r="AG249" s="18"/>
      <c r="AH249" s="18" t="s">
        <v>71</v>
      </c>
    </row>
    <row r="250" spans="1:34" ht="27" customHeight="1">
      <c r="A250" s="51" t="s">
        <v>1305</v>
      </c>
      <c r="B250" s="51" t="s">
        <v>1306</v>
      </c>
      <c r="C250" s="51" t="s">
        <v>1307</v>
      </c>
      <c r="D250" s="115" t="s">
        <v>62</v>
      </c>
      <c r="E250" s="115" t="s">
        <v>63</v>
      </c>
      <c r="F250" s="115" t="s">
        <v>64</v>
      </c>
      <c r="G250" s="115" t="s">
        <v>63</v>
      </c>
      <c r="H250" s="52" t="s">
        <v>1308</v>
      </c>
      <c r="I250" s="115"/>
      <c r="J250" s="51" t="s">
        <v>1309</v>
      </c>
      <c r="K250" s="18"/>
      <c r="L250" s="110">
        <v>2674782</v>
      </c>
      <c r="M250" s="110">
        <v>2674782</v>
      </c>
      <c r="N250" s="18"/>
      <c r="O250" s="18" t="b">
        <f>VLOOKUP(A250,[1]Model!C$2:J$559,2,FALSE)=B250</f>
        <v>1</v>
      </c>
      <c r="P250" s="18" t="e">
        <f>VLOOKUP(A250,[2]Model!C$2:G$208,5,FALSE)=D250</f>
        <v>#N/A</v>
      </c>
      <c r="Q250" s="18" t="e">
        <f>VLOOKUP(A250,[2]Model!C$2:L$228,8,FALSE)</f>
        <v>#N/A</v>
      </c>
      <c r="R250" s="18" t="e">
        <f>VLOOKUP(A250,[2]Model!C$2:G$228,3,FALSE)=[3]!Table14[[#This Row],[Business Definition (To go into comments and into Meta Data Hub)]]</f>
        <v>#N/A</v>
      </c>
      <c r="S250" s="18" t="e">
        <f>IF([3]!Table14[[#This Row],[Nullable in Table and in Oracle View
NULL, NOT NULL]]="No","NOT NULL","NULL")=VLOOKUP(A250,[2]Model!C$2:I$228,6,FALSE)</f>
        <v>#REF!</v>
      </c>
      <c r="T250" s="58" t="e">
        <f>VLOOKUP(B250,[2]Table!A$2:F$415,1,FALSE)=[3]!Table14[[#This Row],[Physical Name of Attribute (Name of column in Table)
Supplied by DA Team]]</f>
        <v>#N/A</v>
      </c>
      <c r="U250" s="58" t="e">
        <f>VLOOKUP(B250,[2]Table!A$2:F$319,2,FALSE)=[4]!Table14[[#This Row],[Data type in Oracle
VARCHAR2(n), DATE, NUMBER(m,n), TIMETSTAMP(6)]]</f>
        <v>#N/A</v>
      </c>
      <c r="V250" s="58" t="e">
        <f>VLOOKUP(B250,[2]Table!A$2:F$231,3,FALSE)=[4]!Table14[[#This Row],[Nullable in Table and in Oracle View
NULL, NOT NULL]]</f>
        <v>#N/A</v>
      </c>
      <c r="W250" s="58" t="e">
        <f>VLOOKUP(B250,[2]Table!A$2:H$228,6,FALSE)=[4]!Table14[[#This Row],[Business Definition (To go into comments and into Meta Data Hub)]]</f>
        <v>#N/A</v>
      </c>
      <c r="X250" s="58" t="e">
        <f>VLOOKUP((UPPER(SUBSTITUTE(A250," ","_"))),'[2]Consumer View'!A$2:I$329,1,FALSE)</f>
        <v>#N/A</v>
      </c>
      <c r="Y250" s="51" t="s">
        <v>173</v>
      </c>
      <c r="Z250" s="51" t="s">
        <v>1310</v>
      </c>
      <c r="AA250" s="51" t="s">
        <v>1311</v>
      </c>
      <c r="AB250" s="18"/>
      <c r="AC250" s="18"/>
      <c r="AD250" s="18" t="s">
        <v>1312</v>
      </c>
      <c r="AE250" s="46"/>
      <c r="AF250" s="18"/>
      <c r="AG250" s="18" t="s">
        <v>1313</v>
      </c>
      <c r="AH250" s="18" t="s">
        <v>178</v>
      </c>
    </row>
    <row r="251" spans="1:34" ht="27" customHeight="1">
      <c r="A251" s="51" t="s">
        <v>1314</v>
      </c>
      <c r="B251" s="51" t="s">
        <v>1315</v>
      </c>
      <c r="C251" s="51" t="s">
        <v>1316</v>
      </c>
      <c r="D251" s="18" t="s">
        <v>139</v>
      </c>
      <c r="E251" s="18" t="s">
        <v>63</v>
      </c>
      <c r="F251" s="18" t="s">
        <v>140</v>
      </c>
      <c r="G251" s="45" t="s">
        <v>63</v>
      </c>
      <c r="H251" s="46" t="s">
        <v>1317</v>
      </c>
      <c r="I251" s="18"/>
      <c r="J251" s="115" t="s">
        <v>1309</v>
      </c>
      <c r="K251" s="18"/>
      <c r="L251" s="110">
        <v>2674782</v>
      </c>
      <c r="M251" s="110">
        <v>2674782</v>
      </c>
      <c r="N251" s="18"/>
      <c r="O251" s="18" t="b">
        <f>VLOOKUP(A251,[1]Model!C$2:J$559,2,FALSE)=B251</f>
        <v>1</v>
      </c>
      <c r="P251" s="18" t="e">
        <f>VLOOKUP(A251,[2]Model!C$2:G$208,5,FALSE)=D251</f>
        <v>#N/A</v>
      </c>
      <c r="Q251" s="18" t="e">
        <f>VLOOKUP(A251,[2]Model!C$2:L$228,8,FALSE)</f>
        <v>#N/A</v>
      </c>
      <c r="R251" s="18" t="e">
        <f>VLOOKUP(A251,[2]Model!C$2:G$228,3,FALSE)=[3]!Table14[[#This Row],[Business Definition (To go into comments and into Meta Data Hub)]]</f>
        <v>#N/A</v>
      </c>
      <c r="S251" s="18" t="e">
        <f>IF([3]!Table14[[#This Row],[Nullable in Table and in Oracle View
NULL, NOT NULL]]="No","NOT NULL","NULL")=VLOOKUP(A251,[2]Model!C$2:I$228,6,FALSE)</f>
        <v>#REF!</v>
      </c>
      <c r="T251" s="58" t="e">
        <f>VLOOKUP(B251,[2]Table!A$2:F$415,1,FALSE)=[3]!Table14[[#This Row],[Physical Name of Attribute (Name of column in Table)
Supplied by DA Team]]</f>
        <v>#N/A</v>
      </c>
      <c r="U251" s="58" t="e">
        <f>VLOOKUP(B251,[2]Table!A$2:F$319,2,FALSE)=[4]!Table14[[#This Row],[Data type in Oracle
VARCHAR2(n), DATE, NUMBER(m,n), TIMETSTAMP(6)]]</f>
        <v>#N/A</v>
      </c>
      <c r="V251" s="58" t="e">
        <f>VLOOKUP(B251,[2]Table!A$2:F$231,3,FALSE)=[4]!Table14[[#This Row],[Nullable in Table and in Oracle View
NULL, NOT NULL]]</f>
        <v>#N/A</v>
      </c>
      <c r="W251" s="58" t="e">
        <f>VLOOKUP(B251,[2]Table!A$2:H$228,6,FALSE)=[4]!Table14[[#This Row],[Business Definition (To go into comments and into Meta Data Hub)]]</f>
        <v>#N/A</v>
      </c>
      <c r="X251" s="58" t="e">
        <f>VLOOKUP((UPPER(SUBSTITUTE(A251," ","_"))),'[2]Consumer View'!A$2:I$329,1,FALSE)</f>
        <v>#N/A</v>
      </c>
      <c r="Y251" s="51" t="s">
        <v>68</v>
      </c>
      <c r="Z251" s="51" t="s">
        <v>113</v>
      </c>
      <c r="AA251" s="51" t="s">
        <v>143</v>
      </c>
      <c r="AB251" s="18"/>
      <c r="AC251" s="18"/>
      <c r="AD251" s="51" t="s">
        <v>1318</v>
      </c>
      <c r="AE251" s="46"/>
      <c r="AF251" s="18"/>
      <c r="AG251" s="18"/>
      <c r="AH251" s="18" t="s">
        <v>1319</v>
      </c>
    </row>
    <row r="252" spans="1:34" ht="27" customHeight="1">
      <c r="A252" s="51" t="s">
        <v>1320</v>
      </c>
      <c r="B252" s="51" t="s">
        <v>1321</v>
      </c>
      <c r="C252" s="51" t="s">
        <v>1322</v>
      </c>
      <c r="D252" s="18" t="s">
        <v>157</v>
      </c>
      <c r="E252" s="18" t="s">
        <v>63</v>
      </c>
      <c r="F252" s="51" t="s">
        <v>1323</v>
      </c>
      <c r="G252" s="45" t="s">
        <v>63</v>
      </c>
      <c r="H252" s="46"/>
      <c r="I252" s="18"/>
      <c r="J252" s="115" t="s">
        <v>1309</v>
      </c>
      <c r="K252" s="18"/>
      <c r="L252" s="110">
        <v>2674782</v>
      </c>
      <c r="M252" s="110">
        <v>2674782</v>
      </c>
      <c r="N252" s="18"/>
      <c r="O252" s="18" t="b">
        <f>VLOOKUP(A252,[1]Model!C$2:J$559,2,FALSE)=B252</f>
        <v>1</v>
      </c>
      <c r="P252" s="18" t="e">
        <f>VLOOKUP(A252,[2]Model!C$2:G$208,5,FALSE)=D252</f>
        <v>#N/A</v>
      </c>
      <c r="Q252" s="18" t="e">
        <f>VLOOKUP(A252,[2]Model!C$2:L$228,8,FALSE)</f>
        <v>#N/A</v>
      </c>
      <c r="R252" s="18" t="e">
        <f>VLOOKUP(A252,[2]Model!C$2:G$228,3,FALSE)=[3]!Table14[[#This Row],[Business Definition (To go into comments and into Meta Data Hub)]]</f>
        <v>#N/A</v>
      </c>
      <c r="S252" s="18" t="e">
        <f>IF([3]!Table14[[#This Row],[Nullable in Table and in Oracle View
NULL, NOT NULL]]="No","NOT NULL","NULL")=VLOOKUP(A252,[2]Model!C$2:I$228,6,FALSE)</f>
        <v>#REF!</v>
      </c>
      <c r="T252" s="58" t="e">
        <f>VLOOKUP(B252,[2]Table!A$2:F$415,1,FALSE)=[3]!Table14[[#This Row],[Physical Name of Attribute (Name of column in Table)
Supplied by DA Team]]</f>
        <v>#N/A</v>
      </c>
      <c r="U252" s="58" t="e">
        <f>VLOOKUP(B252,[2]Table!A$2:F$319,2,FALSE)=[4]!Table14[[#This Row],[Data type in Oracle
VARCHAR2(n), DATE, NUMBER(m,n), TIMETSTAMP(6)]]</f>
        <v>#N/A</v>
      </c>
      <c r="V252" s="58" t="e">
        <f>VLOOKUP(B252,[2]Table!A$2:F$231,3,FALSE)=[4]!Table14[[#This Row],[Nullable in Table and in Oracle View
NULL, NOT NULL]]</f>
        <v>#N/A</v>
      </c>
      <c r="W252" s="58" t="e">
        <f>VLOOKUP(B252,[2]Table!A$2:H$228,6,FALSE)=[4]!Table14[[#This Row],[Business Definition (To go into comments and into Meta Data Hub)]]</f>
        <v>#N/A</v>
      </c>
      <c r="X252" s="58" t="e">
        <f>VLOOKUP((UPPER(SUBSTITUTE(A252," ","_"))),'[2]Consumer View'!A$2:I$329,1,FALSE)</f>
        <v>#N/A</v>
      </c>
      <c r="Y252" s="51" t="s">
        <v>68</v>
      </c>
      <c r="Z252" s="18" t="s">
        <v>69</v>
      </c>
      <c r="AA252" s="18" t="s">
        <v>775</v>
      </c>
      <c r="AB252" s="18"/>
      <c r="AC252" s="18"/>
      <c r="AD252" s="52" t="s">
        <v>1324</v>
      </c>
      <c r="AE252" s="46"/>
      <c r="AF252" s="18"/>
      <c r="AG252" s="18"/>
      <c r="AH252" s="18" t="s">
        <v>71</v>
      </c>
    </row>
    <row r="253" spans="1:34" ht="27" customHeight="1">
      <c r="A253" s="51" t="s">
        <v>1325</v>
      </c>
      <c r="B253" s="51" t="s">
        <v>1326</v>
      </c>
      <c r="C253" s="51" t="s">
        <v>1327</v>
      </c>
      <c r="D253" s="116" t="s">
        <v>268</v>
      </c>
      <c r="E253" s="116" t="s">
        <v>345</v>
      </c>
      <c r="F253" s="116" t="s">
        <v>269</v>
      </c>
      <c r="G253" s="116" t="s">
        <v>345</v>
      </c>
      <c r="H253" s="46" t="s">
        <v>1328</v>
      </c>
      <c r="I253" s="18"/>
      <c r="J253" s="115" t="s">
        <v>1309</v>
      </c>
      <c r="K253" s="18"/>
      <c r="L253" s="110">
        <v>2674782</v>
      </c>
      <c r="M253" s="110">
        <v>2674782</v>
      </c>
      <c r="N253" s="18"/>
      <c r="O253" s="18" t="b">
        <f>VLOOKUP(A253,[1]Model!C$2:J$559,2,FALSE)=B253</f>
        <v>1</v>
      </c>
      <c r="P253" s="18" t="e">
        <f>VLOOKUP(A253,[2]Model!C$2:G$208,5,FALSE)=D253</f>
        <v>#N/A</v>
      </c>
      <c r="Q253" s="18" t="e">
        <f>VLOOKUP(A253,[2]Model!C$2:L$228,8,FALSE)</f>
        <v>#N/A</v>
      </c>
      <c r="R253" s="18" t="e">
        <f>VLOOKUP(A253,[2]Model!C$2:G$228,3,FALSE)=[3]!Table14[[#This Row],[Business Definition (To go into comments and into Meta Data Hub)]]</f>
        <v>#N/A</v>
      </c>
      <c r="S253" s="18" t="e">
        <f>IF([3]!Table14[[#This Row],[Nullable in Table and in Oracle View
NULL, NOT NULL]]="No","NOT NULL","NULL")=VLOOKUP(A253,[2]Model!C$2:I$228,6,FALSE)</f>
        <v>#REF!</v>
      </c>
      <c r="T253" s="58" t="e">
        <f>VLOOKUP(B253,[2]Table!A$2:F$415,1,FALSE)=[3]!Table14[[#This Row],[Physical Name of Attribute (Name of column in Table)
Supplied by DA Team]]</f>
        <v>#N/A</v>
      </c>
      <c r="U253" s="58" t="e">
        <f>VLOOKUP(B253,[2]Table!A$2:F$319,2,FALSE)=[4]!Table14[[#This Row],[Data type in Oracle
VARCHAR2(n), DATE, NUMBER(m,n), TIMETSTAMP(6)]]</f>
        <v>#N/A</v>
      </c>
      <c r="V253" s="58" t="e">
        <f>VLOOKUP(B253,[2]Table!A$2:F$231,3,FALSE)=[4]!Table14[[#This Row],[Nullable in Table and in Oracle View
NULL, NOT NULL]]</f>
        <v>#N/A</v>
      </c>
      <c r="W253" s="58" t="e">
        <f>VLOOKUP(B253,[2]Table!A$2:H$228,6,FALSE)=[4]!Table14[[#This Row],[Business Definition (To go into comments and into Meta Data Hub)]]</f>
        <v>#N/A</v>
      </c>
      <c r="X253" s="58" t="e">
        <f>VLOOKUP((UPPER(SUBSTITUTE(A253," ","_"))),'[2]Consumer View'!A$2:I$329,1,FALSE)</f>
        <v>#N/A</v>
      </c>
      <c r="Y253" s="51" t="s">
        <v>1329</v>
      </c>
      <c r="Z253" s="18" t="s">
        <v>1330</v>
      </c>
      <c r="AA253" s="18" t="s">
        <v>1331</v>
      </c>
      <c r="AB253" s="18"/>
      <c r="AC253" s="18"/>
      <c r="AD253" s="46" t="s">
        <v>1332</v>
      </c>
      <c r="AE253" s="46"/>
      <c r="AF253" s="18"/>
      <c r="AG253" s="18"/>
      <c r="AH253" s="18" t="s">
        <v>178</v>
      </c>
    </row>
    <row r="254" spans="1:34" ht="27" customHeight="1">
      <c r="A254" s="51" t="s">
        <v>1333</v>
      </c>
      <c r="B254" s="51" t="s">
        <v>1334</v>
      </c>
      <c r="C254" s="51" t="s">
        <v>1335</v>
      </c>
      <c r="D254" s="116" t="s">
        <v>1336</v>
      </c>
      <c r="E254" s="116" t="s">
        <v>63</v>
      </c>
      <c r="F254" s="116" t="s">
        <v>1337</v>
      </c>
      <c r="G254" s="116" t="s">
        <v>63</v>
      </c>
      <c r="H254" s="46" t="s">
        <v>1328</v>
      </c>
      <c r="I254" s="18"/>
      <c r="J254" s="115" t="s">
        <v>1309</v>
      </c>
      <c r="K254" s="18"/>
      <c r="L254" s="110">
        <v>2674782</v>
      </c>
      <c r="M254" s="110">
        <v>2674782</v>
      </c>
      <c r="N254" s="18"/>
      <c r="O254" s="18" t="b">
        <f>VLOOKUP(A254,[1]Model!C$2:J$559,2,FALSE)=B254</f>
        <v>1</v>
      </c>
      <c r="P254" s="18" t="e">
        <f>VLOOKUP(A254,[2]Model!C$2:G$208,5,FALSE)=D254</f>
        <v>#N/A</v>
      </c>
      <c r="Q254" s="18" t="e">
        <f>VLOOKUP(A254,[2]Model!C$2:L$228,8,FALSE)</f>
        <v>#N/A</v>
      </c>
      <c r="R254" s="18" t="e">
        <f>VLOOKUP(A254,[2]Model!C$2:G$228,3,FALSE)=[3]!Table14[[#This Row],[Business Definition (To go into comments and into Meta Data Hub)]]</f>
        <v>#N/A</v>
      </c>
      <c r="S254" s="18" t="e">
        <f>IF([3]!Table14[[#This Row],[Nullable in Table and in Oracle View
NULL, NOT NULL]]="No","NOT NULL","NULL")=VLOOKUP(A254,[2]Model!C$2:I$228,6,FALSE)</f>
        <v>#REF!</v>
      </c>
      <c r="T254" s="58" t="e">
        <f>VLOOKUP(B254,[2]Table!A$2:F$415,1,FALSE)=[3]!Table14[[#This Row],[Physical Name of Attribute (Name of column in Table)
Supplied by DA Team]]</f>
        <v>#N/A</v>
      </c>
      <c r="U254" s="58" t="e">
        <f>VLOOKUP(B254,[2]Table!A$2:F$319,2,FALSE)=[4]!Table14[[#This Row],[Data type in Oracle
VARCHAR2(n), DATE, NUMBER(m,n), TIMETSTAMP(6)]]</f>
        <v>#N/A</v>
      </c>
      <c r="V254" s="58" t="e">
        <f>VLOOKUP(B254,[2]Table!A$2:F$231,3,FALSE)=[4]!Table14[[#This Row],[Nullable in Table and in Oracle View
NULL, NOT NULL]]</f>
        <v>#N/A</v>
      </c>
      <c r="W254" s="58" t="e">
        <f>VLOOKUP(B254,[2]Table!A$2:H$228,6,FALSE)=[4]!Table14[[#This Row],[Business Definition (To go into comments and into Meta Data Hub)]]</f>
        <v>#N/A</v>
      </c>
      <c r="X254" s="58" t="e">
        <f>VLOOKUP((UPPER(SUBSTITUTE(A254," ","_"))),'[2]Consumer View'!A$2:I$329,1,FALSE)</f>
        <v>#N/A</v>
      </c>
      <c r="Y254" s="51" t="s">
        <v>1329</v>
      </c>
      <c r="Z254" s="18" t="s">
        <v>1330</v>
      </c>
      <c r="AA254" s="18" t="s">
        <v>1338</v>
      </c>
      <c r="AB254" s="18"/>
      <c r="AC254" s="18"/>
      <c r="AD254" s="46" t="s">
        <v>1339</v>
      </c>
      <c r="AE254" s="46"/>
      <c r="AF254" s="18"/>
      <c r="AG254" s="18"/>
      <c r="AH254" s="18" t="s">
        <v>178</v>
      </c>
    </row>
    <row r="255" spans="1:34" ht="27" customHeight="1">
      <c r="A255" s="51" t="s">
        <v>1340</v>
      </c>
      <c r="B255" s="51" t="s">
        <v>1341</v>
      </c>
      <c r="C255" s="51" t="s">
        <v>1342</v>
      </c>
      <c r="D255" s="18" t="s">
        <v>139</v>
      </c>
      <c r="E255" s="18" t="s">
        <v>63</v>
      </c>
      <c r="F255" s="18" t="s">
        <v>140</v>
      </c>
      <c r="G255" s="45" t="s">
        <v>63</v>
      </c>
      <c r="H255" s="46" t="s">
        <v>1343</v>
      </c>
      <c r="I255" s="18"/>
      <c r="J255" s="115" t="s">
        <v>1309</v>
      </c>
      <c r="K255" s="18"/>
      <c r="L255" s="110">
        <v>2674782</v>
      </c>
      <c r="M255" s="110">
        <v>2674782</v>
      </c>
      <c r="N255" s="18"/>
      <c r="O255" s="18" t="b">
        <f>VLOOKUP(A255,[1]Model!C$2:J$559,2,FALSE)=B255</f>
        <v>1</v>
      </c>
      <c r="P255" s="18" t="e">
        <f>VLOOKUP(A255,[2]Model!C$2:G$208,5,FALSE)=D255</f>
        <v>#N/A</v>
      </c>
      <c r="Q255" s="18" t="e">
        <f>VLOOKUP(A255,[2]Model!C$2:L$228,8,FALSE)</f>
        <v>#N/A</v>
      </c>
      <c r="R255" s="18" t="e">
        <f>VLOOKUP(A255,[2]Model!C$2:G$228,3,FALSE)=[3]!Table14[[#This Row],[Business Definition (To go into comments and into Meta Data Hub)]]</f>
        <v>#N/A</v>
      </c>
      <c r="S255" s="18" t="e">
        <f>IF([3]!Table14[[#This Row],[Nullable in Table and in Oracle View
NULL, NOT NULL]]="No","NOT NULL","NULL")=VLOOKUP(A255,[2]Model!C$2:I$228,6,FALSE)</f>
        <v>#REF!</v>
      </c>
      <c r="T255" s="58" t="e">
        <f>VLOOKUP(B255,[2]Table!A$2:F$415,1,FALSE)=[3]!Table14[[#This Row],[Physical Name of Attribute (Name of column in Table)
Supplied by DA Team]]</f>
        <v>#N/A</v>
      </c>
      <c r="U255" s="58" t="e">
        <f>VLOOKUP(B255,[2]Table!A$2:F$319,2,FALSE)=[4]!Table14[[#This Row],[Data type in Oracle
VARCHAR2(n), DATE, NUMBER(m,n), TIMETSTAMP(6)]]</f>
        <v>#N/A</v>
      </c>
      <c r="V255" s="58" t="e">
        <f>VLOOKUP(B255,[2]Table!A$2:F$231,3,FALSE)=[4]!Table14[[#This Row],[Nullable in Table and in Oracle View
NULL, NOT NULL]]</f>
        <v>#N/A</v>
      </c>
      <c r="W255" s="58" t="e">
        <f>VLOOKUP(B255,[2]Table!A$2:H$228,6,FALSE)=[4]!Table14[[#This Row],[Business Definition (To go into comments and into Meta Data Hub)]]</f>
        <v>#N/A</v>
      </c>
      <c r="X255" s="58" t="e">
        <f>VLOOKUP((UPPER(SUBSTITUTE(A255," ","_"))),'[2]Consumer View'!A$2:I$329,1,FALSE)</f>
        <v>#N/A</v>
      </c>
      <c r="Y255" s="51" t="s">
        <v>68</v>
      </c>
      <c r="Z255" s="51" t="s">
        <v>113</v>
      </c>
      <c r="AA255" s="51" t="s">
        <v>143</v>
      </c>
      <c r="AB255" s="18"/>
      <c r="AC255" s="18"/>
      <c r="AD255" s="51" t="s">
        <v>1344</v>
      </c>
      <c r="AE255" s="46"/>
      <c r="AF255" s="18"/>
      <c r="AG255" s="18"/>
      <c r="AH255" s="18" t="s">
        <v>71</v>
      </c>
    </row>
    <row r="256" spans="1:34" ht="27" customHeight="1">
      <c r="A256" s="51" t="s">
        <v>1345</v>
      </c>
      <c r="B256" s="51" t="s">
        <v>1346</v>
      </c>
      <c r="C256" s="51" t="s">
        <v>1347</v>
      </c>
      <c r="D256" s="18" t="s">
        <v>109</v>
      </c>
      <c r="E256" s="18" t="s">
        <v>63</v>
      </c>
      <c r="F256" s="18" t="s">
        <v>110</v>
      </c>
      <c r="G256" s="45" t="s">
        <v>63</v>
      </c>
      <c r="H256" s="46" t="s">
        <v>1343</v>
      </c>
      <c r="I256" s="18"/>
      <c r="J256" s="115" t="s">
        <v>1309</v>
      </c>
      <c r="K256" s="18"/>
      <c r="L256" s="110">
        <v>2674782</v>
      </c>
      <c r="M256" s="110">
        <v>2674782</v>
      </c>
      <c r="N256" s="18"/>
      <c r="O256" s="18" t="b">
        <f>VLOOKUP(A256,[1]Model!C$2:J$559,2,FALSE)=B256</f>
        <v>1</v>
      </c>
      <c r="P256" s="18" t="e">
        <f>VLOOKUP(A256,[2]Model!C$2:G$208,5,FALSE)=D256</f>
        <v>#N/A</v>
      </c>
      <c r="Q256" s="18" t="e">
        <f>VLOOKUP(A256,[2]Model!C$2:L$228,8,FALSE)</f>
        <v>#N/A</v>
      </c>
      <c r="R256" s="18" t="e">
        <f>VLOOKUP(A256,[2]Model!C$2:G$228,3,FALSE)=[3]!Table14[[#This Row],[Business Definition (To go into comments and into Meta Data Hub)]]</f>
        <v>#N/A</v>
      </c>
      <c r="S256" s="18" t="e">
        <f>IF([3]!Table14[[#This Row],[Nullable in Table and in Oracle View
NULL, NOT NULL]]="No","NOT NULL","NULL")=VLOOKUP(A256,[2]Model!C$2:I$228,6,FALSE)</f>
        <v>#REF!</v>
      </c>
      <c r="T256" s="58" t="e">
        <f>VLOOKUP(B256,[2]Table!A$2:F$415,1,FALSE)=[3]!Table14[[#This Row],[Physical Name of Attribute (Name of column in Table)
Supplied by DA Team]]</f>
        <v>#N/A</v>
      </c>
      <c r="U256" s="58" t="e">
        <f>VLOOKUP(B256,[2]Table!A$2:F$319,2,FALSE)=[4]!Table14[[#This Row],[Data type in Oracle
VARCHAR2(n), DATE, NUMBER(m,n), TIMETSTAMP(6)]]</f>
        <v>#N/A</v>
      </c>
      <c r="V256" s="58" t="e">
        <f>VLOOKUP(B256,[2]Table!A$2:F$231,3,FALSE)=[4]!Table14[[#This Row],[Nullable in Table and in Oracle View
NULL, NOT NULL]]</f>
        <v>#N/A</v>
      </c>
      <c r="W256" s="58" t="e">
        <f>VLOOKUP(B256,[2]Table!A$2:H$228,6,FALSE)=[4]!Table14[[#This Row],[Business Definition (To go into comments and into Meta Data Hub)]]</f>
        <v>#N/A</v>
      </c>
      <c r="X256" s="58" t="e">
        <f>VLOOKUP((UPPER(SUBSTITUTE(A256," ","_"))),'[2]Consumer View'!A$2:I$329,1,FALSE)</f>
        <v>#N/A</v>
      </c>
      <c r="Y256" s="51" t="s">
        <v>68</v>
      </c>
      <c r="Z256" s="51" t="s">
        <v>113</v>
      </c>
      <c r="AA256" s="51" t="s">
        <v>114</v>
      </c>
      <c r="AB256" s="18"/>
      <c r="AC256" s="18"/>
      <c r="AD256" s="51" t="s">
        <v>1348</v>
      </c>
      <c r="AE256" s="46"/>
      <c r="AF256" s="18"/>
      <c r="AG256" s="18"/>
      <c r="AH256" s="18" t="s">
        <v>71</v>
      </c>
    </row>
    <row r="257" spans="1:34" ht="27" customHeight="1">
      <c r="A257" s="51" t="s">
        <v>1349</v>
      </c>
      <c r="B257" s="51" t="s">
        <v>1350</v>
      </c>
      <c r="C257" s="51" t="s">
        <v>1351</v>
      </c>
      <c r="D257" s="18" t="s">
        <v>227</v>
      </c>
      <c r="E257" s="18" t="s">
        <v>63</v>
      </c>
      <c r="F257" s="18" t="s">
        <v>228</v>
      </c>
      <c r="G257" s="45" t="s">
        <v>63</v>
      </c>
      <c r="H257" s="46" t="s">
        <v>1352</v>
      </c>
      <c r="I257" s="18"/>
      <c r="J257" s="115" t="s">
        <v>1309</v>
      </c>
      <c r="K257" s="18"/>
      <c r="L257" s="110">
        <v>2674782</v>
      </c>
      <c r="M257" s="110">
        <v>2674782</v>
      </c>
      <c r="N257" s="18"/>
      <c r="O257" s="18" t="b">
        <f>VLOOKUP(A257,[1]Model!C$2:J$559,2,FALSE)=B257</f>
        <v>1</v>
      </c>
      <c r="P257" s="18" t="e">
        <f>VLOOKUP(A257,[2]Model!C$2:G$208,5,FALSE)=D257</f>
        <v>#N/A</v>
      </c>
      <c r="Q257" s="18" t="e">
        <f>VLOOKUP(A257,[2]Model!C$2:L$228,8,FALSE)</f>
        <v>#N/A</v>
      </c>
      <c r="R257" s="18" t="e">
        <f>VLOOKUP(A257,[2]Model!C$2:G$228,3,FALSE)=[3]!Table14[[#This Row],[Business Definition (To go into comments and into Meta Data Hub)]]</f>
        <v>#N/A</v>
      </c>
      <c r="S257" s="18" t="e">
        <f>IF([3]!Table14[[#This Row],[Nullable in Table and in Oracle View
NULL, NOT NULL]]="No","NOT NULL","NULL")=VLOOKUP(A257,[2]Model!C$2:I$228,6,FALSE)</f>
        <v>#REF!</v>
      </c>
      <c r="T257" s="58" t="e">
        <f>VLOOKUP(B257,[2]Table!A$2:F$415,1,FALSE)=[3]!Table14[[#This Row],[Physical Name of Attribute (Name of column in Table)
Supplied by DA Team]]</f>
        <v>#N/A</v>
      </c>
      <c r="U257" s="58" t="e">
        <f>VLOOKUP(B257,[2]Table!A$2:F$319,2,FALSE)=[4]!Table14[[#This Row],[Data type in Oracle
VARCHAR2(n), DATE, NUMBER(m,n), TIMETSTAMP(6)]]</f>
        <v>#N/A</v>
      </c>
      <c r="V257" s="58" t="e">
        <f>VLOOKUP(B257,[2]Table!A$2:F$231,3,FALSE)=[4]!Table14[[#This Row],[Nullable in Table and in Oracle View
NULL, NOT NULL]]</f>
        <v>#N/A</v>
      </c>
      <c r="W257" s="58" t="e">
        <f>VLOOKUP(B257,[2]Table!A$2:H$228,6,FALSE)=[4]!Table14[[#This Row],[Business Definition (To go into comments and into Meta Data Hub)]]</f>
        <v>#N/A</v>
      </c>
      <c r="X257" s="58" t="e">
        <f>VLOOKUP((UPPER(SUBSTITUTE(A257," ","_"))),'[2]Consumer View'!A$2:I$329,1,FALSE)</f>
        <v>#N/A</v>
      </c>
      <c r="Y257" s="51" t="s">
        <v>68</v>
      </c>
      <c r="Z257" s="18" t="s">
        <v>69</v>
      </c>
      <c r="AA257" s="18" t="s">
        <v>1045</v>
      </c>
      <c r="AB257" s="18"/>
      <c r="AC257" s="18"/>
      <c r="AD257" s="51" t="s">
        <v>1353</v>
      </c>
      <c r="AE257" s="46"/>
      <c r="AF257" s="18"/>
      <c r="AG257" s="18"/>
      <c r="AH257" s="18" t="s">
        <v>71</v>
      </c>
    </row>
    <row r="258" spans="1:34" ht="27" customHeight="1">
      <c r="A258" s="51" t="s">
        <v>1354</v>
      </c>
      <c r="B258" s="51" t="s">
        <v>1355</v>
      </c>
      <c r="C258" s="51" t="s">
        <v>1356</v>
      </c>
      <c r="D258" s="116" t="s">
        <v>1336</v>
      </c>
      <c r="E258" s="116" t="s">
        <v>63</v>
      </c>
      <c r="F258" s="116" t="s">
        <v>1337</v>
      </c>
      <c r="G258" s="116" t="s">
        <v>63</v>
      </c>
      <c r="H258" s="91" t="s">
        <v>1357</v>
      </c>
      <c r="I258" s="116"/>
      <c r="J258" s="115" t="s">
        <v>1309</v>
      </c>
      <c r="K258" s="18"/>
      <c r="L258" s="110">
        <v>2674782</v>
      </c>
      <c r="M258" s="110">
        <v>2674782</v>
      </c>
      <c r="N258" s="18"/>
      <c r="O258" s="18" t="b">
        <f>VLOOKUP(A258,[1]Model!C$2:J$559,2,FALSE)=B258</f>
        <v>1</v>
      </c>
      <c r="P258" s="18" t="e">
        <f>VLOOKUP(A258,[2]Model!C$2:G$208,5,FALSE)=D258</f>
        <v>#N/A</v>
      </c>
      <c r="Q258" s="18" t="e">
        <f>VLOOKUP(A258,[2]Model!C$2:L$228,8,FALSE)</f>
        <v>#N/A</v>
      </c>
      <c r="R258" s="18" t="e">
        <f>VLOOKUP(A258,[2]Model!C$2:G$228,3,FALSE)=[3]!Table14[[#This Row],[Business Definition (To go into comments and into Meta Data Hub)]]</f>
        <v>#N/A</v>
      </c>
      <c r="S258" s="18" t="e">
        <f>IF([3]!Table14[[#This Row],[Nullable in Table and in Oracle View
NULL, NOT NULL]]="No","NOT NULL","NULL")=VLOOKUP(A258,[2]Model!C$2:I$228,6,FALSE)</f>
        <v>#REF!</v>
      </c>
      <c r="T258" s="58" t="e">
        <f>VLOOKUP(B258,[2]Table!A$2:F$415,1,FALSE)=[3]!Table14[[#This Row],[Physical Name of Attribute (Name of column in Table)
Supplied by DA Team]]</f>
        <v>#N/A</v>
      </c>
      <c r="U258" s="58" t="e">
        <f>VLOOKUP(B258,[2]Table!A$2:F$319,2,FALSE)=[4]!Table14[[#This Row],[Data type in Oracle
VARCHAR2(n), DATE, NUMBER(m,n), TIMETSTAMP(6)]]</f>
        <v>#N/A</v>
      </c>
      <c r="V258" s="58" t="e">
        <f>VLOOKUP(B258,[2]Table!A$2:F$231,3,FALSE)=[4]!Table14[[#This Row],[Nullable in Table and in Oracle View
NULL, NOT NULL]]</f>
        <v>#N/A</v>
      </c>
      <c r="W258" s="58" t="e">
        <f>VLOOKUP(B258,[2]Table!A$2:H$228,6,FALSE)=[4]!Table14[[#This Row],[Business Definition (To go into comments and into Meta Data Hub)]]</f>
        <v>#N/A</v>
      </c>
      <c r="X258" s="58" t="e">
        <f>VLOOKUP((UPPER(SUBSTITUTE(A258," ","_"))),'[2]Consumer View'!A$2:I$329,1,FALSE)</f>
        <v>#N/A</v>
      </c>
      <c r="Y258" s="51" t="s">
        <v>1329</v>
      </c>
      <c r="Z258" s="18" t="s">
        <v>1330</v>
      </c>
      <c r="AA258" s="18" t="s">
        <v>1338</v>
      </c>
      <c r="AB258" s="18"/>
      <c r="AC258" s="18"/>
      <c r="AD258" s="46" t="s">
        <v>1358</v>
      </c>
      <c r="AE258" s="46"/>
      <c r="AF258" s="18"/>
      <c r="AG258" s="18"/>
      <c r="AH258" s="18" t="s">
        <v>178</v>
      </c>
    </row>
    <row r="259" spans="1:34" ht="27" customHeight="1">
      <c r="A259" s="105" t="s">
        <v>1359</v>
      </c>
      <c r="B259" s="51" t="s">
        <v>1360</v>
      </c>
      <c r="C259" s="51" t="s">
        <v>1361</v>
      </c>
      <c r="D259" s="105" t="s">
        <v>82</v>
      </c>
      <c r="E259" s="105" t="s">
        <v>63</v>
      </c>
      <c r="F259" s="105" t="s">
        <v>83</v>
      </c>
      <c r="G259" s="108" t="s">
        <v>63</v>
      </c>
      <c r="H259" s="52" t="s">
        <v>1362</v>
      </c>
      <c r="I259" s="51"/>
      <c r="J259" s="51" t="s">
        <v>1309</v>
      </c>
      <c r="K259" s="18"/>
      <c r="L259" s="110">
        <v>2674782</v>
      </c>
      <c r="M259" s="110">
        <v>2674782</v>
      </c>
      <c r="N259" s="18"/>
      <c r="O259" s="18" t="b">
        <f>VLOOKUP(A259,[1]Model!C$2:J$559,2,FALSE)=B259</f>
        <v>1</v>
      </c>
      <c r="P259" s="18" t="e">
        <f>VLOOKUP(A259,[2]Model!C$2:G$208,5,FALSE)=D259</f>
        <v>#N/A</v>
      </c>
      <c r="Q259" s="18" t="e">
        <f>VLOOKUP(A259,[2]Model!C$2:L$228,8,FALSE)</f>
        <v>#N/A</v>
      </c>
      <c r="R259" s="18" t="e">
        <f>VLOOKUP(A259,[2]Model!C$2:G$228,3,FALSE)=[3]!Table14[[#This Row],[Business Definition (To go into comments and into Meta Data Hub)]]</f>
        <v>#N/A</v>
      </c>
      <c r="S259" s="18" t="e">
        <f>IF([3]!Table14[[#This Row],[Nullable in Table and in Oracle View
NULL, NOT NULL]]="No","NOT NULL","NULL")=VLOOKUP(A259,[2]Model!C$2:I$228,6,FALSE)</f>
        <v>#REF!</v>
      </c>
      <c r="T259" s="58" t="e">
        <f>VLOOKUP(B259,[2]Table!A$2:F$415,1,FALSE)=[3]!Table14[[#This Row],[Physical Name of Attribute (Name of column in Table)
Supplied by DA Team]]</f>
        <v>#N/A</v>
      </c>
      <c r="U259" s="58" t="e">
        <f>VLOOKUP(B259,[2]Table!A$2:F$319,2,FALSE)=[4]!Table14[[#This Row],[Data type in Oracle
VARCHAR2(n), DATE, NUMBER(m,n), TIMETSTAMP(6)]]</f>
        <v>#N/A</v>
      </c>
      <c r="V259" s="58" t="e">
        <f>VLOOKUP(B259,[2]Table!A$2:F$231,3,FALSE)=[4]!Table14[[#This Row],[Nullable in Table and in Oracle View
NULL, NOT NULL]]</f>
        <v>#N/A</v>
      </c>
      <c r="W259" s="58" t="e">
        <f>VLOOKUP(B259,[2]Table!A$2:H$228,6,FALSE)=[4]!Table14[[#This Row],[Business Definition (To go into comments and into Meta Data Hub)]]</f>
        <v>#N/A</v>
      </c>
      <c r="X259" s="58" t="e">
        <f>VLOOKUP((UPPER(SUBSTITUTE(A259," ","_"))),'[2]Consumer View'!A$2:I$329,1,FALSE)</f>
        <v>#N/A</v>
      </c>
      <c r="Y259" s="51" t="s">
        <v>173</v>
      </c>
      <c r="Z259" s="51" t="s">
        <v>1310</v>
      </c>
      <c r="AA259" s="51" t="s">
        <v>1363</v>
      </c>
      <c r="AB259" s="18"/>
      <c r="AC259" s="18"/>
      <c r="AD259" s="18" t="s">
        <v>1364</v>
      </c>
      <c r="AE259" s="46"/>
      <c r="AF259" s="18"/>
      <c r="AG259" s="18" t="s">
        <v>1313</v>
      </c>
      <c r="AH259" s="18" t="s">
        <v>178</v>
      </c>
    </row>
    <row r="260" spans="1:34" ht="27" customHeight="1">
      <c r="A260" s="105" t="s">
        <v>1365</v>
      </c>
      <c r="B260" s="51" t="s">
        <v>1366</v>
      </c>
      <c r="C260" s="51" t="s">
        <v>1367</v>
      </c>
      <c r="D260" s="105" t="s">
        <v>82</v>
      </c>
      <c r="E260" s="105" t="s">
        <v>63</v>
      </c>
      <c r="F260" s="105" t="s">
        <v>83</v>
      </c>
      <c r="G260" s="108" t="s">
        <v>63</v>
      </c>
      <c r="H260" s="52" t="s">
        <v>1368</v>
      </c>
      <c r="I260" s="51"/>
      <c r="J260" s="51" t="s">
        <v>1309</v>
      </c>
      <c r="K260" s="18"/>
      <c r="L260" s="110">
        <v>2674782</v>
      </c>
      <c r="M260" s="110">
        <v>2674782</v>
      </c>
      <c r="N260" s="18"/>
      <c r="O260" s="18" t="b">
        <f>VLOOKUP(A260,[1]Model!C$2:J$559,2,FALSE)=B260</f>
        <v>1</v>
      </c>
      <c r="P260" s="18" t="e">
        <f>VLOOKUP(A260,[2]Model!C$2:G$208,5,FALSE)=D260</f>
        <v>#N/A</v>
      </c>
      <c r="Q260" s="18" t="e">
        <f>VLOOKUP(A260,[2]Model!C$2:L$228,8,FALSE)</f>
        <v>#N/A</v>
      </c>
      <c r="R260" s="18" t="e">
        <f>VLOOKUP(A260,[2]Model!C$2:G$228,3,FALSE)=[3]!Table14[[#This Row],[Business Definition (To go into comments and into Meta Data Hub)]]</f>
        <v>#N/A</v>
      </c>
      <c r="S260" s="18" t="e">
        <f>IF([3]!Table14[[#This Row],[Nullable in Table and in Oracle View
NULL, NOT NULL]]="No","NOT NULL","NULL")=VLOOKUP(A260,[2]Model!C$2:I$228,6,FALSE)</f>
        <v>#REF!</v>
      </c>
      <c r="T260" s="58" t="e">
        <f>VLOOKUP(B260,[2]Table!A$2:F$415,1,FALSE)=[3]!Table14[[#This Row],[Physical Name of Attribute (Name of column in Table)
Supplied by DA Team]]</f>
        <v>#N/A</v>
      </c>
      <c r="U260" s="58" t="e">
        <f>VLOOKUP(B260,[2]Table!A$2:F$319,2,FALSE)=[4]!Table14[[#This Row],[Data type in Oracle
VARCHAR2(n), DATE, NUMBER(m,n), TIMETSTAMP(6)]]</f>
        <v>#N/A</v>
      </c>
      <c r="V260" s="58" t="e">
        <f>VLOOKUP(B260,[2]Table!A$2:F$231,3,FALSE)=[4]!Table14[[#This Row],[Nullable in Table and in Oracle View
NULL, NOT NULL]]</f>
        <v>#N/A</v>
      </c>
      <c r="W260" s="58" t="e">
        <f>VLOOKUP(B260,[2]Table!A$2:H$228,6,FALSE)=[4]!Table14[[#This Row],[Business Definition (To go into comments and into Meta Data Hub)]]</f>
        <v>#N/A</v>
      </c>
      <c r="X260" s="58" t="e">
        <f>VLOOKUP((UPPER(SUBSTITUTE(A260," ","_"))),'[2]Consumer View'!A$2:I$329,1,FALSE)</f>
        <v>#N/A</v>
      </c>
      <c r="Y260" s="51" t="s">
        <v>173</v>
      </c>
      <c r="Z260" s="51" t="s">
        <v>1310</v>
      </c>
      <c r="AA260" s="51" t="s">
        <v>1369</v>
      </c>
      <c r="AB260" s="18"/>
      <c r="AC260" s="18"/>
      <c r="AD260" s="18" t="s">
        <v>1370</v>
      </c>
      <c r="AE260" s="46"/>
      <c r="AF260" s="18"/>
      <c r="AG260" s="18" t="s">
        <v>1313</v>
      </c>
      <c r="AH260" s="18" t="s">
        <v>178</v>
      </c>
    </row>
    <row r="261" spans="1:34" ht="27" customHeight="1">
      <c r="A261" s="105" t="s">
        <v>1371</v>
      </c>
      <c r="B261" s="51" t="s">
        <v>1372</v>
      </c>
      <c r="C261" s="51"/>
      <c r="D261" s="51" t="s">
        <v>139</v>
      </c>
      <c r="E261" s="51" t="s">
        <v>63</v>
      </c>
      <c r="F261" s="51" t="s">
        <v>140</v>
      </c>
      <c r="G261" s="108" t="s">
        <v>63</v>
      </c>
      <c r="H261" s="52" t="s">
        <v>1373</v>
      </c>
      <c r="I261" s="51"/>
      <c r="J261" s="51" t="s">
        <v>1309</v>
      </c>
      <c r="K261" s="18"/>
      <c r="L261" s="110">
        <v>2674782</v>
      </c>
      <c r="M261" s="110">
        <v>2674782</v>
      </c>
      <c r="N261" s="18"/>
      <c r="O261" s="18" t="b">
        <f>VLOOKUP(A261,[1]Model!C$2:J$559,2,FALSE)=B261</f>
        <v>1</v>
      </c>
      <c r="P261" s="18" t="e">
        <f>VLOOKUP(A261,[2]Model!C$2:G$208,5,FALSE)=D261</f>
        <v>#N/A</v>
      </c>
      <c r="Q261" s="18" t="e">
        <f>VLOOKUP(A261,[2]Model!C$2:L$228,8,FALSE)</f>
        <v>#N/A</v>
      </c>
      <c r="R261" s="18" t="e">
        <f>VLOOKUP(A261,[2]Model!C$2:G$228,3,FALSE)=[3]!Table14[[#This Row],[Business Definition (To go into comments and into Meta Data Hub)]]</f>
        <v>#N/A</v>
      </c>
      <c r="S261" s="18" t="e">
        <f>IF([3]!Table14[[#This Row],[Nullable in Table and in Oracle View
NULL, NOT NULL]]="No","NOT NULL","NULL")=VLOOKUP(A261,[2]Model!C$2:I$228,6,FALSE)</f>
        <v>#REF!</v>
      </c>
      <c r="T261" s="58" t="e">
        <f>VLOOKUP(B261,[2]Table!A$2:F$415,1,FALSE)=[3]!Table14[[#This Row],[Physical Name of Attribute (Name of column in Table)
Supplied by DA Team]]</f>
        <v>#N/A</v>
      </c>
      <c r="U261" s="58" t="e">
        <f>VLOOKUP(B261,[2]Table!A$2:F$319,2,FALSE)=[4]!Table14[[#This Row],[Data type in Oracle
VARCHAR2(n), DATE, NUMBER(m,n), TIMETSTAMP(6)]]</f>
        <v>#N/A</v>
      </c>
      <c r="V261" s="58" t="e">
        <f>VLOOKUP(B261,[2]Table!A$2:F$231,3,FALSE)=[4]!Table14[[#This Row],[Nullable in Table and in Oracle View
NULL, NOT NULL]]</f>
        <v>#N/A</v>
      </c>
      <c r="W261" s="58" t="e">
        <f>VLOOKUP(B261,[2]Table!A$2:H$228,6,FALSE)=[4]!Table14[[#This Row],[Business Definition (To go into comments and into Meta Data Hub)]]</f>
        <v>#N/A</v>
      </c>
      <c r="X261" s="58" t="e">
        <f>VLOOKUP((UPPER(SUBSTITUTE(A261," ","_"))),'[2]Consumer View'!A$2:I$329,1,FALSE)</f>
        <v>#N/A</v>
      </c>
      <c r="Y261" s="51" t="s">
        <v>173</v>
      </c>
      <c r="Z261" s="51" t="s">
        <v>1310</v>
      </c>
      <c r="AA261" s="51" t="s">
        <v>249</v>
      </c>
      <c r="AB261" s="18"/>
      <c r="AC261" s="18"/>
      <c r="AD261" s="18" t="s">
        <v>1312</v>
      </c>
      <c r="AE261" s="46"/>
      <c r="AF261" s="18"/>
      <c r="AG261" s="18" t="s">
        <v>1313</v>
      </c>
      <c r="AH261" s="18" t="s">
        <v>178</v>
      </c>
    </row>
    <row r="262" spans="1:34" ht="27" customHeight="1">
      <c r="A262" s="105" t="s">
        <v>1374</v>
      </c>
      <c r="B262" s="51" t="s">
        <v>1375</v>
      </c>
      <c r="C262" s="51" t="s">
        <v>1376</v>
      </c>
      <c r="D262" s="51" t="s">
        <v>62</v>
      </c>
      <c r="E262" s="51" t="s">
        <v>63</v>
      </c>
      <c r="F262" s="51" t="s">
        <v>64</v>
      </c>
      <c r="G262" s="108" t="s">
        <v>63</v>
      </c>
      <c r="H262" s="52" t="s">
        <v>1377</v>
      </c>
      <c r="I262" s="51"/>
      <c r="J262" s="51" t="s">
        <v>1309</v>
      </c>
      <c r="K262" s="18"/>
      <c r="L262" s="110">
        <v>2674782</v>
      </c>
      <c r="M262" s="110">
        <v>2674782</v>
      </c>
      <c r="N262" s="18"/>
      <c r="O262" s="18" t="b">
        <f>VLOOKUP(A262,[1]Model!C$2:J$559,2,FALSE)=B262</f>
        <v>1</v>
      </c>
      <c r="P262" s="18" t="e">
        <f>VLOOKUP(A262,[2]Model!C$2:G$208,5,FALSE)=D262</f>
        <v>#N/A</v>
      </c>
      <c r="Q262" s="18" t="e">
        <f>VLOOKUP(A262,[2]Model!C$2:L$228,8,FALSE)</f>
        <v>#N/A</v>
      </c>
      <c r="R262" s="18" t="e">
        <f>VLOOKUP(A262,[2]Model!C$2:G$228,3,FALSE)=[3]!Table14[[#This Row],[Business Definition (To go into comments and into Meta Data Hub)]]</f>
        <v>#N/A</v>
      </c>
      <c r="S262" s="18" t="e">
        <f>IF([3]!Table14[[#This Row],[Nullable in Table and in Oracle View
NULL, NOT NULL]]="No","NOT NULL","NULL")=VLOOKUP(A262,[2]Model!C$2:I$228,6,FALSE)</f>
        <v>#REF!</v>
      </c>
      <c r="T262" s="58" t="e">
        <f>VLOOKUP(B262,[2]Table!A$2:F$415,1,FALSE)=[3]!Table14[[#This Row],[Physical Name of Attribute (Name of column in Table)
Supplied by DA Team]]</f>
        <v>#N/A</v>
      </c>
      <c r="U262" s="58" t="e">
        <f>VLOOKUP(B262,[2]Table!A$2:F$319,2,FALSE)=[4]!Table14[[#This Row],[Data type in Oracle
VARCHAR2(n), DATE, NUMBER(m,n), TIMETSTAMP(6)]]</f>
        <v>#N/A</v>
      </c>
      <c r="V262" s="58" t="e">
        <f>VLOOKUP(B262,[2]Table!A$2:F$231,3,FALSE)=[4]!Table14[[#This Row],[Nullable in Table and in Oracle View
NULL, NOT NULL]]</f>
        <v>#N/A</v>
      </c>
      <c r="W262" s="58" t="e">
        <f>VLOOKUP(B262,[2]Table!A$2:H$228,6,FALSE)=[4]!Table14[[#This Row],[Business Definition (To go into comments and into Meta Data Hub)]]</f>
        <v>#N/A</v>
      </c>
      <c r="X262" s="58" t="e">
        <f>VLOOKUP((UPPER(SUBSTITUTE(A262," ","_"))),'[2]Consumer View'!A$2:I$329,1,FALSE)</f>
        <v>#N/A</v>
      </c>
      <c r="Y262" s="51" t="s">
        <v>173</v>
      </c>
      <c r="Z262" s="51" t="s">
        <v>1310</v>
      </c>
      <c r="AA262" s="51" t="s">
        <v>1378</v>
      </c>
      <c r="AB262" s="18"/>
      <c r="AC262" s="18"/>
      <c r="AD262" s="18" t="s">
        <v>1312</v>
      </c>
      <c r="AE262" s="46"/>
      <c r="AF262" s="18"/>
      <c r="AG262" s="18" t="s">
        <v>1313</v>
      </c>
      <c r="AH262" s="18" t="s">
        <v>178</v>
      </c>
    </row>
    <row r="263" spans="1:34" ht="27" customHeight="1">
      <c r="A263" s="105" t="s">
        <v>1379</v>
      </c>
      <c r="B263" s="51" t="s">
        <v>1380</v>
      </c>
      <c r="C263" s="51" t="s">
        <v>1381</v>
      </c>
      <c r="D263" s="51" t="s">
        <v>617</v>
      </c>
      <c r="E263" s="51" t="s">
        <v>63</v>
      </c>
      <c r="F263" s="51" t="s">
        <v>618</v>
      </c>
      <c r="G263" s="108" t="s">
        <v>63</v>
      </c>
      <c r="H263" s="52" t="s">
        <v>1382</v>
      </c>
      <c r="I263" s="51"/>
      <c r="J263" s="51" t="s">
        <v>1309</v>
      </c>
      <c r="K263" s="18"/>
      <c r="L263" s="110">
        <v>2674782</v>
      </c>
      <c r="M263" s="110">
        <v>2674782</v>
      </c>
      <c r="N263" s="18"/>
      <c r="O263" s="18" t="b">
        <f>VLOOKUP(A263,[1]Model!C$2:J$559,2,FALSE)=B263</f>
        <v>1</v>
      </c>
      <c r="P263" s="18" t="e">
        <f>VLOOKUP(A263,[2]Model!C$2:G$208,5,FALSE)=D263</f>
        <v>#N/A</v>
      </c>
      <c r="Q263" s="18" t="e">
        <f>VLOOKUP(A263,[2]Model!C$2:L$228,8,FALSE)</f>
        <v>#N/A</v>
      </c>
      <c r="R263" s="18" t="e">
        <f>VLOOKUP(A263,[2]Model!C$2:G$228,3,FALSE)=[3]!Table14[[#This Row],[Business Definition (To go into comments and into Meta Data Hub)]]</f>
        <v>#N/A</v>
      </c>
      <c r="S263" s="18" t="e">
        <f>IF([3]!Table14[[#This Row],[Nullable in Table and in Oracle View
NULL, NOT NULL]]="No","NOT NULL","NULL")=VLOOKUP(A263,[2]Model!C$2:I$228,6,FALSE)</f>
        <v>#REF!</v>
      </c>
      <c r="T263" s="58" t="e">
        <f>VLOOKUP(B263,[2]Table!A$2:F$415,1,FALSE)=[3]!Table14[[#This Row],[Physical Name of Attribute (Name of column in Table)
Supplied by DA Team]]</f>
        <v>#N/A</v>
      </c>
      <c r="U263" s="58" t="e">
        <f>VLOOKUP(B263,[2]Table!A$2:F$319,2,FALSE)=[4]!Table14[[#This Row],[Data type in Oracle
VARCHAR2(n), DATE, NUMBER(m,n), TIMETSTAMP(6)]]</f>
        <v>#N/A</v>
      </c>
      <c r="V263" s="58" t="e">
        <f>VLOOKUP(B263,[2]Table!A$2:F$231,3,FALSE)=[4]!Table14[[#This Row],[Nullable in Table and in Oracle View
NULL, NOT NULL]]</f>
        <v>#N/A</v>
      </c>
      <c r="W263" s="58" t="e">
        <f>VLOOKUP(B263,[2]Table!A$2:H$228,6,FALSE)=[4]!Table14[[#This Row],[Business Definition (To go into comments and into Meta Data Hub)]]</f>
        <v>#N/A</v>
      </c>
      <c r="X263" s="58" t="e">
        <f>VLOOKUP((UPPER(SUBSTITUTE(A263," ","_"))),'[2]Consumer View'!A$2:I$329,1,FALSE)</f>
        <v>#N/A</v>
      </c>
      <c r="Y263" s="51" t="s">
        <v>173</v>
      </c>
      <c r="Z263" s="51" t="s">
        <v>1310</v>
      </c>
      <c r="AA263" s="51" t="s">
        <v>1383</v>
      </c>
      <c r="AB263" s="18"/>
      <c r="AC263" s="18"/>
      <c r="AD263" s="18" t="s">
        <v>1312</v>
      </c>
      <c r="AE263" s="46"/>
      <c r="AF263" s="18"/>
      <c r="AG263" s="18" t="s">
        <v>1313</v>
      </c>
      <c r="AH263" s="18" t="s">
        <v>178</v>
      </c>
    </row>
    <row r="264" spans="1:34" ht="27" customHeight="1">
      <c r="A264" s="105" t="s">
        <v>1384</v>
      </c>
      <c r="B264" s="51" t="s">
        <v>1385</v>
      </c>
      <c r="C264" s="51" t="s">
        <v>1386</v>
      </c>
      <c r="D264" s="51" t="s">
        <v>139</v>
      </c>
      <c r="E264" s="51" t="s">
        <v>63</v>
      </c>
      <c r="F264" s="51" t="s">
        <v>140</v>
      </c>
      <c r="G264" s="108" t="s">
        <v>63</v>
      </c>
      <c r="H264" s="52" t="s">
        <v>1387</v>
      </c>
      <c r="I264" s="51"/>
      <c r="J264" s="51" t="s">
        <v>1309</v>
      </c>
      <c r="K264" s="18"/>
      <c r="L264" s="110">
        <v>2674782</v>
      </c>
      <c r="M264" s="110">
        <v>2674782</v>
      </c>
      <c r="N264" s="18"/>
      <c r="O264" s="18" t="b">
        <f>VLOOKUP(A264,[1]Model!C$2:J$559,2,FALSE)=B264</f>
        <v>1</v>
      </c>
      <c r="P264" s="18" t="e">
        <f>VLOOKUP(A264,[2]Model!C$2:G$208,5,FALSE)=D264</f>
        <v>#N/A</v>
      </c>
      <c r="Q264" s="18" t="e">
        <f>VLOOKUP(A264,[2]Model!C$2:L$228,8,FALSE)</f>
        <v>#N/A</v>
      </c>
      <c r="R264" s="18" t="e">
        <f>VLOOKUP(A264,[2]Model!C$2:G$228,3,FALSE)=[3]!Table14[[#This Row],[Business Definition (To go into comments and into Meta Data Hub)]]</f>
        <v>#N/A</v>
      </c>
      <c r="S264" s="18" t="e">
        <f>IF([3]!Table14[[#This Row],[Nullable in Table and in Oracle View
NULL, NOT NULL]]="No","NOT NULL","NULL")=VLOOKUP(A264,[2]Model!C$2:I$228,6,FALSE)</f>
        <v>#REF!</v>
      </c>
      <c r="T264" s="58" t="e">
        <f>VLOOKUP(B264,[2]Table!A$2:F$415,1,FALSE)=[3]!Table14[[#This Row],[Physical Name of Attribute (Name of column in Table)
Supplied by DA Team]]</f>
        <v>#N/A</v>
      </c>
      <c r="U264" s="58" t="e">
        <f>VLOOKUP(B264,[2]Table!A$2:F$319,2,FALSE)=[4]!Table14[[#This Row],[Data type in Oracle
VARCHAR2(n), DATE, NUMBER(m,n), TIMETSTAMP(6)]]</f>
        <v>#N/A</v>
      </c>
      <c r="V264" s="58" t="e">
        <f>VLOOKUP(B264,[2]Table!A$2:F$231,3,FALSE)=[4]!Table14[[#This Row],[Nullable in Table and in Oracle View
NULL, NOT NULL]]</f>
        <v>#N/A</v>
      </c>
      <c r="W264" s="58" t="e">
        <f>VLOOKUP(B264,[2]Table!A$2:H$228,6,FALSE)=[4]!Table14[[#This Row],[Business Definition (To go into comments and into Meta Data Hub)]]</f>
        <v>#N/A</v>
      </c>
      <c r="X264" s="58" t="e">
        <f>VLOOKUP((UPPER(SUBSTITUTE(A264," ","_"))),'[2]Consumer View'!A$2:I$329,1,FALSE)</f>
        <v>#N/A</v>
      </c>
      <c r="Y264" s="51" t="s">
        <v>173</v>
      </c>
      <c r="Z264" s="51" t="s">
        <v>1310</v>
      </c>
      <c r="AA264" s="51" t="s">
        <v>1388</v>
      </c>
      <c r="AB264" s="18"/>
      <c r="AC264" s="18"/>
      <c r="AD264" s="18" t="s">
        <v>1389</v>
      </c>
      <c r="AE264" s="46"/>
      <c r="AF264" s="18"/>
      <c r="AG264" s="18" t="s">
        <v>1313</v>
      </c>
      <c r="AH264" s="18" t="s">
        <v>178</v>
      </c>
    </row>
    <row r="265" spans="1:34" ht="27" customHeight="1">
      <c r="A265" s="105" t="s">
        <v>1390</v>
      </c>
      <c r="B265" s="51" t="s">
        <v>1391</v>
      </c>
      <c r="C265" s="51" t="s">
        <v>1392</v>
      </c>
      <c r="D265" s="51" t="s">
        <v>139</v>
      </c>
      <c r="E265" s="51" t="s">
        <v>63</v>
      </c>
      <c r="F265" s="51" t="s">
        <v>140</v>
      </c>
      <c r="G265" s="108" t="s">
        <v>63</v>
      </c>
      <c r="H265" s="52" t="s">
        <v>1387</v>
      </c>
      <c r="I265" s="51"/>
      <c r="J265" s="51" t="s">
        <v>1309</v>
      </c>
      <c r="K265" s="18"/>
      <c r="L265" s="110">
        <v>2674782</v>
      </c>
      <c r="M265" s="110">
        <v>2674782</v>
      </c>
      <c r="N265" s="18"/>
      <c r="O265" s="18" t="b">
        <f>VLOOKUP(A265,[1]Model!C$2:J$559,2,FALSE)=B265</f>
        <v>1</v>
      </c>
      <c r="P265" s="18" t="e">
        <f>VLOOKUP(A265,[2]Model!C$2:G$208,5,FALSE)=D265</f>
        <v>#N/A</v>
      </c>
      <c r="Q265" s="18" t="e">
        <f>VLOOKUP(A265,[2]Model!C$2:L$228,8,FALSE)</f>
        <v>#N/A</v>
      </c>
      <c r="R265" s="18" t="e">
        <f>VLOOKUP(A265,[2]Model!C$2:G$228,3,FALSE)=[3]!Table14[[#This Row],[Business Definition (To go into comments and into Meta Data Hub)]]</f>
        <v>#N/A</v>
      </c>
      <c r="S265" s="18" t="e">
        <f>IF([3]!Table14[[#This Row],[Nullable in Table and in Oracle View
NULL, NOT NULL]]="No","NOT NULL","NULL")=VLOOKUP(A265,[2]Model!C$2:I$228,6,FALSE)</f>
        <v>#REF!</v>
      </c>
      <c r="T265" s="58" t="e">
        <f>VLOOKUP(B265,[2]Table!A$2:F$415,1,FALSE)=[3]!Table14[[#This Row],[Physical Name of Attribute (Name of column in Table)
Supplied by DA Team]]</f>
        <v>#N/A</v>
      </c>
      <c r="U265" s="58" t="e">
        <f>VLOOKUP(B265,[2]Table!A$2:F$319,2,FALSE)=[4]!Table14[[#This Row],[Data type in Oracle
VARCHAR2(n), DATE, NUMBER(m,n), TIMETSTAMP(6)]]</f>
        <v>#N/A</v>
      </c>
      <c r="V265" s="58" t="e">
        <f>VLOOKUP(B265,[2]Table!A$2:F$231,3,FALSE)=[4]!Table14[[#This Row],[Nullable in Table and in Oracle View
NULL, NOT NULL]]</f>
        <v>#N/A</v>
      </c>
      <c r="W265" s="58" t="e">
        <f>VLOOKUP(B265,[2]Table!A$2:H$228,6,FALSE)=[4]!Table14[[#This Row],[Business Definition (To go into comments and into Meta Data Hub)]]</f>
        <v>#N/A</v>
      </c>
      <c r="X265" s="58" t="e">
        <f>VLOOKUP((UPPER(SUBSTITUTE(A265," ","_"))),'[2]Consumer View'!A$2:I$329,1,FALSE)</f>
        <v>#N/A</v>
      </c>
      <c r="Y265" s="51" t="s">
        <v>173</v>
      </c>
      <c r="Z265" s="51" t="s">
        <v>1310</v>
      </c>
      <c r="AA265" s="51" t="s">
        <v>1388</v>
      </c>
      <c r="AB265" s="18"/>
      <c r="AC265" s="18"/>
      <c r="AD265" s="18" t="s">
        <v>1312</v>
      </c>
      <c r="AE265" s="46"/>
      <c r="AF265" s="18"/>
      <c r="AG265" s="18" t="s">
        <v>1313</v>
      </c>
      <c r="AH265" s="18" t="s">
        <v>178</v>
      </c>
    </row>
    <row r="266" spans="1:34" ht="27" customHeight="1">
      <c r="A266" s="105" t="s">
        <v>1393</v>
      </c>
      <c r="B266" s="51" t="s">
        <v>1394</v>
      </c>
      <c r="C266" s="51" t="s">
        <v>1395</v>
      </c>
      <c r="D266" s="51" t="s">
        <v>90</v>
      </c>
      <c r="E266" s="51" t="s">
        <v>63</v>
      </c>
      <c r="F266" s="51" t="s">
        <v>91</v>
      </c>
      <c r="G266" s="108" t="s">
        <v>63</v>
      </c>
      <c r="H266" s="52" t="s">
        <v>1396</v>
      </c>
      <c r="I266" s="51"/>
      <c r="J266" s="51" t="s">
        <v>1309</v>
      </c>
      <c r="K266" s="18"/>
      <c r="L266" s="110">
        <v>2674782</v>
      </c>
      <c r="M266" s="110">
        <v>2674782</v>
      </c>
      <c r="N266" s="18"/>
      <c r="O266" s="18" t="b">
        <f>VLOOKUP(A266,[1]Model!C$2:J$559,2,FALSE)=B266</f>
        <v>1</v>
      </c>
      <c r="P266" s="18" t="e">
        <f>VLOOKUP(A266,[2]Model!C$2:G$208,5,FALSE)=D266</f>
        <v>#N/A</v>
      </c>
      <c r="Q266" s="18" t="e">
        <f>VLOOKUP(A266,[2]Model!C$2:L$228,8,FALSE)</f>
        <v>#N/A</v>
      </c>
      <c r="R266" s="18" t="e">
        <f>VLOOKUP(A266,[2]Model!C$2:G$228,3,FALSE)=[3]!Table14[[#This Row],[Business Definition (To go into comments and into Meta Data Hub)]]</f>
        <v>#N/A</v>
      </c>
      <c r="S266" s="18" t="e">
        <f>IF([3]!Table14[[#This Row],[Nullable in Table and in Oracle View
NULL, NOT NULL]]="No","NOT NULL","NULL")=VLOOKUP(A266,[2]Model!C$2:I$228,6,FALSE)</f>
        <v>#REF!</v>
      </c>
      <c r="T266" s="58" t="e">
        <f>VLOOKUP(B266,[2]Table!A$2:F$415,1,FALSE)=[3]!Table14[[#This Row],[Physical Name of Attribute (Name of column in Table)
Supplied by DA Team]]</f>
        <v>#N/A</v>
      </c>
      <c r="U266" s="58" t="e">
        <f>VLOOKUP(B266,[2]Table!A$2:F$319,2,FALSE)=[4]!Table14[[#This Row],[Data type in Oracle
VARCHAR2(n), DATE, NUMBER(m,n), TIMETSTAMP(6)]]</f>
        <v>#N/A</v>
      </c>
      <c r="V266" s="58" t="e">
        <f>VLOOKUP(B266,[2]Table!A$2:F$231,3,FALSE)=[4]!Table14[[#This Row],[Nullable in Table and in Oracle View
NULL, NOT NULL]]</f>
        <v>#N/A</v>
      </c>
      <c r="W266" s="58" t="e">
        <f>VLOOKUP(B266,[2]Table!A$2:H$228,6,FALSE)=[4]!Table14[[#This Row],[Business Definition (To go into comments and into Meta Data Hub)]]</f>
        <v>#N/A</v>
      </c>
      <c r="X266" s="58" t="e">
        <f>VLOOKUP((UPPER(SUBSTITUTE(A266," ","_"))),'[2]Consumer View'!A$2:I$329,1,FALSE)</f>
        <v>#N/A</v>
      </c>
      <c r="Y266" s="51" t="s">
        <v>173</v>
      </c>
      <c r="Z266" s="51" t="s">
        <v>1310</v>
      </c>
      <c r="AA266" s="51" t="s">
        <v>1397</v>
      </c>
      <c r="AB266" s="18"/>
      <c r="AC266" s="18"/>
      <c r="AD266" s="18" t="s">
        <v>1389</v>
      </c>
      <c r="AE266" s="46"/>
      <c r="AF266" s="18"/>
      <c r="AG266" s="18" t="s">
        <v>1313</v>
      </c>
      <c r="AH266" s="18" t="s">
        <v>178</v>
      </c>
    </row>
    <row r="267" spans="1:34" ht="27" customHeight="1">
      <c r="A267" s="105" t="s">
        <v>1398</v>
      </c>
      <c r="B267" s="51" t="s">
        <v>1399</v>
      </c>
      <c r="C267" s="51" t="s">
        <v>1400</v>
      </c>
      <c r="D267" s="51" t="s">
        <v>90</v>
      </c>
      <c r="E267" s="51" t="s">
        <v>63</v>
      </c>
      <c r="F267" s="51" t="s">
        <v>91</v>
      </c>
      <c r="G267" s="108" t="s">
        <v>63</v>
      </c>
      <c r="H267" s="52" t="s">
        <v>1396</v>
      </c>
      <c r="I267" s="51"/>
      <c r="J267" s="51" t="s">
        <v>1309</v>
      </c>
      <c r="K267" s="18"/>
      <c r="L267" s="110">
        <v>2674782</v>
      </c>
      <c r="M267" s="110">
        <v>2674782</v>
      </c>
      <c r="N267" s="18"/>
      <c r="O267" s="18" t="b">
        <f>VLOOKUP(A267,[1]Model!C$2:J$559,2,FALSE)=B267</f>
        <v>1</v>
      </c>
      <c r="P267" s="18" t="e">
        <f>VLOOKUP(A267,[2]Model!C$2:G$208,5,FALSE)=D267</f>
        <v>#N/A</v>
      </c>
      <c r="Q267" s="18" t="e">
        <f>VLOOKUP(A267,[2]Model!C$2:L$228,8,FALSE)</f>
        <v>#N/A</v>
      </c>
      <c r="R267" s="18" t="e">
        <f>VLOOKUP(A267,[2]Model!C$2:G$228,3,FALSE)=[3]!Table14[[#This Row],[Business Definition (To go into comments and into Meta Data Hub)]]</f>
        <v>#N/A</v>
      </c>
      <c r="S267" s="18" t="e">
        <f>IF([3]!Table14[[#This Row],[Nullable in Table and in Oracle View
NULL, NOT NULL]]="No","NOT NULL","NULL")=VLOOKUP(A267,[2]Model!C$2:I$228,6,FALSE)</f>
        <v>#REF!</v>
      </c>
      <c r="T267" s="58" t="e">
        <f>VLOOKUP(B267,[2]Table!A$2:F$415,1,FALSE)=[3]!Table14[[#This Row],[Physical Name of Attribute (Name of column in Table)
Supplied by DA Team]]</f>
        <v>#N/A</v>
      </c>
      <c r="U267" s="58" t="e">
        <f>VLOOKUP(B267,[2]Table!A$2:F$319,2,FALSE)=[4]!Table14[[#This Row],[Data type in Oracle
VARCHAR2(n), DATE, NUMBER(m,n), TIMETSTAMP(6)]]</f>
        <v>#N/A</v>
      </c>
      <c r="V267" s="58" t="e">
        <f>VLOOKUP(B267,[2]Table!A$2:F$231,3,FALSE)=[4]!Table14[[#This Row],[Nullable in Table and in Oracle View
NULL, NOT NULL]]</f>
        <v>#N/A</v>
      </c>
      <c r="W267" s="58" t="e">
        <f>VLOOKUP(B267,[2]Table!A$2:H$228,6,FALSE)=[4]!Table14[[#This Row],[Business Definition (To go into comments and into Meta Data Hub)]]</f>
        <v>#N/A</v>
      </c>
      <c r="X267" s="58" t="e">
        <f>VLOOKUP((UPPER(SUBSTITUTE(A267," ","_"))),'[2]Consumer View'!A$2:I$329,1,FALSE)</f>
        <v>#N/A</v>
      </c>
      <c r="Y267" s="51" t="s">
        <v>173</v>
      </c>
      <c r="Z267" s="51" t="s">
        <v>1310</v>
      </c>
      <c r="AA267" s="51" t="s">
        <v>1397</v>
      </c>
      <c r="AB267" s="18"/>
      <c r="AC267" s="18"/>
      <c r="AD267" s="18" t="s">
        <v>1312</v>
      </c>
      <c r="AE267" s="46"/>
      <c r="AF267" s="18"/>
      <c r="AG267" s="18" t="s">
        <v>1313</v>
      </c>
      <c r="AH267" s="18" t="s">
        <v>178</v>
      </c>
    </row>
    <row r="268" spans="1:34" ht="27" customHeight="1">
      <c r="A268" s="105" t="s">
        <v>1401</v>
      </c>
      <c r="B268" s="51" t="s">
        <v>1402</v>
      </c>
      <c r="C268" s="51" t="s">
        <v>1403</v>
      </c>
      <c r="D268" s="51" t="s">
        <v>90</v>
      </c>
      <c r="E268" s="51" t="s">
        <v>63</v>
      </c>
      <c r="F268" s="51" t="s">
        <v>91</v>
      </c>
      <c r="G268" s="108" t="s">
        <v>63</v>
      </c>
      <c r="H268" s="52" t="s">
        <v>1404</v>
      </c>
      <c r="I268" s="51"/>
      <c r="J268" s="51" t="s">
        <v>1309</v>
      </c>
      <c r="K268" s="18"/>
      <c r="L268" s="110">
        <v>2674782</v>
      </c>
      <c r="M268" s="110">
        <v>2674782</v>
      </c>
      <c r="N268" s="18"/>
      <c r="O268" s="18" t="b">
        <f>VLOOKUP(A268,[1]Model!C$2:J$559,2,FALSE)=B268</f>
        <v>1</v>
      </c>
      <c r="P268" s="18" t="e">
        <f>VLOOKUP(A268,[2]Model!C$2:G$208,5,FALSE)=D268</f>
        <v>#N/A</v>
      </c>
      <c r="Q268" s="18" t="e">
        <f>VLOOKUP(A268,[2]Model!C$2:L$228,8,FALSE)</f>
        <v>#N/A</v>
      </c>
      <c r="R268" s="18" t="e">
        <f>VLOOKUP(A268,[2]Model!C$2:G$228,3,FALSE)=[3]!Table14[[#This Row],[Business Definition (To go into comments and into Meta Data Hub)]]</f>
        <v>#N/A</v>
      </c>
      <c r="S268" s="18" t="e">
        <f>IF([3]!Table14[[#This Row],[Nullable in Table and in Oracle View
NULL, NOT NULL]]="No","NOT NULL","NULL")=VLOOKUP(A268,[2]Model!C$2:I$228,6,FALSE)</f>
        <v>#REF!</v>
      </c>
      <c r="T268" s="58" t="e">
        <f>VLOOKUP(B268,[2]Table!A$2:F$415,1,FALSE)=[3]!Table14[[#This Row],[Physical Name of Attribute (Name of column in Table)
Supplied by DA Team]]</f>
        <v>#N/A</v>
      </c>
      <c r="U268" s="58" t="e">
        <f>VLOOKUP(B268,[2]Table!A$2:F$319,2,FALSE)=[4]!Table14[[#This Row],[Data type in Oracle
VARCHAR2(n), DATE, NUMBER(m,n), TIMETSTAMP(6)]]</f>
        <v>#N/A</v>
      </c>
      <c r="V268" s="58" t="e">
        <f>VLOOKUP(B268,[2]Table!A$2:F$231,3,FALSE)=[4]!Table14[[#This Row],[Nullable in Table and in Oracle View
NULL, NOT NULL]]</f>
        <v>#N/A</v>
      </c>
      <c r="W268" s="58" t="e">
        <f>VLOOKUP(B268,[2]Table!A$2:H$228,6,FALSE)=[4]!Table14[[#This Row],[Business Definition (To go into comments and into Meta Data Hub)]]</f>
        <v>#N/A</v>
      </c>
      <c r="X268" s="58" t="e">
        <f>VLOOKUP((UPPER(SUBSTITUTE(A268," ","_"))),'[2]Consumer View'!A$2:I$329,1,FALSE)</f>
        <v>#N/A</v>
      </c>
      <c r="Y268" s="51" t="s">
        <v>173</v>
      </c>
      <c r="Z268" s="51" t="s">
        <v>1310</v>
      </c>
      <c r="AA268" s="51" t="s">
        <v>1405</v>
      </c>
      <c r="AB268" s="18"/>
      <c r="AC268" s="18"/>
      <c r="AD268" s="18" t="s">
        <v>1312</v>
      </c>
      <c r="AE268" s="46"/>
      <c r="AF268" s="18"/>
      <c r="AG268" s="18" t="s">
        <v>1313</v>
      </c>
      <c r="AH268" s="18" t="s">
        <v>178</v>
      </c>
    </row>
    <row r="269" spans="1:34" ht="27" customHeight="1">
      <c r="A269" s="105" t="s">
        <v>1406</v>
      </c>
      <c r="B269" s="51" t="s">
        <v>1407</v>
      </c>
      <c r="C269" s="51" t="s">
        <v>1408</v>
      </c>
      <c r="D269" s="51" t="s">
        <v>139</v>
      </c>
      <c r="E269" s="51" t="s">
        <v>63</v>
      </c>
      <c r="F269" s="51" t="s">
        <v>140</v>
      </c>
      <c r="G269" s="108" t="s">
        <v>63</v>
      </c>
      <c r="H269" s="52" t="s">
        <v>1409</v>
      </c>
      <c r="I269" s="51"/>
      <c r="J269" s="51" t="s">
        <v>1309</v>
      </c>
      <c r="K269" s="18"/>
      <c r="L269" s="110">
        <v>2674782</v>
      </c>
      <c r="M269" s="110">
        <v>2674782</v>
      </c>
      <c r="N269" s="18"/>
      <c r="O269" s="18" t="b">
        <f>VLOOKUP(A269,[1]Model!C$2:J$559,2,FALSE)=B269</f>
        <v>1</v>
      </c>
      <c r="P269" s="18" t="e">
        <f>VLOOKUP(A269,[2]Model!C$2:G$208,5,FALSE)=D269</f>
        <v>#N/A</v>
      </c>
      <c r="Q269" s="18" t="e">
        <f>VLOOKUP(A269,[2]Model!C$2:L$228,8,FALSE)</f>
        <v>#N/A</v>
      </c>
      <c r="R269" s="18" t="e">
        <f>VLOOKUP(A269,[2]Model!C$2:G$228,3,FALSE)=[3]!Table14[[#This Row],[Business Definition (To go into comments and into Meta Data Hub)]]</f>
        <v>#N/A</v>
      </c>
      <c r="S269" s="18" t="e">
        <f>IF([3]!Table14[[#This Row],[Nullable in Table and in Oracle View
NULL, NOT NULL]]="No","NOT NULL","NULL")=VLOOKUP(A269,[2]Model!C$2:I$228,6,FALSE)</f>
        <v>#REF!</v>
      </c>
      <c r="T269" s="58" t="e">
        <f>VLOOKUP(B269,[2]Table!A$2:F$415,1,FALSE)=[3]!Table14[[#This Row],[Physical Name of Attribute (Name of column in Table)
Supplied by DA Team]]</f>
        <v>#N/A</v>
      </c>
      <c r="U269" s="58" t="e">
        <f>VLOOKUP(B269,[2]Table!A$2:F$319,2,FALSE)=[4]!Table14[[#This Row],[Data type in Oracle
VARCHAR2(n), DATE, NUMBER(m,n), TIMETSTAMP(6)]]</f>
        <v>#N/A</v>
      </c>
      <c r="V269" s="58" t="e">
        <f>VLOOKUP(B269,[2]Table!A$2:F$231,3,FALSE)=[4]!Table14[[#This Row],[Nullable in Table and in Oracle View
NULL, NOT NULL]]</f>
        <v>#N/A</v>
      </c>
      <c r="W269" s="58" t="e">
        <f>VLOOKUP(B269,[2]Table!A$2:H$228,6,FALSE)=[4]!Table14[[#This Row],[Business Definition (To go into comments and into Meta Data Hub)]]</f>
        <v>#N/A</v>
      </c>
      <c r="X269" s="58" t="e">
        <f>VLOOKUP((UPPER(SUBSTITUTE(A269," ","_"))),'[2]Consumer View'!A$2:I$329,1,FALSE)</f>
        <v>#N/A</v>
      </c>
      <c r="Y269" s="51" t="s">
        <v>173</v>
      </c>
      <c r="Z269" s="51" t="s">
        <v>1310</v>
      </c>
      <c r="AA269" s="51" t="s">
        <v>1410</v>
      </c>
      <c r="AB269" s="18"/>
      <c r="AC269" s="18"/>
      <c r="AD269" s="18" t="s">
        <v>1312</v>
      </c>
      <c r="AE269" s="46"/>
      <c r="AF269" s="18"/>
      <c r="AG269" s="18" t="s">
        <v>1313</v>
      </c>
      <c r="AH269" s="18" t="s">
        <v>178</v>
      </c>
    </row>
    <row r="270" spans="1:34" ht="27" customHeight="1">
      <c r="A270" s="105" t="s">
        <v>1420</v>
      </c>
      <c r="B270" s="51" t="s">
        <v>1421</v>
      </c>
      <c r="C270" s="51" t="s">
        <v>1422</v>
      </c>
      <c r="D270" s="51" t="s">
        <v>82</v>
      </c>
      <c r="E270" s="51" t="s">
        <v>63</v>
      </c>
      <c r="F270" s="51" t="s">
        <v>83</v>
      </c>
      <c r="G270" s="108" t="s">
        <v>63</v>
      </c>
      <c r="H270" s="52" t="s">
        <v>1423</v>
      </c>
      <c r="I270" s="51"/>
      <c r="J270" s="51" t="s">
        <v>1309</v>
      </c>
      <c r="K270" s="18"/>
      <c r="L270" s="110">
        <v>2674782</v>
      </c>
      <c r="M270" s="110">
        <v>2674782</v>
      </c>
      <c r="N270" s="18"/>
      <c r="O270" s="18" t="b">
        <f>VLOOKUP(A270,[1]Model!C$2:J$559,2,FALSE)=B270</f>
        <v>1</v>
      </c>
      <c r="P270" s="18" t="e">
        <f>VLOOKUP(A270,[2]Model!C$2:G$208,5,FALSE)=D270</f>
        <v>#N/A</v>
      </c>
      <c r="Q270" s="18" t="e">
        <f>VLOOKUP(A270,[2]Model!C$2:L$228,8,FALSE)</f>
        <v>#N/A</v>
      </c>
      <c r="R270" s="18" t="e">
        <f>VLOOKUP(A270,[2]Model!C$2:G$228,3,FALSE)=[3]!Table14[[#This Row],[Business Definition (To go into comments and into Meta Data Hub)]]</f>
        <v>#N/A</v>
      </c>
      <c r="S270" s="18" t="e">
        <f>IF([3]!Table14[[#This Row],[Nullable in Table and in Oracle View
NULL, NOT NULL]]="No","NOT NULL","NULL")=VLOOKUP(A270,[2]Model!C$2:I$228,6,FALSE)</f>
        <v>#REF!</v>
      </c>
      <c r="T270" s="58" t="e">
        <f>VLOOKUP(B270,[2]Table!A$2:F$415,1,FALSE)=[3]!Table14[[#This Row],[Physical Name of Attribute (Name of column in Table)
Supplied by DA Team]]</f>
        <v>#N/A</v>
      </c>
      <c r="U270" s="58" t="e">
        <f>VLOOKUP(B270,[2]Table!A$2:F$319,2,FALSE)=[4]!Table14[[#This Row],[Data type in Oracle
VARCHAR2(n), DATE, NUMBER(m,n), TIMETSTAMP(6)]]</f>
        <v>#N/A</v>
      </c>
      <c r="V270" s="58" t="e">
        <f>VLOOKUP(B270,[2]Table!A$2:F$231,3,FALSE)=[4]!Table14[[#This Row],[Nullable in Table and in Oracle View
NULL, NOT NULL]]</f>
        <v>#N/A</v>
      </c>
      <c r="W270" s="58" t="e">
        <f>VLOOKUP(B270,[2]Table!A$2:H$228,6,FALSE)=[4]!Table14[[#This Row],[Business Definition (To go into comments and into Meta Data Hub)]]</f>
        <v>#N/A</v>
      </c>
      <c r="X270" s="58" t="e">
        <f>VLOOKUP((UPPER(SUBSTITUTE(A270," ","_"))),'[2]Consumer View'!A$2:I$329,1,FALSE)</f>
        <v>#N/A</v>
      </c>
      <c r="Y270" s="51" t="s">
        <v>173</v>
      </c>
      <c r="Z270" s="51" t="s">
        <v>1310</v>
      </c>
      <c r="AA270" s="51" t="s">
        <v>1424</v>
      </c>
      <c r="AB270" s="18"/>
      <c r="AC270" s="18"/>
      <c r="AD270" s="18" t="s">
        <v>1389</v>
      </c>
      <c r="AE270" s="46"/>
      <c r="AF270" s="18"/>
      <c r="AG270" s="18" t="s">
        <v>1313</v>
      </c>
      <c r="AH270" s="18" t="s">
        <v>178</v>
      </c>
    </row>
    <row r="271" spans="1:34" ht="27" customHeight="1">
      <c r="A271" s="105" t="s">
        <v>1425</v>
      </c>
      <c r="B271" s="51" t="s">
        <v>1426</v>
      </c>
      <c r="C271" s="51" t="s">
        <v>1427</v>
      </c>
      <c r="D271" s="51" t="s">
        <v>82</v>
      </c>
      <c r="E271" s="51" t="s">
        <v>63</v>
      </c>
      <c r="F271" s="51" t="s">
        <v>83</v>
      </c>
      <c r="G271" s="108" t="s">
        <v>63</v>
      </c>
      <c r="H271" s="52" t="s">
        <v>1423</v>
      </c>
      <c r="I271" s="51"/>
      <c r="J271" s="51" t="s">
        <v>1309</v>
      </c>
      <c r="K271" s="18"/>
      <c r="L271" s="110">
        <v>2674782</v>
      </c>
      <c r="M271" s="110">
        <v>2674782</v>
      </c>
      <c r="N271" s="18"/>
      <c r="O271" s="18" t="b">
        <f>VLOOKUP(A271,[1]Model!C$2:J$559,2,FALSE)=B271</f>
        <v>1</v>
      </c>
      <c r="P271" s="18" t="e">
        <f>VLOOKUP(A271,[2]Model!C$2:G$208,5,FALSE)=D271</f>
        <v>#N/A</v>
      </c>
      <c r="Q271" s="18" t="e">
        <f>VLOOKUP(A271,[2]Model!C$2:L$228,8,FALSE)</f>
        <v>#N/A</v>
      </c>
      <c r="R271" s="18" t="e">
        <f>VLOOKUP(A271,[2]Model!C$2:G$228,3,FALSE)=[3]!Table14[[#This Row],[Business Definition (To go into comments and into Meta Data Hub)]]</f>
        <v>#N/A</v>
      </c>
      <c r="S271" s="18" t="e">
        <f>IF([3]!Table14[[#This Row],[Nullable in Table and in Oracle View
NULL, NOT NULL]]="No","NOT NULL","NULL")=VLOOKUP(A271,[2]Model!C$2:I$228,6,FALSE)</f>
        <v>#REF!</v>
      </c>
      <c r="T271" s="58" t="e">
        <f>VLOOKUP(B271,[2]Table!A$2:F$415,1,FALSE)=[3]!Table14[[#This Row],[Physical Name of Attribute (Name of column in Table)
Supplied by DA Team]]</f>
        <v>#N/A</v>
      </c>
      <c r="U271" s="58" t="e">
        <f>VLOOKUP(B271,[2]Table!A$2:F$319,2,FALSE)=[4]!Table14[[#This Row],[Data type in Oracle
VARCHAR2(n), DATE, NUMBER(m,n), TIMETSTAMP(6)]]</f>
        <v>#N/A</v>
      </c>
      <c r="V271" s="58" t="e">
        <f>VLOOKUP(B271,[2]Table!A$2:F$231,3,FALSE)=[4]!Table14[[#This Row],[Nullable in Table and in Oracle View
NULL, NOT NULL]]</f>
        <v>#N/A</v>
      </c>
      <c r="W271" s="58" t="e">
        <f>VLOOKUP(B271,[2]Table!A$2:H$228,6,FALSE)=[4]!Table14[[#This Row],[Business Definition (To go into comments and into Meta Data Hub)]]</f>
        <v>#N/A</v>
      </c>
      <c r="X271" s="58" t="e">
        <f>VLOOKUP((UPPER(SUBSTITUTE(A271," ","_"))),'[2]Consumer View'!A$2:I$329,1,FALSE)</f>
        <v>#N/A</v>
      </c>
      <c r="Y271" s="51" t="s">
        <v>173</v>
      </c>
      <c r="Z271" s="51" t="s">
        <v>1310</v>
      </c>
      <c r="AA271" s="51" t="s">
        <v>1424</v>
      </c>
      <c r="AB271" s="18"/>
      <c r="AC271" s="18"/>
      <c r="AD271" s="18" t="s">
        <v>1312</v>
      </c>
      <c r="AE271" s="46"/>
      <c r="AF271" s="18"/>
      <c r="AG271" s="18" t="s">
        <v>1313</v>
      </c>
      <c r="AH271" s="18" t="s">
        <v>178</v>
      </c>
    </row>
    <row r="272" spans="1:34" ht="27" customHeight="1">
      <c r="A272" s="105" t="s">
        <v>1428</v>
      </c>
      <c r="B272" s="51" t="s">
        <v>1429</v>
      </c>
      <c r="C272" s="51" t="s">
        <v>1430</v>
      </c>
      <c r="D272" s="51" t="s">
        <v>101</v>
      </c>
      <c r="E272" s="51" t="s">
        <v>63</v>
      </c>
      <c r="F272" s="51" t="s">
        <v>133</v>
      </c>
      <c r="G272" s="108" t="s">
        <v>63</v>
      </c>
      <c r="H272" s="52" t="s">
        <v>1431</v>
      </c>
      <c r="I272" s="51"/>
      <c r="J272" s="51" t="s">
        <v>1309</v>
      </c>
      <c r="K272" s="18"/>
      <c r="L272" s="110">
        <v>2674782</v>
      </c>
      <c r="M272" s="110">
        <v>2674782</v>
      </c>
      <c r="N272" s="18"/>
      <c r="O272" s="18" t="b">
        <f>VLOOKUP(A272,[1]Model!C$2:J$559,2,FALSE)=B272</f>
        <v>1</v>
      </c>
      <c r="P272" s="18" t="e">
        <f>VLOOKUP(A272,[2]Model!C$2:G$208,5,FALSE)=D272</f>
        <v>#N/A</v>
      </c>
      <c r="Q272" s="18" t="e">
        <f>VLOOKUP(A272,[2]Model!C$2:L$228,8,FALSE)</f>
        <v>#N/A</v>
      </c>
      <c r="R272" s="18" t="e">
        <f>VLOOKUP(A272,[2]Model!C$2:G$228,3,FALSE)=[3]!Table14[[#This Row],[Business Definition (To go into comments and into Meta Data Hub)]]</f>
        <v>#N/A</v>
      </c>
      <c r="S272" s="18" t="e">
        <f>IF([3]!Table14[[#This Row],[Nullable in Table and in Oracle View
NULL, NOT NULL]]="No","NOT NULL","NULL")=VLOOKUP(A272,[2]Model!C$2:I$228,6,FALSE)</f>
        <v>#REF!</v>
      </c>
      <c r="T272" s="58" t="e">
        <f>VLOOKUP(B272,[2]Table!A$2:F$415,1,FALSE)=[3]!Table14[[#This Row],[Physical Name of Attribute (Name of column in Table)
Supplied by DA Team]]</f>
        <v>#N/A</v>
      </c>
      <c r="U272" s="58" t="e">
        <f>VLOOKUP(B272,[2]Table!A$2:F$319,2,FALSE)=[4]!Table14[[#This Row],[Data type in Oracle
VARCHAR2(n), DATE, NUMBER(m,n), TIMETSTAMP(6)]]</f>
        <v>#N/A</v>
      </c>
      <c r="V272" s="58" t="e">
        <f>VLOOKUP(B272,[2]Table!A$2:F$231,3,FALSE)=[4]!Table14[[#This Row],[Nullable in Table and in Oracle View
NULL, NOT NULL]]</f>
        <v>#N/A</v>
      </c>
      <c r="W272" s="58" t="e">
        <f>VLOOKUP(B272,[2]Table!A$2:H$228,6,FALSE)=[4]!Table14[[#This Row],[Business Definition (To go into comments and into Meta Data Hub)]]</f>
        <v>#N/A</v>
      </c>
      <c r="X272" s="58" t="e">
        <f>VLOOKUP((UPPER(SUBSTITUTE(A272," ","_"))),'[2]Consumer View'!A$2:I$329,1,FALSE)</f>
        <v>#N/A</v>
      </c>
      <c r="Y272" s="51" t="s">
        <v>173</v>
      </c>
      <c r="Z272" s="51" t="s">
        <v>1310</v>
      </c>
      <c r="AA272" s="51" t="s">
        <v>1432</v>
      </c>
      <c r="AB272" s="18"/>
      <c r="AC272" s="18"/>
      <c r="AD272" s="18" t="s">
        <v>1389</v>
      </c>
      <c r="AE272" s="46"/>
      <c r="AF272" s="18"/>
      <c r="AG272" s="18" t="s">
        <v>1313</v>
      </c>
      <c r="AH272" s="18" t="s">
        <v>178</v>
      </c>
    </row>
    <row r="273" spans="1:34" ht="27" customHeight="1">
      <c r="A273" s="105" t="s">
        <v>1433</v>
      </c>
      <c r="B273" s="51" t="s">
        <v>1434</v>
      </c>
      <c r="C273" s="51" t="s">
        <v>1435</v>
      </c>
      <c r="D273" s="51" t="s">
        <v>101</v>
      </c>
      <c r="E273" s="51" t="s">
        <v>63</v>
      </c>
      <c r="F273" s="51" t="s">
        <v>133</v>
      </c>
      <c r="G273" s="108" t="s">
        <v>63</v>
      </c>
      <c r="H273" s="52" t="s">
        <v>1431</v>
      </c>
      <c r="I273" s="51"/>
      <c r="J273" s="51" t="s">
        <v>1309</v>
      </c>
      <c r="K273" s="18"/>
      <c r="L273" s="110">
        <v>2674782</v>
      </c>
      <c r="M273" s="110">
        <v>2674782</v>
      </c>
      <c r="N273" s="18"/>
      <c r="O273" s="18" t="b">
        <f>VLOOKUP(A273,[1]Model!C$2:J$559,2,FALSE)=B273</f>
        <v>1</v>
      </c>
      <c r="P273" s="18" t="e">
        <f>VLOOKUP(A273,[2]Model!C$2:G$208,5,FALSE)=D273</f>
        <v>#N/A</v>
      </c>
      <c r="Q273" s="18" t="e">
        <f>VLOOKUP(A273,[2]Model!C$2:L$228,8,FALSE)</f>
        <v>#N/A</v>
      </c>
      <c r="R273" s="18" t="e">
        <f>VLOOKUP(A273,[2]Model!C$2:G$228,3,FALSE)=[3]!Table14[[#This Row],[Business Definition (To go into comments and into Meta Data Hub)]]</f>
        <v>#N/A</v>
      </c>
      <c r="S273" s="18" t="e">
        <f>IF([3]!Table14[[#This Row],[Nullable in Table and in Oracle View
NULL, NOT NULL]]="No","NOT NULL","NULL")=VLOOKUP(A273,[2]Model!C$2:I$228,6,FALSE)</f>
        <v>#REF!</v>
      </c>
      <c r="T273" s="58" t="e">
        <f>VLOOKUP(B273,[2]Table!A$2:F$415,1,FALSE)=[3]!Table14[[#This Row],[Physical Name of Attribute (Name of column in Table)
Supplied by DA Team]]</f>
        <v>#N/A</v>
      </c>
      <c r="U273" s="58" t="e">
        <f>VLOOKUP(B273,[2]Table!A$2:F$319,2,FALSE)=[4]!Table14[[#This Row],[Data type in Oracle
VARCHAR2(n), DATE, NUMBER(m,n), TIMETSTAMP(6)]]</f>
        <v>#N/A</v>
      </c>
      <c r="V273" s="58" t="e">
        <f>VLOOKUP(B273,[2]Table!A$2:F$231,3,FALSE)=[4]!Table14[[#This Row],[Nullable in Table and in Oracle View
NULL, NOT NULL]]</f>
        <v>#N/A</v>
      </c>
      <c r="W273" s="58" t="e">
        <f>VLOOKUP(B273,[2]Table!A$2:H$228,6,FALSE)=[4]!Table14[[#This Row],[Business Definition (To go into comments and into Meta Data Hub)]]</f>
        <v>#N/A</v>
      </c>
      <c r="X273" s="58" t="e">
        <f>VLOOKUP((UPPER(SUBSTITUTE(A273," ","_"))),'[2]Consumer View'!A$2:I$329,1,FALSE)</f>
        <v>#N/A</v>
      </c>
      <c r="Y273" s="51" t="s">
        <v>173</v>
      </c>
      <c r="Z273" s="51" t="s">
        <v>1310</v>
      </c>
      <c r="AA273" s="51" t="s">
        <v>1432</v>
      </c>
      <c r="AB273" s="18"/>
      <c r="AC273" s="18"/>
      <c r="AD273" s="18" t="s">
        <v>1312</v>
      </c>
      <c r="AE273" s="46"/>
      <c r="AF273" s="18"/>
      <c r="AG273" s="18" t="s">
        <v>1313</v>
      </c>
      <c r="AH273" s="18" t="s">
        <v>178</v>
      </c>
    </row>
    <row r="274" spans="1:34" ht="27" customHeight="1">
      <c r="A274" s="105" t="s">
        <v>1436</v>
      </c>
      <c r="B274" s="51" t="s">
        <v>1437</v>
      </c>
      <c r="C274" s="51" t="s">
        <v>1438</v>
      </c>
      <c r="D274" s="51" t="s">
        <v>82</v>
      </c>
      <c r="E274" s="51" t="s">
        <v>63</v>
      </c>
      <c r="F274" s="51" t="s">
        <v>83</v>
      </c>
      <c r="G274" s="108" t="s">
        <v>63</v>
      </c>
      <c r="H274" s="52" t="s">
        <v>1439</v>
      </c>
      <c r="I274" s="51"/>
      <c r="J274" s="51" t="s">
        <v>1309</v>
      </c>
      <c r="K274" s="18"/>
      <c r="L274" s="110">
        <v>2674782</v>
      </c>
      <c r="M274" s="110">
        <v>2674782</v>
      </c>
      <c r="N274" s="18"/>
      <c r="O274" s="18" t="b">
        <f>VLOOKUP(A274,[1]Model!C$2:J$559,2,FALSE)=B274</f>
        <v>1</v>
      </c>
      <c r="P274" s="18" t="e">
        <f>VLOOKUP(A274,[2]Model!C$2:G$208,5,FALSE)=D274</f>
        <v>#N/A</v>
      </c>
      <c r="Q274" s="18" t="e">
        <f>VLOOKUP(A274,[2]Model!C$2:L$228,8,FALSE)</f>
        <v>#N/A</v>
      </c>
      <c r="R274" s="18" t="e">
        <f>VLOOKUP(A274,[2]Model!C$2:G$228,3,FALSE)=[3]!Table14[[#This Row],[Business Definition (To go into comments and into Meta Data Hub)]]</f>
        <v>#N/A</v>
      </c>
      <c r="S274" s="18" t="e">
        <f>IF([3]!Table14[[#This Row],[Nullable in Table and in Oracle View
NULL, NOT NULL]]="No","NOT NULL","NULL")=VLOOKUP(A274,[2]Model!C$2:I$228,6,FALSE)</f>
        <v>#REF!</v>
      </c>
      <c r="T274" s="58" t="e">
        <f>VLOOKUP(B274,[2]Table!A$2:F$415,1,FALSE)=[3]!Table14[[#This Row],[Physical Name of Attribute (Name of column in Table)
Supplied by DA Team]]</f>
        <v>#N/A</v>
      </c>
      <c r="U274" s="58" t="e">
        <f>VLOOKUP(B274,[2]Table!A$2:F$319,2,FALSE)=[4]!Table14[[#This Row],[Data type in Oracle
VARCHAR2(n), DATE, NUMBER(m,n), TIMETSTAMP(6)]]</f>
        <v>#N/A</v>
      </c>
      <c r="V274" s="58" t="e">
        <f>VLOOKUP(B274,[2]Table!A$2:F$231,3,FALSE)=[4]!Table14[[#This Row],[Nullable in Table and in Oracle View
NULL, NOT NULL]]</f>
        <v>#N/A</v>
      </c>
      <c r="W274" s="58" t="e">
        <f>VLOOKUP(B274,[2]Table!A$2:H$228,6,FALSE)=[4]!Table14[[#This Row],[Business Definition (To go into comments and into Meta Data Hub)]]</f>
        <v>#N/A</v>
      </c>
      <c r="X274" s="58" t="e">
        <f>VLOOKUP((UPPER(SUBSTITUTE(A274," ","_"))),'[2]Consumer View'!A$2:I$329,1,FALSE)</f>
        <v>#N/A</v>
      </c>
      <c r="Y274" s="51" t="s">
        <v>173</v>
      </c>
      <c r="Z274" s="51" t="s">
        <v>1310</v>
      </c>
      <c r="AA274" s="51" t="s">
        <v>1440</v>
      </c>
      <c r="AB274" s="18"/>
      <c r="AC274" s="18"/>
      <c r="AD274" s="18" t="s">
        <v>1389</v>
      </c>
      <c r="AE274" s="46"/>
      <c r="AF274" s="18"/>
      <c r="AG274" s="18" t="s">
        <v>1313</v>
      </c>
      <c r="AH274" s="18" t="s">
        <v>178</v>
      </c>
    </row>
    <row r="275" spans="1:34" ht="27" customHeight="1">
      <c r="A275" s="105" t="s">
        <v>1441</v>
      </c>
      <c r="B275" s="51" t="s">
        <v>1442</v>
      </c>
      <c r="C275" s="51" t="s">
        <v>1443</v>
      </c>
      <c r="D275" s="51" t="s">
        <v>82</v>
      </c>
      <c r="E275" s="51" t="s">
        <v>63</v>
      </c>
      <c r="F275" s="51" t="s">
        <v>83</v>
      </c>
      <c r="G275" s="108" t="s">
        <v>63</v>
      </c>
      <c r="H275" s="52" t="s">
        <v>1444</v>
      </c>
      <c r="I275" s="51"/>
      <c r="J275" s="51" t="s">
        <v>1309</v>
      </c>
      <c r="K275" s="18"/>
      <c r="L275" s="110">
        <v>2674782</v>
      </c>
      <c r="M275" s="110">
        <v>2674782</v>
      </c>
      <c r="N275" s="18"/>
      <c r="O275" s="18" t="b">
        <f>VLOOKUP(A275,[1]Model!C$2:J$559,2,FALSE)=B275</f>
        <v>1</v>
      </c>
      <c r="P275" s="18" t="e">
        <f>VLOOKUP(A275,[2]Model!C$2:G$208,5,FALSE)=D275</f>
        <v>#N/A</v>
      </c>
      <c r="Q275" s="18" t="e">
        <f>VLOOKUP(A275,[2]Model!C$2:L$228,8,FALSE)</f>
        <v>#N/A</v>
      </c>
      <c r="R275" s="18" t="e">
        <f>VLOOKUP(A275,[2]Model!C$2:G$228,3,FALSE)=[3]!Table14[[#This Row],[Business Definition (To go into comments and into Meta Data Hub)]]</f>
        <v>#N/A</v>
      </c>
      <c r="S275" s="18" t="e">
        <f>IF([3]!Table14[[#This Row],[Nullable in Table and in Oracle View
NULL, NOT NULL]]="No","NOT NULL","NULL")=VLOOKUP(A275,[2]Model!C$2:I$228,6,FALSE)</f>
        <v>#REF!</v>
      </c>
      <c r="T275" s="58" t="e">
        <f>VLOOKUP(B275,[2]Table!A$2:F$415,1,FALSE)=[3]!Table14[[#This Row],[Physical Name of Attribute (Name of column in Table)
Supplied by DA Team]]</f>
        <v>#N/A</v>
      </c>
      <c r="U275" s="58" t="e">
        <f>VLOOKUP(B275,[2]Table!A$2:F$319,2,FALSE)=[4]!Table14[[#This Row],[Data type in Oracle
VARCHAR2(n), DATE, NUMBER(m,n), TIMETSTAMP(6)]]</f>
        <v>#N/A</v>
      </c>
      <c r="V275" s="58" t="e">
        <f>VLOOKUP(B275,[2]Table!A$2:F$231,3,FALSE)=[4]!Table14[[#This Row],[Nullable in Table and in Oracle View
NULL, NOT NULL]]</f>
        <v>#N/A</v>
      </c>
      <c r="W275" s="58" t="e">
        <f>VLOOKUP(B275,[2]Table!A$2:H$228,6,FALSE)=[4]!Table14[[#This Row],[Business Definition (To go into comments and into Meta Data Hub)]]</f>
        <v>#N/A</v>
      </c>
      <c r="X275" s="58" t="e">
        <f>VLOOKUP((UPPER(SUBSTITUTE(A275," ","_"))),'[2]Consumer View'!A$2:I$329,1,FALSE)</f>
        <v>#N/A</v>
      </c>
      <c r="Y275" s="51" t="s">
        <v>173</v>
      </c>
      <c r="Z275" s="51" t="s">
        <v>1310</v>
      </c>
      <c r="AA275" s="51" t="s">
        <v>1440</v>
      </c>
      <c r="AB275" s="18"/>
      <c r="AC275" s="18"/>
      <c r="AD275" s="18" t="s">
        <v>1312</v>
      </c>
      <c r="AE275" s="46"/>
      <c r="AF275" s="18"/>
      <c r="AG275" s="18" t="s">
        <v>1313</v>
      </c>
      <c r="AH275" s="18" t="s">
        <v>178</v>
      </c>
    </row>
    <row r="276" spans="1:34" ht="27" customHeight="1">
      <c r="A276" s="105" t="s">
        <v>1445</v>
      </c>
      <c r="B276" s="51" t="s">
        <v>1446</v>
      </c>
      <c r="C276" s="51" t="s">
        <v>1447</v>
      </c>
      <c r="D276" s="51" t="s">
        <v>82</v>
      </c>
      <c r="E276" s="51" t="s">
        <v>63</v>
      </c>
      <c r="F276" s="51" t="s">
        <v>83</v>
      </c>
      <c r="G276" s="108" t="s">
        <v>63</v>
      </c>
      <c r="H276" s="52" t="s">
        <v>1448</v>
      </c>
      <c r="I276" s="51"/>
      <c r="J276" s="51" t="s">
        <v>1309</v>
      </c>
      <c r="K276" s="18"/>
      <c r="L276" s="110">
        <v>2674782</v>
      </c>
      <c r="M276" s="110">
        <v>2674782</v>
      </c>
      <c r="N276" s="18"/>
      <c r="O276" s="18" t="b">
        <f>VLOOKUP(A276,[1]Model!C$2:J$559,2,FALSE)=B276</f>
        <v>1</v>
      </c>
      <c r="P276" s="18" t="e">
        <f>VLOOKUP(A276,[2]Model!C$2:G$208,5,FALSE)=D276</f>
        <v>#N/A</v>
      </c>
      <c r="Q276" s="18" t="e">
        <f>VLOOKUP(A276,[2]Model!C$2:L$228,8,FALSE)</f>
        <v>#N/A</v>
      </c>
      <c r="R276" s="18" t="e">
        <f>VLOOKUP(A276,[2]Model!C$2:G$228,3,FALSE)=[3]!Table14[[#This Row],[Business Definition (To go into comments and into Meta Data Hub)]]</f>
        <v>#N/A</v>
      </c>
      <c r="S276" s="18" t="e">
        <f>IF([3]!Table14[[#This Row],[Nullable in Table and in Oracle View
NULL, NOT NULL]]="No","NOT NULL","NULL")=VLOOKUP(A276,[2]Model!C$2:I$228,6,FALSE)</f>
        <v>#REF!</v>
      </c>
      <c r="T276" s="58" t="e">
        <f>VLOOKUP(B276,[2]Table!A$2:F$415,1,FALSE)=[3]!Table14[[#This Row],[Physical Name of Attribute (Name of column in Table)
Supplied by DA Team]]</f>
        <v>#N/A</v>
      </c>
      <c r="U276" s="58" t="e">
        <f>VLOOKUP(B276,[2]Table!A$2:F$319,2,FALSE)=[4]!Table14[[#This Row],[Data type in Oracle
VARCHAR2(n), DATE, NUMBER(m,n), TIMETSTAMP(6)]]</f>
        <v>#N/A</v>
      </c>
      <c r="V276" s="58" t="e">
        <f>VLOOKUP(B276,[2]Table!A$2:F$231,3,FALSE)=[4]!Table14[[#This Row],[Nullable in Table and in Oracle View
NULL, NOT NULL]]</f>
        <v>#N/A</v>
      </c>
      <c r="W276" s="58" t="e">
        <f>VLOOKUP(B276,[2]Table!A$2:H$228,6,FALSE)=[4]!Table14[[#This Row],[Business Definition (To go into comments and into Meta Data Hub)]]</f>
        <v>#N/A</v>
      </c>
      <c r="X276" s="58" t="e">
        <f>VLOOKUP((UPPER(SUBSTITUTE(A276," ","_"))),'[2]Consumer View'!A$2:I$329,1,FALSE)</f>
        <v>#N/A</v>
      </c>
      <c r="Y276" s="51" t="s">
        <v>173</v>
      </c>
      <c r="Z276" s="51" t="s">
        <v>1310</v>
      </c>
      <c r="AA276" s="51" t="s">
        <v>1449</v>
      </c>
      <c r="AB276" s="18"/>
      <c r="AC276" s="18"/>
      <c r="AD276" s="18" t="s">
        <v>1312</v>
      </c>
      <c r="AE276" s="46"/>
      <c r="AF276" s="18"/>
      <c r="AG276" s="18" t="s">
        <v>1313</v>
      </c>
      <c r="AH276" s="18" t="s">
        <v>178</v>
      </c>
    </row>
    <row r="277" spans="1:34" ht="27" customHeight="1">
      <c r="A277" s="105" t="s">
        <v>1450</v>
      </c>
      <c r="B277" s="51" t="s">
        <v>1451</v>
      </c>
      <c r="C277" s="51" t="s">
        <v>1452</v>
      </c>
      <c r="D277" s="51" t="s">
        <v>1453</v>
      </c>
      <c r="E277" s="51" t="s">
        <v>63</v>
      </c>
      <c r="F277" s="51" t="s">
        <v>1454</v>
      </c>
      <c r="G277" s="108" t="s">
        <v>63</v>
      </c>
      <c r="H277" s="52" t="s">
        <v>1455</v>
      </c>
      <c r="I277" s="51"/>
      <c r="J277" s="51" t="s">
        <v>1309</v>
      </c>
      <c r="K277" s="18"/>
      <c r="L277" s="110">
        <v>2674782</v>
      </c>
      <c r="M277" s="110">
        <v>2674782</v>
      </c>
      <c r="N277" s="18"/>
      <c r="O277" s="18" t="b">
        <f>VLOOKUP(A277,[1]Model!C$2:J$559,2,FALSE)=B277</f>
        <v>1</v>
      </c>
      <c r="P277" s="18" t="e">
        <f>VLOOKUP(A277,[2]Model!C$2:G$208,5,FALSE)=D277</f>
        <v>#N/A</v>
      </c>
      <c r="Q277" s="18" t="e">
        <f>VLOOKUP(A277,[2]Model!C$2:L$228,8,FALSE)</f>
        <v>#N/A</v>
      </c>
      <c r="R277" s="18" t="e">
        <f>VLOOKUP(A277,[2]Model!C$2:G$228,3,FALSE)=[3]!Table14[[#This Row],[Business Definition (To go into comments and into Meta Data Hub)]]</f>
        <v>#N/A</v>
      </c>
      <c r="S277" s="18" t="e">
        <f>IF([3]!Table14[[#This Row],[Nullable in Table and in Oracle View
NULL, NOT NULL]]="No","NOT NULL","NULL")=VLOOKUP(A277,[2]Model!C$2:I$228,6,FALSE)</f>
        <v>#REF!</v>
      </c>
      <c r="T277" s="58" t="e">
        <f>VLOOKUP(B277,[2]Table!A$2:F$415,1,FALSE)=[3]!Table14[[#This Row],[Physical Name of Attribute (Name of column in Table)
Supplied by DA Team]]</f>
        <v>#N/A</v>
      </c>
      <c r="U277" s="58" t="e">
        <f>VLOOKUP(B277,[2]Table!A$2:F$319,2,FALSE)=[4]!Table14[[#This Row],[Data type in Oracle
VARCHAR2(n), DATE, NUMBER(m,n), TIMETSTAMP(6)]]</f>
        <v>#N/A</v>
      </c>
      <c r="V277" s="58" t="e">
        <f>VLOOKUP(B277,[2]Table!A$2:F$231,3,FALSE)=[4]!Table14[[#This Row],[Nullable in Table and in Oracle View
NULL, NOT NULL]]</f>
        <v>#N/A</v>
      </c>
      <c r="W277" s="58" t="e">
        <f>VLOOKUP(B277,[2]Table!A$2:H$228,6,FALSE)=[4]!Table14[[#This Row],[Business Definition (To go into comments and into Meta Data Hub)]]</f>
        <v>#N/A</v>
      </c>
      <c r="X277" s="58" t="e">
        <f>VLOOKUP((UPPER(SUBSTITUTE(A277," ","_"))),'[2]Consumer View'!A$2:I$329,1,FALSE)</f>
        <v>#N/A</v>
      </c>
      <c r="Y277" s="51" t="s">
        <v>173</v>
      </c>
      <c r="Z277" s="51" t="s">
        <v>1310</v>
      </c>
      <c r="AA277" s="51" t="s">
        <v>1456</v>
      </c>
      <c r="AB277" s="18"/>
      <c r="AC277" s="18"/>
      <c r="AD277" s="18" t="s">
        <v>1389</v>
      </c>
      <c r="AE277" s="46"/>
      <c r="AF277" s="18"/>
      <c r="AG277" s="18" t="s">
        <v>1313</v>
      </c>
      <c r="AH277" s="18" t="s">
        <v>178</v>
      </c>
    </row>
    <row r="278" spans="1:34" ht="27" customHeight="1">
      <c r="A278" s="105" t="s">
        <v>1457</v>
      </c>
      <c r="B278" s="51" t="s">
        <v>1458</v>
      </c>
      <c r="C278" s="51" t="s">
        <v>1459</v>
      </c>
      <c r="D278" s="51" t="s">
        <v>1453</v>
      </c>
      <c r="E278" s="51" t="s">
        <v>63</v>
      </c>
      <c r="F278" s="51" t="s">
        <v>1454</v>
      </c>
      <c r="G278" s="108" t="s">
        <v>63</v>
      </c>
      <c r="H278" s="52" t="s">
        <v>1455</v>
      </c>
      <c r="I278" s="51"/>
      <c r="J278" s="51" t="s">
        <v>1309</v>
      </c>
      <c r="K278" s="18"/>
      <c r="L278" s="110">
        <v>2674782</v>
      </c>
      <c r="M278" s="110">
        <v>2674782</v>
      </c>
      <c r="N278" s="18"/>
      <c r="O278" s="18" t="b">
        <f>VLOOKUP(A278,[1]Model!C$2:J$559,2,FALSE)=B278</f>
        <v>1</v>
      </c>
      <c r="P278" s="18" t="e">
        <f>VLOOKUP(A278,[2]Model!C$2:G$208,5,FALSE)=D278</f>
        <v>#N/A</v>
      </c>
      <c r="Q278" s="18" t="e">
        <f>VLOOKUP(A278,[2]Model!C$2:L$228,8,FALSE)</f>
        <v>#N/A</v>
      </c>
      <c r="R278" s="18" t="e">
        <f>VLOOKUP(A278,[2]Model!C$2:G$228,3,FALSE)=[3]!Table14[[#This Row],[Business Definition (To go into comments and into Meta Data Hub)]]</f>
        <v>#N/A</v>
      </c>
      <c r="S278" s="18" t="e">
        <f>IF([3]!Table14[[#This Row],[Nullable in Table and in Oracle View
NULL, NOT NULL]]="No","NOT NULL","NULL")=VLOOKUP(A278,[2]Model!C$2:I$228,6,FALSE)</f>
        <v>#REF!</v>
      </c>
      <c r="T278" s="58" t="e">
        <f>VLOOKUP(B278,[2]Table!A$2:F$415,1,FALSE)=[3]!Table14[[#This Row],[Physical Name of Attribute (Name of column in Table)
Supplied by DA Team]]</f>
        <v>#N/A</v>
      </c>
      <c r="U278" s="58" t="e">
        <f>VLOOKUP(B278,[2]Table!A$2:F$319,2,FALSE)=[4]!Table14[[#This Row],[Data type in Oracle
VARCHAR2(n), DATE, NUMBER(m,n), TIMETSTAMP(6)]]</f>
        <v>#N/A</v>
      </c>
      <c r="V278" s="58" t="e">
        <f>VLOOKUP(B278,[2]Table!A$2:F$231,3,FALSE)=[4]!Table14[[#This Row],[Nullable in Table and in Oracle View
NULL, NOT NULL]]</f>
        <v>#N/A</v>
      </c>
      <c r="W278" s="58" t="e">
        <f>VLOOKUP(B278,[2]Table!A$2:H$228,6,FALSE)=[4]!Table14[[#This Row],[Business Definition (To go into comments and into Meta Data Hub)]]</f>
        <v>#N/A</v>
      </c>
      <c r="X278" s="58" t="e">
        <f>VLOOKUP((UPPER(SUBSTITUTE(A278," ","_"))),'[2]Consumer View'!A$2:I$329,1,FALSE)</f>
        <v>#N/A</v>
      </c>
      <c r="Y278" s="51" t="s">
        <v>173</v>
      </c>
      <c r="Z278" s="51" t="s">
        <v>1310</v>
      </c>
      <c r="AA278" s="51" t="s">
        <v>1456</v>
      </c>
      <c r="AB278" s="18"/>
      <c r="AC278" s="18"/>
      <c r="AD278" s="18" t="s">
        <v>1312</v>
      </c>
      <c r="AE278" s="46"/>
      <c r="AF278" s="18"/>
      <c r="AG278" s="18" t="s">
        <v>1313</v>
      </c>
      <c r="AH278" s="18" t="s">
        <v>178</v>
      </c>
    </row>
    <row r="279" spans="1:34" ht="27" customHeight="1">
      <c r="A279" s="105" t="s">
        <v>1460</v>
      </c>
      <c r="B279" s="51" t="s">
        <v>1461</v>
      </c>
      <c r="C279" s="51" t="s">
        <v>1462</v>
      </c>
      <c r="D279" s="51" t="s">
        <v>617</v>
      </c>
      <c r="E279" s="51" t="s">
        <v>63</v>
      </c>
      <c r="F279" s="51" t="s">
        <v>618</v>
      </c>
      <c r="G279" s="108" t="s">
        <v>63</v>
      </c>
      <c r="H279" s="52" t="s">
        <v>1463</v>
      </c>
      <c r="I279" s="51"/>
      <c r="J279" s="51" t="s">
        <v>1309</v>
      </c>
      <c r="K279" s="18"/>
      <c r="L279" s="110">
        <v>2674782</v>
      </c>
      <c r="M279" s="110">
        <v>2674782</v>
      </c>
      <c r="N279" s="18"/>
      <c r="O279" s="18" t="b">
        <f>VLOOKUP(A279,[1]Model!C$2:J$559,2,FALSE)=B279</f>
        <v>1</v>
      </c>
      <c r="P279" s="18" t="e">
        <f>VLOOKUP(A279,[2]Model!C$2:G$208,5,FALSE)=D279</f>
        <v>#N/A</v>
      </c>
      <c r="Q279" s="18" t="e">
        <f>VLOOKUP(A279,[2]Model!C$2:L$228,8,FALSE)</f>
        <v>#N/A</v>
      </c>
      <c r="R279" s="18" t="e">
        <f>VLOOKUP(A279,[2]Model!C$2:G$228,3,FALSE)=[3]!Table14[[#This Row],[Business Definition (To go into comments and into Meta Data Hub)]]</f>
        <v>#N/A</v>
      </c>
      <c r="S279" s="18" t="e">
        <f>IF([3]!Table14[[#This Row],[Nullable in Table and in Oracle View
NULL, NOT NULL]]="No","NOT NULL","NULL")=VLOOKUP(A279,[2]Model!C$2:I$228,6,FALSE)</f>
        <v>#REF!</v>
      </c>
      <c r="T279" s="58" t="e">
        <f>VLOOKUP(B279,[2]Table!A$2:F$415,1,FALSE)=[3]!Table14[[#This Row],[Physical Name of Attribute (Name of column in Table)
Supplied by DA Team]]</f>
        <v>#N/A</v>
      </c>
      <c r="U279" s="58" t="e">
        <f>VLOOKUP(B279,[2]Table!A$2:F$319,2,FALSE)=[4]!Table14[[#This Row],[Data type in Oracle
VARCHAR2(n), DATE, NUMBER(m,n), TIMETSTAMP(6)]]</f>
        <v>#N/A</v>
      </c>
      <c r="V279" s="58" t="e">
        <f>VLOOKUP(B279,[2]Table!A$2:F$231,3,FALSE)=[4]!Table14[[#This Row],[Nullable in Table and in Oracle View
NULL, NOT NULL]]</f>
        <v>#N/A</v>
      </c>
      <c r="W279" s="58" t="e">
        <f>VLOOKUP(B279,[2]Table!A$2:H$228,6,FALSE)=[4]!Table14[[#This Row],[Business Definition (To go into comments and into Meta Data Hub)]]</f>
        <v>#N/A</v>
      </c>
      <c r="X279" s="58" t="e">
        <f>VLOOKUP((UPPER(SUBSTITUTE(A279," ","_"))),'[2]Consumer View'!A$2:I$329,1,FALSE)</f>
        <v>#N/A</v>
      </c>
      <c r="Y279" s="51" t="s">
        <v>173</v>
      </c>
      <c r="Z279" s="51" t="s">
        <v>1310</v>
      </c>
      <c r="AA279" s="51" t="s">
        <v>1464</v>
      </c>
      <c r="AB279" s="18"/>
      <c r="AC279" s="18"/>
      <c r="AD279" s="18" t="s">
        <v>1389</v>
      </c>
      <c r="AE279" s="46"/>
      <c r="AF279" s="18"/>
      <c r="AG279" s="18" t="s">
        <v>1313</v>
      </c>
      <c r="AH279" s="18" t="s">
        <v>178</v>
      </c>
    </row>
    <row r="280" spans="1:34" ht="27" customHeight="1">
      <c r="A280" s="105" t="s">
        <v>1465</v>
      </c>
      <c r="B280" s="51" t="s">
        <v>1466</v>
      </c>
      <c r="C280" s="51" t="s">
        <v>1467</v>
      </c>
      <c r="D280" s="51" t="s">
        <v>617</v>
      </c>
      <c r="E280" s="51" t="s">
        <v>63</v>
      </c>
      <c r="F280" s="51" t="s">
        <v>618</v>
      </c>
      <c r="G280" s="108" t="s">
        <v>63</v>
      </c>
      <c r="H280" s="52" t="s">
        <v>1463</v>
      </c>
      <c r="I280" s="51"/>
      <c r="J280" s="51" t="s">
        <v>1309</v>
      </c>
      <c r="K280" s="18"/>
      <c r="L280" s="110">
        <v>2674782</v>
      </c>
      <c r="M280" s="110">
        <v>2674782</v>
      </c>
      <c r="N280" s="18"/>
      <c r="O280" s="18" t="b">
        <f>VLOOKUP(A280,[1]Model!C$2:J$559,2,FALSE)=B280</f>
        <v>1</v>
      </c>
      <c r="P280" s="18" t="e">
        <f>VLOOKUP(A280,[2]Model!C$2:G$208,5,FALSE)=D280</f>
        <v>#N/A</v>
      </c>
      <c r="Q280" s="18" t="e">
        <f>VLOOKUP(A280,[2]Model!C$2:L$228,8,FALSE)</f>
        <v>#N/A</v>
      </c>
      <c r="R280" s="18" t="e">
        <f>VLOOKUP(A280,[2]Model!C$2:G$228,3,FALSE)=[3]!Table14[[#This Row],[Business Definition (To go into comments and into Meta Data Hub)]]</f>
        <v>#N/A</v>
      </c>
      <c r="S280" s="18" t="e">
        <f>IF([3]!Table14[[#This Row],[Nullable in Table and in Oracle View
NULL, NOT NULL]]="No","NOT NULL","NULL")=VLOOKUP(A280,[2]Model!C$2:I$228,6,FALSE)</f>
        <v>#REF!</v>
      </c>
      <c r="T280" s="58" t="e">
        <f>VLOOKUP(B280,[2]Table!A$2:F$415,1,FALSE)=[3]!Table14[[#This Row],[Physical Name of Attribute (Name of column in Table)
Supplied by DA Team]]</f>
        <v>#N/A</v>
      </c>
      <c r="U280" s="58" t="e">
        <f>VLOOKUP(B280,[2]Table!A$2:F$319,2,FALSE)=[4]!Table14[[#This Row],[Data type in Oracle
VARCHAR2(n), DATE, NUMBER(m,n), TIMETSTAMP(6)]]</f>
        <v>#N/A</v>
      </c>
      <c r="V280" s="58" t="e">
        <f>VLOOKUP(B280,[2]Table!A$2:F$231,3,FALSE)=[4]!Table14[[#This Row],[Nullable in Table and in Oracle View
NULL, NOT NULL]]</f>
        <v>#N/A</v>
      </c>
      <c r="W280" s="58" t="e">
        <f>VLOOKUP(B280,[2]Table!A$2:H$228,6,FALSE)=[4]!Table14[[#This Row],[Business Definition (To go into comments and into Meta Data Hub)]]</f>
        <v>#N/A</v>
      </c>
      <c r="X280" s="58" t="e">
        <f>VLOOKUP((UPPER(SUBSTITUTE(A280," ","_"))),'[2]Consumer View'!A$2:I$329,1,FALSE)</f>
        <v>#N/A</v>
      </c>
      <c r="Y280" s="51" t="s">
        <v>173</v>
      </c>
      <c r="Z280" s="51" t="s">
        <v>1310</v>
      </c>
      <c r="AA280" s="51" t="s">
        <v>1464</v>
      </c>
      <c r="AB280" s="18"/>
      <c r="AC280" s="18"/>
      <c r="AD280" s="18" t="s">
        <v>1312</v>
      </c>
      <c r="AE280" s="46"/>
      <c r="AF280" s="18"/>
      <c r="AG280" s="18" t="s">
        <v>1313</v>
      </c>
      <c r="AH280" s="18" t="s">
        <v>178</v>
      </c>
    </row>
    <row r="281" spans="1:34" ht="27" customHeight="1">
      <c r="A281" s="105" t="s">
        <v>1468</v>
      </c>
      <c r="B281" s="51" t="s">
        <v>1469</v>
      </c>
      <c r="C281" s="51" t="s">
        <v>1470</v>
      </c>
      <c r="D281" s="51" t="s">
        <v>139</v>
      </c>
      <c r="E281" s="51" t="s">
        <v>63</v>
      </c>
      <c r="F281" s="51" t="s">
        <v>140</v>
      </c>
      <c r="G281" s="108" t="s">
        <v>63</v>
      </c>
      <c r="H281" s="52" t="s">
        <v>1471</v>
      </c>
      <c r="I281" s="51"/>
      <c r="J281" s="51" t="s">
        <v>1309</v>
      </c>
      <c r="K281" s="18"/>
      <c r="L281" s="110">
        <v>2674782</v>
      </c>
      <c r="M281" s="110">
        <v>2674782</v>
      </c>
      <c r="N281" s="18"/>
      <c r="O281" s="18" t="b">
        <f>VLOOKUP(A281,[1]Model!C$2:J$559,2,FALSE)=B281</f>
        <v>1</v>
      </c>
      <c r="P281" s="18" t="e">
        <f>VLOOKUP(A281,[2]Model!C$2:G$208,5,FALSE)=D281</f>
        <v>#N/A</v>
      </c>
      <c r="Q281" s="18" t="e">
        <f>VLOOKUP(A281,[2]Model!C$2:L$228,8,FALSE)</f>
        <v>#N/A</v>
      </c>
      <c r="R281" s="18" t="e">
        <f>VLOOKUP(A281,[2]Model!C$2:G$228,3,FALSE)=[3]!Table14[[#This Row],[Business Definition (To go into comments and into Meta Data Hub)]]</f>
        <v>#N/A</v>
      </c>
      <c r="S281" s="18" t="e">
        <f>IF([3]!Table14[[#This Row],[Nullable in Table and in Oracle View
NULL, NOT NULL]]="No","NOT NULL","NULL")=VLOOKUP(A281,[2]Model!C$2:I$228,6,FALSE)</f>
        <v>#REF!</v>
      </c>
      <c r="T281" s="58" t="e">
        <f>VLOOKUP(B281,[2]Table!A$2:F$415,1,FALSE)=[3]!Table14[[#This Row],[Physical Name of Attribute (Name of column in Table)
Supplied by DA Team]]</f>
        <v>#N/A</v>
      </c>
      <c r="U281" s="58" t="e">
        <f>VLOOKUP(B281,[2]Table!A$2:F$319,2,FALSE)=[4]!Table14[[#This Row],[Data type in Oracle
VARCHAR2(n), DATE, NUMBER(m,n), TIMETSTAMP(6)]]</f>
        <v>#N/A</v>
      </c>
      <c r="V281" s="58" t="e">
        <f>VLOOKUP(B281,[2]Table!A$2:F$231,3,FALSE)=[4]!Table14[[#This Row],[Nullable in Table and in Oracle View
NULL, NOT NULL]]</f>
        <v>#N/A</v>
      </c>
      <c r="W281" s="58" t="e">
        <f>VLOOKUP(B281,[2]Table!A$2:H$228,6,FALSE)=[4]!Table14[[#This Row],[Business Definition (To go into comments and into Meta Data Hub)]]</f>
        <v>#N/A</v>
      </c>
      <c r="X281" s="58" t="e">
        <f>VLOOKUP((UPPER(SUBSTITUTE(A281," ","_"))),'[2]Consumer View'!A$2:I$329,1,FALSE)</f>
        <v>#N/A</v>
      </c>
      <c r="Y281" s="51" t="s">
        <v>173</v>
      </c>
      <c r="Z281" s="51" t="s">
        <v>1310</v>
      </c>
      <c r="AA281" s="51" t="s">
        <v>1472</v>
      </c>
      <c r="AB281" s="18"/>
      <c r="AC281" s="18"/>
      <c r="AD281" s="18" t="s">
        <v>1389</v>
      </c>
      <c r="AE281" s="46"/>
      <c r="AF281" s="18"/>
      <c r="AG281" s="18" t="s">
        <v>1313</v>
      </c>
      <c r="AH281" s="18" t="s">
        <v>178</v>
      </c>
    </row>
    <row r="282" spans="1:34" ht="27" customHeight="1">
      <c r="A282" s="105" t="s">
        <v>1473</v>
      </c>
      <c r="B282" s="51" t="s">
        <v>1474</v>
      </c>
      <c r="C282" s="51" t="s">
        <v>1475</v>
      </c>
      <c r="D282" s="51" t="s">
        <v>139</v>
      </c>
      <c r="E282" s="51" t="s">
        <v>63</v>
      </c>
      <c r="F282" s="51" t="s">
        <v>140</v>
      </c>
      <c r="G282" s="108" t="s">
        <v>63</v>
      </c>
      <c r="H282" s="52" t="s">
        <v>1471</v>
      </c>
      <c r="I282" s="51"/>
      <c r="J282" s="51" t="s">
        <v>1309</v>
      </c>
      <c r="K282" s="18"/>
      <c r="L282" s="110">
        <v>2674782</v>
      </c>
      <c r="M282" s="110">
        <v>2674782</v>
      </c>
      <c r="N282" s="18"/>
      <c r="O282" s="18" t="b">
        <f>VLOOKUP(A282,[1]Model!C$2:J$559,2,FALSE)=B282</f>
        <v>1</v>
      </c>
      <c r="P282" s="18" t="e">
        <f>VLOOKUP(A282,[2]Model!C$2:G$208,5,FALSE)=D282</f>
        <v>#N/A</v>
      </c>
      <c r="Q282" s="18" t="e">
        <f>VLOOKUP(A282,[2]Model!C$2:L$228,8,FALSE)</f>
        <v>#N/A</v>
      </c>
      <c r="R282" s="18" t="e">
        <f>VLOOKUP(A282,[2]Model!C$2:G$228,3,FALSE)=[3]!Table14[[#This Row],[Business Definition (To go into comments and into Meta Data Hub)]]</f>
        <v>#N/A</v>
      </c>
      <c r="S282" s="18" t="e">
        <f>IF([3]!Table14[[#This Row],[Nullable in Table and in Oracle View
NULL, NOT NULL]]="No","NOT NULL","NULL")=VLOOKUP(A282,[2]Model!C$2:I$228,6,FALSE)</f>
        <v>#REF!</v>
      </c>
      <c r="T282" s="58" t="e">
        <f>VLOOKUP(B282,[2]Table!A$2:F$415,1,FALSE)=[3]!Table14[[#This Row],[Physical Name of Attribute (Name of column in Table)
Supplied by DA Team]]</f>
        <v>#N/A</v>
      </c>
      <c r="U282" s="58" t="e">
        <f>VLOOKUP(B282,[2]Table!A$2:F$319,2,FALSE)=[4]!Table14[[#This Row],[Data type in Oracle
VARCHAR2(n), DATE, NUMBER(m,n), TIMETSTAMP(6)]]</f>
        <v>#N/A</v>
      </c>
      <c r="V282" s="58" t="e">
        <f>VLOOKUP(B282,[2]Table!A$2:F$231,3,FALSE)=[4]!Table14[[#This Row],[Nullable in Table and in Oracle View
NULL, NOT NULL]]</f>
        <v>#N/A</v>
      </c>
      <c r="W282" s="58" t="e">
        <f>VLOOKUP(B282,[2]Table!A$2:H$228,6,FALSE)=[4]!Table14[[#This Row],[Business Definition (To go into comments and into Meta Data Hub)]]</f>
        <v>#N/A</v>
      </c>
      <c r="X282" s="58" t="e">
        <f>VLOOKUP((UPPER(SUBSTITUTE(A282," ","_"))),'[2]Consumer View'!A$2:I$329,1,FALSE)</f>
        <v>#N/A</v>
      </c>
      <c r="Y282" s="51" t="s">
        <v>173</v>
      </c>
      <c r="Z282" s="51" t="s">
        <v>1310</v>
      </c>
      <c r="AA282" s="51" t="s">
        <v>1472</v>
      </c>
      <c r="AB282" s="18"/>
      <c r="AC282" s="18"/>
      <c r="AD282" s="18" t="s">
        <v>1312</v>
      </c>
      <c r="AE282" s="46"/>
      <c r="AF282" s="18"/>
      <c r="AG282" s="18" t="s">
        <v>1313</v>
      </c>
      <c r="AH282" s="18" t="s">
        <v>178</v>
      </c>
    </row>
    <row r="283" spans="1:34" ht="27" customHeight="1">
      <c r="A283" s="105" t="s">
        <v>1476</v>
      </c>
      <c r="B283" s="51" t="s">
        <v>1477</v>
      </c>
      <c r="C283" s="51" t="s">
        <v>1478</v>
      </c>
      <c r="D283" s="51" t="s">
        <v>90</v>
      </c>
      <c r="E283" s="51" t="s">
        <v>63</v>
      </c>
      <c r="F283" s="51" t="s">
        <v>91</v>
      </c>
      <c r="G283" s="108" t="s">
        <v>63</v>
      </c>
      <c r="H283" s="52" t="s">
        <v>1479</v>
      </c>
      <c r="I283" s="51"/>
      <c r="J283" s="51" t="s">
        <v>1309</v>
      </c>
      <c r="K283" s="18"/>
      <c r="L283" s="110">
        <v>2674782</v>
      </c>
      <c r="M283" s="110">
        <v>2674782</v>
      </c>
      <c r="N283" s="18"/>
      <c r="O283" s="18" t="b">
        <f>VLOOKUP(A283,[1]Model!C$2:J$559,2,FALSE)=B283</f>
        <v>1</v>
      </c>
      <c r="P283" s="18" t="e">
        <f>VLOOKUP(A283,[2]Model!C$2:G$208,5,FALSE)=D283</f>
        <v>#N/A</v>
      </c>
      <c r="Q283" s="18" t="e">
        <f>VLOOKUP(A283,[2]Model!C$2:L$228,8,FALSE)</f>
        <v>#N/A</v>
      </c>
      <c r="R283" s="18" t="e">
        <f>VLOOKUP(A283,[2]Model!C$2:G$228,3,FALSE)=[3]!Table14[[#This Row],[Business Definition (To go into comments and into Meta Data Hub)]]</f>
        <v>#N/A</v>
      </c>
      <c r="S283" s="18" t="e">
        <f>IF([3]!Table14[[#This Row],[Nullable in Table and in Oracle View
NULL, NOT NULL]]="No","NOT NULL","NULL")=VLOOKUP(A283,[2]Model!C$2:I$228,6,FALSE)</f>
        <v>#REF!</v>
      </c>
      <c r="T283" s="58" t="e">
        <f>VLOOKUP(B283,[2]Table!A$2:F$415,1,FALSE)=[3]!Table14[[#This Row],[Physical Name of Attribute (Name of column in Table)
Supplied by DA Team]]</f>
        <v>#N/A</v>
      </c>
      <c r="U283" s="58" t="e">
        <f>VLOOKUP(B283,[2]Table!A$2:F$319,2,FALSE)=[4]!Table14[[#This Row],[Data type in Oracle
VARCHAR2(n), DATE, NUMBER(m,n), TIMETSTAMP(6)]]</f>
        <v>#N/A</v>
      </c>
      <c r="V283" s="58" t="e">
        <f>VLOOKUP(B283,[2]Table!A$2:F$231,3,FALSE)=[4]!Table14[[#This Row],[Nullable in Table and in Oracle View
NULL, NOT NULL]]</f>
        <v>#N/A</v>
      </c>
      <c r="W283" s="58" t="e">
        <f>VLOOKUP(B283,[2]Table!A$2:H$228,6,FALSE)=[4]!Table14[[#This Row],[Business Definition (To go into comments and into Meta Data Hub)]]</f>
        <v>#N/A</v>
      </c>
      <c r="X283" s="58" t="e">
        <f>VLOOKUP((UPPER(SUBSTITUTE(A283," ","_"))),'[2]Consumer View'!A$2:I$329,1,FALSE)</f>
        <v>#N/A</v>
      </c>
      <c r="Y283" s="51" t="s">
        <v>173</v>
      </c>
      <c r="Z283" s="51" t="s">
        <v>1310</v>
      </c>
      <c r="AA283" s="51" t="s">
        <v>1480</v>
      </c>
      <c r="AB283" s="18"/>
      <c r="AC283" s="18"/>
      <c r="AD283" s="18" t="s">
        <v>1389</v>
      </c>
      <c r="AE283" s="46"/>
      <c r="AF283" s="18"/>
      <c r="AG283" s="18" t="s">
        <v>1313</v>
      </c>
      <c r="AH283" s="18" t="s">
        <v>178</v>
      </c>
    </row>
    <row r="284" spans="1:34" ht="27" customHeight="1">
      <c r="A284" s="105" t="s">
        <v>1481</v>
      </c>
      <c r="B284" s="51" t="s">
        <v>1482</v>
      </c>
      <c r="C284" s="51" t="s">
        <v>1483</v>
      </c>
      <c r="D284" s="51" t="s">
        <v>90</v>
      </c>
      <c r="E284" s="51" t="s">
        <v>63</v>
      </c>
      <c r="F284" s="51" t="s">
        <v>91</v>
      </c>
      <c r="G284" s="108" t="s">
        <v>63</v>
      </c>
      <c r="H284" s="52" t="s">
        <v>1479</v>
      </c>
      <c r="I284" s="51"/>
      <c r="J284" s="51" t="s">
        <v>1309</v>
      </c>
      <c r="K284" s="18"/>
      <c r="L284" s="110">
        <v>2674782</v>
      </c>
      <c r="M284" s="110">
        <v>2674782</v>
      </c>
      <c r="N284" s="18"/>
      <c r="O284" s="18" t="b">
        <f>VLOOKUP(A284,[1]Model!C$2:J$559,2,FALSE)=B284</f>
        <v>1</v>
      </c>
      <c r="P284" s="18" t="e">
        <f>VLOOKUP(A284,[2]Model!C$2:G$208,5,FALSE)=D284</f>
        <v>#N/A</v>
      </c>
      <c r="Q284" s="18" t="e">
        <f>VLOOKUP(A284,[2]Model!C$2:L$228,8,FALSE)</f>
        <v>#N/A</v>
      </c>
      <c r="R284" s="18" t="e">
        <f>VLOOKUP(A284,[2]Model!C$2:G$228,3,FALSE)=[3]!Table14[[#This Row],[Business Definition (To go into comments and into Meta Data Hub)]]</f>
        <v>#N/A</v>
      </c>
      <c r="S284" s="18" t="e">
        <f>IF([3]!Table14[[#This Row],[Nullable in Table and in Oracle View
NULL, NOT NULL]]="No","NOT NULL","NULL")=VLOOKUP(A284,[2]Model!C$2:I$228,6,FALSE)</f>
        <v>#REF!</v>
      </c>
      <c r="T284" s="58" t="e">
        <f>VLOOKUP(B284,[2]Table!A$2:F$415,1,FALSE)=[3]!Table14[[#This Row],[Physical Name of Attribute (Name of column in Table)
Supplied by DA Team]]</f>
        <v>#N/A</v>
      </c>
      <c r="U284" s="58" t="e">
        <f>VLOOKUP(B284,[2]Table!A$2:F$319,2,FALSE)=[4]!Table14[[#This Row],[Data type in Oracle
VARCHAR2(n), DATE, NUMBER(m,n), TIMETSTAMP(6)]]</f>
        <v>#N/A</v>
      </c>
      <c r="V284" s="58" t="e">
        <f>VLOOKUP(B284,[2]Table!A$2:F$231,3,FALSE)=[4]!Table14[[#This Row],[Nullable in Table and in Oracle View
NULL, NOT NULL]]</f>
        <v>#N/A</v>
      </c>
      <c r="W284" s="58" t="e">
        <f>VLOOKUP(B284,[2]Table!A$2:H$228,6,FALSE)=[4]!Table14[[#This Row],[Business Definition (To go into comments and into Meta Data Hub)]]</f>
        <v>#N/A</v>
      </c>
      <c r="X284" s="58" t="e">
        <f>VLOOKUP((UPPER(SUBSTITUTE(A284," ","_"))),'[2]Consumer View'!A$2:I$329,1,FALSE)</f>
        <v>#N/A</v>
      </c>
      <c r="Y284" s="51" t="s">
        <v>173</v>
      </c>
      <c r="Z284" s="51" t="s">
        <v>1310</v>
      </c>
      <c r="AA284" s="51" t="s">
        <v>1480</v>
      </c>
      <c r="AB284" s="18"/>
      <c r="AC284" s="18"/>
      <c r="AD284" s="18" t="s">
        <v>1312</v>
      </c>
      <c r="AE284" s="46"/>
      <c r="AF284" s="18"/>
      <c r="AG284" s="18" t="s">
        <v>1313</v>
      </c>
      <c r="AH284" s="18" t="s">
        <v>178</v>
      </c>
    </row>
    <row r="285" spans="1:34" ht="27" customHeight="1">
      <c r="A285" s="105" t="s">
        <v>1484</v>
      </c>
      <c r="B285" s="51" t="s">
        <v>1485</v>
      </c>
      <c r="C285" s="51" t="s">
        <v>1486</v>
      </c>
      <c r="D285" s="51" t="s">
        <v>82</v>
      </c>
      <c r="E285" s="51" t="s">
        <v>63</v>
      </c>
      <c r="F285" s="51" t="s">
        <v>83</v>
      </c>
      <c r="G285" s="108" t="s">
        <v>63</v>
      </c>
      <c r="H285" s="52" t="s">
        <v>1487</v>
      </c>
      <c r="I285" s="51"/>
      <c r="J285" s="51" t="s">
        <v>1309</v>
      </c>
      <c r="K285" s="18"/>
      <c r="L285" s="110">
        <v>2674782</v>
      </c>
      <c r="M285" s="110">
        <v>2674782</v>
      </c>
      <c r="N285" s="18"/>
      <c r="O285" s="18" t="b">
        <f>VLOOKUP(A285,[1]Model!C$2:J$559,2,FALSE)=B285</f>
        <v>1</v>
      </c>
      <c r="P285" s="18" t="e">
        <f>VLOOKUP(A285,[2]Model!C$2:G$208,5,FALSE)=D285</f>
        <v>#N/A</v>
      </c>
      <c r="Q285" s="18" t="e">
        <f>VLOOKUP(A285,[2]Model!C$2:L$228,8,FALSE)</f>
        <v>#N/A</v>
      </c>
      <c r="R285" s="18" t="e">
        <f>VLOOKUP(A285,[2]Model!C$2:G$228,3,FALSE)=[3]!Table14[[#This Row],[Business Definition (To go into comments and into Meta Data Hub)]]</f>
        <v>#N/A</v>
      </c>
      <c r="S285" s="18" t="e">
        <f>IF([3]!Table14[[#This Row],[Nullable in Table and in Oracle View
NULL, NOT NULL]]="No","NOT NULL","NULL")=VLOOKUP(A285,[2]Model!C$2:I$228,6,FALSE)</f>
        <v>#REF!</v>
      </c>
      <c r="T285" s="58" t="e">
        <f>VLOOKUP(B285,[2]Table!A$2:F$415,1,FALSE)=[3]!Table14[[#This Row],[Physical Name of Attribute (Name of column in Table)
Supplied by DA Team]]</f>
        <v>#N/A</v>
      </c>
      <c r="U285" s="58" t="e">
        <f>VLOOKUP(B285,[2]Table!A$2:F$319,2,FALSE)=[4]!Table14[[#This Row],[Data type in Oracle
VARCHAR2(n), DATE, NUMBER(m,n), TIMETSTAMP(6)]]</f>
        <v>#N/A</v>
      </c>
      <c r="V285" s="58" t="e">
        <f>VLOOKUP(B285,[2]Table!A$2:F$231,3,FALSE)=[4]!Table14[[#This Row],[Nullable in Table and in Oracle View
NULL, NOT NULL]]</f>
        <v>#N/A</v>
      </c>
      <c r="W285" s="58" t="e">
        <f>VLOOKUP(B285,[2]Table!A$2:H$228,6,FALSE)=[4]!Table14[[#This Row],[Business Definition (To go into comments and into Meta Data Hub)]]</f>
        <v>#N/A</v>
      </c>
      <c r="X285" s="58" t="e">
        <f>VLOOKUP((UPPER(SUBSTITUTE(A285," ","_"))),'[2]Consumer View'!A$2:I$329,1,FALSE)</f>
        <v>#N/A</v>
      </c>
      <c r="Y285" s="51" t="s">
        <v>173</v>
      </c>
      <c r="Z285" s="51" t="s">
        <v>1310</v>
      </c>
      <c r="AA285" s="51" t="s">
        <v>1488</v>
      </c>
      <c r="AB285" s="18"/>
      <c r="AC285" s="18"/>
      <c r="AD285" s="18" t="s">
        <v>1312</v>
      </c>
      <c r="AE285" s="46"/>
      <c r="AF285" s="18"/>
      <c r="AG285" s="18" t="s">
        <v>1313</v>
      </c>
      <c r="AH285" s="18" t="s">
        <v>178</v>
      </c>
    </row>
    <row r="286" spans="1:34" ht="27" customHeight="1">
      <c r="A286" s="105" t="s">
        <v>1489</v>
      </c>
      <c r="B286" s="51" t="s">
        <v>1490</v>
      </c>
      <c r="C286" s="51" t="s">
        <v>1491</v>
      </c>
      <c r="D286" s="51" t="s">
        <v>82</v>
      </c>
      <c r="E286" s="51" t="s">
        <v>63</v>
      </c>
      <c r="F286" s="51" t="s">
        <v>83</v>
      </c>
      <c r="G286" s="108" t="s">
        <v>63</v>
      </c>
      <c r="H286" s="52" t="s">
        <v>1492</v>
      </c>
      <c r="I286" s="51"/>
      <c r="J286" s="51" t="s">
        <v>1309</v>
      </c>
      <c r="K286" s="18"/>
      <c r="L286" s="110">
        <v>2674782</v>
      </c>
      <c r="M286" s="110">
        <v>2674782</v>
      </c>
      <c r="N286" s="18"/>
      <c r="O286" s="18" t="b">
        <f>VLOOKUP(A286,[1]Model!C$2:J$559,2,FALSE)=B286</f>
        <v>1</v>
      </c>
      <c r="P286" s="18" t="e">
        <f>VLOOKUP(A286,[2]Model!C$2:G$208,5,FALSE)=D286</f>
        <v>#N/A</v>
      </c>
      <c r="Q286" s="18" t="e">
        <f>VLOOKUP(A286,[2]Model!C$2:L$228,8,FALSE)</f>
        <v>#N/A</v>
      </c>
      <c r="R286" s="18" t="e">
        <f>VLOOKUP(A286,[2]Model!C$2:G$228,3,FALSE)=[3]!Table14[[#This Row],[Business Definition (To go into comments and into Meta Data Hub)]]</f>
        <v>#N/A</v>
      </c>
      <c r="S286" s="18" t="e">
        <f>IF([3]!Table14[[#This Row],[Nullable in Table and in Oracle View
NULL, NOT NULL]]="No","NOT NULL","NULL")=VLOOKUP(A286,[2]Model!C$2:I$228,6,FALSE)</f>
        <v>#REF!</v>
      </c>
      <c r="T286" s="58" t="e">
        <f>VLOOKUP(B286,[2]Table!A$2:F$415,1,FALSE)=[3]!Table14[[#This Row],[Physical Name of Attribute (Name of column in Table)
Supplied by DA Team]]</f>
        <v>#N/A</v>
      </c>
      <c r="U286" s="58" t="e">
        <f>VLOOKUP(B286,[2]Table!A$2:F$319,2,FALSE)=[4]!Table14[[#This Row],[Data type in Oracle
VARCHAR2(n), DATE, NUMBER(m,n), TIMETSTAMP(6)]]</f>
        <v>#N/A</v>
      </c>
      <c r="V286" s="58" t="e">
        <f>VLOOKUP(B286,[2]Table!A$2:F$231,3,FALSE)=[4]!Table14[[#This Row],[Nullable in Table and in Oracle View
NULL, NOT NULL]]</f>
        <v>#N/A</v>
      </c>
      <c r="W286" s="58" t="e">
        <f>VLOOKUP(B286,[2]Table!A$2:H$228,6,FALSE)=[4]!Table14[[#This Row],[Business Definition (To go into comments and into Meta Data Hub)]]</f>
        <v>#N/A</v>
      </c>
      <c r="X286" s="58" t="e">
        <f>VLOOKUP((UPPER(SUBSTITUTE(A286," ","_"))),'[2]Consumer View'!A$2:I$329,1,FALSE)</f>
        <v>#N/A</v>
      </c>
      <c r="Y286" s="51" t="s">
        <v>173</v>
      </c>
      <c r="Z286" s="51" t="s">
        <v>1310</v>
      </c>
      <c r="AA286" s="51" t="s">
        <v>1493</v>
      </c>
      <c r="AB286" s="18"/>
      <c r="AC286" s="18"/>
      <c r="AD286" s="18" t="s">
        <v>1312</v>
      </c>
      <c r="AE286" s="46"/>
      <c r="AF286" s="18"/>
      <c r="AG286" s="18" t="s">
        <v>1313</v>
      </c>
      <c r="AH286" s="18" t="s">
        <v>178</v>
      </c>
    </row>
    <row r="287" spans="1:34" ht="27" customHeight="1">
      <c r="A287" s="105" t="s">
        <v>1494</v>
      </c>
      <c r="B287" s="51" t="s">
        <v>1495</v>
      </c>
      <c r="C287" s="51" t="s">
        <v>1496</v>
      </c>
      <c r="D287" s="51" t="s">
        <v>82</v>
      </c>
      <c r="E287" s="51" t="s">
        <v>63</v>
      </c>
      <c r="F287" s="51" t="s">
        <v>83</v>
      </c>
      <c r="G287" s="108" t="s">
        <v>63</v>
      </c>
      <c r="H287" s="46" t="s">
        <v>1497</v>
      </c>
      <c r="I287" s="51"/>
      <c r="J287" s="51" t="s">
        <v>1309</v>
      </c>
      <c r="K287" s="18"/>
      <c r="L287" s="110">
        <v>2674782</v>
      </c>
      <c r="M287" s="110">
        <v>2674782</v>
      </c>
      <c r="N287" s="18"/>
      <c r="O287" s="18" t="b">
        <f>VLOOKUP(A287,[1]Model!C$2:J$559,2,FALSE)=B287</f>
        <v>1</v>
      </c>
      <c r="P287" s="18" t="e">
        <f>VLOOKUP(A287,[2]Model!C$2:G$208,5,FALSE)=D287</f>
        <v>#N/A</v>
      </c>
      <c r="Q287" s="18" t="e">
        <f>VLOOKUP(A287,[2]Model!C$2:L$228,8,FALSE)</f>
        <v>#N/A</v>
      </c>
      <c r="R287" s="18" t="e">
        <f>VLOOKUP(A287,[2]Model!C$2:G$228,3,FALSE)=[3]!Table14[[#This Row],[Business Definition (To go into comments and into Meta Data Hub)]]</f>
        <v>#N/A</v>
      </c>
      <c r="S287" s="18" t="e">
        <f>IF([3]!Table14[[#This Row],[Nullable in Table and in Oracle View
NULL, NOT NULL]]="No","NOT NULL","NULL")=VLOOKUP(A287,[2]Model!C$2:I$228,6,FALSE)</f>
        <v>#REF!</v>
      </c>
      <c r="T287" s="58" t="e">
        <f>VLOOKUP(B287,[2]Table!A$2:F$415,1,FALSE)=[3]!Table14[[#This Row],[Physical Name of Attribute (Name of column in Table)
Supplied by DA Team]]</f>
        <v>#N/A</v>
      </c>
      <c r="U287" s="58" t="e">
        <f>VLOOKUP(B287,[2]Table!A$2:F$319,2,FALSE)=[4]!Table14[[#This Row],[Data type in Oracle
VARCHAR2(n), DATE, NUMBER(m,n), TIMETSTAMP(6)]]</f>
        <v>#N/A</v>
      </c>
      <c r="V287" s="58" t="e">
        <f>VLOOKUP(B287,[2]Table!A$2:F$231,3,FALSE)=[4]!Table14[[#This Row],[Nullable in Table and in Oracle View
NULL, NOT NULL]]</f>
        <v>#N/A</v>
      </c>
      <c r="W287" s="58" t="e">
        <f>VLOOKUP(B287,[2]Table!A$2:H$228,6,FALSE)=[4]!Table14[[#This Row],[Business Definition (To go into comments and into Meta Data Hub)]]</f>
        <v>#N/A</v>
      </c>
      <c r="X287" s="58" t="e">
        <f>VLOOKUP((UPPER(SUBSTITUTE(A287," ","_"))),'[2]Consumer View'!A$2:I$329,1,FALSE)</f>
        <v>#N/A</v>
      </c>
      <c r="Y287" s="51" t="s">
        <v>173</v>
      </c>
      <c r="Z287" s="51" t="s">
        <v>1310</v>
      </c>
      <c r="AA287" s="51" t="s">
        <v>1410</v>
      </c>
      <c r="AB287" s="18"/>
      <c r="AC287" s="18"/>
      <c r="AD287" s="51" t="s">
        <v>1498</v>
      </c>
      <c r="AE287" s="46"/>
      <c r="AF287" s="18"/>
      <c r="AG287" s="18" t="s">
        <v>1313</v>
      </c>
      <c r="AH287" s="18" t="s">
        <v>178</v>
      </c>
    </row>
    <row r="288" spans="1:34" ht="27" customHeight="1">
      <c r="A288" s="105" t="s">
        <v>1499</v>
      </c>
      <c r="B288" s="51" t="s">
        <v>1500</v>
      </c>
      <c r="C288" s="51" t="s">
        <v>1501</v>
      </c>
      <c r="D288" s="51" t="s">
        <v>169</v>
      </c>
      <c r="E288" s="51" t="s">
        <v>63</v>
      </c>
      <c r="F288" s="51" t="s">
        <v>170</v>
      </c>
      <c r="G288" s="108" t="s">
        <v>63</v>
      </c>
      <c r="H288" s="52" t="s">
        <v>1502</v>
      </c>
      <c r="I288" s="51"/>
      <c r="J288" s="51" t="s">
        <v>1309</v>
      </c>
      <c r="K288" s="18"/>
      <c r="L288" s="110">
        <v>2674782</v>
      </c>
      <c r="M288" s="110">
        <v>2674782</v>
      </c>
      <c r="N288" s="18"/>
      <c r="O288" s="18" t="b">
        <f>VLOOKUP(A288,[1]Model!C$2:J$559,2,FALSE)=B288</f>
        <v>1</v>
      </c>
      <c r="P288" s="18" t="e">
        <f>VLOOKUP(A288,[2]Model!C$2:G$208,5,FALSE)=D288</f>
        <v>#N/A</v>
      </c>
      <c r="Q288" s="18" t="e">
        <f>VLOOKUP(A288,[2]Model!C$2:L$228,8,FALSE)</f>
        <v>#N/A</v>
      </c>
      <c r="R288" s="18" t="e">
        <f>VLOOKUP(A288,[2]Model!C$2:G$228,3,FALSE)=[3]!Table14[[#This Row],[Business Definition (To go into comments and into Meta Data Hub)]]</f>
        <v>#N/A</v>
      </c>
      <c r="S288" s="18" t="e">
        <f>IF([3]!Table14[[#This Row],[Nullable in Table and in Oracle View
NULL, NOT NULL]]="No","NOT NULL","NULL")=VLOOKUP(A288,[2]Model!C$2:I$228,6,FALSE)</f>
        <v>#REF!</v>
      </c>
      <c r="T288" s="58" t="e">
        <f>VLOOKUP(B288,[2]Table!A$2:F$415,1,FALSE)=[3]!Table14[[#This Row],[Physical Name of Attribute (Name of column in Table)
Supplied by DA Team]]</f>
        <v>#N/A</v>
      </c>
      <c r="U288" s="58" t="e">
        <f>VLOOKUP(B288,[2]Table!A$2:F$319,2,FALSE)=[4]!Table14[[#This Row],[Data type in Oracle
VARCHAR2(n), DATE, NUMBER(m,n), TIMETSTAMP(6)]]</f>
        <v>#N/A</v>
      </c>
      <c r="V288" s="58" t="e">
        <f>VLOOKUP(B288,[2]Table!A$2:F$231,3,FALSE)=[4]!Table14[[#This Row],[Nullable in Table and in Oracle View
NULL, NOT NULL]]</f>
        <v>#N/A</v>
      </c>
      <c r="W288" s="58" t="e">
        <f>VLOOKUP(B288,[2]Table!A$2:H$228,6,FALSE)=[4]!Table14[[#This Row],[Business Definition (To go into comments and into Meta Data Hub)]]</f>
        <v>#N/A</v>
      </c>
      <c r="X288" s="58" t="e">
        <f>VLOOKUP((UPPER(SUBSTITUTE(A288," ","_"))),'[2]Consumer View'!A$2:I$329,1,FALSE)</f>
        <v>#N/A</v>
      </c>
      <c r="Y288" s="51" t="s">
        <v>1503</v>
      </c>
      <c r="Z288" s="51" t="s">
        <v>1504</v>
      </c>
      <c r="AA288" s="51" t="s">
        <v>1505</v>
      </c>
      <c r="AB288" s="18"/>
      <c r="AC288" s="18"/>
      <c r="AD288" s="51" t="s">
        <v>1506</v>
      </c>
      <c r="AE288" s="46"/>
      <c r="AF288" s="18"/>
      <c r="AG288" s="18" t="s">
        <v>1507</v>
      </c>
      <c r="AH288" s="18" t="s">
        <v>178</v>
      </c>
    </row>
    <row r="289" spans="1:34" ht="27" customHeight="1">
      <c r="A289" s="105" t="s">
        <v>1508</v>
      </c>
      <c r="B289" s="51" t="s">
        <v>1509</v>
      </c>
      <c r="C289" s="51" t="s">
        <v>1510</v>
      </c>
      <c r="D289" s="51" t="s">
        <v>302</v>
      </c>
      <c r="E289" s="51" t="s">
        <v>63</v>
      </c>
      <c r="F289" s="51" t="s">
        <v>303</v>
      </c>
      <c r="G289" s="108" t="s">
        <v>63</v>
      </c>
      <c r="H289" s="52" t="s">
        <v>1511</v>
      </c>
      <c r="I289" s="51"/>
      <c r="J289" s="51" t="s">
        <v>1309</v>
      </c>
      <c r="K289" s="18"/>
      <c r="L289" s="110">
        <v>2674782</v>
      </c>
      <c r="M289" s="110">
        <v>2674782</v>
      </c>
      <c r="N289" s="18"/>
      <c r="O289" s="18" t="b">
        <f>VLOOKUP(A289,[1]Model!C$2:J$559,2,FALSE)=B289</f>
        <v>1</v>
      </c>
      <c r="P289" s="18" t="e">
        <f>VLOOKUP(A289,[2]Model!C$2:G$208,5,FALSE)=D289</f>
        <v>#N/A</v>
      </c>
      <c r="Q289" s="18" t="e">
        <f>VLOOKUP(A289,[2]Model!C$2:L$228,8,FALSE)</f>
        <v>#N/A</v>
      </c>
      <c r="R289" s="18" t="e">
        <f>VLOOKUP(A289,[2]Model!C$2:G$228,3,FALSE)=[3]!Table14[[#This Row],[Business Definition (To go into comments and into Meta Data Hub)]]</f>
        <v>#N/A</v>
      </c>
      <c r="S289" s="18" t="e">
        <f>IF([3]!Table14[[#This Row],[Nullable in Table and in Oracle View
NULL, NOT NULL]]="No","NOT NULL","NULL")=VLOOKUP(A289,[2]Model!C$2:I$228,6,FALSE)</f>
        <v>#REF!</v>
      </c>
      <c r="T289" s="58" t="e">
        <f>VLOOKUP(B289,[2]Table!A$2:F$415,1,FALSE)=[3]!Table14[[#This Row],[Physical Name of Attribute (Name of column in Table)
Supplied by DA Team]]</f>
        <v>#N/A</v>
      </c>
      <c r="U289" s="58" t="e">
        <f>VLOOKUP(B289,[2]Table!A$2:F$319,2,FALSE)=[4]!Table14[[#This Row],[Data type in Oracle
VARCHAR2(n), DATE, NUMBER(m,n), TIMETSTAMP(6)]]</f>
        <v>#N/A</v>
      </c>
      <c r="V289" s="58" t="e">
        <f>VLOOKUP(B289,[2]Table!A$2:F$231,3,FALSE)=[4]!Table14[[#This Row],[Nullable in Table and in Oracle View
NULL, NOT NULL]]</f>
        <v>#N/A</v>
      </c>
      <c r="W289" s="58" t="e">
        <f>VLOOKUP(B289,[2]Table!A$2:H$228,6,FALSE)=[4]!Table14[[#This Row],[Business Definition (To go into comments and into Meta Data Hub)]]</f>
        <v>#N/A</v>
      </c>
      <c r="X289" s="58" t="e">
        <f>VLOOKUP((UPPER(SUBSTITUTE(A289," ","_"))),'[2]Consumer View'!A$2:I$329,1,FALSE)</f>
        <v>#N/A</v>
      </c>
      <c r="Y289" s="51" t="s">
        <v>6</v>
      </c>
      <c r="Z289" s="51" t="s">
        <v>1512</v>
      </c>
      <c r="AA289" s="51" t="s">
        <v>1513</v>
      </c>
      <c r="AB289" s="18"/>
      <c r="AC289" s="18"/>
      <c r="AD289" s="51" t="s">
        <v>1514</v>
      </c>
      <c r="AE289" s="46"/>
      <c r="AF289" s="18"/>
      <c r="AG289" s="18" t="s">
        <v>1507</v>
      </c>
      <c r="AH289" s="18" t="s">
        <v>178</v>
      </c>
    </row>
    <row r="290" spans="1:34" ht="27" customHeight="1">
      <c r="A290" s="105" t="s">
        <v>1515</v>
      </c>
      <c r="B290" s="51" t="s">
        <v>1516</v>
      </c>
      <c r="C290" s="51" t="s">
        <v>1517</v>
      </c>
      <c r="D290" s="51" t="s">
        <v>82</v>
      </c>
      <c r="E290" s="51" t="s">
        <v>63</v>
      </c>
      <c r="F290" s="51" t="s">
        <v>83</v>
      </c>
      <c r="G290" s="108" t="s">
        <v>63</v>
      </c>
      <c r="H290" s="52" t="s">
        <v>1518</v>
      </c>
      <c r="I290" s="51"/>
      <c r="J290" s="51" t="s">
        <v>1309</v>
      </c>
      <c r="K290" s="18"/>
      <c r="L290" s="110">
        <v>2674782</v>
      </c>
      <c r="M290" s="110">
        <v>2674782</v>
      </c>
      <c r="N290" s="18"/>
      <c r="O290" s="18" t="b">
        <f>VLOOKUP(A290,[1]Model!C$2:J$559,2,FALSE)=B290</f>
        <v>1</v>
      </c>
      <c r="P290" s="18" t="e">
        <f>VLOOKUP(A290,[2]Model!C$2:G$208,5,FALSE)=D290</f>
        <v>#N/A</v>
      </c>
      <c r="Q290" s="18" t="e">
        <f>VLOOKUP(A290,[2]Model!C$2:L$228,8,FALSE)</f>
        <v>#N/A</v>
      </c>
      <c r="R290" s="18" t="e">
        <f>VLOOKUP(A290,[2]Model!C$2:G$228,3,FALSE)=[3]!Table14[[#This Row],[Business Definition (To go into comments and into Meta Data Hub)]]</f>
        <v>#N/A</v>
      </c>
      <c r="S290" s="18" t="e">
        <f>IF([3]!Table14[[#This Row],[Nullable in Table and in Oracle View
NULL, NOT NULL]]="No","NOT NULL","NULL")=VLOOKUP(A290,[2]Model!C$2:I$228,6,FALSE)</f>
        <v>#REF!</v>
      </c>
      <c r="T290" s="58" t="e">
        <f>VLOOKUP(B290,[2]Table!A$2:F$415,1,FALSE)=[3]!Table14[[#This Row],[Physical Name of Attribute (Name of column in Table)
Supplied by DA Team]]</f>
        <v>#N/A</v>
      </c>
      <c r="U290" s="58" t="e">
        <f>VLOOKUP(B290,[2]Table!A$2:F$319,2,FALSE)=[4]!Table14[[#This Row],[Data type in Oracle
VARCHAR2(n), DATE, NUMBER(m,n), TIMETSTAMP(6)]]</f>
        <v>#N/A</v>
      </c>
      <c r="V290" s="58" t="e">
        <f>VLOOKUP(B290,[2]Table!A$2:F$231,3,FALSE)=[4]!Table14[[#This Row],[Nullable in Table and in Oracle View
NULL, NOT NULL]]</f>
        <v>#N/A</v>
      </c>
      <c r="W290" s="58" t="e">
        <f>VLOOKUP(B290,[2]Table!A$2:H$228,6,FALSE)=[4]!Table14[[#This Row],[Business Definition (To go into comments and into Meta Data Hub)]]</f>
        <v>#N/A</v>
      </c>
      <c r="X290" s="58" t="e">
        <f>VLOOKUP((UPPER(SUBSTITUTE(A290," ","_"))),'[2]Consumer View'!A$2:I$329,1,FALSE)</f>
        <v>#N/A</v>
      </c>
      <c r="Y290" s="51" t="s">
        <v>1503</v>
      </c>
      <c r="Z290" s="51" t="s">
        <v>1519</v>
      </c>
      <c r="AA290" s="51" t="s">
        <v>1520</v>
      </c>
      <c r="AB290" s="18"/>
      <c r="AC290" s="18"/>
      <c r="AD290" s="51" t="s">
        <v>1521</v>
      </c>
      <c r="AE290" s="46"/>
      <c r="AF290" s="18"/>
      <c r="AG290" s="18" t="s">
        <v>1507</v>
      </c>
      <c r="AH290" s="18" t="s">
        <v>178</v>
      </c>
    </row>
    <row r="291" spans="1:34" ht="27" customHeight="1">
      <c r="A291" s="105" t="s">
        <v>1522</v>
      </c>
      <c r="B291" s="51" t="s">
        <v>1523</v>
      </c>
      <c r="C291" s="51" t="s">
        <v>1524</v>
      </c>
      <c r="D291" s="51" t="s">
        <v>427</v>
      </c>
      <c r="E291" s="51" t="s">
        <v>63</v>
      </c>
      <c r="F291" s="51" t="s">
        <v>428</v>
      </c>
      <c r="G291" s="108" t="s">
        <v>63</v>
      </c>
      <c r="H291" s="52" t="s">
        <v>1525</v>
      </c>
      <c r="I291" s="51"/>
      <c r="J291" s="51" t="s">
        <v>1309</v>
      </c>
      <c r="K291" s="18"/>
      <c r="L291" s="110">
        <v>2674782</v>
      </c>
      <c r="M291" s="110">
        <v>2674782</v>
      </c>
      <c r="N291" s="18"/>
      <c r="O291" s="18" t="b">
        <f>VLOOKUP(A291,[1]Model!C$2:J$559,2,FALSE)=B291</f>
        <v>1</v>
      </c>
      <c r="P291" s="18" t="e">
        <f>VLOOKUP(A291,[2]Model!C$2:G$208,5,FALSE)=D291</f>
        <v>#N/A</v>
      </c>
      <c r="Q291" s="18" t="e">
        <f>VLOOKUP(A291,[2]Model!C$2:L$228,8,FALSE)</f>
        <v>#N/A</v>
      </c>
      <c r="R291" s="18" t="e">
        <f>VLOOKUP(A291,[2]Model!C$2:G$228,3,FALSE)=[3]!Table14[[#This Row],[Business Definition (To go into comments and into Meta Data Hub)]]</f>
        <v>#N/A</v>
      </c>
      <c r="S291" s="18" t="e">
        <f>IF([3]!Table14[[#This Row],[Nullable in Table and in Oracle View
NULL, NOT NULL]]="No","NOT NULL","NULL")=VLOOKUP(A291,[2]Model!C$2:I$228,6,FALSE)</f>
        <v>#REF!</v>
      </c>
      <c r="T291" s="58" t="e">
        <f>VLOOKUP(B291,[2]Table!A$2:F$415,1,FALSE)=[3]!Table14[[#This Row],[Physical Name of Attribute (Name of column in Table)
Supplied by DA Team]]</f>
        <v>#N/A</v>
      </c>
      <c r="U291" s="58" t="e">
        <f>VLOOKUP(B291,[2]Table!A$2:F$319,2,FALSE)=[4]!Table14[[#This Row],[Data type in Oracle
VARCHAR2(n), DATE, NUMBER(m,n), TIMETSTAMP(6)]]</f>
        <v>#N/A</v>
      </c>
      <c r="V291" s="58" t="e">
        <f>VLOOKUP(B291,[2]Table!A$2:F$231,3,FALSE)=[4]!Table14[[#This Row],[Nullable in Table and in Oracle View
NULL, NOT NULL]]</f>
        <v>#N/A</v>
      </c>
      <c r="W291" s="58" t="e">
        <f>VLOOKUP(B291,[2]Table!A$2:H$228,6,FALSE)=[4]!Table14[[#This Row],[Business Definition (To go into comments and into Meta Data Hub)]]</f>
        <v>#N/A</v>
      </c>
      <c r="X291" s="58" t="e">
        <f>VLOOKUP((UPPER(SUBSTITUTE(A291," ","_"))),'[2]Consumer View'!A$2:I$329,1,FALSE)</f>
        <v>#N/A</v>
      </c>
      <c r="Y291" s="51" t="s">
        <v>6</v>
      </c>
      <c r="Z291" s="51" t="s">
        <v>1512</v>
      </c>
      <c r="AA291" s="51" t="s">
        <v>1526</v>
      </c>
      <c r="AB291" s="18"/>
      <c r="AC291" s="18"/>
      <c r="AD291" s="51" t="s">
        <v>1514</v>
      </c>
      <c r="AE291" s="46"/>
      <c r="AF291" s="18"/>
      <c r="AG291" s="18" t="s">
        <v>1507</v>
      </c>
      <c r="AH291" s="18" t="s">
        <v>178</v>
      </c>
    </row>
    <row r="292" spans="1:34" ht="27" customHeight="1">
      <c r="A292" s="105" t="s">
        <v>1527</v>
      </c>
      <c r="B292" s="51" t="s">
        <v>1528</v>
      </c>
      <c r="C292" s="51" t="s">
        <v>1529</v>
      </c>
      <c r="D292" s="51" t="s">
        <v>82</v>
      </c>
      <c r="E292" s="51" t="s">
        <v>63</v>
      </c>
      <c r="F292" s="51" t="s">
        <v>83</v>
      </c>
      <c r="G292" s="108" t="s">
        <v>63</v>
      </c>
      <c r="H292" s="52" t="s">
        <v>1530</v>
      </c>
      <c r="I292" s="51"/>
      <c r="J292" s="51" t="s">
        <v>1309</v>
      </c>
      <c r="K292" s="18"/>
      <c r="L292" s="110">
        <v>2674782</v>
      </c>
      <c r="M292" s="110">
        <v>2674782</v>
      </c>
      <c r="N292" s="18"/>
      <c r="O292" s="18" t="b">
        <f>VLOOKUP(A292,[1]Model!C$2:J$559,2,FALSE)=B292</f>
        <v>1</v>
      </c>
      <c r="P292" s="18" t="e">
        <f>VLOOKUP(A292,[2]Model!C$2:G$208,5,FALSE)=D292</f>
        <v>#N/A</v>
      </c>
      <c r="Q292" s="18" t="e">
        <f>VLOOKUP(A292,[2]Model!C$2:L$228,8,FALSE)</f>
        <v>#N/A</v>
      </c>
      <c r="R292" s="18" t="e">
        <f>VLOOKUP(A292,[2]Model!C$2:G$228,3,FALSE)=[3]!Table14[[#This Row],[Business Definition (To go into comments and into Meta Data Hub)]]</f>
        <v>#N/A</v>
      </c>
      <c r="S292" s="18" t="e">
        <f>IF([3]!Table14[[#This Row],[Nullable in Table and in Oracle View
NULL, NOT NULL]]="No","NOT NULL","NULL")=VLOOKUP(A292,[2]Model!C$2:I$228,6,FALSE)</f>
        <v>#REF!</v>
      </c>
      <c r="T292" s="58" t="e">
        <f>VLOOKUP(B292,[2]Table!A$2:F$415,1,FALSE)=[3]!Table14[[#This Row],[Physical Name of Attribute (Name of column in Table)
Supplied by DA Team]]</f>
        <v>#N/A</v>
      </c>
      <c r="U292" s="58" t="e">
        <f>VLOOKUP(B292,[2]Table!A$2:F$319,2,FALSE)=[4]!Table14[[#This Row],[Data type in Oracle
VARCHAR2(n), DATE, NUMBER(m,n), TIMETSTAMP(6)]]</f>
        <v>#N/A</v>
      </c>
      <c r="V292" s="58" t="e">
        <f>VLOOKUP(B292,[2]Table!A$2:F$231,3,FALSE)=[4]!Table14[[#This Row],[Nullable in Table and in Oracle View
NULL, NOT NULL]]</f>
        <v>#N/A</v>
      </c>
      <c r="W292" s="58" t="e">
        <f>VLOOKUP(B292,[2]Table!A$2:H$228,6,FALSE)=[4]!Table14[[#This Row],[Business Definition (To go into comments and into Meta Data Hub)]]</f>
        <v>#N/A</v>
      </c>
      <c r="X292" s="58" t="e">
        <f>VLOOKUP((UPPER(SUBSTITUTE(A292," ","_"))),'[2]Consumer View'!A$2:I$329,1,FALSE)</f>
        <v>#N/A</v>
      </c>
      <c r="Y292" s="51" t="s">
        <v>6</v>
      </c>
      <c r="Z292" s="51" t="s">
        <v>1531</v>
      </c>
      <c r="AA292" s="51" t="s">
        <v>1532</v>
      </c>
      <c r="AB292" s="18"/>
      <c r="AC292" s="18"/>
      <c r="AD292" s="51" t="s">
        <v>1533</v>
      </c>
      <c r="AE292" s="46"/>
      <c r="AF292" s="18"/>
      <c r="AG292" s="18" t="s">
        <v>1507</v>
      </c>
      <c r="AH292" s="18" t="s">
        <v>178</v>
      </c>
    </row>
    <row r="293" spans="1:34" ht="27" customHeight="1">
      <c r="A293" s="105" t="s">
        <v>1534</v>
      </c>
      <c r="B293" s="51" t="s">
        <v>1535</v>
      </c>
      <c r="C293" s="51" t="s">
        <v>1536</v>
      </c>
      <c r="D293" s="51" t="s">
        <v>62</v>
      </c>
      <c r="E293" s="51" t="s">
        <v>63</v>
      </c>
      <c r="F293" s="51" t="s">
        <v>64</v>
      </c>
      <c r="G293" s="108" t="s">
        <v>63</v>
      </c>
      <c r="H293" s="52" t="s">
        <v>1537</v>
      </c>
      <c r="I293" s="51"/>
      <c r="J293" s="51" t="s">
        <v>1309</v>
      </c>
      <c r="K293" s="18"/>
      <c r="L293" s="110">
        <v>2674782</v>
      </c>
      <c r="M293" s="110">
        <v>2674782</v>
      </c>
      <c r="N293" s="18"/>
      <c r="O293" s="18" t="b">
        <f>VLOOKUP(A293,[1]Model!C$2:J$559,2,FALSE)=B293</f>
        <v>1</v>
      </c>
      <c r="P293" s="18" t="e">
        <f>VLOOKUP(A293,[2]Model!C$2:G$208,5,FALSE)=D293</f>
        <v>#N/A</v>
      </c>
      <c r="Q293" s="18" t="e">
        <f>VLOOKUP(A293,[2]Model!C$2:L$228,8,FALSE)</f>
        <v>#N/A</v>
      </c>
      <c r="R293" s="18" t="e">
        <f>VLOOKUP(A293,[2]Model!C$2:G$228,3,FALSE)=[3]!Table14[[#This Row],[Business Definition (To go into comments and into Meta Data Hub)]]</f>
        <v>#N/A</v>
      </c>
      <c r="S293" s="18" t="e">
        <f>IF([3]!Table14[[#This Row],[Nullable in Table and in Oracle View
NULL, NOT NULL]]="No","NOT NULL","NULL")=VLOOKUP(A293,[2]Model!C$2:I$228,6,FALSE)</f>
        <v>#REF!</v>
      </c>
      <c r="T293" s="58" t="e">
        <f>VLOOKUP(B293,[2]Table!A$2:F$415,1,FALSE)=[3]!Table14[[#This Row],[Physical Name of Attribute (Name of column in Table)
Supplied by DA Team]]</f>
        <v>#N/A</v>
      </c>
      <c r="U293" s="58" t="e">
        <f>VLOOKUP(B293,[2]Table!A$2:F$319,2,FALSE)=[4]!Table14[[#This Row],[Data type in Oracle
VARCHAR2(n), DATE, NUMBER(m,n), TIMETSTAMP(6)]]</f>
        <v>#N/A</v>
      </c>
      <c r="V293" s="58" t="e">
        <f>VLOOKUP(B293,[2]Table!A$2:F$231,3,FALSE)=[4]!Table14[[#This Row],[Nullable in Table and in Oracle View
NULL, NOT NULL]]</f>
        <v>#N/A</v>
      </c>
      <c r="W293" s="58" t="e">
        <f>VLOOKUP(B293,[2]Table!A$2:H$228,6,FALSE)=[4]!Table14[[#This Row],[Business Definition (To go into comments and into Meta Data Hub)]]</f>
        <v>#N/A</v>
      </c>
      <c r="X293" s="58" t="e">
        <f>VLOOKUP((UPPER(SUBSTITUTE(A293," ","_"))),'[2]Consumer View'!A$2:I$329,1,FALSE)</f>
        <v>#N/A</v>
      </c>
      <c r="Y293" s="51" t="s">
        <v>6</v>
      </c>
      <c r="Z293" s="51" t="s">
        <v>1531</v>
      </c>
      <c r="AA293" s="51" t="s">
        <v>1538</v>
      </c>
      <c r="AB293" s="18"/>
      <c r="AC293" s="18"/>
      <c r="AD293" s="51" t="s">
        <v>1533</v>
      </c>
      <c r="AE293" s="46"/>
      <c r="AF293" s="18"/>
      <c r="AG293" s="18" t="s">
        <v>1507</v>
      </c>
      <c r="AH293" s="18" t="s">
        <v>178</v>
      </c>
    </row>
    <row r="294" spans="1:34" ht="27" customHeight="1">
      <c r="A294" s="105" t="s">
        <v>1539</v>
      </c>
      <c r="B294" s="51" t="s">
        <v>1540</v>
      </c>
      <c r="C294" s="51" t="s">
        <v>1541</v>
      </c>
      <c r="D294" s="51" t="s">
        <v>62</v>
      </c>
      <c r="E294" s="51" t="s">
        <v>63</v>
      </c>
      <c r="F294" s="51" t="s">
        <v>64</v>
      </c>
      <c r="G294" s="108" t="s">
        <v>63</v>
      </c>
      <c r="H294" s="52" t="s">
        <v>1542</v>
      </c>
      <c r="I294" s="51"/>
      <c r="J294" s="51" t="s">
        <v>1309</v>
      </c>
      <c r="K294" s="18"/>
      <c r="L294" s="110">
        <v>2674782</v>
      </c>
      <c r="M294" s="110">
        <v>2674782</v>
      </c>
      <c r="N294" s="18"/>
      <c r="O294" s="18" t="b">
        <f>VLOOKUP(A294,[1]Model!C$2:J$559,2,FALSE)=B294</f>
        <v>1</v>
      </c>
      <c r="P294" s="18" t="e">
        <f>VLOOKUP(A294,[2]Model!C$2:G$208,5,FALSE)=D294</f>
        <v>#N/A</v>
      </c>
      <c r="Q294" s="18" t="e">
        <f>VLOOKUP(A294,[2]Model!C$2:L$228,8,FALSE)</f>
        <v>#N/A</v>
      </c>
      <c r="R294" s="18" t="e">
        <f>VLOOKUP(A294,[2]Model!C$2:G$228,3,FALSE)=[3]!Table14[[#This Row],[Business Definition (To go into comments and into Meta Data Hub)]]</f>
        <v>#N/A</v>
      </c>
      <c r="S294" s="18" t="e">
        <f>IF([3]!Table14[[#This Row],[Nullable in Table and in Oracle View
NULL, NOT NULL]]="No","NOT NULL","NULL")=VLOOKUP(A294,[2]Model!C$2:I$228,6,FALSE)</f>
        <v>#REF!</v>
      </c>
      <c r="T294" s="58" t="e">
        <f>VLOOKUP(B294,[2]Table!A$2:F$415,1,FALSE)=[3]!Table14[[#This Row],[Physical Name of Attribute (Name of column in Table)
Supplied by DA Team]]</f>
        <v>#N/A</v>
      </c>
      <c r="U294" s="58" t="e">
        <f>VLOOKUP(B294,[2]Table!A$2:F$319,2,FALSE)=[4]!Table14[[#This Row],[Data type in Oracle
VARCHAR2(n), DATE, NUMBER(m,n), TIMETSTAMP(6)]]</f>
        <v>#N/A</v>
      </c>
      <c r="V294" s="58" t="e">
        <f>VLOOKUP(B294,[2]Table!A$2:F$231,3,FALSE)=[4]!Table14[[#This Row],[Nullable in Table and in Oracle View
NULL, NOT NULL]]</f>
        <v>#N/A</v>
      </c>
      <c r="W294" s="58" t="e">
        <f>VLOOKUP(B294,[2]Table!A$2:H$228,6,FALSE)=[4]!Table14[[#This Row],[Business Definition (To go into comments and into Meta Data Hub)]]</f>
        <v>#N/A</v>
      </c>
      <c r="X294" s="58" t="e">
        <f>VLOOKUP((UPPER(SUBSTITUTE(A294," ","_"))),'[2]Consumer View'!A$2:I$329,1,FALSE)</f>
        <v>#N/A</v>
      </c>
      <c r="Y294" s="51" t="s">
        <v>6</v>
      </c>
      <c r="Z294" s="51" t="s">
        <v>1531</v>
      </c>
      <c r="AA294" s="51" t="s">
        <v>1543</v>
      </c>
      <c r="AB294" s="18"/>
      <c r="AC294" s="18"/>
      <c r="AD294" s="51" t="s">
        <v>1533</v>
      </c>
      <c r="AE294" s="46"/>
      <c r="AF294" s="18"/>
      <c r="AG294" s="18" t="s">
        <v>1507</v>
      </c>
      <c r="AH294" s="18" t="s">
        <v>178</v>
      </c>
    </row>
    <row r="295" spans="1:34" ht="27" customHeight="1">
      <c r="A295" s="105" t="s">
        <v>1544</v>
      </c>
      <c r="B295" s="51" t="s">
        <v>1545</v>
      </c>
      <c r="C295" s="51" t="s">
        <v>1546</v>
      </c>
      <c r="D295" s="51" t="s">
        <v>1547</v>
      </c>
      <c r="E295" s="51" t="s">
        <v>63</v>
      </c>
      <c r="F295" s="51" t="s">
        <v>1548</v>
      </c>
      <c r="G295" s="108" t="s">
        <v>63</v>
      </c>
      <c r="H295" s="52" t="s">
        <v>1549</v>
      </c>
      <c r="I295" s="51"/>
      <c r="J295" s="51" t="s">
        <v>1309</v>
      </c>
      <c r="K295" s="18"/>
      <c r="L295" s="110">
        <v>2674782</v>
      </c>
      <c r="M295" s="110">
        <v>2674782</v>
      </c>
      <c r="N295" s="18"/>
      <c r="O295" s="18" t="b">
        <f>VLOOKUP(A295,[1]Model!C$2:J$559,2,FALSE)=B295</f>
        <v>1</v>
      </c>
      <c r="P295" s="18" t="e">
        <f>VLOOKUP(A295,[2]Model!C$2:G$208,5,FALSE)=D295</f>
        <v>#N/A</v>
      </c>
      <c r="Q295" s="18" t="e">
        <f>VLOOKUP(A295,[2]Model!C$2:L$228,8,FALSE)</f>
        <v>#N/A</v>
      </c>
      <c r="R295" s="18" t="e">
        <f>VLOOKUP(A295,[2]Model!C$2:G$228,3,FALSE)=[3]!Table14[[#This Row],[Business Definition (To go into comments and into Meta Data Hub)]]</f>
        <v>#N/A</v>
      </c>
      <c r="S295" s="18" t="e">
        <f>IF([3]!Table14[[#This Row],[Nullable in Table and in Oracle View
NULL, NOT NULL]]="No","NOT NULL","NULL")=VLOOKUP(A295,[2]Model!C$2:I$228,6,FALSE)</f>
        <v>#REF!</v>
      </c>
      <c r="T295" s="58" t="e">
        <f>VLOOKUP(B295,[2]Table!A$2:F$415,1,FALSE)=[3]!Table14[[#This Row],[Physical Name of Attribute (Name of column in Table)
Supplied by DA Team]]</f>
        <v>#N/A</v>
      </c>
      <c r="U295" s="58" t="e">
        <f>VLOOKUP(B295,[2]Table!A$2:F$319,2,FALSE)=[4]!Table14[[#This Row],[Data type in Oracle
VARCHAR2(n), DATE, NUMBER(m,n), TIMETSTAMP(6)]]</f>
        <v>#N/A</v>
      </c>
      <c r="V295" s="58" t="e">
        <f>VLOOKUP(B295,[2]Table!A$2:F$231,3,FALSE)=[4]!Table14[[#This Row],[Nullable in Table and in Oracle View
NULL, NOT NULL]]</f>
        <v>#N/A</v>
      </c>
      <c r="W295" s="58" t="e">
        <f>VLOOKUP(B295,[2]Table!A$2:H$228,6,FALSE)=[4]!Table14[[#This Row],[Business Definition (To go into comments and into Meta Data Hub)]]</f>
        <v>#N/A</v>
      </c>
      <c r="X295" s="58" t="e">
        <f>VLOOKUP((UPPER(SUBSTITUTE(A295," ","_"))),'[2]Consumer View'!A$2:I$329,1,FALSE)</f>
        <v>#N/A</v>
      </c>
      <c r="Y295" s="51" t="s">
        <v>6</v>
      </c>
      <c r="Z295" s="51" t="s">
        <v>1512</v>
      </c>
      <c r="AA295" s="51" t="s">
        <v>1550</v>
      </c>
      <c r="AB295" s="18"/>
      <c r="AC295" s="18"/>
      <c r="AD295" s="51" t="s">
        <v>1514</v>
      </c>
      <c r="AE295" s="46"/>
      <c r="AF295" s="18"/>
      <c r="AG295" s="18" t="s">
        <v>1507</v>
      </c>
      <c r="AH295" s="18" t="s">
        <v>178</v>
      </c>
    </row>
    <row r="296" spans="1:34" ht="27" customHeight="1">
      <c r="A296" s="105" t="s">
        <v>1551</v>
      </c>
      <c r="B296" s="51" t="s">
        <v>1552</v>
      </c>
      <c r="C296" s="51" t="s">
        <v>1553</v>
      </c>
      <c r="D296" s="51" t="s">
        <v>82</v>
      </c>
      <c r="E296" s="51" t="s">
        <v>63</v>
      </c>
      <c r="F296" s="51" t="s">
        <v>83</v>
      </c>
      <c r="G296" s="108" t="s">
        <v>63</v>
      </c>
      <c r="H296" s="52" t="s">
        <v>1554</v>
      </c>
      <c r="I296" s="51"/>
      <c r="J296" s="51" t="s">
        <v>1309</v>
      </c>
      <c r="K296" s="18"/>
      <c r="L296" s="110">
        <v>2674782</v>
      </c>
      <c r="M296" s="110">
        <v>2674782</v>
      </c>
      <c r="N296" s="18"/>
      <c r="O296" s="18" t="b">
        <f>VLOOKUP(A296,[1]Model!C$2:J$559,2,FALSE)=B296</f>
        <v>1</v>
      </c>
      <c r="P296" s="18" t="e">
        <f>VLOOKUP(A296,[2]Model!C$2:G$208,5,FALSE)=D296</f>
        <v>#N/A</v>
      </c>
      <c r="Q296" s="18" t="e">
        <f>VLOOKUP(A296,[2]Model!C$2:L$228,8,FALSE)</f>
        <v>#N/A</v>
      </c>
      <c r="R296" s="18" t="e">
        <f>VLOOKUP(A296,[2]Model!C$2:G$228,3,FALSE)=[3]!Table14[[#This Row],[Business Definition (To go into comments and into Meta Data Hub)]]</f>
        <v>#N/A</v>
      </c>
      <c r="S296" s="18" t="e">
        <f>IF([3]!Table14[[#This Row],[Nullable in Table and in Oracle View
NULL, NOT NULL]]="No","NOT NULL","NULL")=VLOOKUP(A296,[2]Model!C$2:I$228,6,FALSE)</f>
        <v>#REF!</v>
      </c>
      <c r="T296" s="58" t="e">
        <f>VLOOKUP(B296,[2]Table!A$2:F$415,1,FALSE)=[3]!Table14[[#This Row],[Physical Name of Attribute (Name of column in Table)
Supplied by DA Team]]</f>
        <v>#N/A</v>
      </c>
      <c r="U296" s="58" t="e">
        <f>VLOOKUP(B296,[2]Table!A$2:F$319,2,FALSE)=[4]!Table14[[#This Row],[Data type in Oracle
VARCHAR2(n), DATE, NUMBER(m,n), TIMETSTAMP(6)]]</f>
        <v>#N/A</v>
      </c>
      <c r="V296" s="58" t="e">
        <f>VLOOKUP(B296,[2]Table!A$2:F$231,3,FALSE)=[4]!Table14[[#This Row],[Nullable in Table and in Oracle View
NULL, NOT NULL]]</f>
        <v>#N/A</v>
      </c>
      <c r="W296" s="58" t="e">
        <f>VLOOKUP(B296,[2]Table!A$2:H$228,6,FALSE)=[4]!Table14[[#This Row],[Business Definition (To go into comments and into Meta Data Hub)]]</f>
        <v>#N/A</v>
      </c>
      <c r="X296" s="58" t="e">
        <f>VLOOKUP((UPPER(SUBSTITUTE(A296," ","_"))),'[2]Consumer View'!A$2:I$329,1,FALSE)</f>
        <v>#N/A</v>
      </c>
      <c r="Y296" s="51" t="s">
        <v>6</v>
      </c>
      <c r="Z296" s="51" t="s">
        <v>1512</v>
      </c>
      <c r="AA296" s="51" t="s">
        <v>1555</v>
      </c>
      <c r="AB296" s="18"/>
      <c r="AC296" s="18"/>
      <c r="AD296" s="51" t="s">
        <v>1514</v>
      </c>
      <c r="AE296" s="46"/>
      <c r="AF296" s="18"/>
      <c r="AG296" s="18" t="s">
        <v>1507</v>
      </c>
      <c r="AH296" s="18" t="s">
        <v>178</v>
      </c>
    </row>
    <row r="297" spans="1:34" ht="27" customHeight="1">
      <c r="A297" s="105" t="s">
        <v>1556</v>
      </c>
      <c r="B297" s="51" t="s">
        <v>1557</v>
      </c>
      <c r="C297" s="51" t="s">
        <v>1558</v>
      </c>
      <c r="D297" s="51" t="s">
        <v>82</v>
      </c>
      <c r="E297" s="51" t="s">
        <v>63</v>
      </c>
      <c r="F297" s="51" t="s">
        <v>83</v>
      </c>
      <c r="G297" s="108" t="s">
        <v>63</v>
      </c>
      <c r="H297" s="52" t="s">
        <v>1559</v>
      </c>
      <c r="I297" s="51"/>
      <c r="J297" s="51" t="s">
        <v>1309</v>
      </c>
      <c r="K297" s="18"/>
      <c r="L297" s="110">
        <v>2674782</v>
      </c>
      <c r="M297" s="110">
        <v>2674782</v>
      </c>
      <c r="N297" s="18"/>
      <c r="O297" s="18" t="b">
        <f>VLOOKUP(A297,[1]Model!C$2:J$559,2,FALSE)=B297</f>
        <v>1</v>
      </c>
      <c r="P297" s="18" t="e">
        <f>VLOOKUP(A297,[2]Model!C$2:G$208,5,FALSE)=D297</f>
        <v>#N/A</v>
      </c>
      <c r="Q297" s="18" t="e">
        <f>VLOOKUP(A297,[2]Model!C$2:L$228,8,FALSE)</f>
        <v>#N/A</v>
      </c>
      <c r="R297" s="18" t="e">
        <f>VLOOKUP(A297,[2]Model!C$2:G$228,3,FALSE)=[3]!Table14[[#This Row],[Business Definition (To go into comments and into Meta Data Hub)]]</f>
        <v>#N/A</v>
      </c>
      <c r="S297" s="18" t="e">
        <f>IF([3]!Table14[[#This Row],[Nullable in Table and in Oracle View
NULL, NOT NULL]]="No","NOT NULL","NULL")=VLOOKUP(A297,[2]Model!C$2:I$228,6,FALSE)</f>
        <v>#REF!</v>
      </c>
      <c r="T297" s="58" t="e">
        <f>VLOOKUP(B297,[2]Table!A$2:F$415,1,FALSE)=[3]!Table14[[#This Row],[Physical Name of Attribute (Name of column in Table)
Supplied by DA Team]]</f>
        <v>#N/A</v>
      </c>
      <c r="U297" s="58" t="e">
        <f>VLOOKUP(B297,[2]Table!A$2:F$319,2,FALSE)=[4]!Table14[[#This Row],[Data type in Oracle
VARCHAR2(n), DATE, NUMBER(m,n), TIMETSTAMP(6)]]</f>
        <v>#N/A</v>
      </c>
      <c r="V297" s="58" t="e">
        <f>VLOOKUP(B297,[2]Table!A$2:F$231,3,FALSE)=[4]!Table14[[#This Row],[Nullable in Table and in Oracle View
NULL, NOT NULL]]</f>
        <v>#N/A</v>
      </c>
      <c r="W297" s="58" t="e">
        <f>VLOOKUP(B297,[2]Table!A$2:H$228,6,FALSE)=[4]!Table14[[#This Row],[Business Definition (To go into comments and into Meta Data Hub)]]</f>
        <v>#N/A</v>
      </c>
      <c r="X297" s="58" t="e">
        <f>VLOOKUP((UPPER(SUBSTITUTE(A297," ","_"))),'[2]Consumer View'!A$2:I$329,1,FALSE)</f>
        <v>#N/A</v>
      </c>
      <c r="Y297" s="51" t="s">
        <v>6</v>
      </c>
      <c r="Z297" s="51" t="s">
        <v>1512</v>
      </c>
      <c r="AA297" s="51" t="s">
        <v>1560</v>
      </c>
      <c r="AB297" s="18"/>
      <c r="AC297" s="18"/>
      <c r="AD297" s="51" t="s">
        <v>1514</v>
      </c>
      <c r="AE297" s="46"/>
      <c r="AF297" s="18"/>
      <c r="AG297" s="18" t="s">
        <v>1507</v>
      </c>
      <c r="AH297" s="18" t="s">
        <v>178</v>
      </c>
    </row>
    <row r="298" spans="1:34" ht="27" customHeight="1">
      <c r="A298" s="105" t="s">
        <v>1561</v>
      </c>
      <c r="B298" s="51" t="s">
        <v>1562</v>
      </c>
      <c r="C298" s="51" t="s">
        <v>1563</v>
      </c>
      <c r="D298" s="51" t="s">
        <v>82</v>
      </c>
      <c r="E298" s="51" t="s">
        <v>63</v>
      </c>
      <c r="F298" s="51" t="s">
        <v>83</v>
      </c>
      <c r="G298" s="108" t="s">
        <v>63</v>
      </c>
      <c r="H298" s="52" t="s">
        <v>1564</v>
      </c>
      <c r="I298" s="51"/>
      <c r="J298" s="51" t="s">
        <v>1309</v>
      </c>
      <c r="K298" s="18"/>
      <c r="L298" s="110">
        <v>2674782</v>
      </c>
      <c r="M298" s="110">
        <v>2674782</v>
      </c>
      <c r="N298" s="18"/>
      <c r="O298" s="18" t="b">
        <f>VLOOKUP(A298,[1]Model!C$2:J$559,2,FALSE)=B298</f>
        <v>1</v>
      </c>
      <c r="P298" s="18" t="e">
        <f>VLOOKUP(A298,[2]Model!C$2:G$208,5,FALSE)=D298</f>
        <v>#N/A</v>
      </c>
      <c r="Q298" s="18" t="e">
        <f>VLOOKUP(A298,[2]Model!C$2:L$228,8,FALSE)</f>
        <v>#N/A</v>
      </c>
      <c r="R298" s="18" t="e">
        <f>VLOOKUP(A298,[2]Model!C$2:G$228,3,FALSE)=[3]!Table14[[#This Row],[Business Definition (To go into comments and into Meta Data Hub)]]</f>
        <v>#N/A</v>
      </c>
      <c r="S298" s="18" t="e">
        <f>IF([3]!Table14[[#This Row],[Nullable in Table and in Oracle View
NULL, NOT NULL]]="No","NOT NULL","NULL")=VLOOKUP(A298,[2]Model!C$2:I$228,6,FALSE)</f>
        <v>#REF!</v>
      </c>
      <c r="T298" s="58" t="e">
        <f>VLOOKUP(B298,[2]Table!A$2:F$415,1,FALSE)=[3]!Table14[[#This Row],[Physical Name of Attribute (Name of column in Table)
Supplied by DA Team]]</f>
        <v>#N/A</v>
      </c>
      <c r="U298" s="58" t="e">
        <f>VLOOKUP(B298,[2]Table!A$2:F$319,2,FALSE)=[4]!Table14[[#This Row],[Data type in Oracle
VARCHAR2(n), DATE, NUMBER(m,n), TIMETSTAMP(6)]]</f>
        <v>#N/A</v>
      </c>
      <c r="V298" s="58" t="e">
        <f>VLOOKUP(B298,[2]Table!A$2:F$231,3,FALSE)=[4]!Table14[[#This Row],[Nullable in Table and in Oracle View
NULL, NOT NULL]]</f>
        <v>#N/A</v>
      </c>
      <c r="W298" s="58" t="e">
        <f>VLOOKUP(B298,[2]Table!A$2:H$228,6,FALSE)=[4]!Table14[[#This Row],[Business Definition (To go into comments and into Meta Data Hub)]]</f>
        <v>#N/A</v>
      </c>
      <c r="X298" s="58" t="e">
        <f>VLOOKUP((UPPER(SUBSTITUTE(A298," ","_"))),'[2]Consumer View'!A$2:I$329,1,FALSE)</f>
        <v>#N/A</v>
      </c>
      <c r="Y298" s="51" t="s">
        <v>1503</v>
      </c>
      <c r="Z298" s="51" t="s">
        <v>1519</v>
      </c>
      <c r="AA298" s="51" t="s">
        <v>1565</v>
      </c>
      <c r="AB298" s="18"/>
      <c r="AC298" s="18"/>
      <c r="AD298" s="51" t="s">
        <v>1521</v>
      </c>
      <c r="AE298" s="46"/>
      <c r="AF298" s="18"/>
      <c r="AG298" s="18" t="s">
        <v>1507</v>
      </c>
      <c r="AH298" s="18" t="s">
        <v>178</v>
      </c>
    </row>
    <row r="299" spans="1:34" ht="27" customHeight="1">
      <c r="A299" s="105" t="s">
        <v>1566</v>
      </c>
      <c r="B299" s="51" t="s">
        <v>1567</v>
      </c>
      <c r="C299" s="51" t="s">
        <v>1568</v>
      </c>
      <c r="D299" s="51" t="s">
        <v>139</v>
      </c>
      <c r="E299" s="51" t="s">
        <v>63</v>
      </c>
      <c r="F299" s="51" t="s">
        <v>140</v>
      </c>
      <c r="G299" s="108" t="s">
        <v>63</v>
      </c>
      <c r="H299" s="52" t="s">
        <v>1569</v>
      </c>
      <c r="I299" s="51"/>
      <c r="J299" s="51" t="s">
        <v>1309</v>
      </c>
      <c r="K299" s="18"/>
      <c r="L299" s="110">
        <v>2674782</v>
      </c>
      <c r="M299" s="110">
        <v>2674782</v>
      </c>
      <c r="N299" s="18"/>
      <c r="O299" s="18" t="b">
        <f>VLOOKUP(A299,[1]Model!C$2:J$559,2,FALSE)=B299</f>
        <v>1</v>
      </c>
      <c r="P299" s="18" t="e">
        <f>VLOOKUP(A299,[2]Model!C$2:G$208,5,FALSE)=D299</f>
        <v>#N/A</v>
      </c>
      <c r="Q299" s="18" t="e">
        <f>VLOOKUP(A299,[2]Model!C$2:L$228,8,FALSE)</f>
        <v>#N/A</v>
      </c>
      <c r="R299" s="18" t="e">
        <f>VLOOKUP(A299,[2]Model!C$2:G$228,3,FALSE)=[3]!Table14[[#This Row],[Business Definition (To go into comments and into Meta Data Hub)]]</f>
        <v>#N/A</v>
      </c>
      <c r="S299" s="18" t="e">
        <f>IF([3]!Table14[[#This Row],[Nullable in Table and in Oracle View
NULL, NOT NULL]]="No","NOT NULL","NULL")=VLOOKUP(A299,[2]Model!C$2:I$228,6,FALSE)</f>
        <v>#REF!</v>
      </c>
      <c r="T299" s="58" t="e">
        <f>VLOOKUP(B299,[2]Table!A$2:F$415,1,FALSE)=[3]!Table14[[#This Row],[Physical Name of Attribute (Name of column in Table)
Supplied by DA Team]]</f>
        <v>#N/A</v>
      </c>
      <c r="U299" s="58" t="e">
        <f>VLOOKUP(B299,[2]Table!A$2:F$319,2,FALSE)=[4]!Table14[[#This Row],[Data type in Oracle
VARCHAR2(n), DATE, NUMBER(m,n), TIMETSTAMP(6)]]</f>
        <v>#N/A</v>
      </c>
      <c r="V299" s="58" t="e">
        <f>VLOOKUP(B299,[2]Table!A$2:F$231,3,FALSE)=[4]!Table14[[#This Row],[Nullable in Table and in Oracle View
NULL, NOT NULL]]</f>
        <v>#N/A</v>
      </c>
      <c r="W299" s="58" t="e">
        <f>VLOOKUP(B299,[2]Table!A$2:H$228,6,FALSE)=[4]!Table14[[#This Row],[Business Definition (To go into comments and into Meta Data Hub)]]</f>
        <v>#N/A</v>
      </c>
      <c r="X299" s="58" t="e">
        <f>VLOOKUP((UPPER(SUBSTITUTE(A299," ","_"))),'[2]Consumer View'!A$2:I$329,1,FALSE)</f>
        <v>#N/A</v>
      </c>
      <c r="Y299" s="51" t="s">
        <v>1503</v>
      </c>
      <c r="Z299" s="51" t="s">
        <v>203</v>
      </c>
      <c r="AA299" s="51" t="s">
        <v>1570</v>
      </c>
      <c r="AB299" s="18"/>
      <c r="AC299" s="18"/>
      <c r="AD299" s="51" t="s">
        <v>1571</v>
      </c>
      <c r="AE299" s="46"/>
      <c r="AF299" s="18"/>
      <c r="AG299" s="18" t="s">
        <v>1572</v>
      </c>
      <c r="AH299" s="18" t="s">
        <v>178</v>
      </c>
    </row>
    <row r="300" spans="1:34" ht="27" customHeight="1">
      <c r="A300" s="105" t="s">
        <v>1573</v>
      </c>
      <c r="B300" s="51" t="s">
        <v>1574</v>
      </c>
      <c r="C300" s="51" t="s">
        <v>1575</v>
      </c>
      <c r="D300" s="51" t="s">
        <v>139</v>
      </c>
      <c r="E300" s="51" t="s">
        <v>63</v>
      </c>
      <c r="F300" s="51" t="s">
        <v>140</v>
      </c>
      <c r="G300" s="108" t="s">
        <v>63</v>
      </c>
      <c r="H300" s="52" t="s">
        <v>1576</v>
      </c>
      <c r="I300" s="51"/>
      <c r="J300" s="51" t="s">
        <v>1309</v>
      </c>
      <c r="K300" s="18"/>
      <c r="L300" s="110">
        <v>2674782</v>
      </c>
      <c r="M300" s="110">
        <v>2674782</v>
      </c>
      <c r="N300" s="18"/>
      <c r="O300" s="18" t="b">
        <f>VLOOKUP(A300,[1]Model!C$2:J$559,2,FALSE)=B300</f>
        <v>1</v>
      </c>
      <c r="P300" s="18" t="e">
        <f>VLOOKUP(A300,[2]Model!C$2:G$208,5,FALSE)=D300</f>
        <v>#N/A</v>
      </c>
      <c r="Q300" s="18" t="e">
        <f>VLOOKUP(A300,[2]Model!C$2:L$228,8,FALSE)</f>
        <v>#N/A</v>
      </c>
      <c r="R300" s="18" t="e">
        <f>VLOOKUP(A300,[2]Model!C$2:G$228,3,FALSE)=[3]!Table14[[#This Row],[Business Definition (To go into comments and into Meta Data Hub)]]</f>
        <v>#N/A</v>
      </c>
      <c r="S300" s="18" t="e">
        <f>IF([3]!Table14[[#This Row],[Nullable in Table and in Oracle View
NULL, NOT NULL]]="No","NOT NULL","NULL")=VLOOKUP(A300,[2]Model!C$2:I$228,6,FALSE)</f>
        <v>#REF!</v>
      </c>
      <c r="T300" s="58" t="e">
        <f>VLOOKUP(B300,[2]Table!A$2:F$415,1,FALSE)=[3]!Table14[[#This Row],[Physical Name of Attribute (Name of column in Table)
Supplied by DA Team]]</f>
        <v>#N/A</v>
      </c>
      <c r="U300" s="58" t="e">
        <f>VLOOKUP(B300,[2]Table!A$2:F$319,2,FALSE)=[4]!Table14[[#This Row],[Data type in Oracle
VARCHAR2(n), DATE, NUMBER(m,n), TIMETSTAMP(6)]]</f>
        <v>#N/A</v>
      </c>
      <c r="V300" s="58" t="e">
        <f>VLOOKUP(B300,[2]Table!A$2:F$231,3,FALSE)=[4]!Table14[[#This Row],[Nullable in Table and in Oracle View
NULL, NOT NULL]]</f>
        <v>#N/A</v>
      </c>
      <c r="W300" s="58" t="e">
        <f>VLOOKUP(B300,[2]Table!A$2:H$228,6,FALSE)=[4]!Table14[[#This Row],[Business Definition (To go into comments and into Meta Data Hub)]]</f>
        <v>#N/A</v>
      </c>
      <c r="X300" s="58" t="e">
        <f>VLOOKUP((UPPER(SUBSTITUTE(A300," ","_"))),'[2]Consumer View'!A$2:I$329,1,FALSE)</f>
        <v>#N/A</v>
      </c>
      <c r="Y300" s="51" t="s">
        <v>1503</v>
      </c>
      <c r="Z300" s="51" t="s">
        <v>203</v>
      </c>
      <c r="AA300" s="51" t="s">
        <v>1577</v>
      </c>
      <c r="AB300" s="18"/>
      <c r="AC300" s="18"/>
      <c r="AD300" s="51" t="s">
        <v>1571</v>
      </c>
      <c r="AE300" s="46"/>
      <c r="AF300" s="18"/>
      <c r="AG300" s="18" t="s">
        <v>1572</v>
      </c>
      <c r="AH300" s="18" t="s">
        <v>178</v>
      </c>
    </row>
    <row r="301" spans="1:34" ht="27" customHeight="1">
      <c r="A301" s="105" t="s">
        <v>1578</v>
      </c>
      <c r="B301" s="51" t="s">
        <v>1579</v>
      </c>
      <c r="C301" s="51" t="s">
        <v>1580</v>
      </c>
      <c r="D301" s="51" t="s">
        <v>120</v>
      </c>
      <c r="E301" s="51" t="s">
        <v>63</v>
      </c>
      <c r="F301" s="51" t="s">
        <v>121</v>
      </c>
      <c r="G301" s="108" t="s">
        <v>63</v>
      </c>
      <c r="H301" s="52" t="s">
        <v>1581</v>
      </c>
      <c r="I301" s="51"/>
      <c r="J301" s="51" t="s">
        <v>1309</v>
      </c>
      <c r="K301" s="18"/>
      <c r="L301" s="110">
        <v>2674782</v>
      </c>
      <c r="M301" s="110">
        <v>2674782</v>
      </c>
      <c r="N301" s="18"/>
      <c r="O301" s="18" t="b">
        <f>VLOOKUP(A301,[1]Model!C$2:J$559,2,FALSE)=B301</f>
        <v>1</v>
      </c>
      <c r="P301" s="18" t="e">
        <f>VLOOKUP(A301,[2]Model!C$2:G$208,5,FALSE)=D301</f>
        <v>#N/A</v>
      </c>
      <c r="Q301" s="18" t="e">
        <f>VLOOKUP(A301,[2]Model!C$2:L$228,8,FALSE)</f>
        <v>#N/A</v>
      </c>
      <c r="R301" s="18" t="e">
        <f>VLOOKUP(A301,[2]Model!C$2:G$228,3,FALSE)=[3]!Table14[[#This Row],[Business Definition (To go into comments and into Meta Data Hub)]]</f>
        <v>#N/A</v>
      </c>
      <c r="S301" s="18" t="e">
        <f>IF([3]!Table14[[#This Row],[Nullable in Table and in Oracle View
NULL, NOT NULL]]="No","NOT NULL","NULL")=VLOOKUP(A301,[2]Model!C$2:I$228,6,FALSE)</f>
        <v>#REF!</v>
      </c>
      <c r="T301" s="58" t="e">
        <f>VLOOKUP(B301,[2]Table!A$2:F$415,1,FALSE)=[3]!Table14[[#This Row],[Physical Name of Attribute (Name of column in Table)
Supplied by DA Team]]</f>
        <v>#N/A</v>
      </c>
      <c r="U301" s="58" t="e">
        <f>VLOOKUP(B301,[2]Table!A$2:F$319,2,FALSE)=[4]!Table14[[#This Row],[Data type in Oracle
VARCHAR2(n), DATE, NUMBER(m,n), TIMETSTAMP(6)]]</f>
        <v>#N/A</v>
      </c>
      <c r="V301" s="58" t="e">
        <f>VLOOKUP(B301,[2]Table!A$2:F$231,3,FALSE)=[4]!Table14[[#This Row],[Nullable in Table and in Oracle View
NULL, NOT NULL]]</f>
        <v>#N/A</v>
      </c>
      <c r="W301" s="58" t="e">
        <f>VLOOKUP(B301,[2]Table!A$2:H$228,6,FALSE)=[4]!Table14[[#This Row],[Business Definition (To go into comments and into Meta Data Hub)]]</f>
        <v>#N/A</v>
      </c>
      <c r="X301" s="58" t="e">
        <f>VLOOKUP((UPPER(SUBSTITUTE(A301," ","_"))),'[2]Consumer View'!A$2:I$329,1,FALSE)</f>
        <v>#N/A</v>
      </c>
      <c r="Y301" s="51" t="s">
        <v>1503</v>
      </c>
      <c r="Z301" s="51" t="s">
        <v>203</v>
      </c>
      <c r="AA301" s="51" t="s">
        <v>1582</v>
      </c>
      <c r="AB301" s="18"/>
      <c r="AC301" s="18"/>
      <c r="AD301" s="51" t="s">
        <v>1571</v>
      </c>
      <c r="AE301" s="46"/>
      <c r="AF301" s="18"/>
      <c r="AG301" s="18" t="s">
        <v>1572</v>
      </c>
      <c r="AH301" s="18" t="s">
        <v>178</v>
      </c>
    </row>
    <row r="302" spans="1:34" ht="27" customHeight="1">
      <c r="A302" s="105" t="s">
        <v>1583</v>
      </c>
      <c r="B302" s="51" t="s">
        <v>1584</v>
      </c>
      <c r="C302" s="51" t="s">
        <v>1585</v>
      </c>
      <c r="D302" s="51" t="s">
        <v>120</v>
      </c>
      <c r="E302" s="51" t="s">
        <v>63</v>
      </c>
      <c r="F302" s="51" t="s">
        <v>121</v>
      </c>
      <c r="G302" s="108" t="s">
        <v>63</v>
      </c>
      <c r="H302" s="52" t="s">
        <v>1586</v>
      </c>
      <c r="I302" s="51"/>
      <c r="J302" s="51" t="s">
        <v>1309</v>
      </c>
      <c r="K302" s="18"/>
      <c r="L302" s="110">
        <v>2674782</v>
      </c>
      <c r="M302" s="110">
        <v>2674782</v>
      </c>
      <c r="N302" s="18"/>
      <c r="O302" s="18" t="b">
        <f>VLOOKUP(A302,[1]Model!C$2:J$559,2,FALSE)=B302</f>
        <v>1</v>
      </c>
      <c r="P302" s="18" t="e">
        <f>VLOOKUP(A302,[2]Model!C$2:G$208,5,FALSE)=D302</f>
        <v>#N/A</v>
      </c>
      <c r="Q302" s="18" t="e">
        <f>VLOOKUP(A302,[2]Model!C$2:L$228,8,FALSE)</f>
        <v>#N/A</v>
      </c>
      <c r="R302" s="18" t="e">
        <f>VLOOKUP(A302,[2]Model!C$2:G$228,3,FALSE)=[3]!Table14[[#This Row],[Business Definition (To go into comments and into Meta Data Hub)]]</f>
        <v>#N/A</v>
      </c>
      <c r="S302" s="18" t="e">
        <f>IF([3]!Table14[[#This Row],[Nullable in Table and in Oracle View
NULL, NOT NULL]]="No","NOT NULL","NULL")=VLOOKUP(A302,[2]Model!C$2:I$228,6,FALSE)</f>
        <v>#REF!</v>
      </c>
      <c r="T302" s="58" t="e">
        <f>VLOOKUP(B302,[2]Table!A$2:F$415,1,FALSE)=[3]!Table14[[#This Row],[Physical Name of Attribute (Name of column in Table)
Supplied by DA Team]]</f>
        <v>#N/A</v>
      </c>
      <c r="U302" s="58" t="e">
        <f>VLOOKUP(B302,[2]Table!A$2:F$319,2,FALSE)=[4]!Table14[[#This Row],[Data type in Oracle
VARCHAR2(n), DATE, NUMBER(m,n), TIMETSTAMP(6)]]</f>
        <v>#N/A</v>
      </c>
      <c r="V302" s="58" t="e">
        <f>VLOOKUP(B302,[2]Table!A$2:F$231,3,FALSE)=[4]!Table14[[#This Row],[Nullable in Table and in Oracle View
NULL, NOT NULL]]</f>
        <v>#N/A</v>
      </c>
      <c r="W302" s="58" t="e">
        <f>VLOOKUP(B302,[2]Table!A$2:H$228,6,FALSE)=[4]!Table14[[#This Row],[Business Definition (To go into comments and into Meta Data Hub)]]</f>
        <v>#N/A</v>
      </c>
      <c r="X302" s="58" t="e">
        <f>VLOOKUP((UPPER(SUBSTITUTE(A302," ","_"))),'[2]Consumer View'!A$2:I$329,1,FALSE)</f>
        <v>#N/A</v>
      </c>
      <c r="Y302" s="51" t="s">
        <v>1503</v>
      </c>
      <c r="Z302" s="51" t="s">
        <v>203</v>
      </c>
      <c r="AA302" s="51" t="s">
        <v>1587</v>
      </c>
      <c r="AB302" s="18"/>
      <c r="AC302" s="18"/>
      <c r="AD302" s="51" t="s">
        <v>1571</v>
      </c>
      <c r="AE302" s="46"/>
      <c r="AF302" s="18"/>
      <c r="AG302" s="18" t="s">
        <v>1572</v>
      </c>
      <c r="AH302" s="18" t="s">
        <v>178</v>
      </c>
    </row>
    <row r="303" spans="1:34" ht="27" customHeight="1">
      <c r="A303" s="105" t="s">
        <v>1588</v>
      </c>
      <c r="B303" s="51" t="s">
        <v>1589</v>
      </c>
      <c r="C303" s="51" t="s">
        <v>1590</v>
      </c>
      <c r="D303" s="51" t="s">
        <v>120</v>
      </c>
      <c r="E303" s="51" t="s">
        <v>63</v>
      </c>
      <c r="F303" s="51" t="s">
        <v>121</v>
      </c>
      <c r="G303" s="108" t="s">
        <v>63</v>
      </c>
      <c r="H303" s="52" t="s">
        <v>1591</v>
      </c>
      <c r="I303" s="51"/>
      <c r="J303" s="51" t="s">
        <v>1309</v>
      </c>
      <c r="K303" s="18"/>
      <c r="L303" s="110">
        <v>2674782</v>
      </c>
      <c r="M303" s="110">
        <v>2674782</v>
      </c>
      <c r="N303" s="18"/>
      <c r="O303" s="18" t="b">
        <f>VLOOKUP(A303,[1]Model!C$2:J$559,2,FALSE)=B303</f>
        <v>1</v>
      </c>
      <c r="P303" s="18" t="e">
        <f>VLOOKUP(A303,[2]Model!C$2:G$208,5,FALSE)=D303</f>
        <v>#N/A</v>
      </c>
      <c r="Q303" s="18" t="e">
        <f>VLOOKUP(A303,[2]Model!C$2:L$228,8,FALSE)</f>
        <v>#N/A</v>
      </c>
      <c r="R303" s="18" t="e">
        <f>VLOOKUP(A303,[2]Model!C$2:G$228,3,FALSE)=[3]!Table14[[#This Row],[Business Definition (To go into comments and into Meta Data Hub)]]</f>
        <v>#N/A</v>
      </c>
      <c r="S303" s="18" t="e">
        <f>IF([3]!Table14[[#This Row],[Nullable in Table and in Oracle View
NULL, NOT NULL]]="No","NOT NULL","NULL")=VLOOKUP(A303,[2]Model!C$2:I$228,6,FALSE)</f>
        <v>#REF!</v>
      </c>
      <c r="T303" s="58" t="e">
        <f>VLOOKUP(B303,[2]Table!A$2:F$415,1,FALSE)=[3]!Table14[[#This Row],[Physical Name of Attribute (Name of column in Table)
Supplied by DA Team]]</f>
        <v>#N/A</v>
      </c>
      <c r="U303" s="58" t="e">
        <f>VLOOKUP(B303,[2]Table!A$2:F$319,2,FALSE)=[4]!Table14[[#This Row],[Data type in Oracle
VARCHAR2(n), DATE, NUMBER(m,n), TIMETSTAMP(6)]]</f>
        <v>#N/A</v>
      </c>
      <c r="V303" s="58" t="e">
        <f>VLOOKUP(B303,[2]Table!A$2:F$231,3,FALSE)=[4]!Table14[[#This Row],[Nullable in Table and in Oracle View
NULL, NOT NULL]]</f>
        <v>#N/A</v>
      </c>
      <c r="W303" s="58" t="e">
        <f>VLOOKUP(B303,[2]Table!A$2:H$228,6,FALSE)=[4]!Table14[[#This Row],[Business Definition (To go into comments and into Meta Data Hub)]]</f>
        <v>#N/A</v>
      </c>
      <c r="X303" s="58" t="e">
        <f>VLOOKUP((UPPER(SUBSTITUTE(A303," ","_"))),'[2]Consumer View'!A$2:I$329,1,FALSE)</f>
        <v>#N/A</v>
      </c>
      <c r="Y303" s="51" t="s">
        <v>1503</v>
      </c>
      <c r="Z303" s="51" t="s">
        <v>203</v>
      </c>
      <c r="AA303" s="51" t="s">
        <v>1592</v>
      </c>
      <c r="AB303" s="18"/>
      <c r="AC303" s="18"/>
      <c r="AD303" s="51" t="s">
        <v>1571</v>
      </c>
      <c r="AE303" s="46"/>
      <c r="AF303" s="18"/>
      <c r="AG303" s="18" t="s">
        <v>1572</v>
      </c>
      <c r="AH303" s="18" t="s">
        <v>178</v>
      </c>
    </row>
    <row r="304" spans="1:34" ht="27" customHeight="1">
      <c r="A304" s="105" t="s">
        <v>1593</v>
      </c>
      <c r="B304" s="51" t="s">
        <v>1594</v>
      </c>
      <c r="C304" s="51" t="s">
        <v>1595</v>
      </c>
      <c r="D304" s="51" t="s">
        <v>519</v>
      </c>
      <c r="E304" s="51" t="s">
        <v>63</v>
      </c>
      <c r="F304" s="51" t="s">
        <v>520</v>
      </c>
      <c r="G304" s="108" t="s">
        <v>63</v>
      </c>
      <c r="H304" s="52" t="s">
        <v>1596</v>
      </c>
      <c r="I304" s="51"/>
      <c r="J304" s="51" t="s">
        <v>1309</v>
      </c>
      <c r="K304" s="18"/>
      <c r="L304" s="110">
        <v>2674782</v>
      </c>
      <c r="M304" s="110">
        <v>2674782</v>
      </c>
      <c r="N304" s="18"/>
      <c r="O304" s="18" t="b">
        <f>VLOOKUP(A304,[1]Model!C$2:J$559,2,FALSE)=B304</f>
        <v>1</v>
      </c>
      <c r="P304" s="18" t="e">
        <f>VLOOKUP(A304,[2]Model!C$2:G$208,5,FALSE)=D304</f>
        <v>#N/A</v>
      </c>
      <c r="Q304" s="18" t="e">
        <f>VLOOKUP(A304,[2]Model!C$2:L$228,8,FALSE)</f>
        <v>#N/A</v>
      </c>
      <c r="R304" s="18" t="e">
        <f>VLOOKUP(A304,[2]Model!C$2:G$228,3,FALSE)=[3]!Table14[[#This Row],[Business Definition (To go into comments and into Meta Data Hub)]]</f>
        <v>#N/A</v>
      </c>
      <c r="S304" s="18" t="e">
        <f>IF([3]!Table14[[#This Row],[Nullable in Table and in Oracle View
NULL, NOT NULL]]="No","NOT NULL","NULL")=VLOOKUP(A304,[2]Model!C$2:I$228,6,FALSE)</f>
        <v>#REF!</v>
      </c>
      <c r="T304" s="58" t="e">
        <f>VLOOKUP(B304,[2]Table!A$2:F$415,1,FALSE)=[3]!Table14[[#This Row],[Physical Name of Attribute (Name of column in Table)
Supplied by DA Team]]</f>
        <v>#N/A</v>
      </c>
      <c r="U304" s="58" t="e">
        <f>VLOOKUP(B304,[2]Table!A$2:F$319,2,FALSE)=[4]!Table14[[#This Row],[Data type in Oracle
VARCHAR2(n), DATE, NUMBER(m,n), TIMETSTAMP(6)]]</f>
        <v>#N/A</v>
      </c>
      <c r="V304" s="58" t="e">
        <f>VLOOKUP(B304,[2]Table!A$2:F$231,3,FALSE)=[4]!Table14[[#This Row],[Nullable in Table and in Oracle View
NULL, NOT NULL]]</f>
        <v>#N/A</v>
      </c>
      <c r="W304" s="58" t="e">
        <f>VLOOKUP(B304,[2]Table!A$2:H$228,6,FALSE)=[4]!Table14[[#This Row],[Business Definition (To go into comments and into Meta Data Hub)]]</f>
        <v>#N/A</v>
      </c>
      <c r="X304" s="58" t="e">
        <f>VLOOKUP((UPPER(SUBSTITUTE(A304," ","_"))),'[2]Consumer View'!A$2:I$329,1,FALSE)</f>
        <v>#N/A</v>
      </c>
      <c r="Y304" s="51" t="s">
        <v>1503</v>
      </c>
      <c r="Z304" s="51" t="s">
        <v>203</v>
      </c>
      <c r="AA304" s="51" t="s">
        <v>1597</v>
      </c>
      <c r="AB304" s="18"/>
      <c r="AC304" s="18"/>
      <c r="AD304" s="51" t="s">
        <v>1571</v>
      </c>
      <c r="AE304" s="46"/>
      <c r="AF304" s="18"/>
      <c r="AG304" s="18" t="s">
        <v>1572</v>
      </c>
      <c r="AH304" s="18" t="s">
        <v>178</v>
      </c>
    </row>
    <row r="305" spans="1:34" ht="27" customHeight="1">
      <c r="A305" s="105" t="s">
        <v>1598</v>
      </c>
      <c r="B305" s="51" t="s">
        <v>1599</v>
      </c>
      <c r="C305" s="51" t="s">
        <v>1600</v>
      </c>
      <c r="D305" s="51" t="s">
        <v>62</v>
      </c>
      <c r="E305" s="51" t="s">
        <v>63</v>
      </c>
      <c r="F305" s="51" t="s">
        <v>64</v>
      </c>
      <c r="G305" s="108" t="s">
        <v>63</v>
      </c>
      <c r="H305" s="52" t="s">
        <v>1601</v>
      </c>
      <c r="I305" s="51"/>
      <c r="J305" s="51" t="s">
        <v>1309</v>
      </c>
      <c r="K305" s="18"/>
      <c r="L305" s="110">
        <v>2674782</v>
      </c>
      <c r="M305" s="110">
        <v>2674782</v>
      </c>
      <c r="N305" s="18"/>
      <c r="O305" s="18" t="b">
        <f>VLOOKUP(A305,[1]Model!C$2:J$559,2,FALSE)=B305</f>
        <v>1</v>
      </c>
      <c r="P305" s="18" t="e">
        <f>VLOOKUP(A305,[2]Model!C$2:G$208,5,FALSE)=D305</f>
        <v>#N/A</v>
      </c>
      <c r="Q305" s="18" t="e">
        <f>VLOOKUP(A305,[2]Model!C$2:L$228,8,FALSE)</f>
        <v>#N/A</v>
      </c>
      <c r="R305" s="18" t="e">
        <f>VLOOKUP(A305,[2]Model!C$2:G$228,3,FALSE)=[3]!Table14[[#This Row],[Business Definition (To go into comments and into Meta Data Hub)]]</f>
        <v>#N/A</v>
      </c>
      <c r="S305" s="18" t="e">
        <f>IF([3]!Table14[[#This Row],[Nullable in Table and in Oracle View
NULL, NOT NULL]]="No","NOT NULL","NULL")=VLOOKUP(A305,[2]Model!C$2:I$228,6,FALSE)</f>
        <v>#REF!</v>
      </c>
      <c r="T305" s="58" t="e">
        <f>VLOOKUP(B305,[2]Table!A$2:F$415,1,FALSE)=[3]!Table14[[#This Row],[Physical Name of Attribute (Name of column in Table)
Supplied by DA Team]]</f>
        <v>#N/A</v>
      </c>
      <c r="U305" s="58" t="e">
        <f>VLOOKUP(B305,[2]Table!A$2:F$319,2,FALSE)=[4]!Table14[[#This Row],[Data type in Oracle
VARCHAR2(n), DATE, NUMBER(m,n), TIMETSTAMP(6)]]</f>
        <v>#N/A</v>
      </c>
      <c r="V305" s="58" t="e">
        <f>VLOOKUP(B305,[2]Table!A$2:F$231,3,FALSE)=[4]!Table14[[#This Row],[Nullable in Table and in Oracle View
NULL, NOT NULL]]</f>
        <v>#N/A</v>
      </c>
      <c r="W305" s="58" t="e">
        <f>VLOOKUP(B305,[2]Table!A$2:H$228,6,FALSE)=[4]!Table14[[#This Row],[Business Definition (To go into comments and into Meta Data Hub)]]</f>
        <v>#N/A</v>
      </c>
      <c r="X305" s="58" t="e">
        <f>VLOOKUP((UPPER(SUBSTITUTE(A305," ","_"))),'[2]Consumer View'!A$2:I$329,1,FALSE)</f>
        <v>#N/A</v>
      </c>
      <c r="Y305" s="51" t="s">
        <v>1503</v>
      </c>
      <c r="Z305" s="51" t="s">
        <v>203</v>
      </c>
      <c r="AA305" s="51" t="s">
        <v>1602</v>
      </c>
      <c r="AB305" s="18"/>
      <c r="AC305" s="18"/>
      <c r="AD305" s="51" t="s">
        <v>1571</v>
      </c>
      <c r="AE305" s="46"/>
      <c r="AF305" s="18"/>
      <c r="AG305" s="18" t="s">
        <v>1572</v>
      </c>
      <c r="AH305" s="18" t="s">
        <v>178</v>
      </c>
    </row>
    <row r="306" spans="1:34" ht="27" customHeight="1">
      <c r="A306" s="105" t="s">
        <v>1603</v>
      </c>
      <c r="B306" s="51" t="s">
        <v>1604</v>
      </c>
      <c r="C306" s="51" t="s">
        <v>1605</v>
      </c>
      <c r="D306" s="51" t="s">
        <v>120</v>
      </c>
      <c r="E306" s="51" t="s">
        <v>63</v>
      </c>
      <c r="F306" s="51" t="s">
        <v>121</v>
      </c>
      <c r="G306" s="108" t="s">
        <v>63</v>
      </c>
      <c r="H306" s="52" t="s">
        <v>1606</v>
      </c>
      <c r="I306" s="51"/>
      <c r="J306" s="51" t="s">
        <v>1309</v>
      </c>
      <c r="K306" s="18"/>
      <c r="L306" s="110">
        <v>2674782</v>
      </c>
      <c r="M306" s="110">
        <v>2674782</v>
      </c>
      <c r="N306" s="18"/>
      <c r="O306" s="18" t="b">
        <f>VLOOKUP(A306,[1]Model!C$2:J$559,2,FALSE)=B306</f>
        <v>1</v>
      </c>
      <c r="P306" s="18" t="e">
        <f>VLOOKUP(A306,[2]Model!C$2:G$208,5,FALSE)=D306</f>
        <v>#N/A</v>
      </c>
      <c r="Q306" s="18" t="e">
        <f>VLOOKUP(A306,[2]Model!C$2:L$228,8,FALSE)</f>
        <v>#N/A</v>
      </c>
      <c r="R306" s="18" t="e">
        <f>VLOOKUP(A306,[2]Model!C$2:G$228,3,FALSE)=[3]!Table14[[#This Row],[Business Definition (To go into comments and into Meta Data Hub)]]</f>
        <v>#N/A</v>
      </c>
      <c r="S306" s="18" t="e">
        <f>IF([3]!Table14[[#This Row],[Nullable in Table and in Oracle View
NULL, NOT NULL]]="No","NOT NULL","NULL")=VLOOKUP(A306,[2]Model!C$2:I$228,6,FALSE)</f>
        <v>#REF!</v>
      </c>
      <c r="T306" s="58" t="e">
        <f>VLOOKUP(B306,[2]Table!A$2:F$415,1,FALSE)=[3]!Table14[[#This Row],[Physical Name of Attribute (Name of column in Table)
Supplied by DA Team]]</f>
        <v>#N/A</v>
      </c>
      <c r="U306" s="58" t="e">
        <f>VLOOKUP(B306,[2]Table!A$2:F$319,2,FALSE)=[4]!Table14[[#This Row],[Data type in Oracle
VARCHAR2(n), DATE, NUMBER(m,n), TIMETSTAMP(6)]]</f>
        <v>#N/A</v>
      </c>
      <c r="V306" s="58" t="e">
        <f>VLOOKUP(B306,[2]Table!A$2:F$231,3,FALSE)=[4]!Table14[[#This Row],[Nullable in Table and in Oracle View
NULL, NOT NULL]]</f>
        <v>#N/A</v>
      </c>
      <c r="W306" s="58" t="e">
        <f>VLOOKUP(B306,[2]Table!A$2:H$228,6,FALSE)=[4]!Table14[[#This Row],[Business Definition (To go into comments and into Meta Data Hub)]]</f>
        <v>#N/A</v>
      </c>
      <c r="X306" s="58" t="e">
        <f>VLOOKUP((UPPER(SUBSTITUTE(A306," ","_"))),'[2]Consumer View'!A$2:I$329,1,FALSE)</f>
        <v>#N/A</v>
      </c>
      <c r="Y306" s="51" t="s">
        <v>1503</v>
      </c>
      <c r="Z306" s="51" t="s">
        <v>1607</v>
      </c>
      <c r="AA306" s="51" t="s">
        <v>1608</v>
      </c>
      <c r="AB306" s="18"/>
      <c r="AC306" s="18"/>
      <c r="AD306" s="51" t="s">
        <v>1609</v>
      </c>
      <c r="AE306" s="46"/>
      <c r="AF306" s="18"/>
      <c r="AG306" s="18" t="s">
        <v>1572</v>
      </c>
      <c r="AH306" s="18" t="s">
        <v>178</v>
      </c>
    </row>
    <row r="307" spans="1:34" ht="27" customHeight="1">
      <c r="A307" s="105" t="s">
        <v>1610</v>
      </c>
      <c r="B307" s="51" t="s">
        <v>1611</v>
      </c>
      <c r="C307" s="51" t="s">
        <v>1612</v>
      </c>
      <c r="D307" s="51" t="s">
        <v>120</v>
      </c>
      <c r="E307" s="51" t="s">
        <v>63</v>
      </c>
      <c r="F307" s="51" t="s">
        <v>121</v>
      </c>
      <c r="G307" s="108" t="s">
        <v>63</v>
      </c>
      <c r="H307" s="52" t="s">
        <v>1613</v>
      </c>
      <c r="I307" s="51"/>
      <c r="J307" s="51" t="s">
        <v>1309</v>
      </c>
      <c r="K307" s="18"/>
      <c r="L307" s="110">
        <v>2674782</v>
      </c>
      <c r="M307" s="110">
        <v>2674782</v>
      </c>
      <c r="N307" s="18"/>
      <c r="O307" s="18" t="b">
        <f>VLOOKUP(A307,[1]Model!C$2:J$559,2,FALSE)=B307</f>
        <v>1</v>
      </c>
      <c r="P307" s="18" t="e">
        <f>VLOOKUP(A307,[2]Model!C$2:G$208,5,FALSE)=D307</f>
        <v>#N/A</v>
      </c>
      <c r="Q307" s="18" t="e">
        <f>VLOOKUP(A307,[2]Model!C$2:L$228,8,FALSE)</f>
        <v>#N/A</v>
      </c>
      <c r="R307" s="18" t="e">
        <f>VLOOKUP(A307,[2]Model!C$2:G$228,3,FALSE)=[3]!Table14[[#This Row],[Business Definition (To go into comments and into Meta Data Hub)]]</f>
        <v>#N/A</v>
      </c>
      <c r="S307" s="18" t="e">
        <f>IF([3]!Table14[[#This Row],[Nullable in Table and in Oracle View
NULL, NOT NULL]]="No","NOT NULL","NULL")=VLOOKUP(A307,[2]Model!C$2:I$228,6,FALSE)</f>
        <v>#REF!</v>
      </c>
      <c r="T307" s="58" t="e">
        <f>VLOOKUP(B307,[2]Table!A$2:F$415,1,FALSE)=[3]!Table14[[#This Row],[Physical Name of Attribute (Name of column in Table)
Supplied by DA Team]]</f>
        <v>#N/A</v>
      </c>
      <c r="U307" s="58" t="e">
        <f>VLOOKUP(B307,[2]Table!A$2:F$319,2,FALSE)=[4]!Table14[[#This Row],[Data type in Oracle
VARCHAR2(n), DATE, NUMBER(m,n), TIMETSTAMP(6)]]</f>
        <v>#N/A</v>
      </c>
      <c r="V307" s="58" t="e">
        <f>VLOOKUP(B307,[2]Table!A$2:F$231,3,FALSE)=[4]!Table14[[#This Row],[Nullable in Table and in Oracle View
NULL, NOT NULL]]</f>
        <v>#N/A</v>
      </c>
      <c r="W307" s="58" t="e">
        <f>VLOOKUP(B307,[2]Table!A$2:H$228,6,FALSE)=[4]!Table14[[#This Row],[Business Definition (To go into comments and into Meta Data Hub)]]</f>
        <v>#N/A</v>
      </c>
      <c r="X307" s="58" t="e">
        <f>VLOOKUP((UPPER(SUBSTITUTE(A307," ","_"))),'[2]Consumer View'!A$2:I$329,1,FALSE)</f>
        <v>#N/A</v>
      </c>
      <c r="Y307" s="51" t="s">
        <v>1503</v>
      </c>
      <c r="Z307" s="51" t="s">
        <v>1607</v>
      </c>
      <c r="AA307" s="51" t="s">
        <v>1614</v>
      </c>
      <c r="AB307" s="18"/>
      <c r="AC307" s="18"/>
      <c r="AD307" s="51" t="s">
        <v>1609</v>
      </c>
      <c r="AE307" s="46"/>
      <c r="AF307" s="18"/>
      <c r="AG307" s="18" t="s">
        <v>1572</v>
      </c>
      <c r="AH307" s="18" t="s">
        <v>178</v>
      </c>
    </row>
    <row r="308" spans="1:34" ht="27" customHeight="1">
      <c r="A308" s="105" t="s">
        <v>1615</v>
      </c>
      <c r="B308" s="51" t="s">
        <v>1616</v>
      </c>
      <c r="C308" s="51" t="s">
        <v>1617</v>
      </c>
      <c r="D308" s="51" t="s">
        <v>120</v>
      </c>
      <c r="E308" s="51" t="s">
        <v>63</v>
      </c>
      <c r="F308" s="51" t="s">
        <v>121</v>
      </c>
      <c r="G308" s="108" t="s">
        <v>63</v>
      </c>
      <c r="H308" s="52" t="s">
        <v>1618</v>
      </c>
      <c r="I308" s="51"/>
      <c r="J308" s="51" t="s">
        <v>1309</v>
      </c>
      <c r="K308" s="18"/>
      <c r="L308" s="110">
        <v>2674782</v>
      </c>
      <c r="M308" s="110">
        <v>2674782</v>
      </c>
      <c r="N308" s="18"/>
      <c r="O308" s="18" t="b">
        <f>VLOOKUP(A308,[1]Model!C$2:J$559,2,FALSE)=B308</f>
        <v>1</v>
      </c>
      <c r="P308" s="18" t="e">
        <f>VLOOKUP(A308,[2]Model!C$2:G$208,5,FALSE)=D308</f>
        <v>#N/A</v>
      </c>
      <c r="Q308" s="18" t="e">
        <f>VLOOKUP(A308,[2]Model!C$2:L$228,8,FALSE)</f>
        <v>#N/A</v>
      </c>
      <c r="R308" s="18" t="e">
        <f>VLOOKUP(A308,[2]Model!C$2:G$228,3,FALSE)=[3]!Table14[[#This Row],[Business Definition (To go into comments and into Meta Data Hub)]]</f>
        <v>#N/A</v>
      </c>
      <c r="S308" s="18" t="e">
        <f>IF([3]!Table14[[#This Row],[Nullable in Table and in Oracle View
NULL, NOT NULL]]="No","NOT NULL","NULL")=VLOOKUP(A308,[2]Model!C$2:I$228,6,FALSE)</f>
        <v>#REF!</v>
      </c>
      <c r="T308" s="58" t="e">
        <f>VLOOKUP(B308,[2]Table!A$2:F$415,1,FALSE)=[3]!Table14[[#This Row],[Physical Name of Attribute (Name of column in Table)
Supplied by DA Team]]</f>
        <v>#N/A</v>
      </c>
      <c r="U308" s="58" t="e">
        <f>VLOOKUP(B308,[2]Table!A$2:F$319,2,FALSE)=[4]!Table14[[#This Row],[Data type in Oracle
VARCHAR2(n), DATE, NUMBER(m,n), TIMETSTAMP(6)]]</f>
        <v>#N/A</v>
      </c>
      <c r="V308" s="58" t="e">
        <f>VLOOKUP(B308,[2]Table!A$2:F$231,3,FALSE)=[4]!Table14[[#This Row],[Nullable in Table and in Oracle View
NULL, NOT NULL]]</f>
        <v>#N/A</v>
      </c>
      <c r="W308" s="58" t="e">
        <f>VLOOKUP(B308,[2]Table!A$2:H$228,6,FALSE)=[4]!Table14[[#This Row],[Business Definition (To go into comments and into Meta Data Hub)]]</f>
        <v>#N/A</v>
      </c>
      <c r="X308" s="58" t="e">
        <f>VLOOKUP((UPPER(SUBSTITUTE(A308," ","_"))),'[2]Consumer View'!A$2:I$329,1,FALSE)</f>
        <v>#N/A</v>
      </c>
      <c r="Y308" s="51" t="s">
        <v>1503</v>
      </c>
      <c r="Z308" s="51" t="s">
        <v>1607</v>
      </c>
      <c r="AA308" s="51" t="s">
        <v>1619</v>
      </c>
      <c r="AB308" s="18"/>
      <c r="AC308" s="18"/>
      <c r="AD308" s="51" t="s">
        <v>1609</v>
      </c>
      <c r="AE308" s="46"/>
      <c r="AF308" s="18"/>
      <c r="AG308" s="18" t="s">
        <v>1572</v>
      </c>
      <c r="AH308" s="18" t="s">
        <v>178</v>
      </c>
    </row>
    <row r="309" spans="1:34" ht="27" customHeight="1">
      <c r="A309" s="105" t="s">
        <v>1620</v>
      </c>
      <c r="B309" s="51" t="s">
        <v>1621</v>
      </c>
      <c r="C309" s="51" t="s">
        <v>1622</v>
      </c>
      <c r="D309" s="51" t="s">
        <v>120</v>
      </c>
      <c r="E309" s="51" t="s">
        <v>63</v>
      </c>
      <c r="F309" s="51" t="s">
        <v>121</v>
      </c>
      <c r="G309" s="108" t="s">
        <v>63</v>
      </c>
      <c r="H309" s="52" t="s">
        <v>1623</v>
      </c>
      <c r="I309" s="51"/>
      <c r="J309" s="51" t="s">
        <v>1309</v>
      </c>
      <c r="K309" s="18"/>
      <c r="L309" s="110">
        <v>2674782</v>
      </c>
      <c r="M309" s="110">
        <v>2674782</v>
      </c>
      <c r="N309" s="18"/>
      <c r="O309" s="18" t="b">
        <f>VLOOKUP(A309,[1]Model!C$2:J$559,2,FALSE)=B309</f>
        <v>1</v>
      </c>
      <c r="P309" s="18" t="e">
        <f>VLOOKUP(A309,[2]Model!C$2:G$208,5,FALSE)=D309</f>
        <v>#N/A</v>
      </c>
      <c r="Q309" s="18" t="e">
        <f>VLOOKUP(A309,[2]Model!C$2:L$228,8,FALSE)</f>
        <v>#N/A</v>
      </c>
      <c r="R309" s="18" t="e">
        <f>VLOOKUP(A309,[2]Model!C$2:G$228,3,FALSE)=[3]!Table14[[#This Row],[Business Definition (To go into comments and into Meta Data Hub)]]</f>
        <v>#N/A</v>
      </c>
      <c r="S309" s="18" t="e">
        <f>IF([3]!Table14[[#This Row],[Nullable in Table and in Oracle View
NULL, NOT NULL]]="No","NOT NULL","NULL")=VLOOKUP(A309,[2]Model!C$2:I$228,6,FALSE)</f>
        <v>#REF!</v>
      </c>
      <c r="T309" s="58" t="e">
        <f>VLOOKUP(B309,[2]Table!A$2:F$415,1,FALSE)=[3]!Table14[[#This Row],[Physical Name of Attribute (Name of column in Table)
Supplied by DA Team]]</f>
        <v>#N/A</v>
      </c>
      <c r="U309" s="58" t="e">
        <f>VLOOKUP(B309,[2]Table!A$2:F$319,2,FALSE)=[4]!Table14[[#This Row],[Data type in Oracle
VARCHAR2(n), DATE, NUMBER(m,n), TIMETSTAMP(6)]]</f>
        <v>#N/A</v>
      </c>
      <c r="V309" s="58" t="e">
        <f>VLOOKUP(B309,[2]Table!A$2:F$231,3,FALSE)=[4]!Table14[[#This Row],[Nullable in Table and in Oracle View
NULL, NOT NULL]]</f>
        <v>#N/A</v>
      </c>
      <c r="W309" s="58" t="e">
        <f>VLOOKUP(B309,[2]Table!A$2:H$228,6,FALSE)=[4]!Table14[[#This Row],[Business Definition (To go into comments and into Meta Data Hub)]]</f>
        <v>#N/A</v>
      </c>
      <c r="X309" s="58" t="e">
        <f>VLOOKUP((UPPER(SUBSTITUTE(A309," ","_"))),'[2]Consumer View'!A$2:I$329,1,FALSE)</f>
        <v>#N/A</v>
      </c>
      <c r="Y309" s="51" t="s">
        <v>1503</v>
      </c>
      <c r="Z309" s="51" t="s">
        <v>1607</v>
      </c>
      <c r="AA309" s="51" t="s">
        <v>1624</v>
      </c>
      <c r="AB309" s="18"/>
      <c r="AC309" s="18"/>
      <c r="AD309" s="51" t="s">
        <v>1609</v>
      </c>
      <c r="AE309" s="46"/>
      <c r="AF309" s="18"/>
      <c r="AG309" s="18" t="s">
        <v>1572</v>
      </c>
      <c r="AH309" s="18" t="s">
        <v>178</v>
      </c>
    </row>
    <row r="310" spans="1:34" ht="27" customHeight="1">
      <c r="A310" s="105" t="s">
        <v>1625</v>
      </c>
      <c r="B310" s="51" t="s">
        <v>1626</v>
      </c>
      <c r="C310" s="51" t="s">
        <v>1627</v>
      </c>
      <c r="D310" s="51" t="s">
        <v>120</v>
      </c>
      <c r="E310" s="51" t="s">
        <v>63</v>
      </c>
      <c r="F310" s="51" t="s">
        <v>121</v>
      </c>
      <c r="G310" s="108" t="s">
        <v>63</v>
      </c>
      <c r="H310" s="52" t="s">
        <v>1628</v>
      </c>
      <c r="I310" s="51"/>
      <c r="J310" s="51" t="s">
        <v>1309</v>
      </c>
      <c r="K310" s="18"/>
      <c r="L310" s="110">
        <v>2674782</v>
      </c>
      <c r="M310" s="110">
        <v>2674782</v>
      </c>
      <c r="N310" s="18"/>
      <c r="O310" s="18" t="b">
        <f>VLOOKUP(A310,[1]Model!C$2:J$559,2,FALSE)=B310</f>
        <v>1</v>
      </c>
      <c r="P310" s="18" t="e">
        <f>VLOOKUP(A310,[2]Model!C$2:G$208,5,FALSE)=D310</f>
        <v>#N/A</v>
      </c>
      <c r="Q310" s="18" t="e">
        <f>VLOOKUP(A310,[2]Model!C$2:L$228,8,FALSE)</f>
        <v>#N/A</v>
      </c>
      <c r="R310" s="18" t="e">
        <f>VLOOKUP(A310,[2]Model!C$2:G$228,3,FALSE)=[3]!Table14[[#This Row],[Business Definition (To go into comments and into Meta Data Hub)]]</f>
        <v>#N/A</v>
      </c>
      <c r="S310" s="18" t="e">
        <f>IF([3]!Table14[[#This Row],[Nullable in Table and in Oracle View
NULL, NOT NULL]]="No","NOT NULL","NULL")=VLOOKUP(A310,[2]Model!C$2:I$228,6,FALSE)</f>
        <v>#REF!</v>
      </c>
      <c r="T310" s="58" t="e">
        <f>VLOOKUP(B310,[2]Table!A$2:F$415,1,FALSE)=[3]!Table14[[#This Row],[Physical Name of Attribute (Name of column in Table)
Supplied by DA Team]]</f>
        <v>#N/A</v>
      </c>
      <c r="U310" s="58" t="e">
        <f>VLOOKUP(B310,[2]Table!A$2:F$319,2,FALSE)=[4]!Table14[[#This Row],[Data type in Oracle
VARCHAR2(n), DATE, NUMBER(m,n), TIMETSTAMP(6)]]</f>
        <v>#N/A</v>
      </c>
      <c r="V310" s="58" t="e">
        <f>VLOOKUP(B310,[2]Table!A$2:F$231,3,FALSE)=[4]!Table14[[#This Row],[Nullable in Table and in Oracle View
NULL, NOT NULL]]</f>
        <v>#N/A</v>
      </c>
      <c r="W310" s="58" t="e">
        <f>VLOOKUP(B310,[2]Table!A$2:H$228,6,FALSE)=[4]!Table14[[#This Row],[Business Definition (To go into comments and into Meta Data Hub)]]</f>
        <v>#N/A</v>
      </c>
      <c r="X310" s="58" t="e">
        <f>VLOOKUP((UPPER(SUBSTITUTE(A310," ","_"))),'[2]Consumer View'!A$2:I$329,1,FALSE)</f>
        <v>#N/A</v>
      </c>
      <c r="Y310" s="51" t="s">
        <v>1503</v>
      </c>
      <c r="Z310" s="51" t="s">
        <v>1607</v>
      </c>
      <c r="AA310" s="51" t="s">
        <v>1629</v>
      </c>
      <c r="AB310" s="18"/>
      <c r="AC310" s="18"/>
      <c r="AD310" s="51" t="s">
        <v>1609</v>
      </c>
      <c r="AE310" s="46"/>
      <c r="AF310" s="18"/>
      <c r="AG310" s="18" t="s">
        <v>1572</v>
      </c>
      <c r="AH310" s="18" t="s">
        <v>178</v>
      </c>
    </row>
    <row r="311" spans="1:34" ht="27" customHeight="1">
      <c r="A311" s="105" t="s">
        <v>1630</v>
      </c>
      <c r="B311" s="51" t="s">
        <v>1631</v>
      </c>
      <c r="C311" s="51" t="s">
        <v>1632</v>
      </c>
      <c r="D311" s="51" t="s">
        <v>120</v>
      </c>
      <c r="E311" s="51" t="s">
        <v>63</v>
      </c>
      <c r="F311" s="51" t="s">
        <v>121</v>
      </c>
      <c r="G311" s="108" t="s">
        <v>63</v>
      </c>
      <c r="H311" s="52" t="s">
        <v>1633</v>
      </c>
      <c r="I311" s="51"/>
      <c r="J311" s="51" t="s">
        <v>1309</v>
      </c>
      <c r="K311" s="18"/>
      <c r="L311" s="110">
        <v>2674782</v>
      </c>
      <c r="M311" s="110">
        <v>2674782</v>
      </c>
      <c r="N311" s="18"/>
      <c r="O311" s="18" t="b">
        <f>VLOOKUP(A311,[1]Model!C$2:J$559,2,FALSE)=B311</f>
        <v>1</v>
      </c>
      <c r="P311" s="18" t="e">
        <f>VLOOKUP(A311,[2]Model!C$2:G$208,5,FALSE)=D311</f>
        <v>#N/A</v>
      </c>
      <c r="Q311" s="18" t="e">
        <f>VLOOKUP(A311,[2]Model!C$2:L$228,8,FALSE)</f>
        <v>#N/A</v>
      </c>
      <c r="R311" s="18" t="e">
        <f>VLOOKUP(A311,[2]Model!C$2:G$228,3,FALSE)=[3]!Table14[[#This Row],[Business Definition (To go into comments and into Meta Data Hub)]]</f>
        <v>#N/A</v>
      </c>
      <c r="S311" s="18" t="e">
        <f>IF([3]!Table14[[#This Row],[Nullable in Table and in Oracle View
NULL, NOT NULL]]="No","NOT NULL","NULL")=VLOOKUP(A311,[2]Model!C$2:I$228,6,FALSE)</f>
        <v>#REF!</v>
      </c>
      <c r="T311" s="58" t="e">
        <f>VLOOKUP(B311,[2]Table!A$2:F$415,1,FALSE)=[3]!Table14[[#This Row],[Physical Name of Attribute (Name of column in Table)
Supplied by DA Team]]</f>
        <v>#N/A</v>
      </c>
      <c r="U311" s="58" t="e">
        <f>VLOOKUP(B311,[2]Table!A$2:F$319,2,FALSE)=[4]!Table14[[#This Row],[Data type in Oracle
VARCHAR2(n), DATE, NUMBER(m,n), TIMETSTAMP(6)]]</f>
        <v>#N/A</v>
      </c>
      <c r="V311" s="58" t="e">
        <f>VLOOKUP(B311,[2]Table!A$2:F$231,3,FALSE)=[4]!Table14[[#This Row],[Nullable in Table and in Oracle View
NULL, NOT NULL]]</f>
        <v>#N/A</v>
      </c>
      <c r="W311" s="58" t="e">
        <f>VLOOKUP(B311,[2]Table!A$2:H$228,6,FALSE)=[4]!Table14[[#This Row],[Business Definition (To go into comments and into Meta Data Hub)]]</f>
        <v>#N/A</v>
      </c>
      <c r="X311" s="58" t="e">
        <f>VLOOKUP((UPPER(SUBSTITUTE(A311," ","_"))),'[2]Consumer View'!A$2:I$329,1,FALSE)</f>
        <v>#N/A</v>
      </c>
      <c r="Y311" s="51" t="s">
        <v>1503</v>
      </c>
      <c r="Z311" s="51" t="s">
        <v>1607</v>
      </c>
      <c r="AA311" s="51" t="s">
        <v>1634</v>
      </c>
      <c r="AB311" s="18"/>
      <c r="AC311" s="18"/>
      <c r="AD311" s="51" t="s">
        <v>1609</v>
      </c>
      <c r="AE311" s="46"/>
      <c r="AF311" s="18"/>
      <c r="AG311" s="18" t="s">
        <v>1572</v>
      </c>
      <c r="AH311" s="18" t="s">
        <v>178</v>
      </c>
    </row>
    <row r="312" spans="1:34" ht="27" customHeight="1">
      <c r="A312" s="105" t="s">
        <v>1635</v>
      </c>
      <c r="B312" s="51" t="s">
        <v>1636</v>
      </c>
      <c r="C312" s="51" t="s">
        <v>1637</v>
      </c>
      <c r="D312" s="51" t="s">
        <v>120</v>
      </c>
      <c r="E312" s="51" t="s">
        <v>63</v>
      </c>
      <c r="F312" s="51" t="s">
        <v>121</v>
      </c>
      <c r="G312" s="108" t="s">
        <v>63</v>
      </c>
      <c r="H312" s="52" t="s">
        <v>1638</v>
      </c>
      <c r="I312" s="51"/>
      <c r="J312" s="51" t="s">
        <v>1309</v>
      </c>
      <c r="K312" s="18"/>
      <c r="L312" s="110">
        <v>2674782</v>
      </c>
      <c r="M312" s="110">
        <v>2674782</v>
      </c>
      <c r="N312" s="18"/>
      <c r="O312" s="18" t="b">
        <f>VLOOKUP(A312,[1]Model!C$2:J$559,2,FALSE)=B312</f>
        <v>1</v>
      </c>
      <c r="P312" s="18" t="e">
        <f>VLOOKUP(A312,[2]Model!C$2:G$208,5,FALSE)=D312</f>
        <v>#N/A</v>
      </c>
      <c r="Q312" s="18" t="e">
        <f>VLOOKUP(A312,[2]Model!C$2:L$228,8,FALSE)</f>
        <v>#N/A</v>
      </c>
      <c r="R312" s="18" t="e">
        <f>VLOOKUP(A312,[2]Model!C$2:G$228,3,FALSE)=[3]!Table14[[#This Row],[Business Definition (To go into comments and into Meta Data Hub)]]</f>
        <v>#N/A</v>
      </c>
      <c r="S312" s="18" t="e">
        <f>IF([3]!Table14[[#This Row],[Nullable in Table and in Oracle View
NULL, NOT NULL]]="No","NOT NULL","NULL")=VLOOKUP(A312,[2]Model!C$2:I$228,6,FALSE)</f>
        <v>#REF!</v>
      </c>
      <c r="T312" s="58" t="e">
        <f>VLOOKUP(B312,[2]Table!A$2:F$415,1,FALSE)=[3]!Table14[[#This Row],[Physical Name of Attribute (Name of column in Table)
Supplied by DA Team]]</f>
        <v>#N/A</v>
      </c>
      <c r="U312" s="58" t="e">
        <f>VLOOKUP(B312,[2]Table!A$2:F$319,2,FALSE)=[4]!Table14[[#This Row],[Data type in Oracle
VARCHAR2(n), DATE, NUMBER(m,n), TIMETSTAMP(6)]]</f>
        <v>#N/A</v>
      </c>
      <c r="V312" s="58" t="e">
        <f>VLOOKUP(B312,[2]Table!A$2:F$231,3,FALSE)=[4]!Table14[[#This Row],[Nullable in Table and in Oracle View
NULL, NOT NULL]]</f>
        <v>#N/A</v>
      </c>
      <c r="W312" s="58" t="e">
        <f>VLOOKUP(B312,[2]Table!A$2:H$228,6,FALSE)=[4]!Table14[[#This Row],[Business Definition (To go into comments and into Meta Data Hub)]]</f>
        <v>#N/A</v>
      </c>
      <c r="X312" s="58" t="e">
        <f>VLOOKUP((UPPER(SUBSTITUTE(A312," ","_"))),'[2]Consumer View'!A$2:I$329,1,FALSE)</f>
        <v>#N/A</v>
      </c>
      <c r="Y312" s="51" t="s">
        <v>1503</v>
      </c>
      <c r="Z312" s="51" t="s">
        <v>1607</v>
      </c>
      <c r="AA312" s="51" t="s">
        <v>1639</v>
      </c>
      <c r="AB312" s="18"/>
      <c r="AC312" s="18"/>
      <c r="AD312" s="51" t="s">
        <v>1609</v>
      </c>
      <c r="AE312" s="46"/>
      <c r="AF312" s="18"/>
      <c r="AG312" s="18" t="s">
        <v>1572</v>
      </c>
      <c r="AH312" s="18" t="s">
        <v>178</v>
      </c>
    </row>
    <row r="313" spans="1:34" ht="27" customHeight="1">
      <c r="A313" s="105" t="s">
        <v>1640</v>
      </c>
      <c r="B313" s="51" t="s">
        <v>1641</v>
      </c>
      <c r="C313" s="51" t="s">
        <v>1642</v>
      </c>
      <c r="D313" s="51" t="s">
        <v>120</v>
      </c>
      <c r="E313" s="51" t="s">
        <v>63</v>
      </c>
      <c r="F313" s="51" t="s">
        <v>121</v>
      </c>
      <c r="G313" s="108" t="s">
        <v>63</v>
      </c>
      <c r="H313" s="52" t="s">
        <v>1643</v>
      </c>
      <c r="I313" s="51"/>
      <c r="J313" s="51" t="s">
        <v>1309</v>
      </c>
      <c r="K313" s="18"/>
      <c r="L313" s="110">
        <v>2674782</v>
      </c>
      <c r="M313" s="110">
        <v>2674782</v>
      </c>
      <c r="N313" s="18"/>
      <c r="O313" s="18" t="b">
        <f>VLOOKUP(A313,[1]Model!C$2:J$559,2,FALSE)=B313</f>
        <v>1</v>
      </c>
      <c r="P313" s="18" t="e">
        <f>VLOOKUP(A313,[2]Model!C$2:G$208,5,FALSE)=D313</f>
        <v>#N/A</v>
      </c>
      <c r="Q313" s="18" t="e">
        <f>VLOOKUP(A313,[2]Model!C$2:L$228,8,FALSE)</f>
        <v>#N/A</v>
      </c>
      <c r="R313" s="18" t="e">
        <f>VLOOKUP(A313,[2]Model!C$2:G$228,3,FALSE)=[3]!Table14[[#This Row],[Business Definition (To go into comments and into Meta Data Hub)]]</f>
        <v>#N/A</v>
      </c>
      <c r="S313" s="18" t="e">
        <f>IF([3]!Table14[[#This Row],[Nullable in Table and in Oracle View
NULL, NOT NULL]]="No","NOT NULL","NULL")=VLOOKUP(A313,[2]Model!C$2:I$228,6,FALSE)</f>
        <v>#REF!</v>
      </c>
      <c r="T313" s="58" t="e">
        <f>VLOOKUP(B313,[2]Table!A$2:F$415,1,FALSE)=[3]!Table14[[#This Row],[Physical Name of Attribute (Name of column in Table)
Supplied by DA Team]]</f>
        <v>#N/A</v>
      </c>
      <c r="U313" s="58" t="e">
        <f>VLOOKUP(B313,[2]Table!A$2:F$319,2,FALSE)=[4]!Table14[[#This Row],[Data type in Oracle
VARCHAR2(n), DATE, NUMBER(m,n), TIMETSTAMP(6)]]</f>
        <v>#N/A</v>
      </c>
      <c r="V313" s="58" t="e">
        <f>VLOOKUP(B313,[2]Table!A$2:F$231,3,FALSE)=[4]!Table14[[#This Row],[Nullable in Table and in Oracle View
NULL, NOT NULL]]</f>
        <v>#N/A</v>
      </c>
      <c r="W313" s="58" t="e">
        <f>VLOOKUP(B313,[2]Table!A$2:H$228,6,FALSE)=[4]!Table14[[#This Row],[Business Definition (To go into comments and into Meta Data Hub)]]</f>
        <v>#N/A</v>
      </c>
      <c r="X313" s="58" t="e">
        <f>VLOOKUP((UPPER(SUBSTITUTE(A313," ","_"))),'[2]Consumer View'!A$2:I$329,1,FALSE)</f>
        <v>#N/A</v>
      </c>
      <c r="Y313" s="51" t="s">
        <v>1503</v>
      </c>
      <c r="Z313" s="51" t="s">
        <v>1607</v>
      </c>
      <c r="AA313" s="51" t="s">
        <v>1644</v>
      </c>
      <c r="AB313" s="18"/>
      <c r="AC313" s="18"/>
      <c r="AD313" s="51" t="s">
        <v>1609</v>
      </c>
      <c r="AE313" s="46"/>
      <c r="AF313" s="18"/>
      <c r="AG313" s="18" t="s">
        <v>1572</v>
      </c>
      <c r="AH313" s="18" t="s">
        <v>178</v>
      </c>
    </row>
    <row r="314" spans="1:34" ht="27" customHeight="1">
      <c r="A314" s="105" t="s">
        <v>1645</v>
      </c>
      <c r="B314" s="51" t="s">
        <v>1646</v>
      </c>
      <c r="C314" s="51" t="s">
        <v>1647</v>
      </c>
      <c r="D314" s="51" t="s">
        <v>120</v>
      </c>
      <c r="E314" s="51" t="s">
        <v>63</v>
      </c>
      <c r="F314" s="51" t="s">
        <v>121</v>
      </c>
      <c r="G314" s="108" t="s">
        <v>63</v>
      </c>
      <c r="H314" s="52" t="s">
        <v>1648</v>
      </c>
      <c r="I314" s="51"/>
      <c r="J314" s="51" t="s">
        <v>1309</v>
      </c>
      <c r="K314" s="18"/>
      <c r="L314" s="110">
        <v>2674782</v>
      </c>
      <c r="M314" s="110">
        <v>2674782</v>
      </c>
      <c r="N314" s="18"/>
      <c r="O314" s="18" t="b">
        <f>VLOOKUP(A314,[1]Model!C$2:J$559,2,FALSE)=B314</f>
        <v>1</v>
      </c>
      <c r="P314" s="18" t="e">
        <f>VLOOKUP(A314,[2]Model!C$2:G$208,5,FALSE)=D314</f>
        <v>#N/A</v>
      </c>
      <c r="Q314" s="18" t="e">
        <f>VLOOKUP(A314,[2]Model!C$2:L$228,8,FALSE)</f>
        <v>#N/A</v>
      </c>
      <c r="R314" s="18" t="e">
        <f>VLOOKUP(A314,[2]Model!C$2:G$228,3,FALSE)=[3]!Table14[[#This Row],[Business Definition (To go into comments and into Meta Data Hub)]]</f>
        <v>#N/A</v>
      </c>
      <c r="S314" s="18" t="e">
        <f>IF([3]!Table14[[#This Row],[Nullable in Table and in Oracle View
NULL, NOT NULL]]="No","NOT NULL","NULL")=VLOOKUP(A314,[2]Model!C$2:I$228,6,FALSE)</f>
        <v>#REF!</v>
      </c>
      <c r="T314" s="58" t="e">
        <f>VLOOKUP(B314,[2]Table!A$2:F$415,1,FALSE)=[3]!Table14[[#This Row],[Physical Name of Attribute (Name of column in Table)
Supplied by DA Team]]</f>
        <v>#N/A</v>
      </c>
      <c r="U314" s="58" t="e">
        <f>VLOOKUP(B314,[2]Table!A$2:F$319,2,FALSE)=[4]!Table14[[#This Row],[Data type in Oracle
VARCHAR2(n), DATE, NUMBER(m,n), TIMETSTAMP(6)]]</f>
        <v>#N/A</v>
      </c>
      <c r="V314" s="58" t="e">
        <f>VLOOKUP(B314,[2]Table!A$2:F$231,3,FALSE)=[4]!Table14[[#This Row],[Nullable in Table and in Oracle View
NULL, NOT NULL]]</f>
        <v>#N/A</v>
      </c>
      <c r="W314" s="58" t="e">
        <f>VLOOKUP(B314,[2]Table!A$2:H$228,6,FALSE)=[4]!Table14[[#This Row],[Business Definition (To go into comments and into Meta Data Hub)]]</f>
        <v>#N/A</v>
      </c>
      <c r="X314" s="58" t="e">
        <f>VLOOKUP((UPPER(SUBSTITUTE(A314," ","_"))),'[2]Consumer View'!A$2:I$329,1,FALSE)</f>
        <v>#N/A</v>
      </c>
      <c r="Y314" s="51" t="s">
        <v>1503</v>
      </c>
      <c r="Z314" s="51" t="s">
        <v>1607</v>
      </c>
      <c r="AA314" s="51" t="s">
        <v>1649</v>
      </c>
      <c r="AB314" s="18"/>
      <c r="AC314" s="18"/>
      <c r="AD314" s="51" t="s">
        <v>1609</v>
      </c>
      <c r="AE314" s="46"/>
      <c r="AF314" s="18"/>
      <c r="AG314" s="18" t="s">
        <v>1572</v>
      </c>
      <c r="AH314" s="18" t="s">
        <v>178</v>
      </c>
    </row>
    <row r="315" spans="1:34" ht="27" customHeight="1">
      <c r="A315" s="105" t="s">
        <v>1650</v>
      </c>
      <c r="B315" s="51" t="s">
        <v>1651</v>
      </c>
      <c r="C315" s="51" t="s">
        <v>1652</v>
      </c>
      <c r="D315" s="51" t="s">
        <v>120</v>
      </c>
      <c r="E315" s="51" t="s">
        <v>63</v>
      </c>
      <c r="F315" s="51" t="s">
        <v>121</v>
      </c>
      <c r="G315" s="108" t="s">
        <v>63</v>
      </c>
      <c r="H315" s="52" t="s">
        <v>1653</v>
      </c>
      <c r="I315" s="51"/>
      <c r="J315" s="51" t="s">
        <v>1309</v>
      </c>
      <c r="K315" s="18"/>
      <c r="L315" s="110">
        <v>2674782</v>
      </c>
      <c r="M315" s="110">
        <v>2674782</v>
      </c>
      <c r="N315" s="18"/>
      <c r="O315" s="18" t="b">
        <f>VLOOKUP(A315,[1]Model!C$2:J$559,2,FALSE)=B315</f>
        <v>1</v>
      </c>
      <c r="P315" s="18" t="e">
        <f>VLOOKUP(A315,[2]Model!C$2:G$208,5,FALSE)=D315</f>
        <v>#N/A</v>
      </c>
      <c r="Q315" s="18" t="e">
        <f>VLOOKUP(A315,[2]Model!C$2:L$228,8,FALSE)</f>
        <v>#N/A</v>
      </c>
      <c r="R315" s="18" t="e">
        <f>VLOOKUP(A315,[2]Model!C$2:G$228,3,FALSE)=[3]!Table14[[#This Row],[Business Definition (To go into comments and into Meta Data Hub)]]</f>
        <v>#N/A</v>
      </c>
      <c r="S315" s="18" t="e">
        <f>IF([3]!Table14[[#This Row],[Nullable in Table and in Oracle View
NULL, NOT NULL]]="No","NOT NULL","NULL")=VLOOKUP(A315,[2]Model!C$2:I$228,6,FALSE)</f>
        <v>#REF!</v>
      </c>
      <c r="T315" s="58" t="e">
        <f>VLOOKUP(B315,[2]Table!A$2:F$415,1,FALSE)=[3]!Table14[[#This Row],[Physical Name of Attribute (Name of column in Table)
Supplied by DA Team]]</f>
        <v>#N/A</v>
      </c>
      <c r="U315" s="58" t="e">
        <f>VLOOKUP(B315,[2]Table!A$2:F$319,2,FALSE)=[4]!Table14[[#This Row],[Data type in Oracle
VARCHAR2(n), DATE, NUMBER(m,n), TIMETSTAMP(6)]]</f>
        <v>#N/A</v>
      </c>
      <c r="V315" s="58" t="e">
        <f>VLOOKUP(B315,[2]Table!A$2:F$231,3,FALSE)=[4]!Table14[[#This Row],[Nullable in Table and in Oracle View
NULL, NOT NULL]]</f>
        <v>#N/A</v>
      </c>
      <c r="W315" s="58" t="e">
        <f>VLOOKUP(B315,[2]Table!A$2:H$228,6,FALSE)=[4]!Table14[[#This Row],[Business Definition (To go into comments and into Meta Data Hub)]]</f>
        <v>#N/A</v>
      </c>
      <c r="X315" s="58" t="e">
        <f>VLOOKUP((UPPER(SUBSTITUTE(A315," ","_"))),'[2]Consumer View'!A$2:I$329,1,FALSE)</f>
        <v>#N/A</v>
      </c>
      <c r="Y315" s="51" t="s">
        <v>1503</v>
      </c>
      <c r="Z315" s="51" t="s">
        <v>1607</v>
      </c>
      <c r="AA315" s="51" t="s">
        <v>1654</v>
      </c>
      <c r="AB315" s="18"/>
      <c r="AC315" s="18"/>
      <c r="AD315" s="51" t="s">
        <v>1609</v>
      </c>
      <c r="AE315" s="46"/>
      <c r="AF315" s="18"/>
      <c r="AG315" s="18" t="s">
        <v>1572</v>
      </c>
      <c r="AH315" s="18" t="s">
        <v>178</v>
      </c>
    </row>
    <row r="316" spans="1:34" ht="27" customHeight="1">
      <c r="A316" s="105" t="s">
        <v>1655</v>
      </c>
      <c r="B316" s="51" t="s">
        <v>1656</v>
      </c>
      <c r="C316" s="51" t="s">
        <v>1657</v>
      </c>
      <c r="D316" s="51" t="s">
        <v>120</v>
      </c>
      <c r="E316" s="51" t="s">
        <v>63</v>
      </c>
      <c r="F316" s="51" t="s">
        <v>121</v>
      </c>
      <c r="G316" s="108" t="s">
        <v>63</v>
      </c>
      <c r="H316" s="52" t="s">
        <v>1658</v>
      </c>
      <c r="I316" s="51"/>
      <c r="J316" s="51" t="s">
        <v>1309</v>
      </c>
      <c r="K316" s="18"/>
      <c r="L316" s="110">
        <v>2674782</v>
      </c>
      <c r="M316" s="110">
        <v>2674782</v>
      </c>
      <c r="N316" s="18"/>
      <c r="O316" s="18" t="b">
        <f>VLOOKUP(A316,[1]Model!C$2:J$559,2,FALSE)=B316</f>
        <v>1</v>
      </c>
      <c r="P316" s="18" t="e">
        <f>VLOOKUP(A316,[2]Model!C$2:G$208,5,FALSE)=D316</f>
        <v>#N/A</v>
      </c>
      <c r="Q316" s="18" t="e">
        <f>VLOOKUP(A316,[2]Model!C$2:L$228,8,FALSE)</f>
        <v>#N/A</v>
      </c>
      <c r="R316" s="18" t="e">
        <f>VLOOKUP(A316,[2]Model!C$2:G$228,3,FALSE)=[3]!Table14[[#This Row],[Business Definition (To go into comments and into Meta Data Hub)]]</f>
        <v>#N/A</v>
      </c>
      <c r="S316" s="18" t="e">
        <f>IF([3]!Table14[[#This Row],[Nullable in Table and in Oracle View
NULL, NOT NULL]]="No","NOT NULL","NULL")=VLOOKUP(A316,[2]Model!C$2:I$228,6,FALSE)</f>
        <v>#REF!</v>
      </c>
      <c r="T316" s="58" t="e">
        <f>VLOOKUP(B316,[2]Table!A$2:F$415,1,FALSE)=[3]!Table14[[#This Row],[Physical Name of Attribute (Name of column in Table)
Supplied by DA Team]]</f>
        <v>#N/A</v>
      </c>
      <c r="U316" s="58" t="e">
        <f>VLOOKUP(B316,[2]Table!A$2:F$319,2,FALSE)=[4]!Table14[[#This Row],[Data type in Oracle
VARCHAR2(n), DATE, NUMBER(m,n), TIMETSTAMP(6)]]</f>
        <v>#N/A</v>
      </c>
      <c r="V316" s="58" t="e">
        <f>VLOOKUP(B316,[2]Table!A$2:F$231,3,FALSE)=[4]!Table14[[#This Row],[Nullable in Table and in Oracle View
NULL, NOT NULL]]</f>
        <v>#N/A</v>
      </c>
      <c r="W316" s="58" t="e">
        <f>VLOOKUP(B316,[2]Table!A$2:H$228,6,FALSE)=[4]!Table14[[#This Row],[Business Definition (To go into comments and into Meta Data Hub)]]</f>
        <v>#N/A</v>
      </c>
      <c r="X316" s="58" t="e">
        <f>VLOOKUP((UPPER(SUBSTITUTE(A316," ","_"))),'[2]Consumer View'!A$2:I$329,1,FALSE)</f>
        <v>#N/A</v>
      </c>
      <c r="Y316" s="51" t="s">
        <v>1503</v>
      </c>
      <c r="Z316" s="51" t="s">
        <v>1607</v>
      </c>
      <c r="AA316" s="51" t="s">
        <v>1659</v>
      </c>
      <c r="AB316" s="18"/>
      <c r="AC316" s="18"/>
      <c r="AD316" s="51" t="s">
        <v>1609</v>
      </c>
      <c r="AE316" s="46"/>
      <c r="AF316" s="18"/>
      <c r="AG316" s="18" t="s">
        <v>1572</v>
      </c>
      <c r="AH316" s="18" t="s">
        <v>178</v>
      </c>
    </row>
    <row r="317" spans="1:34" ht="27" customHeight="1">
      <c r="A317" s="105" t="s">
        <v>1660</v>
      </c>
      <c r="B317" s="51" t="s">
        <v>1661</v>
      </c>
      <c r="C317" s="51" t="s">
        <v>1662</v>
      </c>
      <c r="D317" s="51" t="s">
        <v>120</v>
      </c>
      <c r="E317" s="51" t="s">
        <v>63</v>
      </c>
      <c r="F317" s="51" t="s">
        <v>121</v>
      </c>
      <c r="G317" s="108" t="s">
        <v>63</v>
      </c>
      <c r="H317" s="52" t="s">
        <v>1663</v>
      </c>
      <c r="I317" s="51"/>
      <c r="J317" s="51" t="s">
        <v>1309</v>
      </c>
      <c r="K317" s="18"/>
      <c r="L317" s="110">
        <v>2674782</v>
      </c>
      <c r="M317" s="110">
        <v>2674782</v>
      </c>
      <c r="N317" s="18"/>
      <c r="O317" s="18" t="b">
        <f>VLOOKUP(A317,[1]Model!C$2:J$559,2,FALSE)=B317</f>
        <v>1</v>
      </c>
      <c r="P317" s="18" t="e">
        <f>VLOOKUP(A317,[2]Model!C$2:G$208,5,FALSE)=D317</f>
        <v>#N/A</v>
      </c>
      <c r="Q317" s="18" t="e">
        <f>VLOOKUP(A317,[2]Model!C$2:L$228,8,FALSE)</f>
        <v>#N/A</v>
      </c>
      <c r="R317" s="18" t="e">
        <f>VLOOKUP(A317,[2]Model!C$2:G$228,3,FALSE)=[3]!Table14[[#This Row],[Business Definition (To go into comments and into Meta Data Hub)]]</f>
        <v>#N/A</v>
      </c>
      <c r="S317" s="18" t="e">
        <f>IF([3]!Table14[[#This Row],[Nullable in Table and in Oracle View
NULL, NOT NULL]]="No","NOT NULL","NULL")=VLOOKUP(A317,[2]Model!C$2:I$228,6,FALSE)</f>
        <v>#REF!</v>
      </c>
      <c r="T317" s="58" t="e">
        <f>VLOOKUP(B317,[2]Table!A$2:F$415,1,FALSE)=[3]!Table14[[#This Row],[Physical Name of Attribute (Name of column in Table)
Supplied by DA Team]]</f>
        <v>#N/A</v>
      </c>
      <c r="U317" s="58" t="e">
        <f>VLOOKUP(B317,[2]Table!A$2:F$319,2,FALSE)=[4]!Table14[[#This Row],[Data type in Oracle
VARCHAR2(n), DATE, NUMBER(m,n), TIMETSTAMP(6)]]</f>
        <v>#N/A</v>
      </c>
      <c r="V317" s="58" t="e">
        <f>VLOOKUP(B317,[2]Table!A$2:F$231,3,FALSE)=[4]!Table14[[#This Row],[Nullable in Table and in Oracle View
NULL, NOT NULL]]</f>
        <v>#N/A</v>
      </c>
      <c r="W317" s="58" t="e">
        <f>VLOOKUP(B317,[2]Table!A$2:H$228,6,FALSE)=[4]!Table14[[#This Row],[Business Definition (To go into comments and into Meta Data Hub)]]</f>
        <v>#N/A</v>
      </c>
      <c r="X317" s="58" t="e">
        <f>VLOOKUP((UPPER(SUBSTITUTE(A317," ","_"))),'[2]Consumer View'!A$2:I$329,1,FALSE)</f>
        <v>#N/A</v>
      </c>
      <c r="Y317" s="51" t="s">
        <v>6</v>
      </c>
      <c r="Z317" s="51" t="s">
        <v>1664</v>
      </c>
      <c r="AA317" s="51" t="s">
        <v>1665</v>
      </c>
      <c r="AB317" s="18"/>
      <c r="AC317" s="18"/>
      <c r="AD317" s="51" t="s">
        <v>1666</v>
      </c>
      <c r="AE317" s="46"/>
      <c r="AF317" s="18"/>
      <c r="AG317" s="18" t="s">
        <v>1572</v>
      </c>
      <c r="AH317" s="18" t="s">
        <v>178</v>
      </c>
    </row>
    <row r="318" spans="1:34" ht="27" customHeight="1">
      <c r="A318" s="105" t="s">
        <v>1667</v>
      </c>
      <c r="B318" s="51" t="s">
        <v>1668</v>
      </c>
      <c r="C318" s="51" t="s">
        <v>1669</v>
      </c>
      <c r="D318" s="51" t="s">
        <v>120</v>
      </c>
      <c r="E318" s="51" t="s">
        <v>63</v>
      </c>
      <c r="F318" s="51" t="s">
        <v>121</v>
      </c>
      <c r="G318" s="108" t="s">
        <v>63</v>
      </c>
      <c r="H318" s="52" t="s">
        <v>1670</v>
      </c>
      <c r="I318" s="51"/>
      <c r="J318" s="51" t="s">
        <v>1309</v>
      </c>
      <c r="K318" s="18"/>
      <c r="L318" s="110">
        <v>2674782</v>
      </c>
      <c r="M318" s="110">
        <v>2674782</v>
      </c>
      <c r="N318" s="18"/>
      <c r="O318" s="18" t="b">
        <f>VLOOKUP(A318,[1]Model!C$2:J$559,2,FALSE)=B318</f>
        <v>1</v>
      </c>
      <c r="P318" s="18" t="e">
        <f>VLOOKUP(A318,[2]Model!C$2:G$208,5,FALSE)=D318</f>
        <v>#N/A</v>
      </c>
      <c r="Q318" s="18" t="e">
        <f>VLOOKUP(A318,[2]Model!C$2:L$228,8,FALSE)</f>
        <v>#N/A</v>
      </c>
      <c r="R318" s="18" t="e">
        <f>VLOOKUP(A318,[2]Model!C$2:G$228,3,FALSE)=[3]!Table14[[#This Row],[Business Definition (To go into comments and into Meta Data Hub)]]</f>
        <v>#N/A</v>
      </c>
      <c r="S318" s="18" t="e">
        <f>IF([3]!Table14[[#This Row],[Nullable in Table and in Oracle View
NULL, NOT NULL]]="No","NOT NULL","NULL")=VLOOKUP(A318,[2]Model!C$2:I$228,6,FALSE)</f>
        <v>#REF!</v>
      </c>
      <c r="T318" s="58" t="e">
        <f>VLOOKUP(B318,[2]Table!A$2:F$415,1,FALSE)=[3]!Table14[[#This Row],[Physical Name of Attribute (Name of column in Table)
Supplied by DA Team]]</f>
        <v>#N/A</v>
      </c>
      <c r="U318" s="58" t="e">
        <f>VLOOKUP(B318,[2]Table!A$2:F$319,2,FALSE)=[4]!Table14[[#This Row],[Data type in Oracle
VARCHAR2(n), DATE, NUMBER(m,n), TIMETSTAMP(6)]]</f>
        <v>#N/A</v>
      </c>
      <c r="V318" s="58" t="e">
        <f>VLOOKUP(B318,[2]Table!A$2:F$231,3,FALSE)=[4]!Table14[[#This Row],[Nullable in Table and in Oracle View
NULL, NOT NULL]]</f>
        <v>#N/A</v>
      </c>
      <c r="W318" s="58" t="e">
        <f>VLOOKUP(B318,[2]Table!A$2:H$228,6,FALSE)=[4]!Table14[[#This Row],[Business Definition (To go into comments and into Meta Data Hub)]]</f>
        <v>#N/A</v>
      </c>
      <c r="X318" s="58" t="e">
        <f>VLOOKUP((UPPER(SUBSTITUTE(A318," ","_"))),'[2]Consumer View'!A$2:I$329,1,FALSE)</f>
        <v>#N/A</v>
      </c>
      <c r="Y318" s="51" t="s">
        <v>1503</v>
      </c>
      <c r="Z318" s="51" t="s">
        <v>1664</v>
      </c>
      <c r="AA318" s="51" t="s">
        <v>1671</v>
      </c>
      <c r="AB318" s="18"/>
      <c r="AC318" s="18"/>
      <c r="AD318" s="51" t="s">
        <v>1666</v>
      </c>
      <c r="AE318" s="46"/>
      <c r="AF318" s="18"/>
      <c r="AG318" s="18" t="s">
        <v>1572</v>
      </c>
      <c r="AH318" s="18" t="s">
        <v>178</v>
      </c>
    </row>
    <row r="319" spans="1:34" ht="27" customHeight="1">
      <c r="A319" s="105" t="s">
        <v>1672</v>
      </c>
      <c r="B319" s="51" t="s">
        <v>1673</v>
      </c>
      <c r="C319" s="51" t="s">
        <v>1674</v>
      </c>
      <c r="D319" s="51" t="s">
        <v>82</v>
      </c>
      <c r="E319" s="51" t="s">
        <v>63</v>
      </c>
      <c r="F319" s="51" t="s">
        <v>83</v>
      </c>
      <c r="G319" s="108" t="s">
        <v>63</v>
      </c>
      <c r="H319" s="52" t="s">
        <v>1675</v>
      </c>
      <c r="I319" s="51"/>
      <c r="J319" s="51" t="s">
        <v>1309</v>
      </c>
      <c r="K319" s="18"/>
      <c r="L319" s="110">
        <v>2674782</v>
      </c>
      <c r="M319" s="110">
        <v>2674782</v>
      </c>
      <c r="N319" s="18"/>
      <c r="O319" s="18" t="b">
        <f>VLOOKUP(A319,[1]Model!C$2:J$559,2,FALSE)=B319</f>
        <v>1</v>
      </c>
      <c r="P319" s="18" t="e">
        <f>VLOOKUP(A319,[2]Model!C$2:G$208,5,FALSE)=D319</f>
        <v>#N/A</v>
      </c>
      <c r="Q319" s="18" t="e">
        <f>VLOOKUP(A319,[2]Model!C$2:L$228,8,FALSE)</f>
        <v>#N/A</v>
      </c>
      <c r="R319" s="18" t="e">
        <f>VLOOKUP(A319,[2]Model!C$2:G$228,3,FALSE)=[3]!Table14[[#This Row],[Business Definition (To go into comments and into Meta Data Hub)]]</f>
        <v>#N/A</v>
      </c>
      <c r="S319" s="18" t="e">
        <f>IF([3]!Table14[[#This Row],[Nullable in Table and in Oracle View
NULL, NOT NULL]]="No","NOT NULL","NULL")=VLOOKUP(A319,[2]Model!C$2:I$228,6,FALSE)</f>
        <v>#REF!</v>
      </c>
      <c r="T319" s="58" t="e">
        <f>VLOOKUP(B319,[2]Table!A$2:F$415,1,FALSE)=[3]!Table14[[#This Row],[Physical Name of Attribute (Name of column in Table)
Supplied by DA Team]]</f>
        <v>#N/A</v>
      </c>
      <c r="U319" s="58" t="e">
        <f>VLOOKUP(B319,[2]Table!A$2:F$319,2,FALSE)=[4]!Table14[[#This Row],[Data type in Oracle
VARCHAR2(n), DATE, NUMBER(m,n), TIMETSTAMP(6)]]</f>
        <v>#N/A</v>
      </c>
      <c r="V319" s="58" t="e">
        <f>VLOOKUP(B319,[2]Table!A$2:F$231,3,FALSE)=[4]!Table14[[#This Row],[Nullable in Table and in Oracle View
NULL, NOT NULL]]</f>
        <v>#N/A</v>
      </c>
      <c r="W319" s="58" t="e">
        <f>VLOOKUP(B319,[2]Table!A$2:H$228,6,FALSE)=[4]!Table14[[#This Row],[Business Definition (To go into comments and into Meta Data Hub)]]</f>
        <v>#N/A</v>
      </c>
      <c r="X319" s="58" t="e">
        <f>VLOOKUP((UPPER(SUBSTITUTE(A319," ","_"))),'[2]Consumer View'!A$2:I$329,1,FALSE)</f>
        <v>#N/A</v>
      </c>
      <c r="Y319" s="51" t="s">
        <v>1503</v>
      </c>
      <c r="Z319" s="51" t="s">
        <v>203</v>
      </c>
      <c r="AA319" s="51" t="s">
        <v>1676</v>
      </c>
      <c r="AB319" s="18"/>
      <c r="AC319" s="18"/>
      <c r="AD319" s="51" t="s">
        <v>1677</v>
      </c>
      <c r="AE319" s="46"/>
      <c r="AF319" s="18"/>
      <c r="AG319" s="18" t="s">
        <v>1572</v>
      </c>
      <c r="AH319" s="18" t="s">
        <v>178</v>
      </c>
    </row>
    <row r="320" spans="1:34" ht="27" customHeight="1">
      <c r="A320" s="105" t="s">
        <v>1678</v>
      </c>
      <c r="B320" s="51" t="s">
        <v>1679</v>
      </c>
      <c r="C320" s="51" t="s">
        <v>1680</v>
      </c>
      <c r="D320" s="51" t="s">
        <v>120</v>
      </c>
      <c r="E320" s="51" t="s">
        <v>63</v>
      </c>
      <c r="F320" s="51" t="s">
        <v>121</v>
      </c>
      <c r="G320" s="108" t="s">
        <v>63</v>
      </c>
      <c r="H320" s="52" t="s">
        <v>1681</v>
      </c>
      <c r="I320" s="51"/>
      <c r="J320" s="51" t="s">
        <v>1309</v>
      </c>
      <c r="K320" s="18"/>
      <c r="L320" s="110">
        <v>2674782</v>
      </c>
      <c r="M320" s="110">
        <v>2674782</v>
      </c>
      <c r="N320" s="18"/>
      <c r="O320" s="18" t="b">
        <f>VLOOKUP(A320,[1]Model!C$2:J$559,2,FALSE)=B320</f>
        <v>1</v>
      </c>
      <c r="P320" s="18" t="e">
        <f>VLOOKUP(A320,[2]Model!C$2:G$208,5,FALSE)=D320</f>
        <v>#N/A</v>
      </c>
      <c r="Q320" s="18" t="e">
        <f>VLOOKUP(A320,[2]Model!C$2:L$228,8,FALSE)</f>
        <v>#N/A</v>
      </c>
      <c r="R320" s="18" t="e">
        <f>VLOOKUP(A320,[2]Model!C$2:G$228,3,FALSE)=[3]!Table14[[#This Row],[Business Definition (To go into comments and into Meta Data Hub)]]</f>
        <v>#N/A</v>
      </c>
      <c r="S320" s="18" t="e">
        <f>IF([3]!Table14[[#This Row],[Nullable in Table and in Oracle View
NULL, NOT NULL]]="No","NOT NULL","NULL")=VLOOKUP(A320,[2]Model!C$2:I$228,6,FALSE)</f>
        <v>#REF!</v>
      </c>
      <c r="T320" s="58" t="e">
        <f>VLOOKUP(B320,[2]Table!A$2:F$415,1,FALSE)=[3]!Table14[[#This Row],[Physical Name of Attribute (Name of column in Table)
Supplied by DA Team]]</f>
        <v>#N/A</v>
      </c>
      <c r="U320" s="58" t="e">
        <f>VLOOKUP(B320,[2]Table!A$2:F$319,2,FALSE)=[4]!Table14[[#This Row],[Data type in Oracle
VARCHAR2(n), DATE, NUMBER(m,n), TIMETSTAMP(6)]]</f>
        <v>#N/A</v>
      </c>
      <c r="V320" s="58" t="e">
        <f>VLOOKUP(B320,[2]Table!A$2:F$231,3,FALSE)=[4]!Table14[[#This Row],[Nullable in Table and in Oracle View
NULL, NOT NULL]]</f>
        <v>#N/A</v>
      </c>
      <c r="W320" s="58" t="e">
        <f>VLOOKUP(B320,[2]Table!A$2:H$228,6,FALSE)=[4]!Table14[[#This Row],[Business Definition (To go into comments and into Meta Data Hub)]]</f>
        <v>#N/A</v>
      </c>
      <c r="X320" s="58" t="e">
        <f>VLOOKUP((UPPER(SUBSTITUTE(A320," ","_"))),'[2]Consumer View'!A$2:I$329,1,FALSE)</f>
        <v>#N/A</v>
      </c>
      <c r="Y320" s="51" t="s">
        <v>1503</v>
      </c>
      <c r="Z320" s="51" t="s">
        <v>203</v>
      </c>
      <c r="AA320" s="51" t="s">
        <v>1682</v>
      </c>
      <c r="AB320" s="18"/>
      <c r="AC320" s="18"/>
      <c r="AD320" s="51" t="s">
        <v>1571</v>
      </c>
      <c r="AE320" s="46"/>
      <c r="AF320" s="18"/>
      <c r="AG320" s="18" t="s">
        <v>1572</v>
      </c>
      <c r="AH320" s="18" t="s">
        <v>178</v>
      </c>
    </row>
    <row r="321" spans="1:34" ht="27" customHeight="1">
      <c r="A321" s="105" t="s">
        <v>1683</v>
      </c>
      <c r="B321" s="51" t="s">
        <v>1684</v>
      </c>
      <c r="C321" s="51" t="s">
        <v>1685</v>
      </c>
      <c r="D321" s="51" t="s">
        <v>120</v>
      </c>
      <c r="E321" s="51" t="s">
        <v>63</v>
      </c>
      <c r="F321" s="51" t="s">
        <v>121</v>
      </c>
      <c r="G321" s="108" t="s">
        <v>63</v>
      </c>
      <c r="H321" s="52" t="s">
        <v>1686</v>
      </c>
      <c r="I321" s="51"/>
      <c r="J321" s="51" t="s">
        <v>1309</v>
      </c>
      <c r="K321" s="18"/>
      <c r="L321" s="110">
        <v>2674782</v>
      </c>
      <c r="M321" s="110">
        <v>2674782</v>
      </c>
      <c r="N321" s="18"/>
      <c r="O321" s="18" t="b">
        <f>VLOOKUP(A321,[1]Model!C$2:J$559,2,FALSE)=B321</f>
        <v>1</v>
      </c>
      <c r="P321" s="18" t="e">
        <f>VLOOKUP(A321,[2]Model!C$2:G$208,5,FALSE)=D321</f>
        <v>#N/A</v>
      </c>
      <c r="Q321" s="18" t="e">
        <f>VLOOKUP(A321,[2]Model!C$2:L$228,8,FALSE)</f>
        <v>#N/A</v>
      </c>
      <c r="R321" s="18" t="e">
        <f>VLOOKUP(A321,[2]Model!C$2:G$228,3,FALSE)=[3]!Table14[[#This Row],[Business Definition (To go into comments and into Meta Data Hub)]]</f>
        <v>#N/A</v>
      </c>
      <c r="S321" s="18" t="e">
        <f>IF([3]!Table14[[#This Row],[Nullable in Table and in Oracle View
NULL, NOT NULL]]="No","NOT NULL","NULL")=VLOOKUP(A321,[2]Model!C$2:I$228,6,FALSE)</f>
        <v>#REF!</v>
      </c>
      <c r="T321" s="58" t="e">
        <f>VLOOKUP(B321,[2]Table!A$2:F$415,1,FALSE)=[3]!Table14[[#This Row],[Physical Name of Attribute (Name of column in Table)
Supplied by DA Team]]</f>
        <v>#N/A</v>
      </c>
      <c r="U321" s="58" t="e">
        <f>VLOOKUP(B321,[2]Table!A$2:F$319,2,FALSE)=[4]!Table14[[#This Row],[Data type in Oracle
VARCHAR2(n), DATE, NUMBER(m,n), TIMETSTAMP(6)]]</f>
        <v>#N/A</v>
      </c>
      <c r="V321" s="58" t="e">
        <f>VLOOKUP(B321,[2]Table!A$2:F$231,3,FALSE)=[4]!Table14[[#This Row],[Nullable in Table and in Oracle View
NULL, NOT NULL]]</f>
        <v>#N/A</v>
      </c>
      <c r="W321" s="58" t="e">
        <f>VLOOKUP(B321,[2]Table!A$2:H$228,6,FALSE)=[4]!Table14[[#This Row],[Business Definition (To go into comments and into Meta Data Hub)]]</f>
        <v>#N/A</v>
      </c>
      <c r="X321" s="58" t="e">
        <f>VLOOKUP((UPPER(SUBSTITUTE(A321," ","_"))),'[2]Consumer View'!A$2:I$329,1,FALSE)</f>
        <v>#N/A</v>
      </c>
      <c r="Y321" s="51" t="s">
        <v>1503</v>
      </c>
      <c r="Z321" s="51" t="s">
        <v>203</v>
      </c>
      <c r="AA321" s="51" t="s">
        <v>1687</v>
      </c>
      <c r="AB321" s="18"/>
      <c r="AC321" s="18"/>
      <c r="AD321" s="51" t="s">
        <v>1571</v>
      </c>
      <c r="AE321" s="46"/>
      <c r="AF321" s="18"/>
      <c r="AG321" s="18" t="s">
        <v>1572</v>
      </c>
      <c r="AH321" s="18" t="s">
        <v>178</v>
      </c>
    </row>
    <row r="322" spans="1:34" ht="27" customHeight="1">
      <c r="A322" s="105" t="s">
        <v>1688</v>
      </c>
      <c r="B322" s="51" t="s">
        <v>1689</v>
      </c>
      <c r="C322" s="51" t="s">
        <v>1690</v>
      </c>
      <c r="D322" s="51" t="s">
        <v>1453</v>
      </c>
      <c r="E322" s="51" t="s">
        <v>63</v>
      </c>
      <c r="F322" s="51" t="s">
        <v>1454</v>
      </c>
      <c r="G322" s="108" t="s">
        <v>63</v>
      </c>
      <c r="H322" s="52" t="s">
        <v>1691</v>
      </c>
      <c r="I322" s="51"/>
      <c r="J322" s="51" t="s">
        <v>1309</v>
      </c>
      <c r="K322" s="18"/>
      <c r="L322" s="110">
        <v>2674782</v>
      </c>
      <c r="M322" s="110">
        <v>2674782</v>
      </c>
      <c r="N322" s="18"/>
      <c r="O322" s="18" t="b">
        <f>VLOOKUP(A322,[1]Model!C$2:J$559,2,FALSE)=B322</f>
        <v>1</v>
      </c>
      <c r="P322" s="18" t="e">
        <f>VLOOKUP(A322,[2]Model!C$2:G$208,5,FALSE)=D322</f>
        <v>#N/A</v>
      </c>
      <c r="Q322" s="18" t="e">
        <f>VLOOKUP(A322,[2]Model!C$2:L$228,8,FALSE)</f>
        <v>#N/A</v>
      </c>
      <c r="R322" s="18" t="e">
        <f>VLOOKUP(A322,[2]Model!C$2:G$228,3,FALSE)=[3]!Table14[[#This Row],[Business Definition (To go into comments and into Meta Data Hub)]]</f>
        <v>#N/A</v>
      </c>
      <c r="S322" s="18" t="e">
        <f>IF([3]!Table14[[#This Row],[Nullable in Table and in Oracle View
NULL, NOT NULL]]="No","NOT NULL","NULL")=VLOOKUP(A322,[2]Model!C$2:I$228,6,FALSE)</f>
        <v>#REF!</v>
      </c>
      <c r="T322" s="58" t="e">
        <f>VLOOKUP(B322,[2]Table!A$2:F$415,1,FALSE)=[3]!Table14[[#This Row],[Physical Name of Attribute (Name of column in Table)
Supplied by DA Team]]</f>
        <v>#N/A</v>
      </c>
      <c r="U322" s="58" t="e">
        <f>VLOOKUP(B322,[2]Table!A$2:F$319,2,FALSE)=[4]!Table14[[#This Row],[Data type in Oracle
VARCHAR2(n), DATE, NUMBER(m,n), TIMETSTAMP(6)]]</f>
        <v>#N/A</v>
      </c>
      <c r="V322" s="58" t="e">
        <f>VLOOKUP(B322,[2]Table!A$2:F$231,3,FALSE)=[4]!Table14[[#This Row],[Nullable in Table and in Oracle View
NULL, NOT NULL]]</f>
        <v>#N/A</v>
      </c>
      <c r="W322" s="58" t="e">
        <f>VLOOKUP(B322,[2]Table!A$2:H$228,6,FALSE)=[4]!Table14[[#This Row],[Business Definition (To go into comments and into Meta Data Hub)]]</f>
        <v>#N/A</v>
      </c>
      <c r="X322" s="58" t="e">
        <f>VLOOKUP((UPPER(SUBSTITUTE(A322," ","_"))),'[2]Consumer View'!A$2:I$329,1,FALSE)</f>
        <v>#N/A</v>
      </c>
      <c r="Y322" s="51" t="s">
        <v>1503</v>
      </c>
      <c r="Z322" s="51" t="s">
        <v>203</v>
      </c>
      <c r="AA322" s="51" t="s">
        <v>1692</v>
      </c>
      <c r="AB322" s="18"/>
      <c r="AC322" s="18"/>
      <c r="AD322" s="51" t="s">
        <v>1571</v>
      </c>
      <c r="AE322" s="46"/>
      <c r="AF322" s="18"/>
      <c r="AG322" s="18" t="s">
        <v>1572</v>
      </c>
      <c r="AH322" s="18" t="s">
        <v>178</v>
      </c>
    </row>
    <row r="323" spans="1:34" ht="27" customHeight="1">
      <c r="A323" s="105" t="s">
        <v>1693</v>
      </c>
      <c r="B323" s="51" t="s">
        <v>1694</v>
      </c>
      <c r="C323" s="51" t="s">
        <v>1695</v>
      </c>
      <c r="D323" s="51" t="s">
        <v>120</v>
      </c>
      <c r="E323" s="51" t="s">
        <v>63</v>
      </c>
      <c r="F323" s="51" t="s">
        <v>121</v>
      </c>
      <c r="G323" s="108" t="s">
        <v>63</v>
      </c>
      <c r="H323" s="52" t="s">
        <v>1696</v>
      </c>
      <c r="I323" s="51"/>
      <c r="J323" s="51" t="s">
        <v>1309</v>
      </c>
      <c r="K323" s="18"/>
      <c r="L323" s="110">
        <v>2674782</v>
      </c>
      <c r="M323" s="110">
        <v>2674782</v>
      </c>
      <c r="N323" s="18"/>
      <c r="O323" s="18" t="b">
        <f>VLOOKUP(A323,[1]Model!C$2:J$559,2,FALSE)=B323</f>
        <v>1</v>
      </c>
      <c r="P323" s="18" t="e">
        <f>VLOOKUP(A323,[2]Model!C$2:G$208,5,FALSE)=D323</f>
        <v>#N/A</v>
      </c>
      <c r="Q323" s="18" t="e">
        <f>VLOOKUP(A323,[2]Model!C$2:L$228,8,FALSE)</f>
        <v>#N/A</v>
      </c>
      <c r="R323" s="18" t="e">
        <f>VLOOKUP(A323,[2]Model!C$2:G$228,3,FALSE)=[3]!Table14[[#This Row],[Business Definition (To go into comments and into Meta Data Hub)]]</f>
        <v>#N/A</v>
      </c>
      <c r="S323" s="18" t="e">
        <f>IF([3]!Table14[[#This Row],[Nullable in Table and in Oracle View
NULL, NOT NULL]]="No","NOT NULL","NULL")=VLOOKUP(A323,[2]Model!C$2:I$228,6,FALSE)</f>
        <v>#REF!</v>
      </c>
      <c r="T323" s="58" t="e">
        <f>VLOOKUP(B323,[2]Table!A$2:F$415,1,FALSE)=[3]!Table14[[#This Row],[Physical Name of Attribute (Name of column in Table)
Supplied by DA Team]]</f>
        <v>#N/A</v>
      </c>
      <c r="U323" s="58" t="e">
        <f>VLOOKUP(B323,[2]Table!A$2:F$319,2,FALSE)=[4]!Table14[[#This Row],[Data type in Oracle
VARCHAR2(n), DATE, NUMBER(m,n), TIMETSTAMP(6)]]</f>
        <v>#N/A</v>
      </c>
      <c r="V323" s="58" t="e">
        <f>VLOOKUP(B323,[2]Table!A$2:F$231,3,FALSE)=[4]!Table14[[#This Row],[Nullable in Table and in Oracle View
NULL, NOT NULL]]</f>
        <v>#N/A</v>
      </c>
      <c r="W323" s="58" t="e">
        <f>VLOOKUP(B323,[2]Table!A$2:H$228,6,FALSE)=[4]!Table14[[#This Row],[Business Definition (To go into comments and into Meta Data Hub)]]</f>
        <v>#N/A</v>
      </c>
      <c r="X323" s="58" t="e">
        <f>VLOOKUP((UPPER(SUBSTITUTE(A323," ","_"))),'[2]Consumer View'!A$2:I$329,1,FALSE)</f>
        <v>#N/A</v>
      </c>
      <c r="Y323" s="51" t="s">
        <v>1503</v>
      </c>
      <c r="Z323" s="51" t="s">
        <v>203</v>
      </c>
      <c r="AA323" s="51" t="s">
        <v>1697</v>
      </c>
      <c r="AB323" s="18"/>
      <c r="AC323" s="18"/>
      <c r="AD323" s="51" t="s">
        <v>1571</v>
      </c>
      <c r="AE323" s="46"/>
      <c r="AF323" s="18"/>
      <c r="AG323" s="18" t="s">
        <v>1572</v>
      </c>
      <c r="AH323" s="18" t="s">
        <v>178</v>
      </c>
    </row>
    <row r="324" spans="1:34" ht="27" customHeight="1">
      <c r="A324" s="105" t="s">
        <v>1698</v>
      </c>
      <c r="B324" s="51" t="s">
        <v>1699</v>
      </c>
      <c r="C324" s="51" t="s">
        <v>1700</v>
      </c>
      <c r="D324" s="51" t="s">
        <v>120</v>
      </c>
      <c r="E324" s="51" t="s">
        <v>63</v>
      </c>
      <c r="F324" s="51" t="s">
        <v>121</v>
      </c>
      <c r="G324" s="108" t="s">
        <v>63</v>
      </c>
      <c r="H324" s="52" t="s">
        <v>1701</v>
      </c>
      <c r="I324" s="51"/>
      <c r="J324" s="51" t="s">
        <v>1309</v>
      </c>
      <c r="K324" s="18"/>
      <c r="L324" s="110">
        <v>2674782</v>
      </c>
      <c r="M324" s="110">
        <v>2674782</v>
      </c>
      <c r="N324" s="18"/>
      <c r="O324" s="18" t="b">
        <f>VLOOKUP(A324,[1]Model!C$2:J$559,2,FALSE)=B324</f>
        <v>1</v>
      </c>
      <c r="P324" s="18" t="e">
        <f>VLOOKUP(A324,[2]Model!C$2:G$208,5,FALSE)=D324</f>
        <v>#N/A</v>
      </c>
      <c r="Q324" s="18" t="e">
        <f>VLOOKUP(A324,[2]Model!C$2:L$228,8,FALSE)</f>
        <v>#N/A</v>
      </c>
      <c r="R324" s="18" t="e">
        <f>VLOOKUP(A324,[2]Model!C$2:G$228,3,FALSE)=[3]!Table14[[#This Row],[Business Definition (To go into comments and into Meta Data Hub)]]</f>
        <v>#N/A</v>
      </c>
      <c r="S324" s="18" t="e">
        <f>IF([3]!Table14[[#This Row],[Nullable in Table and in Oracle View
NULL, NOT NULL]]="No","NOT NULL","NULL")=VLOOKUP(A324,[2]Model!C$2:I$228,6,FALSE)</f>
        <v>#REF!</v>
      </c>
      <c r="T324" s="58" t="e">
        <f>VLOOKUP(B324,[2]Table!A$2:F$415,1,FALSE)=[3]!Table14[[#This Row],[Physical Name of Attribute (Name of column in Table)
Supplied by DA Team]]</f>
        <v>#N/A</v>
      </c>
      <c r="U324" s="58" t="e">
        <f>VLOOKUP(B324,[2]Table!A$2:F$319,2,FALSE)=[4]!Table14[[#This Row],[Data type in Oracle
VARCHAR2(n), DATE, NUMBER(m,n), TIMETSTAMP(6)]]</f>
        <v>#N/A</v>
      </c>
      <c r="V324" s="58" t="e">
        <f>VLOOKUP(B324,[2]Table!A$2:F$231,3,FALSE)=[4]!Table14[[#This Row],[Nullable in Table and in Oracle View
NULL, NOT NULL]]</f>
        <v>#N/A</v>
      </c>
      <c r="W324" s="58" t="e">
        <f>VLOOKUP(B324,[2]Table!A$2:H$228,6,FALSE)=[4]!Table14[[#This Row],[Business Definition (To go into comments and into Meta Data Hub)]]</f>
        <v>#N/A</v>
      </c>
      <c r="X324" s="58" t="e">
        <f>VLOOKUP((UPPER(SUBSTITUTE(A324," ","_"))),'[2]Consumer View'!A$2:I$329,1,FALSE)</f>
        <v>#N/A</v>
      </c>
      <c r="Y324" s="51" t="s">
        <v>1503</v>
      </c>
      <c r="Z324" s="51" t="s">
        <v>203</v>
      </c>
      <c r="AA324" s="51" t="s">
        <v>1702</v>
      </c>
      <c r="AB324" s="18"/>
      <c r="AC324" s="18"/>
      <c r="AD324" s="51" t="s">
        <v>1571</v>
      </c>
      <c r="AE324" s="46"/>
      <c r="AF324" s="18"/>
      <c r="AG324" s="18" t="s">
        <v>1572</v>
      </c>
      <c r="AH324" s="18" t="s">
        <v>178</v>
      </c>
    </row>
    <row r="325" spans="1:34" ht="27" customHeight="1">
      <c r="A325" s="105" t="s">
        <v>1703</v>
      </c>
      <c r="B325" s="51" t="s">
        <v>1704</v>
      </c>
      <c r="C325" s="51" t="s">
        <v>1705</v>
      </c>
      <c r="D325" s="51" t="s">
        <v>120</v>
      </c>
      <c r="E325" s="51" t="s">
        <v>63</v>
      </c>
      <c r="F325" s="51" t="s">
        <v>121</v>
      </c>
      <c r="G325" s="108" t="s">
        <v>63</v>
      </c>
      <c r="H325" s="52" t="s">
        <v>1706</v>
      </c>
      <c r="I325" s="51"/>
      <c r="J325" s="51" t="s">
        <v>1309</v>
      </c>
      <c r="K325" s="18"/>
      <c r="L325" s="110">
        <v>2674782</v>
      </c>
      <c r="M325" s="110">
        <v>2674782</v>
      </c>
      <c r="N325" s="18"/>
      <c r="O325" s="18" t="b">
        <f>VLOOKUP(A325,[1]Model!C$2:J$559,2,FALSE)=B325</f>
        <v>1</v>
      </c>
      <c r="P325" s="18" t="e">
        <f>VLOOKUP(A325,[2]Model!C$2:G$208,5,FALSE)=D325</f>
        <v>#N/A</v>
      </c>
      <c r="Q325" s="18" t="e">
        <f>VLOOKUP(A325,[2]Model!C$2:L$228,8,FALSE)</f>
        <v>#N/A</v>
      </c>
      <c r="R325" s="18" t="e">
        <f>VLOOKUP(A325,[2]Model!C$2:G$228,3,FALSE)=[3]!Table14[[#This Row],[Business Definition (To go into comments and into Meta Data Hub)]]</f>
        <v>#N/A</v>
      </c>
      <c r="S325" s="18" t="e">
        <f>IF([3]!Table14[[#This Row],[Nullable in Table and in Oracle View
NULL, NOT NULL]]="No","NOT NULL","NULL")=VLOOKUP(A325,[2]Model!C$2:I$228,6,FALSE)</f>
        <v>#REF!</v>
      </c>
      <c r="T325" s="58" t="e">
        <f>VLOOKUP(B325,[2]Table!A$2:F$415,1,FALSE)=[3]!Table14[[#This Row],[Physical Name of Attribute (Name of column in Table)
Supplied by DA Team]]</f>
        <v>#N/A</v>
      </c>
      <c r="U325" s="58" t="e">
        <f>VLOOKUP(B325,[2]Table!A$2:F$319,2,FALSE)=[4]!Table14[[#This Row],[Data type in Oracle
VARCHAR2(n), DATE, NUMBER(m,n), TIMETSTAMP(6)]]</f>
        <v>#N/A</v>
      </c>
      <c r="V325" s="58" t="e">
        <f>VLOOKUP(B325,[2]Table!A$2:F$231,3,FALSE)=[4]!Table14[[#This Row],[Nullable in Table and in Oracle View
NULL, NOT NULL]]</f>
        <v>#N/A</v>
      </c>
      <c r="W325" s="58" t="e">
        <f>VLOOKUP(B325,[2]Table!A$2:H$228,6,FALSE)=[4]!Table14[[#This Row],[Business Definition (To go into comments and into Meta Data Hub)]]</f>
        <v>#N/A</v>
      </c>
      <c r="X325" s="58" t="e">
        <f>VLOOKUP((UPPER(SUBSTITUTE(A325," ","_"))),'[2]Consumer View'!A$2:I$329,1,FALSE)</f>
        <v>#N/A</v>
      </c>
      <c r="Y325" s="51" t="s">
        <v>1503</v>
      </c>
      <c r="Z325" s="51" t="s">
        <v>203</v>
      </c>
      <c r="AA325" s="51" t="s">
        <v>1707</v>
      </c>
      <c r="AB325" s="18"/>
      <c r="AC325" s="18"/>
      <c r="AD325" s="51" t="s">
        <v>1571</v>
      </c>
      <c r="AE325" s="46"/>
      <c r="AF325" s="18"/>
      <c r="AG325" s="18" t="s">
        <v>1572</v>
      </c>
      <c r="AH325" s="18" t="s">
        <v>178</v>
      </c>
    </row>
    <row r="326" spans="1:34" ht="27" customHeight="1">
      <c r="A326" s="105" t="s">
        <v>1708</v>
      </c>
      <c r="B326" s="51" t="s">
        <v>1709</v>
      </c>
      <c r="C326" s="51" t="s">
        <v>1710</v>
      </c>
      <c r="D326" s="51" t="s">
        <v>120</v>
      </c>
      <c r="E326" s="51" t="s">
        <v>63</v>
      </c>
      <c r="F326" s="51" t="s">
        <v>121</v>
      </c>
      <c r="G326" s="108" t="s">
        <v>63</v>
      </c>
      <c r="H326" s="52" t="s">
        <v>1711</v>
      </c>
      <c r="I326" s="51"/>
      <c r="J326" s="51" t="s">
        <v>1309</v>
      </c>
      <c r="K326" s="18"/>
      <c r="L326" s="110">
        <v>2674782</v>
      </c>
      <c r="M326" s="110">
        <v>2674782</v>
      </c>
      <c r="N326" s="18"/>
      <c r="O326" s="18" t="b">
        <f>VLOOKUP(A326,[1]Model!C$2:J$559,2,FALSE)=B326</f>
        <v>1</v>
      </c>
      <c r="P326" s="18" t="e">
        <f>VLOOKUP(A326,[2]Model!C$2:G$208,5,FALSE)=D326</f>
        <v>#N/A</v>
      </c>
      <c r="Q326" s="18" t="e">
        <f>VLOOKUP(A326,[2]Model!C$2:L$228,8,FALSE)</f>
        <v>#N/A</v>
      </c>
      <c r="R326" s="18" t="e">
        <f>VLOOKUP(A326,[2]Model!C$2:G$228,3,FALSE)=[3]!Table14[[#This Row],[Business Definition (To go into comments and into Meta Data Hub)]]</f>
        <v>#N/A</v>
      </c>
      <c r="S326" s="18" t="e">
        <f>IF([3]!Table14[[#This Row],[Nullable in Table and in Oracle View
NULL, NOT NULL]]="No","NOT NULL","NULL")=VLOOKUP(A326,[2]Model!C$2:I$228,6,FALSE)</f>
        <v>#REF!</v>
      </c>
      <c r="T326" s="58" t="e">
        <f>VLOOKUP(B326,[2]Table!A$2:F$415,1,FALSE)=[3]!Table14[[#This Row],[Physical Name of Attribute (Name of column in Table)
Supplied by DA Team]]</f>
        <v>#N/A</v>
      </c>
      <c r="U326" s="58" t="e">
        <f>VLOOKUP(B326,[2]Table!A$2:F$319,2,FALSE)=[4]!Table14[[#This Row],[Data type in Oracle
VARCHAR2(n), DATE, NUMBER(m,n), TIMETSTAMP(6)]]</f>
        <v>#N/A</v>
      </c>
      <c r="V326" s="58" t="e">
        <f>VLOOKUP(B326,[2]Table!A$2:F$231,3,FALSE)=[4]!Table14[[#This Row],[Nullable in Table and in Oracle View
NULL, NOT NULL]]</f>
        <v>#N/A</v>
      </c>
      <c r="W326" s="58" t="e">
        <f>VLOOKUP(B326,[2]Table!A$2:H$228,6,FALSE)=[4]!Table14[[#This Row],[Business Definition (To go into comments and into Meta Data Hub)]]</f>
        <v>#N/A</v>
      </c>
      <c r="X326" s="58" t="e">
        <f>VLOOKUP((UPPER(SUBSTITUTE(A326," ","_"))),'[2]Consumer View'!A$2:I$329,1,FALSE)</f>
        <v>#N/A</v>
      </c>
      <c r="Y326" s="51" t="s">
        <v>1503</v>
      </c>
      <c r="Z326" s="51" t="s">
        <v>203</v>
      </c>
      <c r="AA326" s="51" t="s">
        <v>1712</v>
      </c>
      <c r="AB326" s="18"/>
      <c r="AC326" s="18"/>
      <c r="AD326" s="51" t="s">
        <v>1571</v>
      </c>
      <c r="AE326" s="46"/>
      <c r="AF326" s="18"/>
      <c r="AG326" s="18" t="s">
        <v>1572</v>
      </c>
      <c r="AH326" s="18" t="s">
        <v>178</v>
      </c>
    </row>
    <row r="327" spans="1:34" ht="27" customHeight="1">
      <c r="A327" s="105" t="s">
        <v>1713</v>
      </c>
      <c r="B327" s="51" t="s">
        <v>1714</v>
      </c>
      <c r="C327" s="51" t="s">
        <v>1715</v>
      </c>
      <c r="D327" s="51" t="s">
        <v>82</v>
      </c>
      <c r="E327" s="51" t="s">
        <v>63</v>
      </c>
      <c r="F327" s="51" t="s">
        <v>83</v>
      </c>
      <c r="G327" s="108" t="s">
        <v>63</v>
      </c>
      <c r="H327" s="52" t="s">
        <v>1716</v>
      </c>
      <c r="I327" s="51"/>
      <c r="J327" s="51" t="s">
        <v>1309</v>
      </c>
      <c r="K327" s="18"/>
      <c r="L327" s="110">
        <v>2674782</v>
      </c>
      <c r="M327" s="110">
        <v>2674782</v>
      </c>
      <c r="N327" s="18"/>
      <c r="O327" s="18" t="b">
        <f>VLOOKUP(A327,[1]Model!C$2:J$559,2,FALSE)=B327</f>
        <v>1</v>
      </c>
      <c r="P327" s="18" t="e">
        <f>VLOOKUP(A327,[2]Model!C$2:G$208,5,FALSE)=D327</f>
        <v>#N/A</v>
      </c>
      <c r="Q327" s="18" t="e">
        <f>VLOOKUP(A327,[2]Model!C$2:L$228,8,FALSE)</f>
        <v>#N/A</v>
      </c>
      <c r="R327" s="18" t="e">
        <f>VLOOKUP(A327,[2]Model!C$2:G$228,3,FALSE)=[3]!Table14[[#This Row],[Business Definition (To go into comments and into Meta Data Hub)]]</f>
        <v>#N/A</v>
      </c>
      <c r="S327" s="18" t="e">
        <f>IF([3]!Table14[[#This Row],[Nullable in Table and in Oracle View
NULL, NOT NULL]]="No","NOT NULL","NULL")=VLOOKUP(A327,[2]Model!C$2:I$228,6,FALSE)</f>
        <v>#REF!</v>
      </c>
      <c r="T327" s="58" t="e">
        <f>VLOOKUP(B327,[2]Table!A$2:F$415,1,FALSE)=[3]!Table14[[#This Row],[Physical Name of Attribute (Name of column in Table)
Supplied by DA Team]]</f>
        <v>#N/A</v>
      </c>
      <c r="U327" s="58" t="e">
        <f>VLOOKUP(B327,[2]Table!A$2:F$319,2,FALSE)=[4]!Table14[[#This Row],[Data type in Oracle
VARCHAR2(n), DATE, NUMBER(m,n), TIMETSTAMP(6)]]</f>
        <v>#N/A</v>
      </c>
      <c r="V327" s="58" t="e">
        <f>VLOOKUP(B327,[2]Table!A$2:F$231,3,FALSE)=[4]!Table14[[#This Row],[Nullable in Table and in Oracle View
NULL, NOT NULL]]</f>
        <v>#N/A</v>
      </c>
      <c r="W327" s="58" t="e">
        <f>VLOOKUP(B327,[2]Table!A$2:H$228,6,FALSE)=[4]!Table14[[#This Row],[Business Definition (To go into comments and into Meta Data Hub)]]</f>
        <v>#N/A</v>
      </c>
      <c r="X327" s="58" t="e">
        <f>VLOOKUP((UPPER(SUBSTITUTE(A327," ","_"))),'[2]Consumer View'!A$2:I$329,1,FALSE)</f>
        <v>#N/A</v>
      </c>
      <c r="Y327" s="51" t="s">
        <v>1503</v>
      </c>
      <c r="Z327" s="51" t="s">
        <v>203</v>
      </c>
      <c r="AA327" s="51" t="s">
        <v>1717</v>
      </c>
      <c r="AB327" s="18"/>
      <c r="AC327" s="18"/>
      <c r="AD327" s="51" t="s">
        <v>1718</v>
      </c>
      <c r="AE327" s="46"/>
      <c r="AF327" s="18"/>
      <c r="AG327" s="18" t="s">
        <v>1572</v>
      </c>
      <c r="AH327" s="18" t="s">
        <v>178</v>
      </c>
    </row>
    <row r="328" spans="1:34" ht="27" customHeight="1">
      <c r="A328" s="105" t="s">
        <v>1719</v>
      </c>
      <c r="B328" s="51" t="s">
        <v>1720</v>
      </c>
      <c r="C328" s="51" t="s">
        <v>1721</v>
      </c>
      <c r="D328" s="51" t="s">
        <v>82</v>
      </c>
      <c r="E328" s="51" t="s">
        <v>63</v>
      </c>
      <c r="F328" s="51" t="s">
        <v>83</v>
      </c>
      <c r="G328" s="108" t="s">
        <v>63</v>
      </c>
      <c r="H328" s="52" t="s">
        <v>1722</v>
      </c>
      <c r="I328" s="51"/>
      <c r="J328" s="51" t="s">
        <v>1309</v>
      </c>
      <c r="K328" s="18"/>
      <c r="L328" s="110">
        <v>2674782</v>
      </c>
      <c r="M328" s="110">
        <v>2674782</v>
      </c>
      <c r="N328" s="18"/>
      <c r="O328" s="18" t="b">
        <f>VLOOKUP(A328,[1]Model!C$2:J$559,2,FALSE)=B328</f>
        <v>1</v>
      </c>
      <c r="P328" s="18" t="e">
        <f>VLOOKUP(A328,[2]Model!C$2:G$208,5,FALSE)=D328</f>
        <v>#N/A</v>
      </c>
      <c r="Q328" s="18" t="e">
        <f>VLOOKUP(A328,[2]Model!C$2:L$228,8,FALSE)</f>
        <v>#N/A</v>
      </c>
      <c r="R328" s="18" t="e">
        <f>VLOOKUP(A328,[2]Model!C$2:G$228,3,FALSE)=[3]!Table14[[#This Row],[Business Definition (To go into comments and into Meta Data Hub)]]</f>
        <v>#N/A</v>
      </c>
      <c r="S328" s="18" t="e">
        <f>IF([3]!Table14[[#This Row],[Nullable in Table and in Oracle View
NULL, NOT NULL]]="No","NOT NULL","NULL")=VLOOKUP(A328,[2]Model!C$2:I$228,6,FALSE)</f>
        <v>#REF!</v>
      </c>
      <c r="T328" s="58" t="e">
        <f>VLOOKUP(B328,[2]Table!A$2:F$415,1,FALSE)=[3]!Table14[[#This Row],[Physical Name of Attribute (Name of column in Table)
Supplied by DA Team]]</f>
        <v>#N/A</v>
      </c>
      <c r="U328" s="58" t="e">
        <f>VLOOKUP(B328,[2]Table!A$2:F$319,2,FALSE)=[4]!Table14[[#This Row],[Data type in Oracle
VARCHAR2(n), DATE, NUMBER(m,n), TIMETSTAMP(6)]]</f>
        <v>#N/A</v>
      </c>
      <c r="V328" s="58" t="e">
        <f>VLOOKUP(B328,[2]Table!A$2:F$231,3,FALSE)=[4]!Table14[[#This Row],[Nullable in Table and in Oracle View
NULL, NOT NULL]]</f>
        <v>#N/A</v>
      </c>
      <c r="W328" s="58" t="e">
        <f>VLOOKUP(B328,[2]Table!A$2:H$228,6,FALSE)=[4]!Table14[[#This Row],[Business Definition (To go into comments and into Meta Data Hub)]]</f>
        <v>#N/A</v>
      </c>
      <c r="X328" s="58" t="e">
        <f>VLOOKUP((UPPER(SUBSTITUTE(A328," ","_"))),'[2]Consumer View'!A$2:I$329,1,FALSE)</f>
        <v>#N/A</v>
      </c>
      <c r="Y328" s="51" t="s">
        <v>1503</v>
      </c>
      <c r="Z328" s="51" t="s">
        <v>203</v>
      </c>
      <c r="AA328" s="51" t="s">
        <v>1723</v>
      </c>
      <c r="AB328" s="18"/>
      <c r="AC328" s="18"/>
      <c r="AD328" s="51" t="s">
        <v>1724</v>
      </c>
      <c r="AE328" s="46"/>
      <c r="AF328" s="18"/>
      <c r="AG328" s="18" t="s">
        <v>1572</v>
      </c>
      <c r="AH328" s="18" t="s">
        <v>178</v>
      </c>
    </row>
    <row r="329" spans="1:34" ht="27" customHeight="1">
      <c r="A329" s="105" t="s">
        <v>1725</v>
      </c>
      <c r="B329" s="51" t="s">
        <v>1726</v>
      </c>
      <c r="C329" s="51" t="s">
        <v>1727</v>
      </c>
      <c r="D329" s="51" t="s">
        <v>139</v>
      </c>
      <c r="E329" s="51" t="s">
        <v>63</v>
      </c>
      <c r="F329" s="51" t="s">
        <v>140</v>
      </c>
      <c r="G329" s="108" t="s">
        <v>63</v>
      </c>
      <c r="H329" s="52" t="s">
        <v>1728</v>
      </c>
      <c r="I329" s="51"/>
      <c r="J329" s="51" t="s">
        <v>1309</v>
      </c>
      <c r="K329" s="18"/>
      <c r="L329" s="110">
        <v>2674782</v>
      </c>
      <c r="M329" s="110">
        <v>2674782</v>
      </c>
      <c r="N329" s="18"/>
      <c r="O329" s="18" t="b">
        <f>VLOOKUP(A329,[1]Model!C$2:J$559,2,FALSE)=B329</f>
        <v>1</v>
      </c>
      <c r="P329" s="18" t="e">
        <f>VLOOKUP(A329,[2]Model!C$2:G$208,5,FALSE)=D329</f>
        <v>#N/A</v>
      </c>
      <c r="Q329" s="18" t="e">
        <f>VLOOKUP(A329,[2]Model!C$2:L$228,8,FALSE)</f>
        <v>#N/A</v>
      </c>
      <c r="R329" s="18" t="e">
        <f>VLOOKUP(A329,[2]Model!C$2:G$228,3,FALSE)=[3]!Table14[[#This Row],[Business Definition (To go into comments and into Meta Data Hub)]]</f>
        <v>#N/A</v>
      </c>
      <c r="S329" s="18" t="e">
        <f>IF([3]!Table14[[#This Row],[Nullable in Table and in Oracle View
NULL, NOT NULL]]="No","NOT NULL","NULL")=VLOOKUP(A329,[2]Model!C$2:I$228,6,FALSE)</f>
        <v>#REF!</v>
      </c>
      <c r="T329" s="58" t="e">
        <f>VLOOKUP(B329,[2]Table!A$2:F$415,1,FALSE)=[3]!Table14[[#This Row],[Physical Name of Attribute (Name of column in Table)
Supplied by DA Team]]</f>
        <v>#N/A</v>
      </c>
      <c r="U329" s="58" t="e">
        <f>VLOOKUP(B329,[2]Table!A$2:F$319,2,FALSE)=[4]!Table14[[#This Row],[Data type in Oracle
VARCHAR2(n), DATE, NUMBER(m,n), TIMETSTAMP(6)]]</f>
        <v>#N/A</v>
      </c>
      <c r="V329" s="58" t="e">
        <f>VLOOKUP(B329,[2]Table!A$2:F$231,3,FALSE)=[4]!Table14[[#This Row],[Nullable in Table and in Oracle View
NULL, NOT NULL]]</f>
        <v>#N/A</v>
      </c>
      <c r="W329" s="58" t="e">
        <f>VLOOKUP(B329,[2]Table!A$2:H$228,6,FALSE)=[4]!Table14[[#This Row],[Business Definition (To go into comments and into Meta Data Hub)]]</f>
        <v>#N/A</v>
      </c>
      <c r="X329" s="58" t="e">
        <f>VLOOKUP((UPPER(SUBSTITUTE(A329," ","_"))),'[2]Consumer View'!A$2:I$329,1,FALSE)</f>
        <v>#N/A</v>
      </c>
      <c r="Y329" s="51" t="s">
        <v>1503</v>
      </c>
      <c r="Z329" s="51" t="s">
        <v>203</v>
      </c>
      <c r="AA329" s="51" t="s">
        <v>1729</v>
      </c>
      <c r="AB329" s="18"/>
      <c r="AC329" s="18"/>
      <c r="AD329" s="51" t="s">
        <v>1571</v>
      </c>
      <c r="AE329" s="46"/>
      <c r="AF329" s="18"/>
      <c r="AG329" s="18" t="s">
        <v>1572</v>
      </c>
      <c r="AH329" s="18" t="s">
        <v>178</v>
      </c>
    </row>
    <row r="330" spans="1:34" ht="27" customHeight="1">
      <c r="A330" s="105" t="s">
        <v>1730</v>
      </c>
      <c r="B330" s="51" t="s">
        <v>1731</v>
      </c>
      <c r="C330" s="51" t="s">
        <v>1732</v>
      </c>
      <c r="D330" s="51" t="s">
        <v>157</v>
      </c>
      <c r="E330" s="51" t="s">
        <v>63</v>
      </c>
      <c r="F330" s="51" t="s">
        <v>1323</v>
      </c>
      <c r="G330" s="108" t="s">
        <v>63</v>
      </c>
      <c r="H330" s="52" t="s">
        <v>1733</v>
      </c>
      <c r="I330" s="51"/>
      <c r="J330" s="51" t="s">
        <v>1309</v>
      </c>
      <c r="K330" s="18"/>
      <c r="L330" s="110">
        <v>2674782</v>
      </c>
      <c r="M330" s="110">
        <v>2674782</v>
      </c>
      <c r="N330" s="18"/>
      <c r="O330" s="18" t="b">
        <f>VLOOKUP(A330,[1]Model!C$2:J$559,2,FALSE)=B330</f>
        <v>1</v>
      </c>
      <c r="P330" s="18" t="e">
        <f>VLOOKUP(A330,[2]Model!C$2:G$208,5,FALSE)=D330</f>
        <v>#N/A</v>
      </c>
      <c r="Q330" s="18" t="e">
        <f>VLOOKUP(A330,[2]Model!C$2:L$228,8,FALSE)</f>
        <v>#N/A</v>
      </c>
      <c r="R330" s="18" t="e">
        <f>VLOOKUP(A330,[2]Model!C$2:G$228,3,FALSE)=[3]!Table14[[#This Row],[Business Definition (To go into comments and into Meta Data Hub)]]</f>
        <v>#N/A</v>
      </c>
      <c r="S330" s="18" t="e">
        <f>IF([3]!Table14[[#This Row],[Nullable in Table and in Oracle View
NULL, NOT NULL]]="No","NOT NULL","NULL")=VLOOKUP(A330,[2]Model!C$2:I$228,6,FALSE)</f>
        <v>#REF!</v>
      </c>
      <c r="T330" s="58" t="e">
        <f>VLOOKUP(B330,[2]Table!A$2:F$415,1,FALSE)=[3]!Table14[[#This Row],[Physical Name of Attribute (Name of column in Table)
Supplied by DA Team]]</f>
        <v>#N/A</v>
      </c>
      <c r="U330" s="58" t="e">
        <f>VLOOKUP(B330,[2]Table!A$2:F$319,2,FALSE)=[4]!Table14[[#This Row],[Data type in Oracle
VARCHAR2(n), DATE, NUMBER(m,n), TIMETSTAMP(6)]]</f>
        <v>#N/A</v>
      </c>
      <c r="V330" s="58" t="e">
        <f>VLOOKUP(B330,[2]Table!A$2:F$231,3,FALSE)=[4]!Table14[[#This Row],[Nullable in Table and in Oracle View
NULL, NOT NULL]]</f>
        <v>#N/A</v>
      </c>
      <c r="W330" s="58" t="e">
        <f>VLOOKUP(B330,[2]Table!A$2:H$228,6,FALSE)=[4]!Table14[[#This Row],[Business Definition (To go into comments and into Meta Data Hub)]]</f>
        <v>#N/A</v>
      </c>
      <c r="X330" s="58" t="e">
        <f>VLOOKUP((UPPER(SUBSTITUTE(A330," ","_"))),'[2]Consumer View'!A$2:I$329,1,FALSE)</f>
        <v>#N/A</v>
      </c>
      <c r="Y330" s="51" t="s">
        <v>1503</v>
      </c>
      <c r="Z330" s="51" t="s">
        <v>203</v>
      </c>
      <c r="AA330" s="51" t="s">
        <v>1734</v>
      </c>
      <c r="AB330" s="18"/>
      <c r="AC330" s="18"/>
      <c r="AD330" s="51" t="s">
        <v>1571</v>
      </c>
      <c r="AE330" s="46"/>
      <c r="AF330" s="18"/>
      <c r="AG330" s="51" t="s">
        <v>1572</v>
      </c>
      <c r="AH330" s="18" t="s">
        <v>178</v>
      </c>
    </row>
    <row r="331" spans="1:34" ht="27" customHeight="1">
      <c r="A331" s="105" t="s">
        <v>1735</v>
      </c>
      <c r="B331" s="51" t="s">
        <v>1736</v>
      </c>
      <c r="C331" s="51" t="s">
        <v>1737</v>
      </c>
      <c r="D331" s="51" t="s">
        <v>139</v>
      </c>
      <c r="E331" s="51" t="s">
        <v>63</v>
      </c>
      <c r="F331" s="51" t="s">
        <v>140</v>
      </c>
      <c r="G331" s="108" t="s">
        <v>63</v>
      </c>
      <c r="H331" s="52" t="s">
        <v>1738</v>
      </c>
      <c r="I331" s="51"/>
      <c r="J331" s="51" t="s">
        <v>1309</v>
      </c>
      <c r="K331" s="18"/>
      <c r="L331" s="110">
        <v>2674782</v>
      </c>
      <c r="M331" s="110">
        <v>2674782</v>
      </c>
      <c r="N331" s="18"/>
      <c r="O331" s="18" t="b">
        <f>VLOOKUP(A331,[1]Model!C$2:J$559,2,FALSE)=B331</f>
        <v>1</v>
      </c>
      <c r="P331" s="18" t="e">
        <f>VLOOKUP(A331,[2]Model!C$2:G$208,5,FALSE)=D331</f>
        <v>#N/A</v>
      </c>
      <c r="Q331" s="18" t="e">
        <f>VLOOKUP(A331,[2]Model!C$2:L$228,8,FALSE)</f>
        <v>#N/A</v>
      </c>
      <c r="R331" s="18" t="e">
        <f>VLOOKUP(A331,[2]Model!C$2:G$228,3,FALSE)=[3]!Table14[[#This Row],[Business Definition (To go into comments and into Meta Data Hub)]]</f>
        <v>#N/A</v>
      </c>
      <c r="S331" s="18" t="e">
        <f>IF([3]!Table14[[#This Row],[Nullable in Table and in Oracle View
NULL, NOT NULL]]="No","NOT NULL","NULL")=VLOOKUP(A331,[2]Model!C$2:I$228,6,FALSE)</f>
        <v>#REF!</v>
      </c>
      <c r="T331" s="58" t="e">
        <f>VLOOKUP(B331,[2]Table!A$2:F$415,1,FALSE)=[3]!Table14[[#This Row],[Physical Name of Attribute (Name of column in Table)
Supplied by DA Team]]</f>
        <v>#N/A</v>
      </c>
      <c r="U331" s="58" t="e">
        <f>VLOOKUP(B331,[2]Table!A$2:F$319,2,FALSE)=[4]!Table14[[#This Row],[Data type in Oracle
VARCHAR2(n), DATE, NUMBER(m,n), TIMETSTAMP(6)]]</f>
        <v>#N/A</v>
      </c>
      <c r="V331" s="58" t="e">
        <f>VLOOKUP(B331,[2]Table!A$2:F$231,3,FALSE)=[4]!Table14[[#This Row],[Nullable in Table and in Oracle View
NULL, NOT NULL]]</f>
        <v>#N/A</v>
      </c>
      <c r="W331" s="58" t="e">
        <f>VLOOKUP(B331,[2]Table!A$2:H$228,6,FALSE)=[4]!Table14[[#This Row],[Business Definition (To go into comments and into Meta Data Hub)]]</f>
        <v>#N/A</v>
      </c>
      <c r="X331" s="58" t="e">
        <f>VLOOKUP((UPPER(SUBSTITUTE(A331," ","_"))),'[2]Consumer View'!A$2:I$329,1,FALSE)</f>
        <v>#N/A</v>
      </c>
      <c r="Y331" s="51" t="s">
        <v>1503</v>
      </c>
      <c r="Z331" s="51" t="s">
        <v>203</v>
      </c>
      <c r="AA331" s="51" t="s">
        <v>1739</v>
      </c>
      <c r="AB331" s="18"/>
      <c r="AC331" s="18"/>
      <c r="AD331" s="51" t="s">
        <v>1571</v>
      </c>
      <c r="AE331" s="46"/>
      <c r="AF331" s="18"/>
      <c r="AG331" s="51" t="s">
        <v>1572</v>
      </c>
      <c r="AH331" s="18" t="s">
        <v>178</v>
      </c>
    </row>
    <row r="332" spans="1:34" ht="27" customHeight="1">
      <c r="A332" s="105" t="s">
        <v>1740</v>
      </c>
      <c r="B332" s="51" t="s">
        <v>1741</v>
      </c>
      <c r="C332" s="51" t="s">
        <v>1742</v>
      </c>
      <c r="D332" s="51" t="s">
        <v>139</v>
      </c>
      <c r="E332" s="51" t="s">
        <v>63</v>
      </c>
      <c r="F332" s="51" t="s">
        <v>140</v>
      </c>
      <c r="G332" s="108" t="s">
        <v>63</v>
      </c>
      <c r="H332" s="52" t="s">
        <v>1743</v>
      </c>
      <c r="I332" s="51"/>
      <c r="J332" s="51" t="s">
        <v>1309</v>
      </c>
      <c r="K332" s="18"/>
      <c r="L332" s="110">
        <v>2674782</v>
      </c>
      <c r="M332" s="110">
        <v>2674782</v>
      </c>
      <c r="N332" s="18"/>
      <c r="O332" s="18" t="b">
        <f>VLOOKUP(A332,[1]Model!C$2:J$559,2,FALSE)=B332</f>
        <v>1</v>
      </c>
      <c r="P332" s="18" t="e">
        <f>VLOOKUP(A332,[2]Model!C$2:G$208,5,FALSE)=D332</f>
        <v>#N/A</v>
      </c>
      <c r="Q332" s="18" t="e">
        <f>VLOOKUP(A332,[2]Model!C$2:L$228,8,FALSE)</f>
        <v>#N/A</v>
      </c>
      <c r="R332" s="18" t="e">
        <f>VLOOKUP(A332,[2]Model!C$2:G$228,3,FALSE)=[3]!Table14[[#This Row],[Business Definition (To go into comments and into Meta Data Hub)]]</f>
        <v>#N/A</v>
      </c>
      <c r="S332" s="18" t="e">
        <f>IF([3]!Table14[[#This Row],[Nullable in Table and in Oracle View
NULL, NOT NULL]]="No","NOT NULL","NULL")=VLOOKUP(A332,[2]Model!C$2:I$228,6,FALSE)</f>
        <v>#REF!</v>
      </c>
      <c r="T332" s="58" t="e">
        <f>VLOOKUP(B332,[2]Table!A$2:F$415,1,FALSE)=[3]!Table14[[#This Row],[Physical Name of Attribute (Name of column in Table)
Supplied by DA Team]]</f>
        <v>#N/A</v>
      </c>
      <c r="U332" s="58" t="e">
        <f>VLOOKUP(B332,[2]Table!A$2:F$319,2,FALSE)=[4]!Table14[[#This Row],[Data type in Oracle
VARCHAR2(n), DATE, NUMBER(m,n), TIMETSTAMP(6)]]</f>
        <v>#N/A</v>
      </c>
      <c r="V332" s="58" t="e">
        <f>VLOOKUP(B332,[2]Table!A$2:F$231,3,FALSE)=[4]!Table14[[#This Row],[Nullable in Table and in Oracle View
NULL, NOT NULL]]</f>
        <v>#N/A</v>
      </c>
      <c r="W332" s="58" t="e">
        <f>VLOOKUP(B332,[2]Table!A$2:H$228,6,FALSE)=[4]!Table14[[#This Row],[Business Definition (To go into comments and into Meta Data Hub)]]</f>
        <v>#N/A</v>
      </c>
      <c r="X332" s="58" t="e">
        <f>VLOOKUP((UPPER(SUBSTITUTE(A332," ","_"))),'[2]Consumer View'!A$2:I$329,1,FALSE)</f>
        <v>#N/A</v>
      </c>
      <c r="Y332" s="51" t="s">
        <v>1503</v>
      </c>
      <c r="Z332" s="51" t="s">
        <v>203</v>
      </c>
      <c r="AA332" s="51" t="s">
        <v>1744</v>
      </c>
      <c r="AB332" s="18"/>
      <c r="AC332" s="18"/>
      <c r="AD332" s="51" t="s">
        <v>1571</v>
      </c>
      <c r="AE332" s="46"/>
      <c r="AF332" s="18"/>
      <c r="AG332" s="51" t="s">
        <v>1572</v>
      </c>
      <c r="AH332" s="18" t="s">
        <v>178</v>
      </c>
    </row>
    <row r="333" spans="1:34" ht="27" customHeight="1">
      <c r="A333" s="105" t="s">
        <v>1745</v>
      </c>
      <c r="B333" s="51" t="s">
        <v>1746</v>
      </c>
      <c r="C333" s="51" t="s">
        <v>1747</v>
      </c>
      <c r="D333" s="51" t="s">
        <v>120</v>
      </c>
      <c r="E333" s="51" t="s">
        <v>63</v>
      </c>
      <c r="F333" s="51" t="s">
        <v>121</v>
      </c>
      <c r="G333" s="108" t="s">
        <v>63</v>
      </c>
      <c r="H333" s="52" t="s">
        <v>1748</v>
      </c>
      <c r="I333" s="51"/>
      <c r="J333" s="51" t="s">
        <v>1309</v>
      </c>
      <c r="K333" s="18"/>
      <c r="L333" s="110">
        <v>2674782</v>
      </c>
      <c r="M333" s="110">
        <v>2674782</v>
      </c>
      <c r="N333" s="18"/>
      <c r="O333" s="18" t="b">
        <f>VLOOKUP(A333,[1]Model!C$2:J$559,2,FALSE)=B333</f>
        <v>1</v>
      </c>
      <c r="P333" s="18" t="e">
        <f>VLOOKUP(A333,[2]Model!C$2:G$208,5,FALSE)=D333</f>
        <v>#N/A</v>
      </c>
      <c r="Q333" s="18" t="e">
        <f>VLOOKUP(A333,[2]Model!C$2:L$228,8,FALSE)</f>
        <v>#N/A</v>
      </c>
      <c r="R333" s="18" t="e">
        <f>VLOOKUP(A333,[2]Model!C$2:G$228,3,FALSE)=[3]!Table14[[#This Row],[Business Definition (To go into comments and into Meta Data Hub)]]</f>
        <v>#N/A</v>
      </c>
      <c r="S333" s="18" t="e">
        <f>IF([3]!Table14[[#This Row],[Nullable in Table and in Oracle View
NULL, NOT NULL]]="No","NOT NULL","NULL")=VLOOKUP(A333,[2]Model!C$2:I$228,6,FALSE)</f>
        <v>#REF!</v>
      </c>
      <c r="T333" s="58" t="e">
        <f>VLOOKUP(B333,[2]Table!A$2:F$415,1,FALSE)=[3]!Table14[[#This Row],[Physical Name of Attribute (Name of column in Table)
Supplied by DA Team]]</f>
        <v>#N/A</v>
      </c>
      <c r="U333" s="58" t="e">
        <f>VLOOKUP(B333,[2]Table!A$2:F$319,2,FALSE)=[4]!Table14[[#This Row],[Data type in Oracle
VARCHAR2(n), DATE, NUMBER(m,n), TIMETSTAMP(6)]]</f>
        <v>#N/A</v>
      </c>
      <c r="V333" s="58" t="e">
        <f>VLOOKUP(B333,[2]Table!A$2:F$231,3,FALSE)=[4]!Table14[[#This Row],[Nullable in Table and in Oracle View
NULL, NOT NULL]]</f>
        <v>#N/A</v>
      </c>
      <c r="W333" s="58" t="e">
        <f>VLOOKUP(B333,[2]Table!A$2:H$228,6,FALSE)=[4]!Table14[[#This Row],[Business Definition (To go into comments and into Meta Data Hub)]]</f>
        <v>#N/A</v>
      </c>
      <c r="X333" s="58" t="e">
        <f>VLOOKUP((UPPER(SUBSTITUTE(A333," ","_"))),'[2]Consumer View'!A$2:I$329,1,FALSE)</f>
        <v>#N/A</v>
      </c>
      <c r="Y333" s="51" t="s">
        <v>1503</v>
      </c>
      <c r="Z333" s="51" t="s">
        <v>203</v>
      </c>
      <c r="AA333" s="51" t="s">
        <v>1749</v>
      </c>
      <c r="AB333" s="18"/>
      <c r="AC333" s="18"/>
      <c r="AD333" s="51" t="s">
        <v>1571</v>
      </c>
      <c r="AE333" s="46"/>
      <c r="AF333" s="18"/>
      <c r="AG333" s="51" t="s">
        <v>1572</v>
      </c>
      <c r="AH333" s="18" t="s">
        <v>178</v>
      </c>
    </row>
    <row r="334" spans="1:34" ht="27" customHeight="1">
      <c r="A334" s="105" t="s">
        <v>1750</v>
      </c>
      <c r="B334" s="51" t="s">
        <v>1751</v>
      </c>
      <c r="C334" s="51" t="s">
        <v>1752</v>
      </c>
      <c r="D334" s="51" t="s">
        <v>120</v>
      </c>
      <c r="E334" s="51" t="s">
        <v>63</v>
      </c>
      <c r="F334" s="51" t="s">
        <v>121</v>
      </c>
      <c r="G334" s="108" t="s">
        <v>63</v>
      </c>
      <c r="H334" s="52" t="s">
        <v>1753</v>
      </c>
      <c r="I334" s="51"/>
      <c r="J334" s="51" t="s">
        <v>1309</v>
      </c>
      <c r="K334" s="18"/>
      <c r="L334" s="110">
        <v>2674782</v>
      </c>
      <c r="M334" s="110">
        <v>2674782</v>
      </c>
      <c r="N334" s="18"/>
      <c r="O334" s="18" t="b">
        <f>VLOOKUP(A334,[1]Model!C$2:J$559,2,FALSE)=B334</f>
        <v>1</v>
      </c>
      <c r="P334" s="18" t="e">
        <f>VLOOKUP(A334,[2]Model!C$2:G$208,5,FALSE)=D334</f>
        <v>#N/A</v>
      </c>
      <c r="Q334" s="18" t="e">
        <f>VLOOKUP(A334,[2]Model!C$2:L$228,8,FALSE)</f>
        <v>#N/A</v>
      </c>
      <c r="R334" s="18" t="e">
        <f>VLOOKUP(A334,[2]Model!C$2:G$228,3,FALSE)=[3]!Table14[[#This Row],[Business Definition (To go into comments and into Meta Data Hub)]]</f>
        <v>#N/A</v>
      </c>
      <c r="S334" s="18" t="e">
        <f>IF([3]!Table14[[#This Row],[Nullable in Table and in Oracle View
NULL, NOT NULL]]="No","NOT NULL","NULL")=VLOOKUP(A334,[2]Model!C$2:I$228,6,FALSE)</f>
        <v>#REF!</v>
      </c>
      <c r="T334" s="58" t="e">
        <f>VLOOKUP(B334,[2]Table!A$2:F$415,1,FALSE)=[3]!Table14[[#This Row],[Physical Name of Attribute (Name of column in Table)
Supplied by DA Team]]</f>
        <v>#N/A</v>
      </c>
      <c r="U334" s="58" t="e">
        <f>VLOOKUP(B334,[2]Table!A$2:F$319,2,FALSE)=[4]!Table14[[#This Row],[Data type in Oracle
VARCHAR2(n), DATE, NUMBER(m,n), TIMETSTAMP(6)]]</f>
        <v>#N/A</v>
      </c>
      <c r="V334" s="58" t="e">
        <f>VLOOKUP(B334,[2]Table!A$2:F$231,3,FALSE)=[4]!Table14[[#This Row],[Nullable in Table and in Oracle View
NULL, NOT NULL]]</f>
        <v>#N/A</v>
      </c>
      <c r="W334" s="58" t="e">
        <f>VLOOKUP(B334,[2]Table!A$2:H$228,6,FALSE)=[4]!Table14[[#This Row],[Business Definition (To go into comments and into Meta Data Hub)]]</f>
        <v>#N/A</v>
      </c>
      <c r="X334" s="58" t="e">
        <f>VLOOKUP((UPPER(SUBSTITUTE(A334," ","_"))),'[2]Consumer View'!A$2:I$329,1,FALSE)</f>
        <v>#N/A</v>
      </c>
      <c r="Y334" s="51" t="s">
        <v>1503</v>
      </c>
      <c r="Z334" s="51" t="s">
        <v>1607</v>
      </c>
      <c r="AA334" s="51" t="s">
        <v>1754</v>
      </c>
      <c r="AB334" s="18"/>
      <c r="AC334" s="18"/>
      <c r="AD334" s="51" t="s">
        <v>1609</v>
      </c>
      <c r="AE334" s="46"/>
      <c r="AF334" s="18"/>
      <c r="AG334" s="18" t="s">
        <v>1572</v>
      </c>
      <c r="AH334" s="18" t="s">
        <v>178</v>
      </c>
    </row>
    <row r="335" spans="1:34" ht="27" customHeight="1">
      <c r="A335" s="105" t="s">
        <v>1755</v>
      </c>
      <c r="B335" s="51" t="s">
        <v>1756</v>
      </c>
      <c r="C335" s="51" t="s">
        <v>1757</v>
      </c>
      <c r="D335" s="51" t="s">
        <v>90</v>
      </c>
      <c r="E335" s="51" t="s">
        <v>63</v>
      </c>
      <c r="F335" s="51" t="s">
        <v>91</v>
      </c>
      <c r="G335" s="108" t="s">
        <v>63</v>
      </c>
      <c r="H335" s="52" t="s">
        <v>1758</v>
      </c>
      <c r="I335" s="51"/>
      <c r="J335" s="51" t="s">
        <v>1309</v>
      </c>
      <c r="K335" s="18"/>
      <c r="L335" s="110">
        <v>2674782</v>
      </c>
      <c r="M335" s="110">
        <v>2674782</v>
      </c>
      <c r="N335" s="18"/>
      <c r="O335" s="18" t="b">
        <f>VLOOKUP(A335,[1]Model!C$2:J$559,2,FALSE)=B335</f>
        <v>1</v>
      </c>
      <c r="P335" s="18" t="e">
        <f>VLOOKUP(A335,[2]Model!C$2:G$208,5,FALSE)=D335</f>
        <v>#N/A</v>
      </c>
      <c r="Q335" s="18" t="e">
        <f>VLOOKUP(A335,[2]Model!C$2:L$228,8,FALSE)</f>
        <v>#N/A</v>
      </c>
      <c r="R335" s="18" t="e">
        <f>VLOOKUP(A335,[2]Model!C$2:G$228,3,FALSE)=[3]!Table14[[#This Row],[Business Definition (To go into comments and into Meta Data Hub)]]</f>
        <v>#N/A</v>
      </c>
      <c r="S335" s="18" t="e">
        <f>IF([3]!Table14[[#This Row],[Nullable in Table and in Oracle View
NULL, NOT NULL]]="No","NOT NULL","NULL")=VLOOKUP(A335,[2]Model!C$2:I$228,6,FALSE)</f>
        <v>#REF!</v>
      </c>
      <c r="T335" s="58" t="e">
        <f>VLOOKUP(B335,[2]Table!A$2:F$415,1,FALSE)=[3]!Table14[[#This Row],[Physical Name of Attribute (Name of column in Table)
Supplied by DA Team]]</f>
        <v>#N/A</v>
      </c>
      <c r="U335" s="58" t="e">
        <f>VLOOKUP(B335,[2]Table!A$2:F$319,2,FALSE)=[4]!Table14[[#This Row],[Data type in Oracle
VARCHAR2(n), DATE, NUMBER(m,n), TIMETSTAMP(6)]]</f>
        <v>#N/A</v>
      </c>
      <c r="V335" s="58" t="e">
        <f>VLOOKUP(B335,[2]Table!A$2:F$231,3,FALSE)=[4]!Table14[[#This Row],[Nullable in Table and in Oracle View
NULL, NOT NULL]]</f>
        <v>#N/A</v>
      </c>
      <c r="W335" s="58" t="e">
        <f>VLOOKUP(B335,[2]Table!A$2:H$228,6,FALSE)=[4]!Table14[[#This Row],[Business Definition (To go into comments and into Meta Data Hub)]]</f>
        <v>#N/A</v>
      </c>
      <c r="X335" s="58" t="e">
        <f>VLOOKUP((UPPER(SUBSTITUTE(A335," ","_"))),'[2]Consumer View'!A$2:I$329,1,FALSE)</f>
        <v>#N/A</v>
      </c>
      <c r="Y335" s="51" t="s">
        <v>1759</v>
      </c>
      <c r="Z335" s="51" t="s">
        <v>1760</v>
      </c>
      <c r="AA335" s="51" t="s">
        <v>1761</v>
      </c>
      <c r="AB335" s="18"/>
      <c r="AC335" s="18"/>
      <c r="AD335" s="51" t="s">
        <v>1762</v>
      </c>
      <c r="AE335" s="46"/>
      <c r="AF335" s="18"/>
      <c r="AG335" s="18" t="s">
        <v>1763</v>
      </c>
      <c r="AH335" s="18" t="s">
        <v>178</v>
      </c>
    </row>
    <row r="336" spans="1:34" ht="27" customHeight="1">
      <c r="A336" s="105" t="s">
        <v>1764</v>
      </c>
      <c r="B336" s="51" t="s">
        <v>1765</v>
      </c>
      <c r="C336" s="51" t="s">
        <v>1766</v>
      </c>
      <c r="D336" s="51" t="s">
        <v>1453</v>
      </c>
      <c r="E336" s="51" t="s">
        <v>63</v>
      </c>
      <c r="F336" s="51" t="s">
        <v>1454</v>
      </c>
      <c r="G336" s="108" t="s">
        <v>63</v>
      </c>
      <c r="H336" s="52" t="s">
        <v>1758</v>
      </c>
      <c r="I336" s="51"/>
      <c r="J336" s="51" t="s">
        <v>1309</v>
      </c>
      <c r="K336" s="18"/>
      <c r="L336" s="110">
        <v>2674782</v>
      </c>
      <c r="M336" s="110">
        <v>2674782</v>
      </c>
      <c r="N336" s="18"/>
      <c r="O336" s="18" t="b">
        <f>VLOOKUP(A336,[1]Model!C$2:J$559,2,FALSE)=B336</f>
        <v>1</v>
      </c>
      <c r="P336" s="18" t="e">
        <f>VLOOKUP(A336,[2]Model!C$2:G$208,5,FALSE)=D336</f>
        <v>#N/A</v>
      </c>
      <c r="Q336" s="18" t="e">
        <f>VLOOKUP(A336,[2]Model!C$2:L$228,8,FALSE)</f>
        <v>#N/A</v>
      </c>
      <c r="R336" s="18" t="e">
        <f>VLOOKUP(A336,[2]Model!C$2:G$228,3,FALSE)=[3]!Table14[[#This Row],[Business Definition (To go into comments and into Meta Data Hub)]]</f>
        <v>#N/A</v>
      </c>
      <c r="S336" s="18" t="e">
        <f>IF([3]!Table14[[#This Row],[Nullable in Table and in Oracle View
NULL, NOT NULL]]="No","NOT NULL","NULL")=VLOOKUP(A336,[2]Model!C$2:I$228,6,FALSE)</f>
        <v>#REF!</v>
      </c>
      <c r="T336" s="58" t="e">
        <f>VLOOKUP(B336,[2]Table!A$2:F$415,1,FALSE)=[3]!Table14[[#This Row],[Physical Name of Attribute (Name of column in Table)
Supplied by DA Team]]</f>
        <v>#N/A</v>
      </c>
      <c r="U336" s="58" t="e">
        <f>VLOOKUP(B336,[2]Table!A$2:F$319,2,FALSE)=[4]!Table14[[#This Row],[Data type in Oracle
VARCHAR2(n), DATE, NUMBER(m,n), TIMETSTAMP(6)]]</f>
        <v>#N/A</v>
      </c>
      <c r="V336" s="58" t="e">
        <f>VLOOKUP(B336,[2]Table!A$2:F$231,3,FALSE)=[4]!Table14[[#This Row],[Nullable in Table and in Oracle View
NULL, NOT NULL]]</f>
        <v>#N/A</v>
      </c>
      <c r="W336" s="58" t="e">
        <f>VLOOKUP(B336,[2]Table!A$2:H$228,6,FALSE)=[4]!Table14[[#This Row],[Business Definition (To go into comments and into Meta Data Hub)]]</f>
        <v>#N/A</v>
      </c>
      <c r="X336" s="58" t="e">
        <f>VLOOKUP((UPPER(SUBSTITUTE(A336," ","_"))),'[2]Consumer View'!A$2:I$329,1,FALSE)</f>
        <v>#N/A</v>
      </c>
      <c r="Y336" s="51" t="s">
        <v>1759</v>
      </c>
      <c r="Z336" s="51" t="s">
        <v>1760</v>
      </c>
      <c r="AA336" s="51" t="s">
        <v>1767</v>
      </c>
      <c r="AB336" s="18"/>
      <c r="AC336" s="18"/>
      <c r="AD336" s="51" t="s">
        <v>1762</v>
      </c>
      <c r="AE336" s="46"/>
      <c r="AF336" s="18"/>
      <c r="AG336" s="18" t="s">
        <v>1763</v>
      </c>
      <c r="AH336" s="18" t="s">
        <v>178</v>
      </c>
    </row>
    <row r="337" spans="1:34" ht="27" customHeight="1">
      <c r="A337" s="105" t="s">
        <v>1768</v>
      </c>
      <c r="B337" s="51" t="s">
        <v>1769</v>
      </c>
      <c r="C337" s="51" t="s">
        <v>1770</v>
      </c>
      <c r="D337" s="51" t="s">
        <v>90</v>
      </c>
      <c r="E337" s="51" t="s">
        <v>63</v>
      </c>
      <c r="F337" s="51" t="s">
        <v>91</v>
      </c>
      <c r="G337" s="108" t="s">
        <v>63</v>
      </c>
      <c r="H337" s="52" t="s">
        <v>1771</v>
      </c>
      <c r="I337" s="51"/>
      <c r="J337" s="51" t="s">
        <v>1309</v>
      </c>
      <c r="K337" s="18"/>
      <c r="L337" s="110">
        <v>2674782</v>
      </c>
      <c r="M337" s="110">
        <v>2674782</v>
      </c>
      <c r="N337" s="18"/>
      <c r="O337" s="18" t="b">
        <f>VLOOKUP(A337,[1]Model!C$2:J$559,2,FALSE)=B337</f>
        <v>1</v>
      </c>
      <c r="P337" s="18" t="e">
        <f>VLOOKUP(A337,[2]Model!C$2:G$208,5,FALSE)=D337</f>
        <v>#N/A</v>
      </c>
      <c r="Q337" s="18" t="e">
        <f>VLOOKUP(A337,[2]Model!C$2:L$228,8,FALSE)</f>
        <v>#N/A</v>
      </c>
      <c r="R337" s="18" t="e">
        <f>VLOOKUP(A337,[2]Model!C$2:G$228,3,FALSE)=[3]!Table14[[#This Row],[Business Definition (To go into comments and into Meta Data Hub)]]</f>
        <v>#N/A</v>
      </c>
      <c r="S337" s="18" t="e">
        <f>IF([3]!Table14[[#This Row],[Nullable in Table and in Oracle View
NULL, NOT NULL]]="No","NOT NULL","NULL")=VLOOKUP(A337,[2]Model!C$2:I$228,6,FALSE)</f>
        <v>#REF!</v>
      </c>
      <c r="T337" s="58" t="e">
        <f>VLOOKUP(B337,[2]Table!A$2:F$415,1,FALSE)=[3]!Table14[[#This Row],[Physical Name of Attribute (Name of column in Table)
Supplied by DA Team]]</f>
        <v>#N/A</v>
      </c>
      <c r="U337" s="58" t="e">
        <f>VLOOKUP(B337,[2]Table!A$2:F$319,2,FALSE)=[4]!Table14[[#This Row],[Data type in Oracle
VARCHAR2(n), DATE, NUMBER(m,n), TIMETSTAMP(6)]]</f>
        <v>#N/A</v>
      </c>
      <c r="V337" s="58" t="e">
        <f>VLOOKUP(B337,[2]Table!A$2:F$231,3,FALSE)=[4]!Table14[[#This Row],[Nullable in Table and in Oracle View
NULL, NOT NULL]]</f>
        <v>#N/A</v>
      </c>
      <c r="W337" s="58" t="e">
        <f>VLOOKUP(B337,[2]Table!A$2:H$228,6,FALSE)=[4]!Table14[[#This Row],[Business Definition (To go into comments and into Meta Data Hub)]]</f>
        <v>#N/A</v>
      </c>
      <c r="X337" s="58" t="e">
        <f>VLOOKUP((UPPER(SUBSTITUTE(A337," ","_"))),'[2]Consumer View'!A$2:I$329,1,FALSE)</f>
        <v>#N/A</v>
      </c>
      <c r="Y337" s="51" t="s">
        <v>1759</v>
      </c>
      <c r="Z337" s="51" t="s">
        <v>1760</v>
      </c>
      <c r="AA337" s="51" t="s">
        <v>1772</v>
      </c>
      <c r="AB337" s="18"/>
      <c r="AC337" s="18"/>
      <c r="AD337" s="51" t="s">
        <v>1762</v>
      </c>
      <c r="AE337" s="46"/>
      <c r="AF337" s="18"/>
      <c r="AG337" s="18" t="s">
        <v>1763</v>
      </c>
      <c r="AH337" s="18" t="s">
        <v>178</v>
      </c>
    </row>
    <row r="338" spans="1:34" ht="27" customHeight="1">
      <c r="A338" s="105" t="s">
        <v>1773</v>
      </c>
      <c r="B338" s="51" t="s">
        <v>1774</v>
      </c>
      <c r="C338" s="51" t="s">
        <v>1775</v>
      </c>
      <c r="D338" s="51" t="s">
        <v>1453</v>
      </c>
      <c r="E338" s="51" t="s">
        <v>63</v>
      </c>
      <c r="F338" s="51" t="s">
        <v>1454</v>
      </c>
      <c r="G338" s="108" t="s">
        <v>63</v>
      </c>
      <c r="H338" s="52" t="s">
        <v>1771</v>
      </c>
      <c r="I338" s="51"/>
      <c r="J338" s="51" t="s">
        <v>1309</v>
      </c>
      <c r="K338" s="18"/>
      <c r="L338" s="110">
        <v>2674782</v>
      </c>
      <c r="M338" s="110">
        <v>2674782</v>
      </c>
      <c r="N338" s="18"/>
      <c r="O338" s="18" t="b">
        <f>VLOOKUP(A338,[1]Model!C$2:J$559,2,FALSE)=B338</f>
        <v>1</v>
      </c>
      <c r="P338" s="18" t="e">
        <f>VLOOKUP(A338,[2]Model!C$2:G$208,5,FALSE)=D338</f>
        <v>#N/A</v>
      </c>
      <c r="Q338" s="18" t="e">
        <f>VLOOKUP(A338,[2]Model!C$2:L$228,8,FALSE)</f>
        <v>#N/A</v>
      </c>
      <c r="R338" s="18" t="e">
        <f>VLOOKUP(A338,[2]Model!C$2:G$228,3,FALSE)=[3]!Table14[[#This Row],[Business Definition (To go into comments and into Meta Data Hub)]]</f>
        <v>#N/A</v>
      </c>
      <c r="S338" s="18" t="e">
        <f>IF([3]!Table14[[#This Row],[Nullable in Table and in Oracle View
NULL, NOT NULL]]="No","NOT NULL","NULL")=VLOOKUP(A338,[2]Model!C$2:I$228,6,FALSE)</f>
        <v>#REF!</v>
      </c>
      <c r="T338" s="58" t="e">
        <f>VLOOKUP(B338,[2]Table!A$2:F$415,1,FALSE)=[3]!Table14[[#This Row],[Physical Name of Attribute (Name of column in Table)
Supplied by DA Team]]</f>
        <v>#N/A</v>
      </c>
      <c r="U338" s="58" t="e">
        <f>VLOOKUP(B338,[2]Table!A$2:F$319,2,FALSE)=[4]!Table14[[#This Row],[Data type in Oracle
VARCHAR2(n), DATE, NUMBER(m,n), TIMETSTAMP(6)]]</f>
        <v>#N/A</v>
      </c>
      <c r="V338" s="58" t="e">
        <f>VLOOKUP(B338,[2]Table!A$2:F$231,3,FALSE)=[4]!Table14[[#This Row],[Nullable in Table and in Oracle View
NULL, NOT NULL]]</f>
        <v>#N/A</v>
      </c>
      <c r="W338" s="58" t="e">
        <f>VLOOKUP(B338,[2]Table!A$2:H$228,6,FALSE)=[4]!Table14[[#This Row],[Business Definition (To go into comments and into Meta Data Hub)]]</f>
        <v>#N/A</v>
      </c>
      <c r="X338" s="58" t="e">
        <f>VLOOKUP((UPPER(SUBSTITUTE(A338," ","_"))),'[2]Consumer View'!A$2:I$329,1,FALSE)</f>
        <v>#N/A</v>
      </c>
      <c r="Y338" s="51" t="s">
        <v>1759</v>
      </c>
      <c r="Z338" s="51" t="s">
        <v>1760</v>
      </c>
      <c r="AA338" s="51" t="s">
        <v>1776</v>
      </c>
      <c r="AB338" s="18"/>
      <c r="AC338" s="18"/>
      <c r="AD338" s="51" t="s">
        <v>1762</v>
      </c>
      <c r="AE338" s="46"/>
      <c r="AF338" s="18"/>
      <c r="AG338" s="18" t="s">
        <v>1763</v>
      </c>
      <c r="AH338" s="18" t="s">
        <v>178</v>
      </c>
    </row>
    <row r="339" spans="1:34" ht="27" customHeight="1">
      <c r="A339" s="105" t="s">
        <v>1777</v>
      </c>
      <c r="B339" s="51" t="s">
        <v>1778</v>
      </c>
      <c r="C339" s="51" t="s">
        <v>1779</v>
      </c>
      <c r="D339" s="51" t="s">
        <v>90</v>
      </c>
      <c r="E339" s="51" t="s">
        <v>63</v>
      </c>
      <c r="F339" s="51" t="s">
        <v>91</v>
      </c>
      <c r="G339" s="108" t="s">
        <v>63</v>
      </c>
      <c r="H339" s="52" t="s">
        <v>1780</v>
      </c>
      <c r="I339" s="51"/>
      <c r="J339" s="51" t="s">
        <v>1309</v>
      </c>
      <c r="K339" s="18"/>
      <c r="L339" s="110">
        <v>2674782</v>
      </c>
      <c r="M339" s="110">
        <v>2674782</v>
      </c>
      <c r="N339" s="18"/>
      <c r="O339" s="18" t="b">
        <f>VLOOKUP(A339,[1]Model!C$2:J$559,2,FALSE)=B339</f>
        <v>1</v>
      </c>
      <c r="P339" s="18" t="e">
        <f>VLOOKUP(A339,[2]Model!C$2:G$208,5,FALSE)=D339</f>
        <v>#N/A</v>
      </c>
      <c r="Q339" s="18" t="e">
        <f>VLOOKUP(A339,[2]Model!C$2:L$228,8,FALSE)</f>
        <v>#N/A</v>
      </c>
      <c r="R339" s="18" t="e">
        <f>VLOOKUP(A339,[2]Model!C$2:G$228,3,FALSE)=[3]!Table14[[#This Row],[Business Definition (To go into comments and into Meta Data Hub)]]</f>
        <v>#N/A</v>
      </c>
      <c r="S339" s="18" t="e">
        <f>IF([3]!Table14[[#This Row],[Nullable in Table and in Oracle View
NULL, NOT NULL]]="No","NOT NULL","NULL")=VLOOKUP(A339,[2]Model!C$2:I$228,6,FALSE)</f>
        <v>#REF!</v>
      </c>
      <c r="T339" s="58" t="e">
        <f>VLOOKUP(B339,[2]Table!A$2:F$415,1,FALSE)=[3]!Table14[[#This Row],[Physical Name of Attribute (Name of column in Table)
Supplied by DA Team]]</f>
        <v>#N/A</v>
      </c>
      <c r="U339" s="58" t="e">
        <f>VLOOKUP(B339,[2]Table!A$2:F$319,2,FALSE)=[4]!Table14[[#This Row],[Data type in Oracle
VARCHAR2(n), DATE, NUMBER(m,n), TIMETSTAMP(6)]]</f>
        <v>#N/A</v>
      </c>
      <c r="V339" s="58" t="e">
        <f>VLOOKUP(B339,[2]Table!A$2:F$231,3,FALSE)=[4]!Table14[[#This Row],[Nullable in Table and in Oracle View
NULL, NOT NULL]]</f>
        <v>#N/A</v>
      </c>
      <c r="W339" s="58" t="e">
        <f>VLOOKUP(B339,[2]Table!A$2:H$228,6,FALSE)=[4]!Table14[[#This Row],[Business Definition (To go into comments and into Meta Data Hub)]]</f>
        <v>#N/A</v>
      </c>
      <c r="X339" s="58" t="e">
        <f>VLOOKUP((UPPER(SUBSTITUTE(A339," ","_"))),'[2]Consumer View'!A$2:I$329,1,FALSE)</f>
        <v>#N/A</v>
      </c>
      <c r="Y339" s="51" t="s">
        <v>1759</v>
      </c>
      <c r="Z339" s="51" t="s">
        <v>1760</v>
      </c>
      <c r="AA339" s="51" t="s">
        <v>1781</v>
      </c>
      <c r="AB339" s="18"/>
      <c r="AC339" s="18"/>
      <c r="AD339" s="51" t="s">
        <v>1762</v>
      </c>
      <c r="AE339" s="46"/>
      <c r="AF339" s="18"/>
      <c r="AG339" s="18" t="s">
        <v>1763</v>
      </c>
      <c r="AH339" s="18" t="s">
        <v>178</v>
      </c>
    </row>
    <row r="340" spans="1:34" ht="27" customHeight="1">
      <c r="A340" s="105" t="s">
        <v>1782</v>
      </c>
      <c r="B340" s="51" t="s">
        <v>1783</v>
      </c>
      <c r="C340" s="51" t="s">
        <v>1784</v>
      </c>
      <c r="D340" s="51" t="s">
        <v>1453</v>
      </c>
      <c r="E340" s="51" t="s">
        <v>63</v>
      </c>
      <c r="F340" s="51" t="s">
        <v>1454</v>
      </c>
      <c r="G340" s="108" t="s">
        <v>63</v>
      </c>
      <c r="H340" s="52" t="s">
        <v>1780</v>
      </c>
      <c r="I340" s="51"/>
      <c r="J340" s="51" t="s">
        <v>1309</v>
      </c>
      <c r="K340" s="18"/>
      <c r="L340" s="110">
        <v>2674782</v>
      </c>
      <c r="M340" s="110">
        <v>2674782</v>
      </c>
      <c r="N340" s="18"/>
      <c r="O340" s="18" t="b">
        <f>VLOOKUP(A340,[1]Model!C$2:J$559,2,FALSE)=B340</f>
        <v>1</v>
      </c>
      <c r="P340" s="18" t="e">
        <f>VLOOKUP(A340,[2]Model!C$2:G$208,5,FALSE)=D340</f>
        <v>#N/A</v>
      </c>
      <c r="Q340" s="18" t="e">
        <f>VLOOKUP(A340,[2]Model!C$2:L$228,8,FALSE)</f>
        <v>#N/A</v>
      </c>
      <c r="R340" s="18" t="e">
        <f>VLOOKUP(A340,[2]Model!C$2:G$228,3,FALSE)=[3]!Table14[[#This Row],[Business Definition (To go into comments and into Meta Data Hub)]]</f>
        <v>#N/A</v>
      </c>
      <c r="S340" s="18" t="e">
        <f>IF([3]!Table14[[#This Row],[Nullable in Table and in Oracle View
NULL, NOT NULL]]="No","NOT NULL","NULL")=VLOOKUP(A340,[2]Model!C$2:I$228,6,FALSE)</f>
        <v>#REF!</v>
      </c>
      <c r="T340" s="58" t="e">
        <f>VLOOKUP(B340,[2]Table!A$2:F$415,1,FALSE)=[3]!Table14[[#This Row],[Physical Name of Attribute (Name of column in Table)
Supplied by DA Team]]</f>
        <v>#N/A</v>
      </c>
      <c r="U340" s="58" t="e">
        <f>VLOOKUP(B340,[2]Table!A$2:F$319,2,FALSE)=[4]!Table14[[#This Row],[Data type in Oracle
VARCHAR2(n), DATE, NUMBER(m,n), TIMETSTAMP(6)]]</f>
        <v>#N/A</v>
      </c>
      <c r="V340" s="58" t="e">
        <f>VLOOKUP(B340,[2]Table!A$2:F$231,3,FALSE)=[4]!Table14[[#This Row],[Nullable in Table and in Oracle View
NULL, NOT NULL]]</f>
        <v>#N/A</v>
      </c>
      <c r="W340" s="58" t="e">
        <f>VLOOKUP(B340,[2]Table!A$2:H$228,6,FALSE)=[4]!Table14[[#This Row],[Business Definition (To go into comments and into Meta Data Hub)]]</f>
        <v>#N/A</v>
      </c>
      <c r="X340" s="58" t="e">
        <f>VLOOKUP((UPPER(SUBSTITUTE(A340," ","_"))),'[2]Consumer View'!A$2:I$329,1,FALSE)</f>
        <v>#N/A</v>
      </c>
      <c r="Y340" s="51" t="s">
        <v>1759</v>
      </c>
      <c r="Z340" s="51" t="s">
        <v>1760</v>
      </c>
      <c r="AA340" s="51" t="s">
        <v>1785</v>
      </c>
      <c r="AB340" s="18"/>
      <c r="AC340" s="18"/>
      <c r="AD340" s="51" t="s">
        <v>1762</v>
      </c>
      <c r="AE340" s="46"/>
      <c r="AF340" s="18"/>
      <c r="AG340" s="18" t="s">
        <v>1763</v>
      </c>
      <c r="AH340" s="18" t="s">
        <v>178</v>
      </c>
    </row>
    <row r="341" spans="1:34" ht="27" customHeight="1">
      <c r="A341" s="105" t="s">
        <v>1786</v>
      </c>
      <c r="B341" s="51" t="s">
        <v>1787</v>
      </c>
      <c r="C341" s="51" t="s">
        <v>1788</v>
      </c>
      <c r="D341" s="51" t="s">
        <v>90</v>
      </c>
      <c r="E341" s="51" t="s">
        <v>63</v>
      </c>
      <c r="F341" s="51" t="s">
        <v>91</v>
      </c>
      <c r="G341" s="108" t="s">
        <v>63</v>
      </c>
      <c r="H341" s="52" t="s">
        <v>1789</v>
      </c>
      <c r="I341" s="51"/>
      <c r="J341" s="51" t="s">
        <v>1309</v>
      </c>
      <c r="K341" s="18"/>
      <c r="L341" s="110">
        <v>2674782</v>
      </c>
      <c r="M341" s="110">
        <v>2674782</v>
      </c>
      <c r="N341" s="18"/>
      <c r="O341" s="18" t="b">
        <f>VLOOKUP(A341,[1]Model!C$2:J$559,2,FALSE)=B341</f>
        <v>1</v>
      </c>
      <c r="P341" s="18" t="e">
        <f>VLOOKUP(A341,[2]Model!C$2:G$208,5,FALSE)=D341</f>
        <v>#N/A</v>
      </c>
      <c r="Q341" s="18" t="e">
        <f>VLOOKUP(A341,[2]Model!C$2:L$228,8,FALSE)</f>
        <v>#N/A</v>
      </c>
      <c r="R341" s="18" t="e">
        <f>VLOOKUP(A341,[2]Model!C$2:G$228,3,FALSE)=[3]!Table14[[#This Row],[Business Definition (To go into comments and into Meta Data Hub)]]</f>
        <v>#N/A</v>
      </c>
      <c r="S341" s="18" t="e">
        <f>IF([3]!Table14[[#This Row],[Nullable in Table and in Oracle View
NULL, NOT NULL]]="No","NOT NULL","NULL")=VLOOKUP(A341,[2]Model!C$2:I$228,6,FALSE)</f>
        <v>#REF!</v>
      </c>
      <c r="T341" s="58" t="e">
        <f>VLOOKUP(B341,[2]Table!A$2:F$415,1,FALSE)=[3]!Table14[[#This Row],[Physical Name of Attribute (Name of column in Table)
Supplied by DA Team]]</f>
        <v>#N/A</v>
      </c>
      <c r="U341" s="58" t="e">
        <f>VLOOKUP(B341,[2]Table!A$2:F$319,2,FALSE)=[4]!Table14[[#This Row],[Data type in Oracle
VARCHAR2(n), DATE, NUMBER(m,n), TIMETSTAMP(6)]]</f>
        <v>#N/A</v>
      </c>
      <c r="V341" s="58" t="e">
        <f>VLOOKUP(B341,[2]Table!A$2:F$231,3,FALSE)=[4]!Table14[[#This Row],[Nullable in Table and in Oracle View
NULL, NOT NULL]]</f>
        <v>#N/A</v>
      </c>
      <c r="W341" s="58" t="e">
        <f>VLOOKUP(B341,[2]Table!A$2:H$228,6,FALSE)=[4]!Table14[[#This Row],[Business Definition (To go into comments and into Meta Data Hub)]]</f>
        <v>#N/A</v>
      </c>
      <c r="X341" s="58" t="e">
        <f>VLOOKUP((UPPER(SUBSTITUTE(A341," ","_"))),'[2]Consumer View'!A$2:I$329,1,FALSE)</f>
        <v>#N/A</v>
      </c>
      <c r="Y341" s="51" t="s">
        <v>1759</v>
      </c>
      <c r="Z341" s="51" t="s">
        <v>1760</v>
      </c>
      <c r="AA341" s="51" t="s">
        <v>1790</v>
      </c>
      <c r="AB341" s="18"/>
      <c r="AC341" s="18"/>
      <c r="AD341" s="51" t="s">
        <v>1762</v>
      </c>
      <c r="AE341" s="46"/>
      <c r="AF341" s="18"/>
      <c r="AG341" s="18" t="s">
        <v>1763</v>
      </c>
      <c r="AH341" s="18" t="s">
        <v>178</v>
      </c>
    </row>
    <row r="342" spans="1:34" ht="27" customHeight="1">
      <c r="A342" s="105" t="s">
        <v>1791</v>
      </c>
      <c r="B342" s="51" t="s">
        <v>1792</v>
      </c>
      <c r="C342" s="51" t="s">
        <v>1793</v>
      </c>
      <c r="D342" s="51" t="s">
        <v>1453</v>
      </c>
      <c r="E342" s="51" t="s">
        <v>63</v>
      </c>
      <c r="F342" s="51" t="s">
        <v>1454</v>
      </c>
      <c r="G342" s="108" t="s">
        <v>63</v>
      </c>
      <c r="H342" s="52" t="s">
        <v>1789</v>
      </c>
      <c r="I342" s="51"/>
      <c r="J342" s="51" t="s">
        <v>1309</v>
      </c>
      <c r="K342" s="18"/>
      <c r="L342" s="110">
        <v>2674782</v>
      </c>
      <c r="M342" s="110">
        <v>2674782</v>
      </c>
      <c r="N342" s="18"/>
      <c r="O342" s="18" t="b">
        <f>VLOOKUP(A342,[1]Model!C$2:J$559,2,FALSE)=B342</f>
        <v>1</v>
      </c>
      <c r="P342" s="18" t="e">
        <f>VLOOKUP(A342,[2]Model!C$2:G$208,5,FALSE)=D342</f>
        <v>#N/A</v>
      </c>
      <c r="Q342" s="18" t="e">
        <f>VLOOKUP(A342,[2]Model!C$2:L$228,8,FALSE)</f>
        <v>#N/A</v>
      </c>
      <c r="R342" s="18" t="e">
        <f>VLOOKUP(A342,[2]Model!C$2:G$228,3,FALSE)=[3]!Table14[[#This Row],[Business Definition (To go into comments and into Meta Data Hub)]]</f>
        <v>#N/A</v>
      </c>
      <c r="S342" s="18" t="e">
        <f>IF([3]!Table14[[#This Row],[Nullable in Table and in Oracle View
NULL, NOT NULL]]="No","NOT NULL","NULL")=VLOOKUP(A342,[2]Model!C$2:I$228,6,FALSE)</f>
        <v>#REF!</v>
      </c>
      <c r="T342" s="58" t="e">
        <f>VLOOKUP(B342,[2]Table!A$2:F$415,1,FALSE)=[3]!Table14[[#This Row],[Physical Name of Attribute (Name of column in Table)
Supplied by DA Team]]</f>
        <v>#N/A</v>
      </c>
      <c r="U342" s="58" t="e">
        <f>VLOOKUP(B342,[2]Table!A$2:F$319,2,FALSE)=[4]!Table14[[#This Row],[Data type in Oracle
VARCHAR2(n), DATE, NUMBER(m,n), TIMETSTAMP(6)]]</f>
        <v>#N/A</v>
      </c>
      <c r="V342" s="58" t="e">
        <f>VLOOKUP(B342,[2]Table!A$2:F$231,3,FALSE)=[4]!Table14[[#This Row],[Nullable in Table and in Oracle View
NULL, NOT NULL]]</f>
        <v>#N/A</v>
      </c>
      <c r="W342" s="58" t="e">
        <f>VLOOKUP(B342,[2]Table!A$2:H$228,6,FALSE)=[4]!Table14[[#This Row],[Business Definition (To go into comments and into Meta Data Hub)]]</f>
        <v>#N/A</v>
      </c>
      <c r="X342" s="58" t="e">
        <f>VLOOKUP((UPPER(SUBSTITUTE(A342," ","_"))),'[2]Consumer View'!A$2:I$329,1,FALSE)</f>
        <v>#N/A</v>
      </c>
      <c r="Y342" s="51" t="s">
        <v>1759</v>
      </c>
      <c r="Z342" s="51" t="s">
        <v>1760</v>
      </c>
      <c r="AA342" s="51" t="s">
        <v>1794</v>
      </c>
      <c r="AB342" s="18"/>
      <c r="AC342" s="18"/>
      <c r="AD342" s="51" t="s">
        <v>1762</v>
      </c>
      <c r="AE342" s="46"/>
      <c r="AF342" s="18"/>
      <c r="AG342" s="18" t="s">
        <v>1763</v>
      </c>
      <c r="AH342" s="18" t="s">
        <v>178</v>
      </c>
    </row>
    <row r="343" spans="1:34" ht="27" customHeight="1">
      <c r="A343" s="105" t="s">
        <v>1795</v>
      </c>
      <c r="B343" s="51" t="s">
        <v>1796</v>
      </c>
      <c r="C343" s="51" t="s">
        <v>1797</v>
      </c>
      <c r="D343" s="51" t="s">
        <v>90</v>
      </c>
      <c r="E343" s="51" t="s">
        <v>63</v>
      </c>
      <c r="F343" s="51" t="s">
        <v>91</v>
      </c>
      <c r="G343" s="108" t="s">
        <v>63</v>
      </c>
      <c r="H343" s="52" t="s">
        <v>1798</v>
      </c>
      <c r="I343" s="51"/>
      <c r="J343" s="51" t="s">
        <v>1309</v>
      </c>
      <c r="K343" s="18"/>
      <c r="L343" s="110">
        <v>2674782</v>
      </c>
      <c r="M343" s="110">
        <v>2674782</v>
      </c>
      <c r="N343" s="18"/>
      <c r="O343" s="18" t="b">
        <f>VLOOKUP(A343,[1]Model!C$2:J$559,2,FALSE)=B343</f>
        <v>1</v>
      </c>
      <c r="P343" s="18" t="e">
        <f>VLOOKUP(A343,[2]Model!C$2:G$208,5,FALSE)=D343</f>
        <v>#N/A</v>
      </c>
      <c r="Q343" s="18" t="e">
        <f>VLOOKUP(A343,[2]Model!C$2:L$228,8,FALSE)</f>
        <v>#N/A</v>
      </c>
      <c r="R343" s="18" t="e">
        <f>VLOOKUP(A343,[2]Model!C$2:G$228,3,FALSE)=[3]!Table14[[#This Row],[Business Definition (To go into comments and into Meta Data Hub)]]</f>
        <v>#N/A</v>
      </c>
      <c r="S343" s="18" t="e">
        <f>IF([3]!Table14[[#This Row],[Nullable in Table and in Oracle View
NULL, NOT NULL]]="No","NOT NULL","NULL")=VLOOKUP(A343,[2]Model!C$2:I$228,6,FALSE)</f>
        <v>#REF!</v>
      </c>
      <c r="T343" s="58" t="e">
        <f>VLOOKUP(B343,[2]Table!A$2:F$415,1,FALSE)=[3]!Table14[[#This Row],[Physical Name of Attribute (Name of column in Table)
Supplied by DA Team]]</f>
        <v>#N/A</v>
      </c>
      <c r="U343" s="58" t="e">
        <f>VLOOKUP(B343,[2]Table!A$2:F$319,2,FALSE)=[4]!Table14[[#This Row],[Data type in Oracle
VARCHAR2(n), DATE, NUMBER(m,n), TIMETSTAMP(6)]]</f>
        <v>#N/A</v>
      </c>
      <c r="V343" s="58" t="e">
        <f>VLOOKUP(B343,[2]Table!A$2:F$231,3,FALSE)=[4]!Table14[[#This Row],[Nullable in Table and in Oracle View
NULL, NOT NULL]]</f>
        <v>#N/A</v>
      </c>
      <c r="W343" s="58" t="e">
        <f>VLOOKUP(B343,[2]Table!A$2:H$228,6,FALSE)=[4]!Table14[[#This Row],[Business Definition (To go into comments and into Meta Data Hub)]]</f>
        <v>#N/A</v>
      </c>
      <c r="X343" s="58" t="e">
        <f>VLOOKUP((UPPER(SUBSTITUTE(A343," ","_"))),'[2]Consumer View'!A$2:I$329,1,FALSE)</f>
        <v>#N/A</v>
      </c>
      <c r="Y343" s="51" t="s">
        <v>1759</v>
      </c>
      <c r="Z343" s="51" t="s">
        <v>1760</v>
      </c>
      <c r="AA343" s="51" t="s">
        <v>1799</v>
      </c>
      <c r="AB343" s="18"/>
      <c r="AC343" s="18"/>
      <c r="AD343" s="51" t="s">
        <v>1762</v>
      </c>
      <c r="AE343" s="46"/>
      <c r="AF343" s="18"/>
      <c r="AG343" s="18" t="s">
        <v>1763</v>
      </c>
      <c r="AH343" s="18" t="s">
        <v>178</v>
      </c>
    </row>
    <row r="344" spans="1:34" ht="27" customHeight="1">
      <c r="A344" s="105" t="s">
        <v>1800</v>
      </c>
      <c r="B344" s="51" t="s">
        <v>1801</v>
      </c>
      <c r="C344" s="51" t="s">
        <v>1802</v>
      </c>
      <c r="D344" s="51" t="s">
        <v>1453</v>
      </c>
      <c r="E344" s="51" t="s">
        <v>63</v>
      </c>
      <c r="F344" s="51" t="s">
        <v>1454</v>
      </c>
      <c r="G344" s="108" t="s">
        <v>63</v>
      </c>
      <c r="H344" s="52" t="s">
        <v>1798</v>
      </c>
      <c r="I344" s="51"/>
      <c r="J344" s="51" t="s">
        <v>1309</v>
      </c>
      <c r="K344" s="18"/>
      <c r="L344" s="110">
        <v>2674782</v>
      </c>
      <c r="M344" s="110">
        <v>2674782</v>
      </c>
      <c r="N344" s="18"/>
      <c r="O344" s="18" t="b">
        <f>VLOOKUP(A344,[1]Model!C$2:J$559,2,FALSE)=B344</f>
        <v>1</v>
      </c>
      <c r="P344" s="18" t="e">
        <f>VLOOKUP(A344,[2]Model!C$2:G$208,5,FALSE)=D344</f>
        <v>#N/A</v>
      </c>
      <c r="Q344" s="18" t="e">
        <f>VLOOKUP(A344,[2]Model!C$2:L$228,8,FALSE)</f>
        <v>#N/A</v>
      </c>
      <c r="R344" s="18" t="e">
        <f>VLOOKUP(A344,[2]Model!C$2:G$228,3,FALSE)=[3]!Table14[[#This Row],[Business Definition (To go into comments and into Meta Data Hub)]]</f>
        <v>#N/A</v>
      </c>
      <c r="S344" s="18" t="e">
        <f>IF([3]!Table14[[#This Row],[Nullable in Table and in Oracle View
NULL, NOT NULL]]="No","NOT NULL","NULL")=VLOOKUP(A344,[2]Model!C$2:I$228,6,FALSE)</f>
        <v>#REF!</v>
      </c>
      <c r="T344" s="58" t="e">
        <f>VLOOKUP(B344,[2]Table!A$2:F$415,1,FALSE)=[3]!Table14[[#This Row],[Physical Name of Attribute (Name of column in Table)
Supplied by DA Team]]</f>
        <v>#N/A</v>
      </c>
      <c r="U344" s="58" t="e">
        <f>VLOOKUP(B344,[2]Table!A$2:F$319,2,FALSE)=[4]!Table14[[#This Row],[Data type in Oracle
VARCHAR2(n), DATE, NUMBER(m,n), TIMETSTAMP(6)]]</f>
        <v>#N/A</v>
      </c>
      <c r="V344" s="58" t="e">
        <f>VLOOKUP(B344,[2]Table!A$2:F$231,3,FALSE)=[4]!Table14[[#This Row],[Nullable in Table and in Oracle View
NULL, NOT NULL]]</f>
        <v>#N/A</v>
      </c>
      <c r="W344" s="58" t="e">
        <f>VLOOKUP(B344,[2]Table!A$2:H$228,6,FALSE)=[4]!Table14[[#This Row],[Business Definition (To go into comments and into Meta Data Hub)]]</f>
        <v>#N/A</v>
      </c>
      <c r="X344" s="58" t="e">
        <f>VLOOKUP((UPPER(SUBSTITUTE(A344," ","_"))),'[2]Consumer View'!A$2:I$329,1,FALSE)</f>
        <v>#N/A</v>
      </c>
      <c r="Y344" s="51" t="s">
        <v>1759</v>
      </c>
      <c r="Z344" s="51" t="s">
        <v>1760</v>
      </c>
      <c r="AA344" s="51" t="s">
        <v>1803</v>
      </c>
      <c r="AB344" s="18"/>
      <c r="AC344" s="18"/>
      <c r="AD344" s="51" t="s">
        <v>1762</v>
      </c>
      <c r="AE344" s="46"/>
      <c r="AF344" s="18"/>
      <c r="AG344" s="18" t="s">
        <v>1763</v>
      </c>
      <c r="AH344" s="18" t="s">
        <v>178</v>
      </c>
    </row>
    <row r="345" spans="1:34" ht="27" customHeight="1">
      <c r="A345" s="105" t="s">
        <v>1804</v>
      </c>
      <c r="B345" s="51" t="s">
        <v>1805</v>
      </c>
      <c r="C345" s="51" t="s">
        <v>1806</v>
      </c>
      <c r="D345" s="51" t="s">
        <v>90</v>
      </c>
      <c r="E345" s="51" t="s">
        <v>63</v>
      </c>
      <c r="F345" s="51" t="s">
        <v>91</v>
      </c>
      <c r="G345" s="108" t="s">
        <v>63</v>
      </c>
      <c r="H345" s="52" t="s">
        <v>1807</v>
      </c>
      <c r="I345" s="51"/>
      <c r="J345" s="51" t="s">
        <v>1309</v>
      </c>
      <c r="K345" s="18"/>
      <c r="L345" s="110">
        <v>2674782</v>
      </c>
      <c r="M345" s="110">
        <v>2674782</v>
      </c>
      <c r="N345" s="18"/>
      <c r="O345" s="18" t="b">
        <f>VLOOKUP(A345,[1]Model!C$2:J$559,2,FALSE)=B345</f>
        <v>1</v>
      </c>
      <c r="P345" s="18" t="e">
        <f>VLOOKUP(A345,[2]Model!C$2:G$208,5,FALSE)=D345</f>
        <v>#N/A</v>
      </c>
      <c r="Q345" s="18" t="e">
        <f>VLOOKUP(A345,[2]Model!C$2:L$228,8,FALSE)</f>
        <v>#N/A</v>
      </c>
      <c r="R345" s="18" t="e">
        <f>VLOOKUP(A345,[2]Model!C$2:G$228,3,FALSE)=[3]!Table14[[#This Row],[Business Definition (To go into comments and into Meta Data Hub)]]</f>
        <v>#N/A</v>
      </c>
      <c r="S345" s="18" t="e">
        <f>IF([3]!Table14[[#This Row],[Nullable in Table and in Oracle View
NULL, NOT NULL]]="No","NOT NULL","NULL")=VLOOKUP(A345,[2]Model!C$2:I$228,6,FALSE)</f>
        <v>#REF!</v>
      </c>
      <c r="T345" s="58" t="e">
        <f>VLOOKUP(B345,[2]Table!A$2:F$415,1,FALSE)=[3]!Table14[[#This Row],[Physical Name of Attribute (Name of column in Table)
Supplied by DA Team]]</f>
        <v>#N/A</v>
      </c>
      <c r="U345" s="58" t="e">
        <f>VLOOKUP(B345,[2]Table!A$2:F$319,2,FALSE)=[4]!Table14[[#This Row],[Data type in Oracle
VARCHAR2(n), DATE, NUMBER(m,n), TIMETSTAMP(6)]]</f>
        <v>#N/A</v>
      </c>
      <c r="V345" s="58" t="e">
        <f>VLOOKUP(B345,[2]Table!A$2:F$231,3,FALSE)=[4]!Table14[[#This Row],[Nullable in Table and in Oracle View
NULL, NOT NULL]]</f>
        <v>#N/A</v>
      </c>
      <c r="W345" s="58" t="e">
        <f>VLOOKUP(B345,[2]Table!A$2:H$228,6,FALSE)=[4]!Table14[[#This Row],[Business Definition (To go into comments and into Meta Data Hub)]]</f>
        <v>#N/A</v>
      </c>
      <c r="X345" s="58" t="e">
        <f>VLOOKUP((UPPER(SUBSTITUTE(A345," ","_"))),'[2]Consumer View'!A$2:I$329,1,FALSE)</f>
        <v>#N/A</v>
      </c>
      <c r="Y345" s="51" t="s">
        <v>1759</v>
      </c>
      <c r="Z345" s="51" t="s">
        <v>1760</v>
      </c>
      <c r="AA345" s="51" t="s">
        <v>1808</v>
      </c>
      <c r="AB345" s="18"/>
      <c r="AC345" s="18"/>
      <c r="AD345" s="51" t="s">
        <v>1762</v>
      </c>
      <c r="AE345" s="46"/>
      <c r="AF345" s="18"/>
      <c r="AG345" s="18" t="s">
        <v>1763</v>
      </c>
      <c r="AH345" s="18" t="s">
        <v>178</v>
      </c>
    </row>
    <row r="346" spans="1:34" ht="27" customHeight="1">
      <c r="A346" s="105" t="s">
        <v>1809</v>
      </c>
      <c r="B346" s="51" t="s">
        <v>1810</v>
      </c>
      <c r="C346" s="51" t="s">
        <v>1811</v>
      </c>
      <c r="D346" s="51" t="s">
        <v>1453</v>
      </c>
      <c r="E346" s="51" t="s">
        <v>63</v>
      </c>
      <c r="F346" s="51" t="s">
        <v>1454</v>
      </c>
      <c r="G346" s="108" t="s">
        <v>63</v>
      </c>
      <c r="H346" s="52" t="s">
        <v>1807</v>
      </c>
      <c r="I346" s="51"/>
      <c r="J346" s="51" t="s">
        <v>1309</v>
      </c>
      <c r="K346" s="18"/>
      <c r="L346" s="110">
        <v>2674782</v>
      </c>
      <c r="M346" s="110">
        <v>2674782</v>
      </c>
      <c r="N346" s="18"/>
      <c r="O346" s="18" t="b">
        <f>VLOOKUP(A346,[1]Model!C$2:J$559,2,FALSE)=B346</f>
        <v>1</v>
      </c>
      <c r="P346" s="18" t="e">
        <f>VLOOKUP(A346,[2]Model!C$2:G$208,5,FALSE)=D346</f>
        <v>#N/A</v>
      </c>
      <c r="Q346" s="18" t="e">
        <f>VLOOKUP(A346,[2]Model!C$2:L$228,8,FALSE)</f>
        <v>#N/A</v>
      </c>
      <c r="R346" s="18" t="e">
        <f>VLOOKUP(A346,[2]Model!C$2:G$228,3,FALSE)=[3]!Table14[[#This Row],[Business Definition (To go into comments and into Meta Data Hub)]]</f>
        <v>#N/A</v>
      </c>
      <c r="S346" s="18" t="e">
        <f>IF([3]!Table14[[#This Row],[Nullable in Table and in Oracle View
NULL, NOT NULL]]="No","NOT NULL","NULL")=VLOOKUP(A346,[2]Model!C$2:I$228,6,FALSE)</f>
        <v>#REF!</v>
      </c>
      <c r="T346" s="58" t="e">
        <f>VLOOKUP(B346,[2]Table!A$2:F$415,1,FALSE)=[3]!Table14[[#This Row],[Physical Name of Attribute (Name of column in Table)
Supplied by DA Team]]</f>
        <v>#N/A</v>
      </c>
      <c r="U346" s="58" t="e">
        <f>VLOOKUP(B346,[2]Table!A$2:F$319,2,FALSE)=[4]!Table14[[#This Row],[Data type in Oracle
VARCHAR2(n), DATE, NUMBER(m,n), TIMETSTAMP(6)]]</f>
        <v>#N/A</v>
      </c>
      <c r="V346" s="58" t="e">
        <f>VLOOKUP(B346,[2]Table!A$2:F$231,3,FALSE)=[4]!Table14[[#This Row],[Nullable in Table and in Oracle View
NULL, NOT NULL]]</f>
        <v>#N/A</v>
      </c>
      <c r="W346" s="58" t="e">
        <f>VLOOKUP(B346,[2]Table!A$2:H$228,6,FALSE)=[4]!Table14[[#This Row],[Business Definition (To go into comments and into Meta Data Hub)]]</f>
        <v>#N/A</v>
      </c>
      <c r="X346" s="58" t="e">
        <f>VLOOKUP((UPPER(SUBSTITUTE(A346," ","_"))),'[2]Consumer View'!A$2:I$329,1,FALSE)</f>
        <v>#N/A</v>
      </c>
      <c r="Y346" s="51" t="s">
        <v>1759</v>
      </c>
      <c r="Z346" s="51" t="s">
        <v>1760</v>
      </c>
      <c r="AA346" s="51" t="s">
        <v>1812</v>
      </c>
      <c r="AB346" s="18"/>
      <c r="AC346" s="18"/>
      <c r="AD346" s="51" t="s">
        <v>1762</v>
      </c>
      <c r="AE346" s="46"/>
      <c r="AF346" s="18"/>
      <c r="AG346" s="18" t="s">
        <v>1763</v>
      </c>
      <c r="AH346" s="18" t="s">
        <v>178</v>
      </c>
    </row>
    <row r="347" spans="1:34" ht="27" customHeight="1">
      <c r="A347" s="105" t="s">
        <v>1813</v>
      </c>
      <c r="B347" s="51" t="s">
        <v>1814</v>
      </c>
      <c r="C347" s="51" t="s">
        <v>1815</v>
      </c>
      <c r="D347" s="51" t="s">
        <v>1816</v>
      </c>
      <c r="E347" s="51" t="s">
        <v>63</v>
      </c>
      <c r="F347" s="51" t="s">
        <v>1817</v>
      </c>
      <c r="G347" s="108" t="s">
        <v>63</v>
      </c>
      <c r="H347" s="52" t="s">
        <v>1818</v>
      </c>
      <c r="I347" s="51"/>
      <c r="J347" s="51" t="s">
        <v>1309</v>
      </c>
      <c r="K347" s="18"/>
      <c r="L347" s="110">
        <v>2674782</v>
      </c>
      <c r="M347" s="110">
        <v>2674782</v>
      </c>
      <c r="N347" s="18"/>
      <c r="O347" s="18" t="b">
        <f>VLOOKUP(A347,[1]Model!C$2:J$559,2,FALSE)=B347</f>
        <v>1</v>
      </c>
      <c r="P347" s="18" t="e">
        <f>VLOOKUP(A347,[2]Model!C$2:G$208,5,FALSE)=D347</f>
        <v>#N/A</v>
      </c>
      <c r="Q347" s="18" t="e">
        <f>VLOOKUP(A347,[2]Model!C$2:L$228,8,FALSE)</f>
        <v>#N/A</v>
      </c>
      <c r="R347" s="18" t="e">
        <f>VLOOKUP(A347,[2]Model!C$2:G$228,3,FALSE)=[3]!Table14[[#This Row],[Business Definition (To go into comments and into Meta Data Hub)]]</f>
        <v>#N/A</v>
      </c>
      <c r="S347" s="18" t="e">
        <f>IF([3]!Table14[[#This Row],[Nullable in Table and in Oracle View
NULL, NOT NULL]]="No","NOT NULL","NULL")=VLOOKUP(A347,[2]Model!C$2:I$228,6,FALSE)</f>
        <v>#REF!</v>
      </c>
      <c r="T347" s="58" t="e">
        <f>VLOOKUP(B347,[2]Table!A$2:F$415,1,FALSE)=[3]!Table14[[#This Row],[Physical Name of Attribute (Name of column in Table)
Supplied by DA Team]]</f>
        <v>#N/A</v>
      </c>
      <c r="U347" s="58" t="e">
        <f>VLOOKUP(B347,[2]Table!A$2:F$319,2,FALSE)=[4]!Table14[[#This Row],[Data type in Oracle
VARCHAR2(n), DATE, NUMBER(m,n), TIMETSTAMP(6)]]</f>
        <v>#N/A</v>
      </c>
      <c r="V347" s="58" t="e">
        <f>VLOOKUP(B347,[2]Table!A$2:F$231,3,FALSE)=[4]!Table14[[#This Row],[Nullable in Table and in Oracle View
NULL, NOT NULL]]</f>
        <v>#N/A</v>
      </c>
      <c r="W347" s="58" t="e">
        <f>VLOOKUP(B347,[2]Table!A$2:H$228,6,FALSE)=[4]!Table14[[#This Row],[Business Definition (To go into comments and into Meta Data Hub)]]</f>
        <v>#N/A</v>
      </c>
      <c r="X347" s="58" t="e">
        <f>VLOOKUP((UPPER(SUBSTITUTE(A347," ","_"))),'[2]Consumer View'!A$2:I$329,1,FALSE)</f>
        <v>#N/A</v>
      </c>
      <c r="Y347" s="18" t="s">
        <v>68</v>
      </c>
      <c r="Z347" s="47" t="s">
        <v>375</v>
      </c>
      <c r="AA347" s="18" t="s">
        <v>1814</v>
      </c>
      <c r="AB347" s="18"/>
      <c r="AC347" s="18"/>
      <c r="AD347" s="46" t="s">
        <v>1819</v>
      </c>
      <c r="AE347" s="46"/>
      <c r="AF347" s="18"/>
      <c r="AG347" s="18"/>
      <c r="AH347" s="18" t="s">
        <v>71</v>
      </c>
    </row>
    <row r="348" spans="1:34" ht="27" customHeight="1">
      <c r="A348" s="105" t="s">
        <v>1820</v>
      </c>
      <c r="B348" s="51" t="s">
        <v>1821</v>
      </c>
      <c r="C348" s="51" t="s">
        <v>1822</v>
      </c>
      <c r="D348" s="51" t="s">
        <v>617</v>
      </c>
      <c r="E348" s="51" t="s">
        <v>63</v>
      </c>
      <c r="F348" s="51" t="s">
        <v>618</v>
      </c>
      <c r="G348" s="108" t="s">
        <v>63</v>
      </c>
      <c r="H348" s="52" t="s">
        <v>1823</v>
      </c>
      <c r="I348" s="51"/>
      <c r="J348" s="51" t="s">
        <v>1309</v>
      </c>
      <c r="K348" s="18"/>
      <c r="L348" s="110">
        <v>2674782</v>
      </c>
      <c r="M348" s="110">
        <v>2674782</v>
      </c>
      <c r="N348" s="18"/>
      <c r="O348" s="18" t="b">
        <f>VLOOKUP(A348,[1]Model!C$2:J$559,2,FALSE)=B348</f>
        <v>1</v>
      </c>
      <c r="P348" s="18" t="e">
        <f>VLOOKUP(A348,[2]Model!C$2:G$208,5,FALSE)=D348</f>
        <v>#N/A</v>
      </c>
      <c r="Q348" s="18" t="e">
        <f>VLOOKUP(A348,[2]Model!C$2:L$228,8,FALSE)</f>
        <v>#N/A</v>
      </c>
      <c r="R348" s="18" t="e">
        <f>VLOOKUP(A348,[2]Model!C$2:G$228,3,FALSE)=[3]!Table14[[#This Row],[Business Definition (To go into comments and into Meta Data Hub)]]</f>
        <v>#N/A</v>
      </c>
      <c r="S348" s="18" t="e">
        <f>IF([3]!Table14[[#This Row],[Nullable in Table and in Oracle View
NULL, NOT NULL]]="No","NOT NULL","NULL")=VLOOKUP(A348,[2]Model!C$2:I$228,6,FALSE)</f>
        <v>#REF!</v>
      </c>
      <c r="T348" s="58" t="e">
        <f>VLOOKUP(B348,[2]Table!A$2:F$415,1,FALSE)=[3]!Table14[[#This Row],[Physical Name of Attribute (Name of column in Table)
Supplied by DA Team]]</f>
        <v>#N/A</v>
      </c>
      <c r="U348" s="58" t="e">
        <f>VLOOKUP(B348,[2]Table!A$2:F$319,2,FALSE)=[4]!Table14[[#This Row],[Data type in Oracle
VARCHAR2(n), DATE, NUMBER(m,n), TIMETSTAMP(6)]]</f>
        <v>#N/A</v>
      </c>
      <c r="V348" s="58" t="e">
        <f>VLOOKUP(B348,[2]Table!A$2:F$231,3,FALSE)=[4]!Table14[[#This Row],[Nullable in Table and in Oracle View
NULL, NOT NULL]]</f>
        <v>#N/A</v>
      </c>
      <c r="W348" s="58" t="e">
        <f>VLOOKUP(B348,[2]Table!A$2:H$228,6,FALSE)=[4]!Table14[[#This Row],[Business Definition (To go into comments and into Meta Data Hub)]]</f>
        <v>#N/A</v>
      </c>
      <c r="X348" s="58" t="e">
        <f>VLOOKUP((UPPER(SUBSTITUTE(A348," ","_"))),'[2]Consumer View'!A$2:I$329,1,FALSE)</f>
        <v>#N/A</v>
      </c>
      <c r="Y348" s="51" t="s">
        <v>1759</v>
      </c>
      <c r="Z348" s="51" t="s">
        <v>1760</v>
      </c>
      <c r="AA348" s="51" t="s">
        <v>1824</v>
      </c>
      <c r="AB348" s="18"/>
      <c r="AC348" s="18"/>
      <c r="AD348" s="52" t="s">
        <v>1825</v>
      </c>
      <c r="AE348" s="46"/>
      <c r="AF348" s="18"/>
      <c r="AG348" s="18" t="s">
        <v>1763</v>
      </c>
      <c r="AH348" s="18" t="s">
        <v>178</v>
      </c>
    </row>
    <row r="349" spans="1:34" ht="27" customHeight="1">
      <c r="A349" s="105" t="s">
        <v>1826</v>
      </c>
      <c r="B349" s="51" t="s">
        <v>1827</v>
      </c>
      <c r="C349" s="51" t="s">
        <v>1828</v>
      </c>
      <c r="D349" s="51" t="s">
        <v>1816</v>
      </c>
      <c r="E349" s="51" t="s">
        <v>63</v>
      </c>
      <c r="F349" s="51" t="s">
        <v>1817</v>
      </c>
      <c r="G349" s="108" t="s">
        <v>63</v>
      </c>
      <c r="H349" s="52" t="s">
        <v>1818</v>
      </c>
      <c r="I349" s="51"/>
      <c r="J349" s="51" t="s">
        <v>1309</v>
      </c>
      <c r="K349" s="18"/>
      <c r="L349" s="110">
        <v>2674782</v>
      </c>
      <c r="M349" s="110">
        <v>2674782</v>
      </c>
      <c r="N349" s="18"/>
      <c r="O349" s="18" t="b">
        <f>VLOOKUP(A349,[1]Model!C$2:J$559,2,FALSE)=B349</f>
        <v>1</v>
      </c>
      <c r="P349" s="18" t="e">
        <f>VLOOKUP(A349,[2]Model!C$2:G$208,5,FALSE)=D349</f>
        <v>#N/A</v>
      </c>
      <c r="Q349" s="18" t="e">
        <f>VLOOKUP(A349,[2]Model!C$2:L$228,8,FALSE)</f>
        <v>#N/A</v>
      </c>
      <c r="R349" s="18" t="e">
        <f>VLOOKUP(A349,[2]Model!C$2:G$228,3,FALSE)=[3]!Table14[[#This Row],[Business Definition (To go into comments and into Meta Data Hub)]]</f>
        <v>#N/A</v>
      </c>
      <c r="S349" s="18" t="e">
        <f>IF([3]!Table14[[#This Row],[Nullable in Table and in Oracle View
NULL, NOT NULL]]="No","NOT NULL","NULL")=VLOOKUP(A349,[2]Model!C$2:I$228,6,FALSE)</f>
        <v>#REF!</v>
      </c>
      <c r="T349" s="58" t="e">
        <f>VLOOKUP(B349,[2]Table!A$2:F$415,1,FALSE)=[3]!Table14[[#This Row],[Physical Name of Attribute (Name of column in Table)
Supplied by DA Team]]</f>
        <v>#N/A</v>
      </c>
      <c r="U349" s="58" t="e">
        <f>VLOOKUP(B349,[2]Table!A$2:F$319,2,FALSE)=[4]!Table14[[#This Row],[Data type in Oracle
VARCHAR2(n), DATE, NUMBER(m,n), TIMETSTAMP(6)]]</f>
        <v>#N/A</v>
      </c>
      <c r="V349" s="58" t="e">
        <f>VLOOKUP(B349,[2]Table!A$2:F$231,3,FALSE)=[4]!Table14[[#This Row],[Nullable in Table and in Oracle View
NULL, NOT NULL]]</f>
        <v>#N/A</v>
      </c>
      <c r="W349" s="58" t="e">
        <f>VLOOKUP(B349,[2]Table!A$2:H$228,6,FALSE)=[4]!Table14[[#This Row],[Business Definition (To go into comments and into Meta Data Hub)]]</f>
        <v>#N/A</v>
      </c>
      <c r="X349" s="58" t="e">
        <f>VLOOKUP((UPPER(SUBSTITUTE(A349," ","_"))),'[2]Consumer View'!A$2:I$329,1,FALSE)</f>
        <v>#N/A</v>
      </c>
      <c r="Y349" s="51" t="s">
        <v>1759</v>
      </c>
      <c r="Z349" s="51" t="s">
        <v>1760</v>
      </c>
      <c r="AA349" s="51" t="s">
        <v>1829</v>
      </c>
      <c r="AB349" s="18"/>
      <c r="AC349" s="18"/>
      <c r="AD349" s="52" t="s">
        <v>1825</v>
      </c>
      <c r="AE349" s="46"/>
      <c r="AF349" s="18"/>
      <c r="AG349" s="18" t="s">
        <v>1763</v>
      </c>
      <c r="AH349" s="18" t="s">
        <v>178</v>
      </c>
    </row>
    <row r="350" spans="1:34" ht="27" customHeight="1">
      <c r="A350" s="105" t="s">
        <v>1830</v>
      </c>
      <c r="B350" s="51" t="s">
        <v>1831</v>
      </c>
      <c r="C350" s="51" t="s">
        <v>1832</v>
      </c>
      <c r="D350" s="51" t="s">
        <v>90</v>
      </c>
      <c r="E350" s="51" t="s">
        <v>63</v>
      </c>
      <c r="F350" s="51" t="s">
        <v>91</v>
      </c>
      <c r="G350" s="108" t="s">
        <v>63</v>
      </c>
      <c r="H350" s="52" t="s">
        <v>1833</v>
      </c>
      <c r="I350" s="51"/>
      <c r="J350" s="51" t="s">
        <v>1309</v>
      </c>
      <c r="K350" s="18"/>
      <c r="L350" s="110">
        <v>2674782</v>
      </c>
      <c r="M350" s="110">
        <v>2674782</v>
      </c>
      <c r="N350" s="18"/>
      <c r="O350" s="18" t="b">
        <f>VLOOKUP(A350,[1]Model!C$2:J$559,2,FALSE)=B350</f>
        <v>1</v>
      </c>
      <c r="P350" s="18" t="e">
        <f>VLOOKUP(A350,[2]Model!C$2:G$208,5,FALSE)=D350</f>
        <v>#N/A</v>
      </c>
      <c r="Q350" s="18" t="e">
        <f>VLOOKUP(A350,[2]Model!C$2:L$228,8,FALSE)</f>
        <v>#N/A</v>
      </c>
      <c r="R350" s="18" t="e">
        <f>VLOOKUP(A350,[2]Model!C$2:G$228,3,FALSE)=[3]!Table14[[#This Row],[Business Definition (To go into comments and into Meta Data Hub)]]</f>
        <v>#N/A</v>
      </c>
      <c r="S350" s="18" t="e">
        <f>IF([3]!Table14[[#This Row],[Nullable in Table and in Oracle View
NULL, NOT NULL]]="No","NOT NULL","NULL")=VLOOKUP(A350,[2]Model!C$2:I$228,6,FALSE)</f>
        <v>#REF!</v>
      </c>
      <c r="T350" s="58" t="e">
        <f>VLOOKUP(B350,[2]Table!A$2:F$415,1,FALSE)=[3]!Table14[[#This Row],[Physical Name of Attribute (Name of column in Table)
Supplied by DA Team]]</f>
        <v>#N/A</v>
      </c>
      <c r="U350" s="58" t="e">
        <f>VLOOKUP(B350,[2]Table!A$2:F$319,2,FALSE)=[4]!Table14[[#This Row],[Data type in Oracle
VARCHAR2(n), DATE, NUMBER(m,n), TIMETSTAMP(6)]]</f>
        <v>#N/A</v>
      </c>
      <c r="V350" s="58" t="e">
        <f>VLOOKUP(B350,[2]Table!A$2:F$231,3,FALSE)=[4]!Table14[[#This Row],[Nullable in Table and in Oracle View
NULL, NOT NULL]]</f>
        <v>#N/A</v>
      </c>
      <c r="W350" s="58" t="e">
        <f>VLOOKUP(B350,[2]Table!A$2:H$228,6,FALSE)=[4]!Table14[[#This Row],[Business Definition (To go into comments and into Meta Data Hub)]]</f>
        <v>#N/A</v>
      </c>
      <c r="X350" s="58" t="e">
        <f>VLOOKUP((UPPER(SUBSTITUTE(A350," ","_"))),'[2]Consumer View'!A$2:I$329,1,FALSE)</f>
        <v>#N/A</v>
      </c>
      <c r="Y350" s="51" t="s">
        <v>1759</v>
      </c>
      <c r="Z350" s="51" t="s">
        <v>1760</v>
      </c>
      <c r="AA350" s="51" t="s">
        <v>1834</v>
      </c>
      <c r="AB350" s="18"/>
      <c r="AC350" s="18"/>
      <c r="AD350" s="51" t="s">
        <v>1762</v>
      </c>
      <c r="AE350" s="46"/>
      <c r="AF350" s="18"/>
      <c r="AG350" s="18" t="s">
        <v>1763</v>
      </c>
      <c r="AH350" s="18" t="s">
        <v>178</v>
      </c>
    </row>
    <row r="351" spans="1:34" ht="27" customHeight="1">
      <c r="A351" s="105" t="s">
        <v>1835</v>
      </c>
      <c r="B351" s="51" t="s">
        <v>1836</v>
      </c>
      <c r="C351" s="51" t="s">
        <v>1837</v>
      </c>
      <c r="D351" s="51" t="s">
        <v>90</v>
      </c>
      <c r="E351" s="51" t="s">
        <v>63</v>
      </c>
      <c r="F351" s="51" t="s">
        <v>91</v>
      </c>
      <c r="G351" s="108" t="s">
        <v>63</v>
      </c>
      <c r="H351" s="52" t="s">
        <v>1838</v>
      </c>
      <c r="I351" s="51"/>
      <c r="J351" s="51" t="s">
        <v>1309</v>
      </c>
      <c r="K351" s="18"/>
      <c r="L351" s="110">
        <v>2674782</v>
      </c>
      <c r="M351" s="110">
        <v>2674782</v>
      </c>
      <c r="N351" s="18"/>
      <c r="O351" s="18" t="b">
        <f>VLOOKUP(A351,[1]Model!C$2:J$559,2,FALSE)=B351</f>
        <v>1</v>
      </c>
      <c r="P351" s="18" t="e">
        <f>VLOOKUP(A351,[2]Model!C$2:G$208,5,FALSE)=D351</f>
        <v>#N/A</v>
      </c>
      <c r="Q351" s="18" t="e">
        <f>VLOOKUP(A351,[2]Model!C$2:L$228,8,FALSE)</f>
        <v>#N/A</v>
      </c>
      <c r="R351" s="18" t="e">
        <f>VLOOKUP(A351,[2]Model!C$2:G$228,3,FALSE)=[3]!Table14[[#This Row],[Business Definition (To go into comments and into Meta Data Hub)]]</f>
        <v>#N/A</v>
      </c>
      <c r="S351" s="18" t="e">
        <f>IF([3]!Table14[[#This Row],[Nullable in Table and in Oracle View
NULL, NOT NULL]]="No","NOT NULL","NULL")=VLOOKUP(A351,[2]Model!C$2:I$228,6,FALSE)</f>
        <v>#REF!</v>
      </c>
      <c r="T351" s="58" t="e">
        <f>VLOOKUP(B351,[2]Table!A$2:F$415,1,FALSE)=[3]!Table14[[#This Row],[Physical Name of Attribute (Name of column in Table)
Supplied by DA Team]]</f>
        <v>#N/A</v>
      </c>
      <c r="U351" s="58" t="e">
        <f>VLOOKUP(B351,[2]Table!A$2:F$319,2,FALSE)=[4]!Table14[[#This Row],[Data type in Oracle
VARCHAR2(n), DATE, NUMBER(m,n), TIMETSTAMP(6)]]</f>
        <v>#N/A</v>
      </c>
      <c r="V351" s="58" t="e">
        <f>VLOOKUP(B351,[2]Table!A$2:F$231,3,FALSE)=[4]!Table14[[#This Row],[Nullable in Table and in Oracle View
NULL, NOT NULL]]</f>
        <v>#N/A</v>
      </c>
      <c r="W351" s="58" t="e">
        <f>VLOOKUP(B351,[2]Table!A$2:H$228,6,FALSE)=[4]!Table14[[#This Row],[Business Definition (To go into comments and into Meta Data Hub)]]</f>
        <v>#N/A</v>
      </c>
      <c r="X351" s="58" t="e">
        <f>VLOOKUP((UPPER(SUBSTITUTE(A351," ","_"))),'[2]Consumer View'!A$2:I$329,1,FALSE)</f>
        <v>#N/A</v>
      </c>
      <c r="Y351" s="51" t="s">
        <v>1759</v>
      </c>
      <c r="Z351" s="51" t="s">
        <v>1760</v>
      </c>
      <c r="AA351" s="51" t="s">
        <v>1839</v>
      </c>
      <c r="AB351" s="18"/>
      <c r="AC351" s="18"/>
      <c r="AD351" s="51" t="s">
        <v>1762</v>
      </c>
      <c r="AE351" s="46"/>
      <c r="AF351" s="18"/>
      <c r="AG351" s="18" t="s">
        <v>1763</v>
      </c>
      <c r="AH351" s="18" t="s">
        <v>178</v>
      </c>
    </row>
    <row r="352" spans="1:34" ht="27" customHeight="1">
      <c r="A352" s="105" t="s">
        <v>1840</v>
      </c>
      <c r="B352" s="51" t="s">
        <v>1841</v>
      </c>
      <c r="C352" s="51" t="s">
        <v>1842</v>
      </c>
      <c r="D352" s="51" t="s">
        <v>90</v>
      </c>
      <c r="E352" s="51" t="s">
        <v>63</v>
      </c>
      <c r="F352" s="51" t="s">
        <v>91</v>
      </c>
      <c r="G352" s="108" t="s">
        <v>63</v>
      </c>
      <c r="H352" s="52" t="s">
        <v>1843</v>
      </c>
      <c r="I352" s="51"/>
      <c r="J352" s="51" t="s">
        <v>1309</v>
      </c>
      <c r="K352" s="18"/>
      <c r="L352" s="110">
        <v>2674782</v>
      </c>
      <c r="M352" s="110">
        <v>2674782</v>
      </c>
      <c r="N352" s="18"/>
      <c r="O352" s="18" t="b">
        <f>VLOOKUP(A352,[1]Model!C$2:J$559,2,FALSE)=B352</f>
        <v>1</v>
      </c>
      <c r="P352" s="18" t="e">
        <f>VLOOKUP(A352,[2]Model!C$2:G$208,5,FALSE)=D352</f>
        <v>#N/A</v>
      </c>
      <c r="Q352" s="18" t="e">
        <f>VLOOKUP(A352,[2]Model!C$2:L$228,8,FALSE)</f>
        <v>#N/A</v>
      </c>
      <c r="R352" s="18" t="e">
        <f>VLOOKUP(A352,[2]Model!C$2:G$228,3,FALSE)=[3]!Table14[[#This Row],[Business Definition (To go into comments and into Meta Data Hub)]]</f>
        <v>#N/A</v>
      </c>
      <c r="S352" s="18" t="e">
        <f>IF([3]!Table14[[#This Row],[Nullable in Table and in Oracle View
NULL, NOT NULL]]="No","NOT NULL","NULL")=VLOOKUP(A352,[2]Model!C$2:I$228,6,FALSE)</f>
        <v>#REF!</v>
      </c>
      <c r="T352" s="58" t="e">
        <f>VLOOKUP(B352,[2]Table!A$2:F$415,1,FALSE)=[3]!Table14[[#This Row],[Physical Name of Attribute (Name of column in Table)
Supplied by DA Team]]</f>
        <v>#N/A</v>
      </c>
      <c r="U352" s="58" t="e">
        <f>VLOOKUP(B352,[2]Table!A$2:F$319,2,FALSE)=[4]!Table14[[#This Row],[Data type in Oracle
VARCHAR2(n), DATE, NUMBER(m,n), TIMETSTAMP(6)]]</f>
        <v>#N/A</v>
      </c>
      <c r="V352" s="58" t="e">
        <f>VLOOKUP(B352,[2]Table!A$2:F$231,3,FALSE)=[4]!Table14[[#This Row],[Nullable in Table and in Oracle View
NULL, NOT NULL]]</f>
        <v>#N/A</v>
      </c>
      <c r="W352" s="58" t="e">
        <f>VLOOKUP(B352,[2]Table!A$2:H$228,6,FALSE)=[4]!Table14[[#This Row],[Business Definition (To go into comments and into Meta Data Hub)]]</f>
        <v>#N/A</v>
      </c>
      <c r="X352" s="58" t="e">
        <f>VLOOKUP((UPPER(SUBSTITUTE(A352," ","_"))),'[2]Consumer View'!A$2:I$329,1,FALSE)</f>
        <v>#N/A</v>
      </c>
      <c r="Y352" s="51" t="s">
        <v>1759</v>
      </c>
      <c r="Z352" s="51" t="s">
        <v>1760</v>
      </c>
      <c r="AA352" s="51" t="s">
        <v>1844</v>
      </c>
      <c r="AB352" s="18"/>
      <c r="AC352" s="18"/>
      <c r="AD352" s="51" t="s">
        <v>1762</v>
      </c>
      <c r="AE352" s="46"/>
      <c r="AF352" s="18"/>
      <c r="AG352" s="18" t="s">
        <v>1763</v>
      </c>
      <c r="AH352" s="18" t="s">
        <v>178</v>
      </c>
    </row>
    <row r="353" spans="1:34" ht="27" customHeight="1">
      <c r="A353" s="105" t="s">
        <v>1845</v>
      </c>
      <c r="B353" s="51" t="s">
        <v>1846</v>
      </c>
      <c r="C353" s="51" t="s">
        <v>1847</v>
      </c>
      <c r="D353" s="51" t="s">
        <v>1453</v>
      </c>
      <c r="E353" s="51" t="s">
        <v>63</v>
      </c>
      <c r="F353" s="51" t="s">
        <v>1454</v>
      </c>
      <c r="G353" s="108" t="s">
        <v>63</v>
      </c>
      <c r="H353" s="52" t="s">
        <v>1843</v>
      </c>
      <c r="I353" s="51"/>
      <c r="J353" s="51" t="s">
        <v>1309</v>
      </c>
      <c r="K353" s="18"/>
      <c r="L353" s="110">
        <v>2674782</v>
      </c>
      <c r="M353" s="110">
        <v>2674782</v>
      </c>
      <c r="N353" s="18"/>
      <c r="O353" s="18" t="b">
        <f>VLOOKUP(A353,[1]Model!C$2:J$559,2,FALSE)=B353</f>
        <v>1</v>
      </c>
      <c r="P353" s="18" t="e">
        <f>VLOOKUP(A353,[2]Model!C$2:G$208,5,FALSE)=D353</f>
        <v>#N/A</v>
      </c>
      <c r="Q353" s="18" t="e">
        <f>VLOOKUP(A353,[2]Model!C$2:L$228,8,FALSE)</f>
        <v>#N/A</v>
      </c>
      <c r="R353" s="18" t="e">
        <f>VLOOKUP(A353,[2]Model!C$2:G$228,3,FALSE)=[3]!Table14[[#This Row],[Business Definition (To go into comments and into Meta Data Hub)]]</f>
        <v>#N/A</v>
      </c>
      <c r="S353" s="18" t="e">
        <f>IF([3]!Table14[[#This Row],[Nullable in Table and in Oracle View
NULL, NOT NULL]]="No","NOT NULL","NULL")=VLOOKUP(A353,[2]Model!C$2:I$228,6,FALSE)</f>
        <v>#REF!</v>
      </c>
      <c r="T353" s="58" t="e">
        <f>VLOOKUP(B353,[2]Table!A$2:F$415,1,FALSE)=[3]!Table14[[#This Row],[Physical Name of Attribute (Name of column in Table)
Supplied by DA Team]]</f>
        <v>#N/A</v>
      </c>
      <c r="U353" s="58" t="e">
        <f>VLOOKUP(B353,[2]Table!A$2:F$319,2,FALSE)=[4]!Table14[[#This Row],[Data type in Oracle
VARCHAR2(n), DATE, NUMBER(m,n), TIMETSTAMP(6)]]</f>
        <v>#N/A</v>
      </c>
      <c r="V353" s="58" t="e">
        <f>VLOOKUP(B353,[2]Table!A$2:F$231,3,FALSE)=[4]!Table14[[#This Row],[Nullable in Table and in Oracle View
NULL, NOT NULL]]</f>
        <v>#N/A</v>
      </c>
      <c r="W353" s="58" t="e">
        <f>VLOOKUP(B353,[2]Table!A$2:H$228,6,FALSE)=[4]!Table14[[#This Row],[Business Definition (To go into comments and into Meta Data Hub)]]</f>
        <v>#N/A</v>
      </c>
      <c r="X353" s="58" t="e">
        <f>VLOOKUP((UPPER(SUBSTITUTE(A353," ","_"))),'[2]Consumer View'!A$2:I$329,1,FALSE)</f>
        <v>#N/A</v>
      </c>
      <c r="Y353" s="51" t="s">
        <v>1759</v>
      </c>
      <c r="Z353" s="51" t="s">
        <v>1760</v>
      </c>
      <c r="AA353" s="51" t="s">
        <v>1848</v>
      </c>
      <c r="AB353" s="18"/>
      <c r="AC353" s="18"/>
      <c r="AD353" s="51" t="s">
        <v>1762</v>
      </c>
      <c r="AE353" s="46"/>
      <c r="AF353" s="18"/>
      <c r="AG353" s="18" t="s">
        <v>1763</v>
      </c>
      <c r="AH353" s="18" t="s">
        <v>178</v>
      </c>
    </row>
    <row r="354" spans="1:34" ht="27" customHeight="1">
      <c r="A354" s="105" t="s">
        <v>1849</v>
      </c>
      <c r="B354" s="51" t="s">
        <v>1850</v>
      </c>
      <c r="C354" s="51" t="s">
        <v>1851</v>
      </c>
      <c r="D354" s="51" t="s">
        <v>90</v>
      </c>
      <c r="E354" s="51" t="s">
        <v>63</v>
      </c>
      <c r="F354" s="51" t="s">
        <v>91</v>
      </c>
      <c r="G354" s="108" t="s">
        <v>63</v>
      </c>
      <c r="H354" s="52" t="s">
        <v>1852</v>
      </c>
      <c r="I354" s="51"/>
      <c r="J354" s="51" t="s">
        <v>1309</v>
      </c>
      <c r="K354" s="18"/>
      <c r="L354" s="110">
        <v>2674782</v>
      </c>
      <c r="M354" s="110">
        <v>2674782</v>
      </c>
      <c r="N354" s="18"/>
      <c r="O354" s="18" t="b">
        <f>VLOOKUP(A354,[1]Model!C$2:J$559,2,FALSE)=B354</f>
        <v>1</v>
      </c>
      <c r="P354" s="18" t="e">
        <f>VLOOKUP(A354,[2]Model!C$2:G$208,5,FALSE)=D354</f>
        <v>#N/A</v>
      </c>
      <c r="Q354" s="18" t="e">
        <f>VLOOKUP(A354,[2]Model!C$2:L$228,8,FALSE)</f>
        <v>#N/A</v>
      </c>
      <c r="R354" s="18" t="e">
        <f>VLOOKUP(A354,[2]Model!C$2:G$228,3,FALSE)=[3]!Table14[[#This Row],[Business Definition (To go into comments and into Meta Data Hub)]]</f>
        <v>#N/A</v>
      </c>
      <c r="S354" s="18" t="e">
        <f>IF([3]!Table14[[#This Row],[Nullable in Table and in Oracle View
NULL, NOT NULL]]="No","NOT NULL","NULL")=VLOOKUP(A354,[2]Model!C$2:I$228,6,FALSE)</f>
        <v>#REF!</v>
      </c>
      <c r="T354" s="58" t="e">
        <f>VLOOKUP(B354,[2]Table!A$2:F$415,1,FALSE)=[3]!Table14[[#This Row],[Physical Name of Attribute (Name of column in Table)
Supplied by DA Team]]</f>
        <v>#N/A</v>
      </c>
      <c r="U354" s="58" t="e">
        <f>VLOOKUP(B354,[2]Table!A$2:F$319,2,FALSE)=[4]!Table14[[#This Row],[Data type in Oracle
VARCHAR2(n), DATE, NUMBER(m,n), TIMETSTAMP(6)]]</f>
        <v>#N/A</v>
      </c>
      <c r="V354" s="58" t="e">
        <f>VLOOKUP(B354,[2]Table!A$2:F$231,3,FALSE)=[4]!Table14[[#This Row],[Nullable in Table and in Oracle View
NULL, NOT NULL]]</f>
        <v>#N/A</v>
      </c>
      <c r="W354" s="58" t="e">
        <f>VLOOKUP(B354,[2]Table!A$2:H$228,6,FALSE)=[4]!Table14[[#This Row],[Business Definition (To go into comments and into Meta Data Hub)]]</f>
        <v>#N/A</v>
      </c>
      <c r="X354" s="58" t="e">
        <f>VLOOKUP((UPPER(SUBSTITUTE(A354," ","_"))),'[2]Consumer View'!A$2:I$329,1,FALSE)</f>
        <v>#N/A</v>
      </c>
      <c r="Y354" s="51" t="s">
        <v>1759</v>
      </c>
      <c r="Z354" s="51" t="s">
        <v>1760</v>
      </c>
      <c r="AA354" s="51" t="s">
        <v>1853</v>
      </c>
      <c r="AB354" s="18"/>
      <c r="AC354" s="18"/>
      <c r="AD354" s="51" t="s">
        <v>1762</v>
      </c>
      <c r="AE354" s="46"/>
      <c r="AF354" s="18"/>
      <c r="AG354" s="18" t="s">
        <v>1763</v>
      </c>
      <c r="AH354" s="18" t="s">
        <v>178</v>
      </c>
    </row>
    <row r="355" spans="1:34" ht="27" customHeight="1">
      <c r="A355" s="105" t="s">
        <v>1854</v>
      </c>
      <c r="B355" s="51" t="s">
        <v>1855</v>
      </c>
      <c r="C355" s="51" t="s">
        <v>1856</v>
      </c>
      <c r="D355" s="51" t="s">
        <v>1453</v>
      </c>
      <c r="E355" s="51" t="s">
        <v>63</v>
      </c>
      <c r="F355" s="51" t="s">
        <v>1454</v>
      </c>
      <c r="G355" s="108" t="s">
        <v>63</v>
      </c>
      <c r="H355" s="52" t="s">
        <v>1852</v>
      </c>
      <c r="I355" s="51"/>
      <c r="J355" s="51" t="s">
        <v>1309</v>
      </c>
      <c r="K355" s="18"/>
      <c r="L355" s="110">
        <v>2674782</v>
      </c>
      <c r="M355" s="110">
        <v>2674782</v>
      </c>
      <c r="N355" s="18"/>
      <c r="O355" s="18" t="b">
        <f>VLOOKUP(A355,[1]Model!C$2:J$559,2,FALSE)=B355</f>
        <v>1</v>
      </c>
      <c r="P355" s="18" t="e">
        <f>VLOOKUP(A355,[2]Model!C$2:G$208,5,FALSE)=D355</f>
        <v>#N/A</v>
      </c>
      <c r="Q355" s="18" t="e">
        <f>VLOOKUP(A355,[2]Model!C$2:L$228,8,FALSE)</f>
        <v>#N/A</v>
      </c>
      <c r="R355" s="18" t="e">
        <f>VLOOKUP(A355,[2]Model!C$2:G$228,3,FALSE)=[3]!Table14[[#This Row],[Business Definition (To go into comments and into Meta Data Hub)]]</f>
        <v>#N/A</v>
      </c>
      <c r="S355" s="18" t="e">
        <f>IF([3]!Table14[[#This Row],[Nullable in Table and in Oracle View
NULL, NOT NULL]]="No","NOT NULL","NULL")=VLOOKUP(A355,[2]Model!C$2:I$228,6,FALSE)</f>
        <v>#REF!</v>
      </c>
      <c r="T355" s="58" t="e">
        <f>VLOOKUP(B355,[2]Table!A$2:F$415,1,FALSE)=[3]!Table14[[#This Row],[Physical Name of Attribute (Name of column in Table)
Supplied by DA Team]]</f>
        <v>#N/A</v>
      </c>
      <c r="U355" s="58" t="e">
        <f>VLOOKUP(B355,[2]Table!A$2:F$319,2,FALSE)=[4]!Table14[[#This Row],[Data type in Oracle
VARCHAR2(n), DATE, NUMBER(m,n), TIMETSTAMP(6)]]</f>
        <v>#N/A</v>
      </c>
      <c r="V355" s="58" t="e">
        <f>VLOOKUP(B355,[2]Table!A$2:F$231,3,FALSE)=[4]!Table14[[#This Row],[Nullable in Table and in Oracle View
NULL, NOT NULL]]</f>
        <v>#N/A</v>
      </c>
      <c r="W355" s="58" t="e">
        <f>VLOOKUP(B355,[2]Table!A$2:H$228,6,FALSE)=[4]!Table14[[#This Row],[Business Definition (To go into comments and into Meta Data Hub)]]</f>
        <v>#N/A</v>
      </c>
      <c r="X355" s="58" t="e">
        <f>VLOOKUP((UPPER(SUBSTITUTE(A355," ","_"))),'[2]Consumer View'!A$2:I$329,1,FALSE)</f>
        <v>#N/A</v>
      </c>
      <c r="Y355" s="51" t="s">
        <v>1759</v>
      </c>
      <c r="Z355" s="51" t="s">
        <v>1760</v>
      </c>
      <c r="AA355" s="51" t="s">
        <v>1857</v>
      </c>
      <c r="AB355" s="18"/>
      <c r="AC355" s="18"/>
      <c r="AD355" s="51" t="s">
        <v>1762</v>
      </c>
      <c r="AE355" s="46"/>
      <c r="AF355" s="18"/>
      <c r="AG355" s="18" t="s">
        <v>1763</v>
      </c>
      <c r="AH355" s="18" t="s">
        <v>178</v>
      </c>
    </row>
    <row r="356" spans="1:34" ht="27" customHeight="1">
      <c r="A356" s="105" t="s">
        <v>1858</v>
      </c>
      <c r="B356" s="51" t="s">
        <v>1859</v>
      </c>
      <c r="C356" s="51" t="s">
        <v>1860</v>
      </c>
      <c r="D356" s="51" t="s">
        <v>617</v>
      </c>
      <c r="E356" s="51" t="s">
        <v>63</v>
      </c>
      <c r="F356" s="51" t="s">
        <v>618</v>
      </c>
      <c r="G356" s="108" t="s">
        <v>63</v>
      </c>
      <c r="H356" s="52" t="s">
        <v>1861</v>
      </c>
      <c r="I356" s="51"/>
      <c r="J356" s="51" t="s">
        <v>1309</v>
      </c>
      <c r="K356" s="18"/>
      <c r="L356" s="110">
        <v>2674782</v>
      </c>
      <c r="M356" s="110">
        <v>2674782</v>
      </c>
      <c r="N356" s="18"/>
      <c r="O356" s="18" t="b">
        <f>VLOOKUP(A356,[1]Model!C$2:J$559,2,FALSE)=B356</f>
        <v>1</v>
      </c>
      <c r="P356" s="18" t="e">
        <f>VLOOKUP(A356,[2]Model!C$2:G$208,5,FALSE)=D356</f>
        <v>#N/A</v>
      </c>
      <c r="Q356" s="18" t="e">
        <f>VLOOKUP(A356,[2]Model!C$2:L$228,8,FALSE)</f>
        <v>#N/A</v>
      </c>
      <c r="R356" s="18" t="e">
        <f>VLOOKUP(A356,[2]Model!C$2:G$228,3,FALSE)=[3]!Table14[[#This Row],[Business Definition (To go into comments and into Meta Data Hub)]]</f>
        <v>#N/A</v>
      </c>
      <c r="S356" s="18" t="e">
        <f>IF([3]!Table14[[#This Row],[Nullable in Table and in Oracle View
NULL, NOT NULL]]="No","NOT NULL","NULL")=VLOOKUP(A356,[2]Model!C$2:I$228,6,FALSE)</f>
        <v>#REF!</v>
      </c>
      <c r="T356" s="58" t="e">
        <f>VLOOKUP(B356,[2]Table!A$2:F$415,1,FALSE)=[3]!Table14[[#This Row],[Physical Name of Attribute (Name of column in Table)
Supplied by DA Team]]</f>
        <v>#N/A</v>
      </c>
      <c r="U356" s="58" t="e">
        <f>VLOOKUP(B356,[2]Table!A$2:F$319,2,FALSE)=[4]!Table14[[#This Row],[Data type in Oracle
VARCHAR2(n), DATE, NUMBER(m,n), TIMETSTAMP(6)]]</f>
        <v>#N/A</v>
      </c>
      <c r="V356" s="58" t="e">
        <f>VLOOKUP(B356,[2]Table!A$2:F$231,3,FALSE)=[4]!Table14[[#This Row],[Nullable in Table and in Oracle View
NULL, NOT NULL]]</f>
        <v>#N/A</v>
      </c>
      <c r="W356" s="58" t="e">
        <f>VLOOKUP(B356,[2]Table!A$2:H$228,6,FALSE)=[4]!Table14[[#This Row],[Business Definition (To go into comments and into Meta Data Hub)]]</f>
        <v>#N/A</v>
      </c>
      <c r="X356" s="58" t="e">
        <f>VLOOKUP((UPPER(SUBSTITUTE(A356," ","_"))),'[2]Consumer View'!A$2:I$329,1,FALSE)</f>
        <v>#N/A</v>
      </c>
      <c r="Y356" s="51" t="s">
        <v>1759</v>
      </c>
      <c r="Z356" s="51" t="s">
        <v>1760</v>
      </c>
      <c r="AA356" s="51" t="s">
        <v>1862</v>
      </c>
      <c r="AB356" s="18"/>
      <c r="AC356" s="18"/>
      <c r="AD356" s="51" t="s">
        <v>1762</v>
      </c>
      <c r="AE356" s="46"/>
      <c r="AF356" s="18"/>
      <c r="AG356" s="18" t="s">
        <v>1763</v>
      </c>
      <c r="AH356" s="18" t="s">
        <v>178</v>
      </c>
    </row>
    <row r="357" spans="1:34" ht="27" customHeight="1">
      <c r="A357" s="105" t="s">
        <v>1863</v>
      </c>
      <c r="B357" s="51" t="s">
        <v>1864</v>
      </c>
      <c r="C357" s="51" t="s">
        <v>1865</v>
      </c>
      <c r="D357" s="51" t="s">
        <v>302</v>
      </c>
      <c r="E357" s="51" t="s">
        <v>63</v>
      </c>
      <c r="F357" s="51" t="s">
        <v>303</v>
      </c>
      <c r="G357" s="108" t="s">
        <v>63</v>
      </c>
      <c r="H357" s="52" t="s">
        <v>1866</v>
      </c>
      <c r="I357" s="51"/>
      <c r="J357" s="51" t="s">
        <v>1309</v>
      </c>
      <c r="K357" s="18"/>
      <c r="L357" s="110">
        <v>2674782</v>
      </c>
      <c r="M357" s="110">
        <v>2674782</v>
      </c>
      <c r="N357" s="18"/>
      <c r="O357" s="18" t="b">
        <f>VLOOKUP(A357,[1]Model!C$2:J$559,2,FALSE)=B357</f>
        <v>1</v>
      </c>
      <c r="P357" s="18" t="e">
        <f>VLOOKUP(A357,[2]Model!C$2:G$208,5,FALSE)=D357</f>
        <v>#N/A</v>
      </c>
      <c r="Q357" s="18" t="e">
        <f>VLOOKUP(A357,[2]Model!C$2:L$228,8,FALSE)</f>
        <v>#N/A</v>
      </c>
      <c r="R357" s="18" t="e">
        <f>VLOOKUP(A357,[2]Model!C$2:G$228,3,FALSE)=[3]!Table14[[#This Row],[Business Definition (To go into comments and into Meta Data Hub)]]</f>
        <v>#N/A</v>
      </c>
      <c r="S357" s="18" t="e">
        <f>IF([3]!Table14[[#This Row],[Nullable in Table and in Oracle View
NULL, NOT NULL]]="No","NOT NULL","NULL")=VLOOKUP(A357,[2]Model!C$2:I$228,6,FALSE)</f>
        <v>#REF!</v>
      </c>
      <c r="T357" s="58" t="e">
        <f>VLOOKUP(B357,[2]Table!A$2:F$415,1,FALSE)=[3]!Table14[[#This Row],[Physical Name of Attribute (Name of column in Table)
Supplied by DA Team]]</f>
        <v>#N/A</v>
      </c>
      <c r="U357" s="58" t="e">
        <f>VLOOKUP(B357,[2]Table!A$2:F$319,2,FALSE)=[4]!Table14[[#This Row],[Data type in Oracle
VARCHAR2(n), DATE, NUMBER(m,n), TIMETSTAMP(6)]]</f>
        <v>#N/A</v>
      </c>
      <c r="V357" s="58" t="e">
        <f>VLOOKUP(B357,[2]Table!A$2:F$231,3,FALSE)=[4]!Table14[[#This Row],[Nullable in Table and in Oracle View
NULL, NOT NULL]]</f>
        <v>#N/A</v>
      </c>
      <c r="W357" s="58" t="e">
        <f>VLOOKUP(B357,[2]Table!A$2:H$228,6,FALSE)=[4]!Table14[[#This Row],[Business Definition (To go into comments and into Meta Data Hub)]]</f>
        <v>#N/A</v>
      </c>
      <c r="X357" s="58" t="e">
        <f>VLOOKUP((UPPER(SUBSTITUTE(A357," ","_"))),'[2]Consumer View'!A$2:I$329,1,FALSE)</f>
        <v>#N/A</v>
      </c>
      <c r="Y357" s="51" t="s">
        <v>1759</v>
      </c>
      <c r="Z357" s="51" t="s">
        <v>1760</v>
      </c>
      <c r="AA357" s="51" t="s">
        <v>1867</v>
      </c>
      <c r="AB357" s="18"/>
      <c r="AC357" s="18"/>
      <c r="AD357" s="51" t="s">
        <v>1762</v>
      </c>
      <c r="AE357" s="46"/>
      <c r="AF357" s="18"/>
      <c r="AG357" s="18" t="s">
        <v>1763</v>
      </c>
      <c r="AH357" s="18" t="s">
        <v>178</v>
      </c>
    </row>
    <row r="358" spans="1:34" ht="27" customHeight="1">
      <c r="A358" s="105" t="s">
        <v>1868</v>
      </c>
      <c r="B358" s="51" t="s">
        <v>1869</v>
      </c>
      <c r="C358" s="51" t="s">
        <v>1870</v>
      </c>
      <c r="D358" s="51" t="s">
        <v>120</v>
      </c>
      <c r="E358" s="51" t="s">
        <v>63</v>
      </c>
      <c r="F358" s="51" t="s">
        <v>121</v>
      </c>
      <c r="G358" s="108" t="s">
        <v>63</v>
      </c>
      <c r="H358" s="52" t="s">
        <v>1871</v>
      </c>
      <c r="I358" s="51"/>
      <c r="J358" s="51" t="s">
        <v>1309</v>
      </c>
      <c r="K358" s="18"/>
      <c r="L358" s="110">
        <v>2674782</v>
      </c>
      <c r="M358" s="110">
        <v>2674782</v>
      </c>
      <c r="N358" s="18"/>
      <c r="O358" s="18" t="b">
        <f>VLOOKUP(A358,[1]Model!C$2:J$559,2,FALSE)=B358</f>
        <v>1</v>
      </c>
      <c r="P358" s="18" t="e">
        <f>VLOOKUP(A358,[2]Model!C$2:G$208,5,FALSE)=D358</f>
        <v>#N/A</v>
      </c>
      <c r="Q358" s="18" t="e">
        <f>VLOOKUP(A358,[2]Model!C$2:L$228,8,FALSE)</f>
        <v>#N/A</v>
      </c>
      <c r="R358" s="18" t="e">
        <f>VLOOKUP(A358,[2]Model!C$2:G$228,3,FALSE)=[3]!Table14[[#This Row],[Business Definition (To go into comments and into Meta Data Hub)]]</f>
        <v>#N/A</v>
      </c>
      <c r="S358" s="18" t="e">
        <f>IF([3]!Table14[[#This Row],[Nullable in Table and in Oracle View
NULL, NOT NULL]]="No","NOT NULL","NULL")=VLOOKUP(A358,[2]Model!C$2:I$228,6,FALSE)</f>
        <v>#REF!</v>
      </c>
      <c r="T358" s="58" t="e">
        <f>VLOOKUP(B358,[2]Table!A$2:F$415,1,FALSE)=[3]!Table14[[#This Row],[Physical Name of Attribute (Name of column in Table)
Supplied by DA Team]]</f>
        <v>#N/A</v>
      </c>
      <c r="U358" s="58" t="e">
        <f>VLOOKUP(B358,[2]Table!A$2:F$319,2,FALSE)=[4]!Table14[[#This Row],[Data type in Oracle
VARCHAR2(n), DATE, NUMBER(m,n), TIMETSTAMP(6)]]</f>
        <v>#N/A</v>
      </c>
      <c r="V358" s="58" t="e">
        <f>VLOOKUP(B358,[2]Table!A$2:F$231,3,FALSE)=[4]!Table14[[#This Row],[Nullable in Table and in Oracle View
NULL, NOT NULL]]</f>
        <v>#N/A</v>
      </c>
      <c r="W358" s="58" t="e">
        <f>VLOOKUP(B358,[2]Table!A$2:H$228,6,FALSE)=[4]!Table14[[#This Row],[Business Definition (To go into comments and into Meta Data Hub)]]</f>
        <v>#N/A</v>
      </c>
      <c r="X358" s="58" t="e">
        <f>VLOOKUP((UPPER(SUBSTITUTE(A358," ","_"))),'[2]Consumer View'!A$2:I$329,1,FALSE)</f>
        <v>#N/A</v>
      </c>
      <c r="Y358" s="51" t="s">
        <v>1759</v>
      </c>
      <c r="Z358" s="51" t="s">
        <v>1760</v>
      </c>
      <c r="AA358" s="51" t="s">
        <v>1872</v>
      </c>
      <c r="AB358" s="18"/>
      <c r="AC358" s="18"/>
      <c r="AD358" s="51" t="s">
        <v>1762</v>
      </c>
      <c r="AE358" s="46"/>
      <c r="AF358" s="18"/>
      <c r="AG358" s="18" t="s">
        <v>1763</v>
      </c>
      <c r="AH358" s="18" t="s">
        <v>178</v>
      </c>
    </row>
    <row r="359" spans="1:34" ht="27" customHeight="1">
      <c r="A359" s="105" t="s">
        <v>1873</v>
      </c>
      <c r="B359" s="51" t="s">
        <v>1874</v>
      </c>
      <c r="C359" s="51" t="s">
        <v>1875</v>
      </c>
      <c r="D359" s="105" t="s">
        <v>90</v>
      </c>
      <c r="E359" s="105" t="s">
        <v>63</v>
      </c>
      <c r="F359" s="105" t="s">
        <v>91</v>
      </c>
      <c r="G359" s="108" t="s">
        <v>63</v>
      </c>
      <c r="H359" s="52" t="s">
        <v>1876</v>
      </c>
      <c r="I359" s="18"/>
      <c r="J359" s="51" t="s">
        <v>1309</v>
      </c>
      <c r="K359" s="18"/>
      <c r="L359" s="110">
        <v>2674782</v>
      </c>
      <c r="M359" s="110">
        <v>2674782</v>
      </c>
      <c r="N359" s="18"/>
      <c r="O359" s="18" t="b">
        <f>VLOOKUP(A359,[1]Model!C$2:J$559,2,FALSE)=B359</f>
        <v>1</v>
      </c>
      <c r="P359" s="18" t="e">
        <f>VLOOKUP(A359,[2]Model!C$2:G$208,5,FALSE)=D359</f>
        <v>#N/A</v>
      </c>
      <c r="Q359" s="18" t="e">
        <f>VLOOKUP(A359,[2]Model!C$2:L$228,8,FALSE)</f>
        <v>#N/A</v>
      </c>
      <c r="R359" s="18" t="e">
        <f>VLOOKUP(A359,[2]Model!C$2:G$228,3,FALSE)=[3]!Table14[[#This Row],[Business Definition (To go into comments and into Meta Data Hub)]]</f>
        <v>#N/A</v>
      </c>
      <c r="S359" s="18" t="e">
        <f>IF([3]!Table14[[#This Row],[Nullable in Table and in Oracle View
NULL, NOT NULL]]="No","NOT NULL","NULL")=VLOOKUP(A359,[2]Model!C$2:I$228,6,FALSE)</f>
        <v>#REF!</v>
      </c>
      <c r="T359" s="58" t="e">
        <f>VLOOKUP(B359,[2]Table!A$2:F$415,1,FALSE)=[3]!Table14[[#This Row],[Physical Name of Attribute (Name of column in Table)
Supplied by DA Team]]</f>
        <v>#N/A</v>
      </c>
      <c r="U359" s="58" t="e">
        <f>VLOOKUP(B359,[2]Table!A$2:F$319,2,FALSE)=[4]!Table14[[#This Row],[Data type in Oracle
VARCHAR2(n), DATE, NUMBER(m,n), TIMETSTAMP(6)]]</f>
        <v>#N/A</v>
      </c>
      <c r="V359" s="58" t="e">
        <f>VLOOKUP(B359,[2]Table!A$2:F$231,3,FALSE)=[4]!Table14[[#This Row],[Nullable in Table and in Oracle View
NULL, NOT NULL]]</f>
        <v>#N/A</v>
      </c>
      <c r="W359" s="58" t="e">
        <f>VLOOKUP(B359,[2]Table!A$2:H$228,6,FALSE)=[4]!Table14[[#This Row],[Business Definition (To go into comments and into Meta Data Hub)]]</f>
        <v>#N/A</v>
      </c>
      <c r="X359" s="58" t="e">
        <f>VLOOKUP((UPPER(SUBSTITUTE(A359," ","_"))),'[2]Consumer View'!A$2:I$329,1,FALSE)</f>
        <v>#N/A</v>
      </c>
      <c r="Y359" s="51" t="s">
        <v>1759</v>
      </c>
      <c r="Z359" s="18" t="s">
        <v>548</v>
      </c>
      <c r="AA359" s="18" t="s">
        <v>1877</v>
      </c>
      <c r="AB359" s="18"/>
      <c r="AC359" s="18"/>
      <c r="AD359" s="51" t="s">
        <v>1762</v>
      </c>
      <c r="AE359" s="46"/>
      <c r="AF359" s="18"/>
      <c r="AG359" s="18" t="s">
        <v>1763</v>
      </c>
      <c r="AH359" s="18" t="s">
        <v>178</v>
      </c>
    </row>
    <row r="360" spans="1:34" ht="27" customHeight="1">
      <c r="A360" s="105" t="s">
        <v>1878</v>
      </c>
      <c r="B360" s="51" t="s">
        <v>1879</v>
      </c>
      <c r="C360" s="51" t="s">
        <v>1880</v>
      </c>
      <c r="D360" s="105" t="s">
        <v>1453</v>
      </c>
      <c r="E360" s="105" t="s">
        <v>63</v>
      </c>
      <c r="F360" s="105" t="s">
        <v>1454</v>
      </c>
      <c r="G360" s="108" t="s">
        <v>63</v>
      </c>
      <c r="H360" s="52" t="s">
        <v>1881</v>
      </c>
      <c r="I360" s="18"/>
      <c r="J360" s="51" t="s">
        <v>1309</v>
      </c>
      <c r="K360" s="18"/>
      <c r="L360" s="110">
        <v>2674782</v>
      </c>
      <c r="M360" s="110">
        <v>2674782</v>
      </c>
      <c r="N360" s="18"/>
      <c r="O360" s="18" t="b">
        <f>VLOOKUP(A360,[1]Model!C$2:J$559,2,FALSE)=B360</f>
        <v>1</v>
      </c>
      <c r="P360" s="18" t="e">
        <f>VLOOKUP(A360,[2]Model!C$2:G$208,5,FALSE)=D360</f>
        <v>#N/A</v>
      </c>
      <c r="Q360" s="18" t="e">
        <f>VLOOKUP(A360,[2]Model!C$2:L$228,8,FALSE)</f>
        <v>#N/A</v>
      </c>
      <c r="R360" s="18" t="e">
        <f>VLOOKUP(A360,[2]Model!C$2:G$228,3,FALSE)=[3]!Table14[[#This Row],[Business Definition (To go into comments and into Meta Data Hub)]]</f>
        <v>#N/A</v>
      </c>
      <c r="S360" s="18" t="e">
        <f>IF([3]!Table14[[#This Row],[Nullable in Table and in Oracle View
NULL, NOT NULL]]="No","NOT NULL","NULL")=VLOOKUP(A360,[2]Model!C$2:I$228,6,FALSE)</f>
        <v>#REF!</v>
      </c>
      <c r="T360" s="58" t="e">
        <f>VLOOKUP(B360,[2]Table!A$2:F$415,1,FALSE)=[3]!Table14[[#This Row],[Physical Name of Attribute (Name of column in Table)
Supplied by DA Team]]</f>
        <v>#N/A</v>
      </c>
      <c r="U360" s="58" t="e">
        <f>VLOOKUP(B360,[2]Table!A$2:F$319,2,FALSE)=[4]!Table14[[#This Row],[Data type in Oracle
VARCHAR2(n), DATE, NUMBER(m,n), TIMETSTAMP(6)]]</f>
        <v>#N/A</v>
      </c>
      <c r="V360" s="58" t="e">
        <f>VLOOKUP(B360,[2]Table!A$2:F$231,3,FALSE)=[4]!Table14[[#This Row],[Nullable in Table and in Oracle View
NULL, NOT NULL]]</f>
        <v>#N/A</v>
      </c>
      <c r="W360" s="58" t="e">
        <f>VLOOKUP(B360,[2]Table!A$2:H$228,6,FALSE)=[4]!Table14[[#This Row],[Business Definition (To go into comments and into Meta Data Hub)]]</f>
        <v>#N/A</v>
      </c>
      <c r="X360" s="58" t="e">
        <f>VLOOKUP((UPPER(SUBSTITUTE(A360," ","_"))),'[2]Consumer View'!A$2:I$329,1,FALSE)</f>
        <v>#N/A</v>
      </c>
      <c r="Y360" s="51" t="s">
        <v>1759</v>
      </c>
      <c r="Z360" s="18" t="s">
        <v>548</v>
      </c>
      <c r="AA360" s="18" t="s">
        <v>1882</v>
      </c>
      <c r="AB360" s="18"/>
      <c r="AC360" s="18"/>
      <c r="AD360" s="51" t="s">
        <v>1762</v>
      </c>
      <c r="AE360" s="46"/>
      <c r="AF360" s="18"/>
      <c r="AG360" s="18" t="s">
        <v>1763</v>
      </c>
      <c r="AH360" s="18" t="s">
        <v>178</v>
      </c>
    </row>
    <row r="361" spans="1:34" ht="27" customHeight="1">
      <c r="A361" s="105" t="s">
        <v>1883</v>
      </c>
      <c r="B361" s="51" t="s">
        <v>1884</v>
      </c>
      <c r="C361" s="51" t="s">
        <v>1885</v>
      </c>
      <c r="D361" s="105" t="s">
        <v>90</v>
      </c>
      <c r="E361" s="105" t="s">
        <v>63</v>
      </c>
      <c r="F361" s="105" t="s">
        <v>91</v>
      </c>
      <c r="G361" s="108" t="s">
        <v>63</v>
      </c>
      <c r="H361" s="52" t="s">
        <v>1886</v>
      </c>
      <c r="I361" s="18"/>
      <c r="J361" s="51" t="s">
        <v>1309</v>
      </c>
      <c r="K361" s="18"/>
      <c r="L361" s="110">
        <v>2674782</v>
      </c>
      <c r="M361" s="110">
        <v>2674782</v>
      </c>
      <c r="N361" s="18"/>
      <c r="O361" s="18" t="b">
        <f>VLOOKUP(A361,[1]Model!C$2:J$559,2,FALSE)=B361</f>
        <v>1</v>
      </c>
      <c r="P361" s="18" t="e">
        <f>VLOOKUP(A361,[2]Model!C$2:G$208,5,FALSE)=D361</f>
        <v>#N/A</v>
      </c>
      <c r="Q361" s="18" t="e">
        <f>VLOOKUP(A361,[2]Model!C$2:L$228,8,FALSE)</f>
        <v>#N/A</v>
      </c>
      <c r="R361" s="18" t="e">
        <f>VLOOKUP(A361,[2]Model!C$2:G$228,3,FALSE)=[3]!Table14[[#This Row],[Business Definition (To go into comments and into Meta Data Hub)]]</f>
        <v>#N/A</v>
      </c>
      <c r="S361" s="18" t="e">
        <f>IF([3]!Table14[[#This Row],[Nullable in Table and in Oracle View
NULL, NOT NULL]]="No","NOT NULL","NULL")=VLOOKUP(A361,[2]Model!C$2:I$228,6,FALSE)</f>
        <v>#REF!</v>
      </c>
      <c r="T361" s="58" t="e">
        <f>VLOOKUP(B361,[2]Table!A$2:F$415,1,FALSE)=[3]!Table14[[#This Row],[Physical Name of Attribute (Name of column in Table)
Supplied by DA Team]]</f>
        <v>#N/A</v>
      </c>
      <c r="U361" s="58" t="e">
        <f>VLOOKUP(B361,[2]Table!A$2:F$319,2,FALSE)=[4]!Table14[[#This Row],[Data type in Oracle
VARCHAR2(n), DATE, NUMBER(m,n), TIMETSTAMP(6)]]</f>
        <v>#N/A</v>
      </c>
      <c r="V361" s="58" t="e">
        <f>VLOOKUP(B361,[2]Table!A$2:F$231,3,FALSE)=[4]!Table14[[#This Row],[Nullable in Table and in Oracle View
NULL, NOT NULL]]</f>
        <v>#N/A</v>
      </c>
      <c r="W361" s="58" t="e">
        <f>VLOOKUP(B361,[2]Table!A$2:H$228,6,FALSE)=[4]!Table14[[#This Row],[Business Definition (To go into comments and into Meta Data Hub)]]</f>
        <v>#N/A</v>
      </c>
      <c r="X361" s="58" t="e">
        <f>VLOOKUP((UPPER(SUBSTITUTE(A361," ","_"))),'[2]Consumer View'!A$2:I$329,1,FALSE)</f>
        <v>#N/A</v>
      </c>
      <c r="Y361" s="51" t="s">
        <v>1759</v>
      </c>
      <c r="Z361" s="18" t="s">
        <v>548</v>
      </c>
      <c r="AA361" s="18" t="s">
        <v>1887</v>
      </c>
      <c r="AB361" s="18"/>
      <c r="AC361" s="18"/>
      <c r="AD361" s="51" t="s">
        <v>1762</v>
      </c>
      <c r="AE361" s="46"/>
      <c r="AF361" s="18"/>
      <c r="AG361" s="18" t="s">
        <v>1763</v>
      </c>
      <c r="AH361" s="18" t="s">
        <v>178</v>
      </c>
    </row>
    <row r="362" spans="1:34" ht="27" customHeight="1">
      <c r="A362" s="105" t="s">
        <v>1888</v>
      </c>
      <c r="B362" s="51" t="s">
        <v>1889</v>
      </c>
      <c r="C362" s="51" t="s">
        <v>1890</v>
      </c>
      <c r="D362" s="105" t="s">
        <v>1453</v>
      </c>
      <c r="E362" s="105" t="s">
        <v>63</v>
      </c>
      <c r="F362" s="105" t="s">
        <v>1454</v>
      </c>
      <c r="G362" s="108" t="s">
        <v>63</v>
      </c>
      <c r="H362" s="52" t="s">
        <v>1891</v>
      </c>
      <c r="I362" s="18"/>
      <c r="J362" s="51" t="s">
        <v>1309</v>
      </c>
      <c r="K362" s="18"/>
      <c r="L362" s="110">
        <v>2674782</v>
      </c>
      <c r="M362" s="110">
        <v>2674782</v>
      </c>
      <c r="N362" s="18"/>
      <c r="O362" s="18" t="b">
        <f>VLOOKUP(A362,[1]Model!C$2:J$559,2,FALSE)=B362</f>
        <v>1</v>
      </c>
      <c r="P362" s="18" t="e">
        <f>VLOOKUP(A362,[2]Model!C$2:G$208,5,FALSE)=D362</f>
        <v>#N/A</v>
      </c>
      <c r="Q362" s="18" t="e">
        <f>VLOOKUP(A362,[2]Model!C$2:L$228,8,FALSE)</f>
        <v>#N/A</v>
      </c>
      <c r="R362" s="18" t="e">
        <f>VLOOKUP(A362,[2]Model!C$2:G$228,3,FALSE)=[3]!Table14[[#This Row],[Business Definition (To go into comments and into Meta Data Hub)]]</f>
        <v>#N/A</v>
      </c>
      <c r="S362" s="18" t="e">
        <f>IF([3]!Table14[[#This Row],[Nullable in Table and in Oracle View
NULL, NOT NULL]]="No","NOT NULL","NULL")=VLOOKUP(A362,[2]Model!C$2:I$228,6,FALSE)</f>
        <v>#REF!</v>
      </c>
      <c r="T362" s="58" t="e">
        <f>VLOOKUP(B362,[2]Table!A$2:F$415,1,FALSE)=[3]!Table14[[#This Row],[Physical Name of Attribute (Name of column in Table)
Supplied by DA Team]]</f>
        <v>#N/A</v>
      </c>
      <c r="U362" s="58" t="e">
        <f>VLOOKUP(B362,[2]Table!A$2:F$319,2,FALSE)=[4]!Table14[[#This Row],[Data type in Oracle
VARCHAR2(n), DATE, NUMBER(m,n), TIMETSTAMP(6)]]</f>
        <v>#N/A</v>
      </c>
      <c r="V362" s="58" t="e">
        <f>VLOOKUP(B362,[2]Table!A$2:F$231,3,FALSE)=[4]!Table14[[#This Row],[Nullable in Table and in Oracle View
NULL, NOT NULL]]</f>
        <v>#N/A</v>
      </c>
      <c r="W362" s="58" t="e">
        <f>VLOOKUP(B362,[2]Table!A$2:H$228,6,FALSE)=[4]!Table14[[#This Row],[Business Definition (To go into comments and into Meta Data Hub)]]</f>
        <v>#N/A</v>
      </c>
      <c r="X362" s="58" t="e">
        <f>VLOOKUP((UPPER(SUBSTITUTE(A362," ","_"))),'[2]Consumer View'!A$2:I$329,1,FALSE)</f>
        <v>#N/A</v>
      </c>
      <c r="Y362" s="51" t="s">
        <v>1759</v>
      </c>
      <c r="Z362" s="18" t="s">
        <v>548</v>
      </c>
      <c r="AA362" s="18" t="s">
        <v>1892</v>
      </c>
      <c r="AB362" s="18"/>
      <c r="AC362" s="18"/>
      <c r="AD362" s="51" t="s">
        <v>1762</v>
      </c>
      <c r="AE362" s="46"/>
      <c r="AF362" s="18"/>
      <c r="AG362" s="18" t="s">
        <v>1763</v>
      </c>
      <c r="AH362" s="18" t="s">
        <v>178</v>
      </c>
    </row>
    <row r="363" spans="1:34" ht="27" customHeight="1">
      <c r="A363" s="105" t="s">
        <v>1893</v>
      </c>
      <c r="B363" s="51" t="s">
        <v>1894</v>
      </c>
      <c r="C363" s="51" t="s">
        <v>1895</v>
      </c>
      <c r="D363" s="105" t="s">
        <v>90</v>
      </c>
      <c r="E363" s="105" t="s">
        <v>63</v>
      </c>
      <c r="F363" s="105" t="s">
        <v>91</v>
      </c>
      <c r="G363" s="108" t="s">
        <v>63</v>
      </c>
      <c r="H363" s="52" t="s">
        <v>1896</v>
      </c>
      <c r="I363" s="18"/>
      <c r="J363" s="51" t="s">
        <v>1309</v>
      </c>
      <c r="K363" s="18"/>
      <c r="L363" s="110">
        <v>2674782</v>
      </c>
      <c r="M363" s="110">
        <v>2674782</v>
      </c>
      <c r="N363" s="18"/>
      <c r="O363" s="18" t="b">
        <f>VLOOKUP(A363,[1]Model!C$2:J$559,2,FALSE)=B363</f>
        <v>1</v>
      </c>
      <c r="P363" s="18" t="e">
        <f>VLOOKUP(A363,[2]Model!C$2:G$208,5,FALSE)=D363</f>
        <v>#N/A</v>
      </c>
      <c r="Q363" s="18" t="e">
        <f>VLOOKUP(A363,[2]Model!C$2:L$228,8,FALSE)</f>
        <v>#N/A</v>
      </c>
      <c r="R363" s="18" t="e">
        <f>VLOOKUP(A363,[2]Model!C$2:G$228,3,FALSE)=[3]!Table14[[#This Row],[Business Definition (To go into comments and into Meta Data Hub)]]</f>
        <v>#N/A</v>
      </c>
      <c r="S363" s="18" t="e">
        <f>IF([3]!Table14[[#This Row],[Nullable in Table and in Oracle View
NULL, NOT NULL]]="No","NOT NULL","NULL")=VLOOKUP(A363,[2]Model!C$2:I$228,6,FALSE)</f>
        <v>#REF!</v>
      </c>
      <c r="T363" s="58" t="e">
        <f>VLOOKUP(B363,[2]Table!A$2:F$415,1,FALSE)=[3]!Table14[[#This Row],[Physical Name of Attribute (Name of column in Table)
Supplied by DA Team]]</f>
        <v>#N/A</v>
      </c>
      <c r="U363" s="58" t="e">
        <f>VLOOKUP(B363,[2]Table!A$2:F$319,2,FALSE)=[4]!Table14[[#This Row],[Data type in Oracle
VARCHAR2(n), DATE, NUMBER(m,n), TIMETSTAMP(6)]]</f>
        <v>#N/A</v>
      </c>
      <c r="V363" s="58" t="e">
        <f>VLOOKUP(B363,[2]Table!A$2:F$231,3,FALSE)=[4]!Table14[[#This Row],[Nullable in Table and in Oracle View
NULL, NOT NULL]]</f>
        <v>#N/A</v>
      </c>
      <c r="W363" s="58" t="e">
        <f>VLOOKUP(B363,[2]Table!A$2:H$228,6,FALSE)=[4]!Table14[[#This Row],[Business Definition (To go into comments and into Meta Data Hub)]]</f>
        <v>#N/A</v>
      </c>
      <c r="X363" s="58" t="e">
        <f>VLOOKUP((UPPER(SUBSTITUTE(A363," ","_"))),'[2]Consumer View'!A$2:I$329,1,FALSE)</f>
        <v>#N/A</v>
      </c>
      <c r="Y363" s="51" t="s">
        <v>1759</v>
      </c>
      <c r="Z363" s="18" t="s">
        <v>548</v>
      </c>
      <c r="AA363" s="18" t="s">
        <v>1897</v>
      </c>
      <c r="AB363" s="18"/>
      <c r="AC363" s="18"/>
      <c r="AD363" s="51" t="s">
        <v>1762</v>
      </c>
      <c r="AE363" s="46"/>
      <c r="AF363" s="18"/>
      <c r="AG363" s="18" t="s">
        <v>1763</v>
      </c>
      <c r="AH363" s="18" t="s">
        <v>178</v>
      </c>
    </row>
    <row r="364" spans="1:34" ht="27" customHeight="1">
      <c r="A364" s="105" t="s">
        <v>1898</v>
      </c>
      <c r="B364" s="51" t="s">
        <v>1899</v>
      </c>
      <c r="C364" s="51" t="s">
        <v>1900</v>
      </c>
      <c r="D364" s="105" t="s">
        <v>1453</v>
      </c>
      <c r="E364" s="105" t="s">
        <v>63</v>
      </c>
      <c r="F364" s="105" t="s">
        <v>1454</v>
      </c>
      <c r="G364" s="108" t="s">
        <v>63</v>
      </c>
      <c r="H364" s="52" t="s">
        <v>1901</v>
      </c>
      <c r="I364" s="18"/>
      <c r="J364" s="51" t="s">
        <v>1309</v>
      </c>
      <c r="K364" s="18"/>
      <c r="L364" s="110">
        <v>2674782</v>
      </c>
      <c r="M364" s="110">
        <v>2674782</v>
      </c>
      <c r="N364" s="18"/>
      <c r="O364" s="18" t="b">
        <f>VLOOKUP(A364,[1]Model!C$2:J$559,2,FALSE)=B364</f>
        <v>1</v>
      </c>
      <c r="P364" s="18" t="e">
        <f>VLOOKUP(A364,[2]Model!C$2:G$208,5,FALSE)=D364</f>
        <v>#N/A</v>
      </c>
      <c r="Q364" s="18" t="e">
        <f>VLOOKUP(A364,[2]Model!C$2:L$228,8,FALSE)</f>
        <v>#N/A</v>
      </c>
      <c r="R364" s="18" t="e">
        <f>VLOOKUP(A364,[2]Model!C$2:G$228,3,FALSE)=[3]!Table14[[#This Row],[Business Definition (To go into comments and into Meta Data Hub)]]</f>
        <v>#N/A</v>
      </c>
      <c r="S364" s="18" t="e">
        <f>IF([3]!Table14[[#This Row],[Nullable in Table and in Oracle View
NULL, NOT NULL]]="No","NOT NULL","NULL")=VLOOKUP(A364,[2]Model!C$2:I$228,6,FALSE)</f>
        <v>#REF!</v>
      </c>
      <c r="T364" s="58" t="e">
        <f>VLOOKUP(B364,[2]Table!A$2:F$415,1,FALSE)=[3]!Table14[[#This Row],[Physical Name of Attribute (Name of column in Table)
Supplied by DA Team]]</f>
        <v>#N/A</v>
      </c>
      <c r="U364" s="58" t="e">
        <f>VLOOKUP(B364,[2]Table!A$2:F$319,2,FALSE)=[4]!Table14[[#This Row],[Data type in Oracle
VARCHAR2(n), DATE, NUMBER(m,n), TIMETSTAMP(6)]]</f>
        <v>#N/A</v>
      </c>
      <c r="V364" s="58" t="e">
        <f>VLOOKUP(B364,[2]Table!A$2:F$231,3,FALSE)=[4]!Table14[[#This Row],[Nullable in Table and in Oracle View
NULL, NOT NULL]]</f>
        <v>#N/A</v>
      </c>
      <c r="W364" s="58" t="e">
        <f>VLOOKUP(B364,[2]Table!A$2:H$228,6,FALSE)=[4]!Table14[[#This Row],[Business Definition (To go into comments and into Meta Data Hub)]]</f>
        <v>#N/A</v>
      </c>
      <c r="X364" s="58" t="e">
        <f>VLOOKUP((UPPER(SUBSTITUTE(A364," ","_"))),'[2]Consumer View'!A$2:I$329,1,FALSE)</f>
        <v>#N/A</v>
      </c>
      <c r="Y364" s="51" t="s">
        <v>1759</v>
      </c>
      <c r="Z364" s="18" t="s">
        <v>548</v>
      </c>
      <c r="AA364" s="18" t="s">
        <v>1902</v>
      </c>
      <c r="AB364" s="18"/>
      <c r="AC364" s="18"/>
      <c r="AD364" s="51" t="s">
        <v>1762</v>
      </c>
      <c r="AE364" s="46"/>
      <c r="AF364" s="18"/>
      <c r="AG364" s="18" t="s">
        <v>1763</v>
      </c>
      <c r="AH364" s="18" t="s">
        <v>178</v>
      </c>
    </row>
    <row r="365" spans="1:34" ht="27" customHeight="1">
      <c r="A365" s="105" t="s">
        <v>1903</v>
      </c>
      <c r="B365" s="51" t="s">
        <v>1904</v>
      </c>
      <c r="C365" s="51" t="s">
        <v>1905</v>
      </c>
      <c r="D365" s="105" t="s">
        <v>90</v>
      </c>
      <c r="E365" s="105" t="s">
        <v>63</v>
      </c>
      <c r="F365" s="105" t="s">
        <v>91</v>
      </c>
      <c r="G365" s="108" t="s">
        <v>63</v>
      </c>
      <c r="H365" s="52" t="s">
        <v>1906</v>
      </c>
      <c r="I365" s="18"/>
      <c r="J365" s="51" t="s">
        <v>1309</v>
      </c>
      <c r="K365" s="18"/>
      <c r="L365" s="110">
        <v>2674782</v>
      </c>
      <c r="M365" s="110">
        <v>2674782</v>
      </c>
      <c r="N365" s="18"/>
      <c r="O365" s="18" t="b">
        <f>VLOOKUP(A365,[1]Model!C$2:J$559,2,FALSE)=B365</f>
        <v>1</v>
      </c>
      <c r="P365" s="18" t="e">
        <f>VLOOKUP(A365,[2]Model!C$2:G$208,5,FALSE)=D365</f>
        <v>#N/A</v>
      </c>
      <c r="Q365" s="18" t="e">
        <f>VLOOKUP(A365,[2]Model!C$2:L$228,8,FALSE)</f>
        <v>#N/A</v>
      </c>
      <c r="R365" s="18" t="e">
        <f>VLOOKUP(A365,[2]Model!C$2:G$228,3,FALSE)=[3]!Table14[[#This Row],[Business Definition (To go into comments and into Meta Data Hub)]]</f>
        <v>#N/A</v>
      </c>
      <c r="S365" s="18" t="e">
        <f>IF([3]!Table14[[#This Row],[Nullable in Table and in Oracle View
NULL, NOT NULL]]="No","NOT NULL","NULL")=VLOOKUP(A365,[2]Model!C$2:I$228,6,FALSE)</f>
        <v>#REF!</v>
      </c>
      <c r="T365" s="58" t="e">
        <f>VLOOKUP(B365,[2]Table!A$2:F$415,1,FALSE)=[3]!Table14[[#This Row],[Physical Name of Attribute (Name of column in Table)
Supplied by DA Team]]</f>
        <v>#N/A</v>
      </c>
      <c r="U365" s="58" t="e">
        <f>VLOOKUP(B365,[2]Table!A$2:F$319,2,FALSE)=[4]!Table14[[#This Row],[Data type in Oracle
VARCHAR2(n), DATE, NUMBER(m,n), TIMETSTAMP(6)]]</f>
        <v>#N/A</v>
      </c>
      <c r="V365" s="58" t="e">
        <f>VLOOKUP(B365,[2]Table!A$2:F$231,3,FALSE)=[4]!Table14[[#This Row],[Nullable in Table and in Oracle View
NULL, NOT NULL]]</f>
        <v>#N/A</v>
      </c>
      <c r="W365" s="58" t="e">
        <f>VLOOKUP(B365,[2]Table!A$2:H$228,6,FALSE)=[4]!Table14[[#This Row],[Business Definition (To go into comments and into Meta Data Hub)]]</f>
        <v>#N/A</v>
      </c>
      <c r="X365" s="58" t="e">
        <f>VLOOKUP((UPPER(SUBSTITUTE(A365," ","_"))),'[2]Consumer View'!A$2:I$329,1,FALSE)</f>
        <v>#N/A</v>
      </c>
      <c r="Y365" s="51" t="s">
        <v>1759</v>
      </c>
      <c r="Z365" s="18" t="s">
        <v>548</v>
      </c>
      <c r="AA365" s="18" t="s">
        <v>1907</v>
      </c>
      <c r="AB365" s="18"/>
      <c r="AC365" s="18"/>
      <c r="AD365" s="51" t="s">
        <v>1762</v>
      </c>
      <c r="AE365" s="46"/>
      <c r="AF365" s="18"/>
      <c r="AG365" s="18" t="s">
        <v>1763</v>
      </c>
      <c r="AH365" s="18" t="s">
        <v>178</v>
      </c>
    </row>
    <row r="366" spans="1:34" ht="27" customHeight="1">
      <c r="A366" s="105" t="s">
        <v>1908</v>
      </c>
      <c r="B366" s="51" t="s">
        <v>1909</v>
      </c>
      <c r="C366" s="51" t="s">
        <v>1910</v>
      </c>
      <c r="D366" s="105" t="s">
        <v>1453</v>
      </c>
      <c r="E366" s="105" t="s">
        <v>63</v>
      </c>
      <c r="F366" s="105" t="s">
        <v>1454</v>
      </c>
      <c r="G366" s="108" t="s">
        <v>63</v>
      </c>
      <c r="H366" s="52" t="s">
        <v>1911</v>
      </c>
      <c r="I366" s="18"/>
      <c r="J366" s="51" t="s">
        <v>1309</v>
      </c>
      <c r="K366" s="18"/>
      <c r="L366" s="110">
        <v>2674782</v>
      </c>
      <c r="M366" s="110">
        <v>2674782</v>
      </c>
      <c r="N366" s="18"/>
      <c r="O366" s="18" t="b">
        <f>VLOOKUP(A366,[1]Model!C$2:J$559,2,FALSE)=B366</f>
        <v>1</v>
      </c>
      <c r="P366" s="18" t="e">
        <f>VLOOKUP(A366,[2]Model!C$2:G$208,5,FALSE)=D366</f>
        <v>#N/A</v>
      </c>
      <c r="Q366" s="18" t="e">
        <f>VLOOKUP(A366,[2]Model!C$2:L$228,8,FALSE)</f>
        <v>#N/A</v>
      </c>
      <c r="R366" s="18" t="e">
        <f>VLOOKUP(A366,[2]Model!C$2:G$228,3,FALSE)=[3]!Table14[[#This Row],[Business Definition (To go into comments and into Meta Data Hub)]]</f>
        <v>#N/A</v>
      </c>
      <c r="S366" s="18" t="e">
        <f>IF([3]!Table14[[#This Row],[Nullable in Table and in Oracle View
NULL, NOT NULL]]="No","NOT NULL","NULL")=VLOOKUP(A366,[2]Model!C$2:I$228,6,FALSE)</f>
        <v>#REF!</v>
      </c>
      <c r="T366" s="58" t="e">
        <f>VLOOKUP(B366,[2]Table!A$2:F$415,1,FALSE)=[3]!Table14[[#This Row],[Physical Name of Attribute (Name of column in Table)
Supplied by DA Team]]</f>
        <v>#N/A</v>
      </c>
      <c r="U366" s="58" t="e">
        <f>VLOOKUP(B366,[2]Table!A$2:F$319,2,FALSE)=[4]!Table14[[#This Row],[Data type in Oracle
VARCHAR2(n), DATE, NUMBER(m,n), TIMETSTAMP(6)]]</f>
        <v>#N/A</v>
      </c>
      <c r="V366" s="58" t="e">
        <f>VLOOKUP(B366,[2]Table!A$2:F$231,3,FALSE)=[4]!Table14[[#This Row],[Nullable in Table and in Oracle View
NULL, NOT NULL]]</f>
        <v>#N/A</v>
      </c>
      <c r="W366" s="58" t="e">
        <f>VLOOKUP(B366,[2]Table!A$2:H$228,6,FALSE)=[4]!Table14[[#This Row],[Business Definition (To go into comments and into Meta Data Hub)]]</f>
        <v>#N/A</v>
      </c>
      <c r="X366" s="58" t="e">
        <f>VLOOKUP((UPPER(SUBSTITUTE(A366," ","_"))),'[2]Consumer View'!A$2:I$329,1,FALSE)</f>
        <v>#N/A</v>
      </c>
      <c r="Y366" s="51" t="s">
        <v>1759</v>
      </c>
      <c r="Z366" s="18" t="s">
        <v>548</v>
      </c>
      <c r="AA366" s="18" t="s">
        <v>1912</v>
      </c>
      <c r="AB366" s="18"/>
      <c r="AC366" s="18"/>
      <c r="AD366" s="51" t="s">
        <v>1762</v>
      </c>
      <c r="AE366" s="46"/>
      <c r="AF366" s="18"/>
      <c r="AG366" s="18" t="s">
        <v>1763</v>
      </c>
      <c r="AH366" s="18" t="s">
        <v>178</v>
      </c>
    </row>
    <row r="367" spans="1:34" ht="27" customHeight="1">
      <c r="A367" s="105" t="s">
        <v>1913</v>
      </c>
      <c r="B367" s="51" t="s">
        <v>1914</v>
      </c>
      <c r="C367" s="51" t="s">
        <v>1915</v>
      </c>
      <c r="D367" s="105" t="s">
        <v>90</v>
      </c>
      <c r="E367" s="105" t="s">
        <v>63</v>
      </c>
      <c r="F367" s="105" t="s">
        <v>91</v>
      </c>
      <c r="G367" s="108" t="s">
        <v>63</v>
      </c>
      <c r="H367" s="52" t="s">
        <v>1916</v>
      </c>
      <c r="I367" s="18"/>
      <c r="J367" s="51" t="s">
        <v>1309</v>
      </c>
      <c r="K367" s="18"/>
      <c r="L367" s="110">
        <v>2674782</v>
      </c>
      <c r="M367" s="110">
        <v>2674782</v>
      </c>
      <c r="N367" s="18"/>
      <c r="O367" s="18" t="b">
        <f>VLOOKUP(A367,[1]Model!C$2:J$559,2,FALSE)=B367</f>
        <v>1</v>
      </c>
      <c r="P367" s="18" t="e">
        <f>VLOOKUP(A367,[2]Model!C$2:G$208,5,FALSE)=D367</f>
        <v>#N/A</v>
      </c>
      <c r="Q367" s="18" t="e">
        <f>VLOOKUP(A367,[2]Model!C$2:L$228,8,FALSE)</f>
        <v>#N/A</v>
      </c>
      <c r="R367" s="18" t="e">
        <f>VLOOKUP(A367,[2]Model!C$2:G$228,3,FALSE)=[3]!Table14[[#This Row],[Business Definition (To go into comments and into Meta Data Hub)]]</f>
        <v>#N/A</v>
      </c>
      <c r="S367" s="18" t="e">
        <f>IF([3]!Table14[[#This Row],[Nullable in Table and in Oracle View
NULL, NOT NULL]]="No","NOT NULL","NULL")=VLOOKUP(A367,[2]Model!C$2:I$228,6,FALSE)</f>
        <v>#REF!</v>
      </c>
      <c r="T367" s="58" t="e">
        <f>VLOOKUP(B367,[2]Table!A$2:F$415,1,FALSE)=[3]!Table14[[#This Row],[Physical Name of Attribute (Name of column in Table)
Supplied by DA Team]]</f>
        <v>#N/A</v>
      </c>
      <c r="U367" s="58" t="e">
        <f>VLOOKUP(B367,[2]Table!A$2:F$319,2,FALSE)=[4]!Table14[[#This Row],[Data type in Oracle
VARCHAR2(n), DATE, NUMBER(m,n), TIMETSTAMP(6)]]</f>
        <v>#N/A</v>
      </c>
      <c r="V367" s="58" t="e">
        <f>VLOOKUP(B367,[2]Table!A$2:F$231,3,FALSE)=[4]!Table14[[#This Row],[Nullable in Table and in Oracle View
NULL, NOT NULL]]</f>
        <v>#N/A</v>
      </c>
      <c r="W367" s="58" t="e">
        <f>VLOOKUP(B367,[2]Table!A$2:H$228,6,FALSE)=[4]!Table14[[#This Row],[Business Definition (To go into comments and into Meta Data Hub)]]</f>
        <v>#N/A</v>
      </c>
      <c r="X367" s="58" t="e">
        <f>VLOOKUP((UPPER(SUBSTITUTE(A367," ","_"))),'[2]Consumer View'!A$2:I$329,1,FALSE)</f>
        <v>#N/A</v>
      </c>
      <c r="Y367" s="51" t="s">
        <v>1759</v>
      </c>
      <c r="Z367" s="18" t="s">
        <v>548</v>
      </c>
      <c r="AA367" s="18" t="s">
        <v>1917</v>
      </c>
      <c r="AB367" s="18"/>
      <c r="AC367" s="18"/>
      <c r="AD367" s="51" t="s">
        <v>1762</v>
      </c>
      <c r="AE367" s="46"/>
      <c r="AF367" s="18"/>
      <c r="AG367" s="18" t="s">
        <v>1763</v>
      </c>
      <c r="AH367" s="18" t="s">
        <v>178</v>
      </c>
    </row>
    <row r="368" spans="1:34" ht="27" customHeight="1">
      <c r="A368" s="105" t="s">
        <v>1918</v>
      </c>
      <c r="B368" s="94" t="s">
        <v>1919</v>
      </c>
      <c r="C368" s="51" t="s">
        <v>1920</v>
      </c>
      <c r="D368" s="107" t="s">
        <v>1453</v>
      </c>
      <c r="E368" s="107" t="s">
        <v>63</v>
      </c>
      <c r="F368" s="107" t="s">
        <v>1454</v>
      </c>
      <c r="G368" s="111" t="s">
        <v>63</v>
      </c>
      <c r="H368" s="102" t="s">
        <v>1921</v>
      </c>
      <c r="I368" s="87"/>
      <c r="J368" s="51" t="s">
        <v>1309</v>
      </c>
      <c r="K368" s="87"/>
      <c r="L368" s="110">
        <v>2674782</v>
      </c>
      <c r="M368" s="110">
        <v>2674782</v>
      </c>
      <c r="N368" s="87"/>
      <c r="O368" s="87" t="b">
        <f>VLOOKUP(A368,[1]Model!C$2:J$559,2,FALSE)=B368</f>
        <v>1</v>
      </c>
      <c r="P368" s="87" t="e">
        <f>VLOOKUP(A368,[2]Model!C$2:G$208,5,FALSE)=D368</f>
        <v>#N/A</v>
      </c>
      <c r="Q368" s="87" t="e">
        <f>VLOOKUP(A368,[2]Model!C$2:L$228,8,FALSE)</f>
        <v>#N/A</v>
      </c>
      <c r="R368" s="87" t="e">
        <f>VLOOKUP(A368,[2]Model!C$2:G$228,3,FALSE)=[3]!Table14[[#This Row],[Business Definition (To go into comments and into Meta Data Hub)]]</f>
        <v>#N/A</v>
      </c>
      <c r="S368" s="87" t="e">
        <f>IF([3]!Table14[[#This Row],[Nullable in Table and in Oracle View
NULL, NOT NULL]]="No","NOT NULL","NULL")=VLOOKUP(A368,[2]Model!C$2:I$228,6,FALSE)</f>
        <v>#REF!</v>
      </c>
      <c r="T368" s="88" t="e">
        <f>VLOOKUP(B368,[2]Table!A$2:F$415,1,FALSE)=[3]!Table14[[#This Row],[Physical Name of Attribute (Name of column in Table)
Supplied by DA Team]]</f>
        <v>#N/A</v>
      </c>
      <c r="U368" s="88" t="e">
        <f>VLOOKUP(B368,[2]Table!A$2:F$319,2,FALSE)=[4]!Table14[[#This Row],[Data type in Oracle
VARCHAR2(n), DATE, NUMBER(m,n), TIMETSTAMP(6)]]</f>
        <v>#N/A</v>
      </c>
      <c r="V368" s="88" t="e">
        <f>VLOOKUP(B368,[2]Table!A$2:F$231,3,FALSE)=[4]!Table14[[#This Row],[Nullable in Table and in Oracle View
NULL, NOT NULL]]</f>
        <v>#N/A</v>
      </c>
      <c r="W368" s="88" t="e">
        <f>VLOOKUP(B368,[2]Table!A$2:H$228,6,FALSE)=[4]!Table14[[#This Row],[Business Definition (To go into comments and into Meta Data Hub)]]</f>
        <v>#N/A</v>
      </c>
      <c r="X368" s="88" t="e">
        <f>VLOOKUP((UPPER(SUBSTITUTE(A368," ","_"))),'[2]Consumer View'!A$2:I$329,1,FALSE)</f>
        <v>#N/A</v>
      </c>
      <c r="Y368" s="94" t="s">
        <v>1759</v>
      </c>
      <c r="Z368" s="87" t="s">
        <v>548</v>
      </c>
      <c r="AA368" s="87" t="s">
        <v>1922</v>
      </c>
      <c r="AB368" s="87"/>
      <c r="AC368" s="87"/>
      <c r="AD368" s="94" t="s">
        <v>1762</v>
      </c>
      <c r="AE368" s="83"/>
      <c r="AF368" s="87"/>
      <c r="AG368" s="87" t="s">
        <v>1763</v>
      </c>
      <c r="AH368" s="87" t="s">
        <v>178</v>
      </c>
    </row>
    <row r="369" spans="1:34" ht="27" customHeight="1">
      <c r="A369" s="105" t="s">
        <v>1923</v>
      </c>
      <c r="B369" s="51" t="s">
        <v>1924</v>
      </c>
      <c r="C369" s="51" t="s">
        <v>1925</v>
      </c>
      <c r="D369" s="116" t="s">
        <v>268</v>
      </c>
      <c r="E369" s="116" t="s">
        <v>63</v>
      </c>
      <c r="F369" s="116" t="s">
        <v>269</v>
      </c>
      <c r="G369" s="116" t="s">
        <v>63</v>
      </c>
      <c r="H369" s="91" t="s">
        <v>1926</v>
      </c>
      <c r="I369" s="94"/>
      <c r="J369" s="51" t="s">
        <v>1309</v>
      </c>
      <c r="K369" s="87"/>
      <c r="L369" s="109">
        <v>2674782</v>
      </c>
      <c r="M369" s="109">
        <v>2674782</v>
      </c>
      <c r="N369" s="87"/>
      <c r="O369" s="87" t="b">
        <f>VLOOKUP(A369,[1]Model!C$2:J$559,2,FALSE)=B369</f>
        <v>1</v>
      </c>
      <c r="P369" s="87" t="e">
        <f>VLOOKUP(A369,[2]Model!C$2:G$208,5,FALSE)=D369</f>
        <v>#N/A</v>
      </c>
      <c r="Q369" s="87" t="e">
        <f>VLOOKUP(A369,[2]Model!C$2:L$228,8,FALSE)</f>
        <v>#N/A</v>
      </c>
      <c r="R369" s="87" t="e">
        <f>VLOOKUP(A369,[2]Model!C$2:G$228,3,FALSE)=[3]!Table14[[#This Row],[Business Definition (To go into comments and into Meta Data Hub)]]</f>
        <v>#N/A</v>
      </c>
      <c r="S369" s="87" t="e">
        <f>IF([3]!Table14[[#This Row],[Nullable in Table and in Oracle View
NULL, NOT NULL]]="No","NOT NULL","NULL")=VLOOKUP(A369,[2]Model!C$2:I$228,6,FALSE)</f>
        <v>#REF!</v>
      </c>
      <c r="T369" s="88" t="e">
        <f>VLOOKUP(B369,[2]Table!A$2:F$415,1,FALSE)=[3]!Table14[[#This Row],[Physical Name of Attribute (Name of column in Table)
Supplied by DA Team]]</f>
        <v>#N/A</v>
      </c>
      <c r="U369" s="88" t="e">
        <f>VLOOKUP(B369,[2]Table!A$2:F$319,2,FALSE)=[4]!Table14[[#This Row],[Data type in Oracle
VARCHAR2(n), DATE, NUMBER(m,n), TIMETSTAMP(6)]]</f>
        <v>#N/A</v>
      </c>
      <c r="V369" s="88" t="e">
        <f>VLOOKUP(B369,[2]Table!A$2:F$231,3,FALSE)=[4]!Table14[[#This Row],[Nullable in Table and in Oracle View
NULL, NOT NULL]]</f>
        <v>#N/A</v>
      </c>
      <c r="W369" s="88" t="e">
        <f>VLOOKUP(B369,[2]Table!A$2:H$228,6,FALSE)=[4]!Table14[[#This Row],[Business Definition (To go into comments and into Meta Data Hub)]]</f>
        <v>#N/A</v>
      </c>
      <c r="X369" s="88" t="e">
        <f>VLOOKUP((UPPER(SUBSTITUTE(A369," ","_"))),'[2]Consumer View'!A$2:I$329,1,FALSE)</f>
        <v>#N/A</v>
      </c>
      <c r="Y369" s="94" t="s">
        <v>6</v>
      </c>
      <c r="Z369" s="94" t="s">
        <v>184</v>
      </c>
      <c r="AA369" s="94" t="s">
        <v>1927</v>
      </c>
      <c r="AB369" s="87"/>
      <c r="AC369" s="87"/>
      <c r="AD369" s="102" t="s">
        <v>1928</v>
      </c>
      <c r="AE369" s="83"/>
      <c r="AF369" s="87"/>
      <c r="AG369" s="87" t="s">
        <v>1507</v>
      </c>
      <c r="AH369" s="87" t="s">
        <v>178</v>
      </c>
    </row>
    <row r="370" spans="1:34" ht="27" customHeight="1">
      <c r="A370" s="105" t="s">
        <v>1929</v>
      </c>
      <c r="B370" s="51" t="s">
        <v>1930</v>
      </c>
      <c r="C370" s="51" t="s">
        <v>1931</v>
      </c>
      <c r="D370" s="116" t="s">
        <v>464</v>
      </c>
      <c r="E370" s="116" t="s">
        <v>63</v>
      </c>
      <c r="F370" s="116" t="s">
        <v>465</v>
      </c>
      <c r="G370" s="116" t="s">
        <v>63</v>
      </c>
      <c r="H370" s="91" t="s">
        <v>1932</v>
      </c>
      <c r="I370" s="94"/>
      <c r="J370" s="51" t="s">
        <v>1309</v>
      </c>
      <c r="K370" s="87"/>
      <c r="L370" s="109">
        <v>2674782</v>
      </c>
      <c r="M370" s="109">
        <v>2674782</v>
      </c>
      <c r="N370" s="87"/>
      <c r="O370" s="87" t="b">
        <f>VLOOKUP(A370,[1]Model!C$2:J$559,2,FALSE)=B370</f>
        <v>1</v>
      </c>
      <c r="P370" s="87" t="e">
        <f>VLOOKUP(A370,[2]Model!C$2:G$208,5,FALSE)=D370</f>
        <v>#N/A</v>
      </c>
      <c r="Q370" s="87" t="e">
        <f>VLOOKUP(A370,[2]Model!C$2:L$228,8,FALSE)</f>
        <v>#N/A</v>
      </c>
      <c r="R370" s="87" t="e">
        <f>VLOOKUP(A370,[2]Model!C$2:G$228,3,FALSE)=[3]!Table14[[#This Row],[Business Definition (To go into comments and into Meta Data Hub)]]</f>
        <v>#N/A</v>
      </c>
      <c r="S370" s="87" t="e">
        <f>IF([3]!Table14[[#This Row],[Nullable in Table and in Oracle View
NULL, NOT NULL]]="No","NOT NULL","NULL")=VLOOKUP(A370,[2]Model!C$2:I$228,6,FALSE)</f>
        <v>#REF!</v>
      </c>
      <c r="T370" s="88" t="e">
        <f>VLOOKUP(B370,[2]Table!A$2:F$415,1,FALSE)=[3]!Table14[[#This Row],[Physical Name of Attribute (Name of column in Table)
Supplied by DA Team]]</f>
        <v>#N/A</v>
      </c>
      <c r="U370" s="88" t="e">
        <f>VLOOKUP(B370,[2]Table!A$2:F$319,2,FALSE)=[4]!Table14[[#This Row],[Data type in Oracle
VARCHAR2(n), DATE, NUMBER(m,n), TIMETSTAMP(6)]]</f>
        <v>#N/A</v>
      </c>
      <c r="V370" s="88" t="e">
        <f>VLOOKUP(B370,[2]Table!A$2:F$231,3,FALSE)=[4]!Table14[[#This Row],[Nullable in Table and in Oracle View
NULL, NOT NULL]]</f>
        <v>#N/A</v>
      </c>
      <c r="W370" s="88" t="e">
        <f>VLOOKUP(B370,[2]Table!A$2:H$228,6,FALSE)=[4]!Table14[[#This Row],[Business Definition (To go into comments and into Meta Data Hub)]]</f>
        <v>#N/A</v>
      </c>
      <c r="X370" s="88" t="e">
        <f>VLOOKUP((UPPER(SUBSTITUTE(A370," ","_"))),'[2]Consumer View'!A$2:I$329,1,FALSE)</f>
        <v>#N/A</v>
      </c>
      <c r="Y370" s="94" t="s">
        <v>6</v>
      </c>
      <c r="Z370" s="94" t="s">
        <v>1933</v>
      </c>
      <c r="AA370" s="94" t="s">
        <v>1934</v>
      </c>
      <c r="AB370" s="87"/>
      <c r="AC370" s="87"/>
      <c r="AD370" s="102" t="s">
        <v>1935</v>
      </c>
      <c r="AE370" s="83"/>
      <c r="AF370" s="87"/>
      <c r="AG370" s="87" t="s">
        <v>1507</v>
      </c>
      <c r="AH370" s="87" t="s">
        <v>178</v>
      </c>
    </row>
    <row r="371" spans="1:34" ht="58.2" thickBot="1">
      <c r="A371" s="51" t="s">
        <v>1936</v>
      </c>
      <c r="B371" s="51" t="s">
        <v>1937</v>
      </c>
      <c r="C371" s="51" t="s">
        <v>1938</v>
      </c>
      <c r="D371" s="18" t="s">
        <v>559</v>
      </c>
      <c r="E371" s="18" t="s">
        <v>63</v>
      </c>
      <c r="F371" s="18" t="s">
        <v>560</v>
      </c>
      <c r="G371" s="45" t="s">
        <v>63</v>
      </c>
      <c r="H371" s="137" t="s">
        <v>1939</v>
      </c>
      <c r="I371" s="18"/>
      <c r="J371" s="51" t="s">
        <v>1309</v>
      </c>
      <c r="K371" s="18"/>
      <c r="L371">
        <v>2737245</v>
      </c>
      <c r="M371" s="18">
        <v>2674782</v>
      </c>
      <c r="N371" s="18"/>
      <c r="O371" s="18" t="e">
        <f>VLOOKUP(A371,[1]Model!C$2:J$559,2,FALSE)=B371</f>
        <v>#N/A</v>
      </c>
      <c r="P371" s="18" t="e">
        <f>VLOOKUP(A371,[1]Model!C$2:G$228,5,FALSE)=D371</f>
        <v>#N/A</v>
      </c>
      <c r="Q371" s="18" t="e">
        <f>VLOOKUP(A371,[2]Model!C$2:L$228,8,FALSE)</f>
        <v>#N/A</v>
      </c>
      <c r="R371" s="18" t="e">
        <f>VLOOKUP(A371,[2]Model!C$2:G$228,3,FALSE)=[3]!Table14[[#This Row],[Business Definition (To go into comments and into Meta Data Hub)]]</f>
        <v>#N/A</v>
      </c>
      <c r="S371" s="18" t="e">
        <f>IF([3]!Table14[[#This Row],[Nullable in Table and in Oracle View
NULL, NOT NULL]]="No","NOT NULL","NULL")=VLOOKUP(A371,[2]Model!C$2:I$228,6,FALSE)</f>
        <v>#REF!</v>
      </c>
      <c r="T371" s="58" t="e">
        <f>VLOOKUP(B371,[2]Table!A$2:F$415,1,FALSE)=[3]!Table14[[#This Row],[Physical Name of Attribute (Name of column in Table)
Supplied by DA Team]]</f>
        <v>#N/A</v>
      </c>
      <c r="U371" s="58" t="e">
        <f>VLOOKUP(B371,[1]Table!A$2:F$319,2,FALSE)=[1]!Table1[[#This Row],[Data type in Oracle
VARCHAR2(n), DATE, NUMBER(m,n), TIMETSTAMP(6)]]</f>
        <v>#N/A</v>
      </c>
      <c r="V371" s="58" t="e">
        <f>VLOOKUP(B371,[1]Table!A$2:F$231,3,FALSE)=[1]!Table1[[#This Row],[Nullable in Table and in Oracle View
NULL, NOT NULL]]</f>
        <v>#N/A</v>
      </c>
      <c r="W371" s="58" t="e">
        <f>VLOOKUP(B371,[1]Table!A$2:H$228,6,FALSE)=[1]!Table1[[#This Row],[Business Definition (To go into comments and into Meta Data Hub)]]</f>
        <v>#N/A</v>
      </c>
      <c r="X371" s="58" t="e">
        <f>VLOOKUP((UPPER(SUBSTITUTE(A371," ","_"))),'[2]Consumer View'!A$2:I$329,1,FALSE)</f>
        <v>#N/A</v>
      </c>
      <c r="Y371" s="18" t="s">
        <v>68</v>
      </c>
      <c r="Z371" s="18" t="s">
        <v>375</v>
      </c>
      <c r="AA371" s="18" t="s">
        <v>907</v>
      </c>
      <c r="AB371" s="18"/>
      <c r="AC371" s="18"/>
      <c r="AD371" s="46" t="s">
        <v>1940</v>
      </c>
      <c r="AE371" s="46"/>
      <c r="AF371" s="18"/>
      <c r="AG371" s="18"/>
      <c r="AH371" s="18" t="s">
        <v>71</v>
      </c>
    </row>
    <row r="372" spans="1:34" ht="58.2" thickBot="1">
      <c r="A372" s="51" t="s">
        <v>1941</v>
      </c>
      <c r="B372" s="51" t="s">
        <v>1942</v>
      </c>
      <c r="C372" s="51" t="s">
        <v>1943</v>
      </c>
      <c r="D372" s="18" t="s">
        <v>559</v>
      </c>
      <c r="E372" s="18" t="s">
        <v>63</v>
      </c>
      <c r="F372" s="18" t="s">
        <v>560</v>
      </c>
      <c r="G372" s="45" t="s">
        <v>63</v>
      </c>
      <c r="H372" s="137" t="s">
        <v>1944</v>
      </c>
      <c r="I372" s="18"/>
      <c r="J372" s="51" t="s">
        <v>1309</v>
      </c>
      <c r="K372" s="18"/>
      <c r="L372">
        <v>2737245</v>
      </c>
      <c r="M372" s="18">
        <v>2674782</v>
      </c>
      <c r="N372" s="18"/>
      <c r="O372" s="18" t="e">
        <f>VLOOKUP(A372,[1]Model!C$2:J$559,2,FALSE)=B372</f>
        <v>#N/A</v>
      </c>
      <c r="P372" s="18" t="e">
        <f>VLOOKUP(A372,[1]Model!C$2:G$228,5,FALSE)=D372</f>
        <v>#N/A</v>
      </c>
      <c r="Q372" s="18" t="e">
        <f>VLOOKUP(A372,[2]Model!C$2:L$228,8,FALSE)</f>
        <v>#N/A</v>
      </c>
      <c r="R372" s="18" t="e">
        <f>VLOOKUP(A372,[2]Model!C$2:G$228,3,FALSE)=[3]!Table14[[#This Row],[Business Definition (To go into comments and into Meta Data Hub)]]</f>
        <v>#N/A</v>
      </c>
      <c r="S372" s="18" t="e">
        <f>IF([3]!Table14[[#This Row],[Nullable in Table and in Oracle View
NULL, NOT NULL]]="No","NOT NULL","NULL")=VLOOKUP(A372,[2]Model!C$2:I$228,6,FALSE)</f>
        <v>#REF!</v>
      </c>
      <c r="T372" s="58" t="e">
        <f>VLOOKUP(B372,[2]Table!A$2:F$415,1,FALSE)=[3]!Table14[[#This Row],[Physical Name of Attribute (Name of column in Table)
Supplied by DA Team]]</f>
        <v>#N/A</v>
      </c>
      <c r="U372" s="58" t="e">
        <f>VLOOKUP(B372,[1]Table!A$2:F$319,2,FALSE)=[1]!Table1[[#This Row],[Data type in Oracle
VARCHAR2(n), DATE, NUMBER(m,n), TIMETSTAMP(6)]]</f>
        <v>#N/A</v>
      </c>
      <c r="V372" s="58" t="e">
        <f>VLOOKUP(B372,[1]Table!A$2:F$231,3,FALSE)=[1]!Table1[[#This Row],[Nullable in Table and in Oracle View
NULL, NOT NULL]]</f>
        <v>#N/A</v>
      </c>
      <c r="W372" s="58" t="e">
        <f>VLOOKUP(B372,[1]Table!A$2:H$228,6,FALSE)=[1]!Table1[[#This Row],[Business Definition (To go into comments and into Meta Data Hub)]]</f>
        <v>#N/A</v>
      </c>
      <c r="X372" s="58" t="e">
        <f>VLOOKUP((UPPER(SUBSTITUTE(A372," ","_"))),'[2]Consumer View'!A$2:I$329,1,FALSE)</f>
        <v>#N/A</v>
      </c>
      <c r="Y372" s="18" t="s">
        <v>68</v>
      </c>
      <c r="Z372" s="18" t="s">
        <v>375</v>
      </c>
      <c r="AA372" s="18" t="s">
        <v>907</v>
      </c>
      <c r="AB372" s="18"/>
      <c r="AC372" s="18"/>
      <c r="AD372" s="46" t="s">
        <v>1945</v>
      </c>
      <c r="AE372" s="46"/>
      <c r="AF372" s="18"/>
      <c r="AG372" s="18"/>
      <c r="AH372" s="18" t="s">
        <v>71</v>
      </c>
    </row>
    <row r="373" spans="1:34" ht="72.599999999999994" thickBot="1">
      <c r="A373" s="51" t="s">
        <v>1946</v>
      </c>
      <c r="B373" s="51" t="s">
        <v>1947</v>
      </c>
      <c r="C373" s="51" t="s">
        <v>1948</v>
      </c>
      <c r="D373" s="18" t="s">
        <v>559</v>
      </c>
      <c r="E373" s="18" t="s">
        <v>63</v>
      </c>
      <c r="F373" s="18" t="s">
        <v>560</v>
      </c>
      <c r="G373" s="45" t="s">
        <v>63</v>
      </c>
      <c r="H373" s="137" t="s">
        <v>1949</v>
      </c>
      <c r="I373" s="18"/>
      <c r="J373" s="51" t="s">
        <v>1309</v>
      </c>
      <c r="K373" s="18"/>
      <c r="L373">
        <v>2737245</v>
      </c>
      <c r="M373" s="18">
        <v>2674782</v>
      </c>
      <c r="N373" s="18"/>
      <c r="O373" s="18" t="e">
        <f>VLOOKUP(A373,[1]Model!C$2:J$559,2,FALSE)=B373</f>
        <v>#N/A</v>
      </c>
      <c r="P373" s="18" t="e">
        <f>VLOOKUP(A373,[1]Model!C$2:G$228,5,FALSE)=D373</f>
        <v>#N/A</v>
      </c>
      <c r="Q373" s="18" t="e">
        <f>VLOOKUP(A373,[2]Model!C$2:L$228,8,FALSE)</f>
        <v>#N/A</v>
      </c>
      <c r="R373" s="18" t="e">
        <f>VLOOKUP(A373,[2]Model!C$2:G$228,3,FALSE)=[3]!Table14[[#This Row],[Business Definition (To go into comments and into Meta Data Hub)]]</f>
        <v>#N/A</v>
      </c>
      <c r="S373" s="18" t="e">
        <f>IF([3]!Table14[[#This Row],[Nullable in Table and in Oracle View
NULL, NOT NULL]]="No","NOT NULL","NULL")=VLOOKUP(A373,[2]Model!C$2:I$228,6,FALSE)</f>
        <v>#REF!</v>
      </c>
      <c r="T373" s="58" t="e">
        <f>VLOOKUP(B373,[2]Table!A$2:F$415,1,FALSE)=[3]!Table14[[#This Row],[Physical Name of Attribute (Name of column in Table)
Supplied by DA Team]]</f>
        <v>#N/A</v>
      </c>
      <c r="U373" s="58" t="e">
        <f>VLOOKUP(B373,[1]Table!A$2:F$319,2,FALSE)=[1]!Table1[[#This Row],[Data type in Oracle
VARCHAR2(n), DATE, NUMBER(m,n), TIMETSTAMP(6)]]</f>
        <v>#N/A</v>
      </c>
      <c r="V373" s="58" t="e">
        <f>VLOOKUP(B373,[1]Table!A$2:F$231,3,FALSE)=[1]!Table1[[#This Row],[Nullable in Table and in Oracle View
NULL, NOT NULL]]</f>
        <v>#N/A</v>
      </c>
      <c r="W373" s="58" t="e">
        <f>VLOOKUP(B373,[1]Table!A$2:H$228,6,FALSE)=[1]!Table1[[#This Row],[Business Definition (To go into comments and into Meta Data Hub)]]</f>
        <v>#N/A</v>
      </c>
      <c r="X373" s="58" t="e">
        <f>VLOOKUP((UPPER(SUBSTITUTE(A373," ","_"))),'[2]Consumer View'!A$2:I$329,1,FALSE)</f>
        <v>#N/A</v>
      </c>
      <c r="Y373" s="18" t="s">
        <v>68</v>
      </c>
      <c r="Z373" s="18" t="s">
        <v>375</v>
      </c>
      <c r="AA373" s="18" t="s">
        <v>907</v>
      </c>
      <c r="AB373" s="18"/>
      <c r="AC373" s="18"/>
      <c r="AD373" s="46" t="s">
        <v>1950</v>
      </c>
      <c r="AE373" s="46"/>
      <c r="AF373" s="18"/>
      <c r="AG373" s="18"/>
      <c r="AH373" s="18" t="s">
        <v>71</v>
      </c>
    </row>
    <row r="374" spans="1:34" ht="58.2" thickBot="1">
      <c r="A374" s="51" t="s">
        <v>1951</v>
      </c>
      <c r="B374" s="51" t="s">
        <v>1952</v>
      </c>
      <c r="C374" s="51" t="s">
        <v>1953</v>
      </c>
      <c r="D374" s="18" t="s">
        <v>559</v>
      </c>
      <c r="E374" s="18" t="s">
        <v>63</v>
      </c>
      <c r="F374" s="18" t="s">
        <v>560</v>
      </c>
      <c r="G374" s="45" t="s">
        <v>63</v>
      </c>
      <c r="H374" s="137" t="s">
        <v>1954</v>
      </c>
      <c r="I374" s="18"/>
      <c r="J374" s="51" t="s">
        <v>1309</v>
      </c>
      <c r="K374" s="18"/>
      <c r="L374">
        <v>2737245</v>
      </c>
      <c r="M374" s="18">
        <v>2674782</v>
      </c>
      <c r="N374" s="18"/>
      <c r="O374" s="18" t="e">
        <f>VLOOKUP(A374,[1]Model!C$2:J$559,2,FALSE)=B374</f>
        <v>#N/A</v>
      </c>
      <c r="P374" s="18" t="e">
        <f>VLOOKUP(A374,[1]Model!C$2:G$228,5,FALSE)=D374</f>
        <v>#N/A</v>
      </c>
      <c r="Q374" s="18" t="e">
        <f>VLOOKUP(A374,[2]Model!C$2:L$228,8,FALSE)</f>
        <v>#N/A</v>
      </c>
      <c r="R374" s="18" t="e">
        <f>VLOOKUP(A374,[2]Model!C$2:G$228,3,FALSE)=[3]!Table14[[#This Row],[Business Definition (To go into comments and into Meta Data Hub)]]</f>
        <v>#N/A</v>
      </c>
      <c r="S374" s="18" t="e">
        <f>IF([3]!Table14[[#This Row],[Nullable in Table and in Oracle View
NULL, NOT NULL]]="No","NOT NULL","NULL")=VLOOKUP(A374,[2]Model!C$2:I$228,6,FALSE)</f>
        <v>#REF!</v>
      </c>
      <c r="T374" s="58" t="e">
        <f>VLOOKUP(B374,[2]Table!A$2:F$415,1,FALSE)=[3]!Table14[[#This Row],[Physical Name of Attribute (Name of column in Table)
Supplied by DA Team]]</f>
        <v>#N/A</v>
      </c>
      <c r="U374" s="58" t="e">
        <f>VLOOKUP(B374,[1]Table!A$2:F$319,2,FALSE)=[1]!Table1[[#This Row],[Data type in Oracle
VARCHAR2(n), DATE, NUMBER(m,n), TIMETSTAMP(6)]]</f>
        <v>#N/A</v>
      </c>
      <c r="V374" s="58" t="e">
        <f>VLOOKUP(B374,[1]Table!A$2:F$231,3,FALSE)=[1]!Table1[[#This Row],[Nullable in Table and in Oracle View
NULL, NOT NULL]]</f>
        <v>#N/A</v>
      </c>
      <c r="W374" s="58" t="e">
        <f>VLOOKUP(B374,[1]Table!A$2:H$228,6,FALSE)=[1]!Table1[[#This Row],[Business Definition (To go into comments and into Meta Data Hub)]]</f>
        <v>#N/A</v>
      </c>
      <c r="X374" s="58" t="e">
        <f>VLOOKUP((UPPER(SUBSTITUTE(A374," ","_"))),'[2]Consumer View'!A$2:I$329,1,FALSE)</f>
        <v>#N/A</v>
      </c>
      <c r="Y374" s="18" t="s">
        <v>68</v>
      </c>
      <c r="Z374" s="18" t="s">
        <v>375</v>
      </c>
      <c r="AA374" s="18" t="s">
        <v>907</v>
      </c>
      <c r="AB374" s="18"/>
      <c r="AC374" s="18"/>
      <c r="AD374" s="46" t="s">
        <v>1955</v>
      </c>
      <c r="AE374" s="46"/>
      <c r="AF374" s="18"/>
      <c r="AG374" s="18"/>
      <c r="AH374" s="18" t="s">
        <v>71</v>
      </c>
    </row>
    <row r="375" spans="1:34" ht="58.2" thickBot="1">
      <c r="A375" s="51" t="s">
        <v>1956</v>
      </c>
      <c r="B375" s="51" t="s">
        <v>1957</v>
      </c>
      <c r="C375" s="51" t="s">
        <v>1958</v>
      </c>
      <c r="D375" s="18" t="s">
        <v>559</v>
      </c>
      <c r="E375" s="18" t="s">
        <v>63</v>
      </c>
      <c r="F375" s="18" t="s">
        <v>560</v>
      </c>
      <c r="G375" s="45" t="s">
        <v>63</v>
      </c>
      <c r="H375" s="137" t="s">
        <v>1959</v>
      </c>
      <c r="I375" s="18"/>
      <c r="J375" s="51" t="s">
        <v>1309</v>
      </c>
      <c r="K375" s="18"/>
      <c r="L375">
        <v>2737245</v>
      </c>
      <c r="M375" s="18">
        <v>2674782</v>
      </c>
      <c r="N375" s="18"/>
      <c r="O375" s="18" t="e">
        <f>VLOOKUP(A375,[1]Model!C$2:J$559,2,FALSE)=B375</f>
        <v>#N/A</v>
      </c>
      <c r="P375" s="18" t="e">
        <f>VLOOKUP(A375,[1]Model!C$2:G$228,5,FALSE)=D375</f>
        <v>#N/A</v>
      </c>
      <c r="Q375" s="18" t="e">
        <f>VLOOKUP(A375,[2]Model!C$2:L$228,8,FALSE)</f>
        <v>#N/A</v>
      </c>
      <c r="R375" s="18" t="e">
        <f>VLOOKUP(A375,[2]Model!C$2:G$228,3,FALSE)=[3]!Table14[[#This Row],[Business Definition (To go into comments and into Meta Data Hub)]]</f>
        <v>#N/A</v>
      </c>
      <c r="S375" s="18" t="e">
        <f>IF([3]!Table14[[#This Row],[Nullable in Table and in Oracle View
NULL, NOT NULL]]="No","NOT NULL","NULL")=VLOOKUP(A375,[2]Model!C$2:I$228,6,FALSE)</f>
        <v>#REF!</v>
      </c>
      <c r="T375" s="58" t="e">
        <f>VLOOKUP(B375,[2]Table!A$2:F$415,1,FALSE)=[3]!Table14[[#This Row],[Physical Name of Attribute (Name of column in Table)
Supplied by DA Team]]</f>
        <v>#N/A</v>
      </c>
      <c r="U375" s="58" t="e">
        <f>VLOOKUP(B375,[1]Table!A$2:F$319,2,FALSE)=[1]!Table1[[#This Row],[Data type in Oracle
VARCHAR2(n), DATE, NUMBER(m,n), TIMETSTAMP(6)]]</f>
        <v>#N/A</v>
      </c>
      <c r="V375" s="58" t="e">
        <f>VLOOKUP(B375,[1]Table!A$2:F$231,3,FALSE)=[1]!Table1[[#This Row],[Nullable in Table and in Oracle View
NULL, NOT NULL]]</f>
        <v>#N/A</v>
      </c>
      <c r="W375" s="58" t="e">
        <f>VLOOKUP(B375,[1]Table!A$2:H$228,6,FALSE)=[1]!Table1[[#This Row],[Business Definition (To go into comments and into Meta Data Hub)]]</f>
        <v>#N/A</v>
      </c>
      <c r="X375" s="58" t="e">
        <f>VLOOKUP((UPPER(SUBSTITUTE(A375," ","_"))),'[2]Consumer View'!A$2:I$329,1,FALSE)</f>
        <v>#N/A</v>
      </c>
      <c r="Y375" s="18" t="s">
        <v>68</v>
      </c>
      <c r="Z375" s="18" t="s">
        <v>375</v>
      </c>
      <c r="AA375" s="18" t="s">
        <v>907</v>
      </c>
      <c r="AB375" s="18"/>
      <c r="AC375" s="18"/>
      <c r="AD375" s="46" t="s">
        <v>1960</v>
      </c>
      <c r="AE375" s="46"/>
      <c r="AF375" s="18"/>
      <c r="AG375" s="18"/>
      <c r="AH375" s="18" t="s">
        <v>71</v>
      </c>
    </row>
    <row r="376" spans="1:34" ht="58.2" thickBot="1">
      <c r="A376" s="51" t="s">
        <v>1961</v>
      </c>
      <c r="B376" s="51" t="s">
        <v>1962</v>
      </c>
      <c r="C376" s="51" t="s">
        <v>1963</v>
      </c>
      <c r="D376" s="18" t="s">
        <v>559</v>
      </c>
      <c r="E376" s="18" t="s">
        <v>63</v>
      </c>
      <c r="F376" s="18" t="s">
        <v>560</v>
      </c>
      <c r="G376" s="45" t="s">
        <v>63</v>
      </c>
      <c r="H376" s="137" t="s">
        <v>1964</v>
      </c>
      <c r="I376" s="18"/>
      <c r="J376" s="51" t="s">
        <v>1309</v>
      </c>
      <c r="K376" s="18"/>
      <c r="L376">
        <v>2737245</v>
      </c>
      <c r="M376" s="18">
        <v>2674782</v>
      </c>
      <c r="N376" s="18"/>
      <c r="O376" s="18" t="e">
        <f>VLOOKUP(A376,[1]Model!C$2:J$559,2,FALSE)=B376</f>
        <v>#N/A</v>
      </c>
      <c r="P376" s="18" t="e">
        <f>VLOOKUP(A376,[1]Model!C$2:G$228,5,FALSE)=D376</f>
        <v>#N/A</v>
      </c>
      <c r="Q376" s="18" t="e">
        <f>VLOOKUP(A376,[2]Model!C$2:L$228,8,FALSE)</f>
        <v>#N/A</v>
      </c>
      <c r="R376" s="18" t="e">
        <f>VLOOKUP(A376,[2]Model!C$2:G$228,3,FALSE)=[3]!Table14[[#This Row],[Business Definition (To go into comments and into Meta Data Hub)]]</f>
        <v>#N/A</v>
      </c>
      <c r="S376" s="18" t="e">
        <f>IF([3]!Table14[[#This Row],[Nullable in Table and in Oracle View
NULL, NOT NULL]]="No","NOT NULL","NULL")=VLOOKUP(A376,[2]Model!C$2:I$228,6,FALSE)</f>
        <v>#REF!</v>
      </c>
      <c r="T376" s="58" t="e">
        <f>VLOOKUP(B376,[2]Table!A$2:F$415,1,FALSE)=[3]!Table14[[#This Row],[Physical Name of Attribute (Name of column in Table)
Supplied by DA Team]]</f>
        <v>#N/A</v>
      </c>
      <c r="U376" s="58" t="e">
        <f>VLOOKUP(B376,[1]Table!A$2:F$319,2,FALSE)=[1]!Table1[[#This Row],[Data type in Oracle
VARCHAR2(n), DATE, NUMBER(m,n), TIMETSTAMP(6)]]</f>
        <v>#N/A</v>
      </c>
      <c r="V376" s="58" t="e">
        <f>VLOOKUP(B376,[1]Table!A$2:F$231,3,FALSE)=[1]!Table1[[#This Row],[Nullable in Table and in Oracle View
NULL, NOT NULL]]</f>
        <v>#N/A</v>
      </c>
      <c r="W376" s="58" t="e">
        <f>VLOOKUP(B376,[1]Table!A$2:H$228,6,FALSE)=[1]!Table1[[#This Row],[Business Definition (To go into comments and into Meta Data Hub)]]</f>
        <v>#N/A</v>
      </c>
      <c r="X376" s="58" t="e">
        <f>VLOOKUP((UPPER(SUBSTITUTE(A376," ","_"))),'[2]Consumer View'!A$2:I$329,1,FALSE)</f>
        <v>#N/A</v>
      </c>
      <c r="Y376" s="18" t="s">
        <v>68</v>
      </c>
      <c r="Z376" s="18" t="s">
        <v>375</v>
      </c>
      <c r="AA376" s="18" t="s">
        <v>907</v>
      </c>
      <c r="AB376" s="18"/>
      <c r="AC376" s="18"/>
      <c r="AD376" s="46" t="s">
        <v>1965</v>
      </c>
      <c r="AE376" s="46"/>
      <c r="AF376" s="18"/>
      <c r="AG376" s="18"/>
      <c r="AH376" s="18" t="s">
        <v>71</v>
      </c>
    </row>
    <row r="377" spans="1:34" ht="58.2" thickBot="1">
      <c r="A377" s="51" t="s">
        <v>1966</v>
      </c>
      <c r="B377" s="51" t="s">
        <v>1967</v>
      </c>
      <c r="C377" s="51" t="s">
        <v>1968</v>
      </c>
      <c r="D377" s="18" t="s">
        <v>559</v>
      </c>
      <c r="E377" s="18" t="s">
        <v>63</v>
      </c>
      <c r="F377" s="18" t="s">
        <v>560</v>
      </c>
      <c r="G377" s="45" t="s">
        <v>63</v>
      </c>
      <c r="H377" s="137" t="s">
        <v>1969</v>
      </c>
      <c r="I377" s="18"/>
      <c r="J377" s="51" t="s">
        <v>1309</v>
      </c>
      <c r="K377" s="18"/>
      <c r="L377">
        <v>2737245</v>
      </c>
      <c r="M377" s="18">
        <v>2674782</v>
      </c>
      <c r="N377" s="18"/>
      <c r="O377" s="18" t="e">
        <f>VLOOKUP(A377,[1]Model!C$2:J$559,2,FALSE)=B377</f>
        <v>#N/A</v>
      </c>
      <c r="P377" s="18" t="e">
        <f>VLOOKUP(A377,[1]Model!C$2:G$228,5,FALSE)=D377</f>
        <v>#N/A</v>
      </c>
      <c r="Q377" s="18" t="e">
        <f>VLOOKUP(A377,[2]Model!C$2:L$228,8,FALSE)</f>
        <v>#N/A</v>
      </c>
      <c r="R377" s="18" t="e">
        <f>VLOOKUP(A377,[2]Model!C$2:G$228,3,FALSE)=[3]!Table14[[#This Row],[Business Definition (To go into comments and into Meta Data Hub)]]</f>
        <v>#N/A</v>
      </c>
      <c r="S377" s="18" t="e">
        <f>IF([3]!Table14[[#This Row],[Nullable in Table and in Oracle View
NULL, NOT NULL]]="No","NOT NULL","NULL")=VLOOKUP(A377,[2]Model!C$2:I$228,6,FALSE)</f>
        <v>#REF!</v>
      </c>
      <c r="T377" s="58" t="e">
        <f>VLOOKUP(B377,[2]Table!A$2:F$415,1,FALSE)=[3]!Table14[[#This Row],[Physical Name of Attribute (Name of column in Table)
Supplied by DA Team]]</f>
        <v>#N/A</v>
      </c>
      <c r="U377" s="58" t="e">
        <f>VLOOKUP(B377,[1]Table!A$2:F$319,2,FALSE)=[1]!Table1[[#This Row],[Data type in Oracle
VARCHAR2(n), DATE, NUMBER(m,n), TIMETSTAMP(6)]]</f>
        <v>#N/A</v>
      </c>
      <c r="V377" s="58" t="e">
        <f>VLOOKUP(B377,[1]Table!A$2:F$231,3,FALSE)=[1]!Table1[[#This Row],[Nullable in Table and in Oracle View
NULL, NOT NULL]]</f>
        <v>#N/A</v>
      </c>
      <c r="W377" s="58" t="e">
        <f>VLOOKUP(B377,[1]Table!A$2:H$228,6,FALSE)=[1]!Table1[[#This Row],[Business Definition (To go into comments and into Meta Data Hub)]]</f>
        <v>#N/A</v>
      </c>
      <c r="X377" s="58" t="e">
        <f>VLOOKUP((UPPER(SUBSTITUTE(A377," ","_"))),'[2]Consumer View'!A$2:I$329,1,FALSE)</f>
        <v>#N/A</v>
      </c>
      <c r="Y377" s="18" t="s">
        <v>68</v>
      </c>
      <c r="Z377" s="18" t="s">
        <v>375</v>
      </c>
      <c r="AA377" s="18" t="s">
        <v>907</v>
      </c>
      <c r="AB377" s="18"/>
      <c r="AC377" s="18"/>
      <c r="AD377" s="46" t="s">
        <v>1970</v>
      </c>
      <c r="AE377" s="46"/>
      <c r="AF377" s="18"/>
      <c r="AG377" s="18"/>
      <c r="AH377" s="18" t="s">
        <v>71</v>
      </c>
    </row>
    <row r="378" spans="1:34" ht="72.599999999999994" thickBot="1">
      <c r="A378" s="51" t="s">
        <v>1971</v>
      </c>
      <c r="B378" s="51" t="s">
        <v>1972</v>
      </c>
      <c r="C378" s="51" t="s">
        <v>1973</v>
      </c>
      <c r="D378" s="18" t="s">
        <v>559</v>
      </c>
      <c r="E378" s="18" t="s">
        <v>63</v>
      </c>
      <c r="F378" s="18" t="s">
        <v>560</v>
      </c>
      <c r="G378" s="45" t="s">
        <v>63</v>
      </c>
      <c r="H378" s="137" t="s">
        <v>1974</v>
      </c>
      <c r="I378" s="18"/>
      <c r="J378" s="51" t="s">
        <v>1309</v>
      </c>
      <c r="K378" s="18"/>
      <c r="L378">
        <v>2737245</v>
      </c>
      <c r="M378" s="18">
        <v>2674782</v>
      </c>
      <c r="N378" s="18"/>
      <c r="O378" s="18" t="e">
        <f>VLOOKUP(A378,[1]Model!C$2:J$559,2,FALSE)=B378</f>
        <v>#N/A</v>
      </c>
      <c r="P378" s="18" t="e">
        <f>VLOOKUP(A378,[1]Model!C$2:G$228,5,FALSE)=D378</f>
        <v>#N/A</v>
      </c>
      <c r="Q378" s="18" t="e">
        <f>VLOOKUP(A378,[2]Model!C$2:L$228,8,FALSE)</f>
        <v>#N/A</v>
      </c>
      <c r="R378" s="18" t="e">
        <f>VLOOKUP(A378,[2]Model!C$2:G$228,3,FALSE)=[3]!Table14[[#This Row],[Business Definition (To go into comments and into Meta Data Hub)]]</f>
        <v>#N/A</v>
      </c>
      <c r="S378" s="18" t="e">
        <f>IF([3]!Table14[[#This Row],[Nullable in Table and in Oracle View
NULL, NOT NULL]]="No","NOT NULL","NULL")=VLOOKUP(A378,[2]Model!C$2:I$228,6,FALSE)</f>
        <v>#REF!</v>
      </c>
      <c r="T378" s="58" t="e">
        <f>VLOOKUP(B378,[2]Table!A$2:F$415,1,FALSE)=[3]!Table14[[#This Row],[Physical Name of Attribute (Name of column in Table)
Supplied by DA Team]]</f>
        <v>#N/A</v>
      </c>
      <c r="U378" s="58" t="e">
        <f>VLOOKUP(B378,[1]Table!A$2:F$319,2,FALSE)=[1]!Table1[[#This Row],[Data type in Oracle
VARCHAR2(n), DATE, NUMBER(m,n), TIMETSTAMP(6)]]</f>
        <v>#N/A</v>
      </c>
      <c r="V378" s="58" t="e">
        <f>VLOOKUP(B378,[1]Table!A$2:F$231,3,FALSE)=[1]!Table1[[#This Row],[Nullable in Table and in Oracle View
NULL, NOT NULL]]</f>
        <v>#N/A</v>
      </c>
      <c r="W378" s="58" t="e">
        <f>VLOOKUP(B378,[1]Table!A$2:H$228,6,FALSE)=[1]!Table1[[#This Row],[Business Definition (To go into comments and into Meta Data Hub)]]</f>
        <v>#N/A</v>
      </c>
      <c r="X378" s="58" t="e">
        <f>VLOOKUP((UPPER(SUBSTITUTE(A378," ","_"))),'[2]Consumer View'!A$2:I$329,1,FALSE)</f>
        <v>#N/A</v>
      </c>
      <c r="Y378" s="18" t="s">
        <v>68</v>
      </c>
      <c r="Z378" s="18" t="s">
        <v>375</v>
      </c>
      <c r="AA378" s="18" t="s">
        <v>907</v>
      </c>
      <c r="AB378" s="18"/>
      <c r="AC378" s="18"/>
      <c r="AD378" s="46" t="s">
        <v>1975</v>
      </c>
      <c r="AE378" s="46"/>
      <c r="AF378" s="18"/>
      <c r="AG378" s="18"/>
      <c r="AH378" s="18" t="s">
        <v>71</v>
      </c>
    </row>
    <row r="379" spans="1:34" ht="58.2" thickBot="1">
      <c r="A379" s="51" t="s">
        <v>1976</v>
      </c>
      <c r="B379" s="51" t="s">
        <v>1977</v>
      </c>
      <c r="C379" s="51" t="s">
        <v>1978</v>
      </c>
      <c r="D379" s="18" t="s">
        <v>927</v>
      </c>
      <c r="E379" s="18" t="s">
        <v>63</v>
      </c>
      <c r="F379" s="18" t="s">
        <v>928</v>
      </c>
      <c r="G379" s="45" t="s">
        <v>63</v>
      </c>
      <c r="H379" s="137" t="s">
        <v>1979</v>
      </c>
      <c r="I379" s="18"/>
      <c r="J379" s="51" t="s">
        <v>1309</v>
      </c>
      <c r="K379" s="18"/>
      <c r="L379">
        <v>2737245</v>
      </c>
      <c r="M379" s="18">
        <v>2674782</v>
      </c>
      <c r="N379" s="18"/>
      <c r="O379" s="18" t="e">
        <f>VLOOKUP(A379,[1]Model!C$2:J$559,2,FALSE)=B379</f>
        <v>#N/A</v>
      </c>
      <c r="P379" s="18" t="e">
        <f>VLOOKUP(A379,[1]Model!C$2:G$228,5,FALSE)=D379</f>
        <v>#N/A</v>
      </c>
      <c r="Q379" s="18" t="e">
        <f>VLOOKUP(A379,[2]Model!C$2:L$228,8,FALSE)</f>
        <v>#N/A</v>
      </c>
      <c r="R379" s="18" t="e">
        <f>VLOOKUP(A379,[2]Model!C$2:G$228,3,FALSE)=[3]!Table14[[#This Row],[Business Definition (To go into comments and into Meta Data Hub)]]</f>
        <v>#N/A</v>
      </c>
      <c r="S379" s="18" t="e">
        <f>IF([3]!Table14[[#This Row],[Nullable in Table and in Oracle View
NULL, NOT NULL]]="No","NOT NULL","NULL")=VLOOKUP(A379,[2]Model!C$2:I$228,6,FALSE)</f>
        <v>#REF!</v>
      </c>
      <c r="T379" s="58" t="e">
        <f>VLOOKUP(B379,[2]Table!A$2:F$415,1,FALSE)=[3]!Table14[[#This Row],[Physical Name of Attribute (Name of column in Table)
Supplied by DA Team]]</f>
        <v>#N/A</v>
      </c>
      <c r="U379" s="58" t="e">
        <f>VLOOKUP(B379,[1]Table!A$2:F$319,2,FALSE)=[1]!Table1[[#This Row],[Data type in Oracle
VARCHAR2(n), DATE, NUMBER(m,n), TIMETSTAMP(6)]]</f>
        <v>#N/A</v>
      </c>
      <c r="V379" s="58" t="e">
        <f>VLOOKUP(B379,[1]Table!A$2:F$231,3,FALSE)=[1]!Table1[[#This Row],[Nullable in Table and in Oracle View
NULL, NOT NULL]]</f>
        <v>#N/A</v>
      </c>
      <c r="W379" s="58" t="e">
        <f>VLOOKUP(B379,[1]Table!A$2:H$228,6,FALSE)=[1]!Table1[[#This Row],[Business Definition (To go into comments and into Meta Data Hub)]]</f>
        <v>#N/A</v>
      </c>
      <c r="X379" s="58" t="e">
        <f>VLOOKUP((UPPER(SUBSTITUTE(A379," ","_"))),'[2]Consumer View'!A$2:I$329,1,FALSE)</f>
        <v>#N/A</v>
      </c>
      <c r="Y379" s="18" t="s">
        <v>68</v>
      </c>
      <c r="Z379" s="18" t="s">
        <v>375</v>
      </c>
      <c r="AA379" s="18" t="s">
        <v>930</v>
      </c>
      <c r="AB379" s="18"/>
      <c r="AC379" s="18"/>
      <c r="AD379" s="46" t="s">
        <v>1975</v>
      </c>
      <c r="AE379" s="46"/>
      <c r="AF379" s="18"/>
      <c r="AG379" s="18"/>
      <c r="AH379" s="18" t="s">
        <v>71</v>
      </c>
    </row>
    <row r="380" spans="1:34" ht="58.2" thickBot="1">
      <c r="A380" s="51" t="s">
        <v>1980</v>
      </c>
      <c r="B380" s="51" t="s">
        <v>1981</v>
      </c>
      <c r="C380" s="51" t="s">
        <v>1982</v>
      </c>
      <c r="D380" s="18" t="s">
        <v>559</v>
      </c>
      <c r="E380" s="18" t="s">
        <v>63</v>
      </c>
      <c r="F380" s="18" t="s">
        <v>560</v>
      </c>
      <c r="G380" s="45" t="s">
        <v>63</v>
      </c>
      <c r="H380" s="137" t="s">
        <v>1983</v>
      </c>
      <c r="I380" s="18"/>
      <c r="J380" s="51" t="s">
        <v>1309</v>
      </c>
      <c r="K380" s="18"/>
      <c r="L380">
        <v>2737245</v>
      </c>
      <c r="M380" s="18">
        <v>2674782</v>
      </c>
      <c r="N380" s="18"/>
      <c r="O380" s="18" t="e">
        <f>VLOOKUP(A380,[1]Model!C$2:J$559,2,FALSE)=B380</f>
        <v>#N/A</v>
      </c>
      <c r="P380" s="18" t="e">
        <f>VLOOKUP(A380,[1]Model!C$2:G$228,5,FALSE)=D380</f>
        <v>#N/A</v>
      </c>
      <c r="Q380" s="18" t="e">
        <f>VLOOKUP(A380,[2]Model!C$2:L$228,8,FALSE)</f>
        <v>#N/A</v>
      </c>
      <c r="R380" s="18" t="e">
        <f>VLOOKUP(A380,[2]Model!C$2:G$228,3,FALSE)=[3]!Table14[[#This Row],[Business Definition (To go into comments and into Meta Data Hub)]]</f>
        <v>#N/A</v>
      </c>
      <c r="S380" s="18" t="e">
        <f>IF([3]!Table14[[#This Row],[Nullable in Table and in Oracle View
NULL, NOT NULL]]="No","NOT NULL","NULL")=VLOOKUP(A380,[2]Model!C$2:I$228,6,FALSE)</f>
        <v>#REF!</v>
      </c>
      <c r="T380" s="58" t="e">
        <f>VLOOKUP(B380,[2]Table!A$2:F$415,1,FALSE)=[3]!Table14[[#This Row],[Physical Name of Attribute (Name of column in Table)
Supplied by DA Team]]</f>
        <v>#N/A</v>
      </c>
      <c r="U380" s="58" t="e">
        <f>VLOOKUP(B380,[1]Table!A$2:F$319,2,FALSE)=[1]!Table1[[#This Row],[Data type in Oracle
VARCHAR2(n), DATE, NUMBER(m,n), TIMETSTAMP(6)]]</f>
        <v>#N/A</v>
      </c>
      <c r="V380" s="58" t="e">
        <f>VLOOKUP(B380,[1]Table!A$2:F$231,3,FALSE)=[1]!Table1[[#This Row],[Nullable in Table and in Oracle View
NULL, NOT NULL]]</f>
        <v>#N/A</v>
      </c>
      <c r="W380" s="58" t="e">
        <f>VLOOKUP(B380,[1]Table!A$2:H$228,6,FALSE)=[1]!Table1[[#This Row],[Business Definition (To go into comments and into Meta Data Hub)]]</f>
        <v>#N/A</v>
      </c>
      <c r="X380" s="58" t="e">
        <f>VLOOKUP((UPPER(SUBSTITUTE(A380," ","_"))),'[2]Consumer View'!A$2:I$329,1,FALSE)</f>
        <v>#N/A</v>
      </c>
      <c r="Y380" s="18" t="s">
        <v>68</v>
      </c>
      <c r="Z380" s="18" t="s">
        <v>375</v>
      </c>
      <c r="AA380" s="18" t="s">
        <v>907</v>
      </c>
      <c r="AB380" s="18"/>
      <c r="AC380" s="18"/>
      <c r="AD380" s="46" t="s">
        <v>1984</v>
      </c>
      <c r="AE380" s="46"/>
      <c r="AF380" s="18"/>
      <c r="AG380" s="18"/>
      <c r="AH380" s="18" t="s">
        <v>71</v>
      </c>
    </row>
    <row r="381" spans="1:34" ht="58.2" thickBot="1">
      <c r="A381" s="51" t="s">
        <v>1985</v>
      </c>
      <c r="B381" s="51" t="s">
        <v>1986</v>
      </c>
      <c r="C381" s="51" t="s">
        <v>1987</v>
      </c>
      <c r="D381" s="87" t="s">
        <v>927</v>
      </c>
      <c r="E381" s="87" t="s">
        <v>63</v>
      </c>
      <c r="F381" s="87" t="s">
        <v>928</v>
      </c>
      <c r="G381" s="89" t="s">
        <v>63</v>
      </c>
      <c r="H381" s="137" t="s">
        <v>1988</v>
      </c>
      <c r="I381" s="87"/>
      <c r="J381" s="51" t="s">
        <v>1309</v>
      </c>
      <c r="K381" s="87"/>
      <c r="L381">
        <v>2737245</v>
      </c>
      <c r="M381" s="87">
        <v>2674782</v>
      </c>
      <c r="N381" s="87"/>
      <c r="O381" s="87" t="e">
        <f>VLOOKUP(A381,[1]Model!C$2:J$559,2,FALSE)=B381</f>
        <v>#N/A</v>
      </c>
      <c r="P381" s="87" t="e">
        <f>VLOOKUP(A381,[1]Model!C$2:G$228,5,FALSE)=D381</f>
        <v>#N/A</v>
      </c>
      <c r="Q381" s="87" t="e">
        <f>VLOOKUP(A381,[2]Model!C$2:L$228,8,FALSE)</f>
        <v>#N/A</v>
      </c>
      <c r="R381" s="87" t="e">
        <f>VLOOKUP(A381,[2]Model!C$2:G$228,3,FALSE)=[3]!Table14[[#This Row],[Business Definition (To go into comments and into Meta Data Hub)]]</f>
        <v>#N/A</v>
      </c>
      <c r="S381" s="87" t="e">
        <f>IF([3]!Table14[[#This Row],[Nullable in Table and in Oracle View
NULL, NOT NULL]]="No","NOT NULL","NULL")=VLOOKUP(A381,[2]Model!C$2:I$228,6,FALSE)</f>
        <v>#REF!</v>
      </c>
      <c r="T381" s="88" t="e">
        <f>VLOOKUP(B381,[2]Table!A$2:F$415,1,FALSE)=[3]!Table14[[#This Row],[Physical Name of Attribute (Name of column in Table)
Supplied by DA Team]]</f>
        <v>#N/A</v>
      </c>
      <c r="U381" s="88" t="e">
        <f>VLOOKUP(B381,[1]Table!A$2:F$319,2,FALSE)=[1]!Table1[[#This Row],[Data type in Oracle
VARCHAR2(n), DATE, NUMBER(m,n), TIMETSTAMP(6)]]</f>
        <v>#N/A</v>
      </c>
      <c r="V381" s="88" t="e">
        <f>VLOOKUP(B381,[1]Table!A$2:F$231,3,FALSE)=[1]!Table1[[#This Row],[Nullable in Table and in Oracle View
NULL, NOT NULL]]</f>
        <v>#N/A</v>
      </c>
      <c r="W381" s="88" t="e">
        <f>VLOOKUP(B381,[1]Table!A$2:H$228,6,FALSE)=[1]!Table1[[#This Row],[Business Definition (To go into comments and into Meta Data Hub)]]</f>
        <v>#N/A</v>
      </c>
      <c r="X381" s="88" t="e">
        <f>VLOOKUP((UPPER(SUBSTITUTE(A381," ","_"))),'[2]Consumer View'!A$2:I$329,1,FALSE)</f>
        <v>#N/A</v>
      </c>
      <c r="Y381" s="87" t="s">
        <v>68</v>
      </c>
      <c r="Z381" s="87" t="s">
        <v>375</v>
      </c>
      <c r="AA381" s="87" t="s">
        <v>930</v>
      </c>
      <c r="AB381" s="87"/>
      <c r="AC381" s="87"/>
      <c r="AD381" s="83" t="s">
        <v>1984</v>
      </c>
      <c r="AE381" s="83"/>
      <c r="AF381" s="87"/>
      <c r="AG381" s="87"/>
      <c r="AH381" s="87" t="s">
        <v>71</v>
      </c>
    </row>
    <row r="382" spans="1:34" ht="27" customHeight="1">
      <c r="A382" s="51" t="s">
        <v>1989</v>
      </c>
      <c r="B382" s="18" t="s">
        <v>1990</v>
      </c>
      <c r="C382" s="51" t="s">
        <v>1991</v>
      </c>
      <c r="D382" s="116" t="s">
        <v>82</v>
      </c>
      <c r="E382" s="116" t="s">
        <v>63</v>
      </c>
      <c r="F382" s="116" t="s">
        <v>83</v>
      </c>
      <c r="G382" s="116" t="s">
        <v>63</v>
      </c>
      <c r="H382" s="46" t="s">
        <v>1992</v>
      </c>
      <c r="I382" s="18"/>
      <c r="J382" s="51" t="s">
        <v>1309</v>
      </c>
      <c r="K382" s="18"/>
      <c r="L382" s="18">
        <v>2695993</v>
      </c>
      <c r="M382" s="18">
        <v>2695993</v>
      </c>
      <c r="N382" s="18"/>
      <c r="O382" s="18" t="e">
        <f>VLOOKUP(A382,[1]Model!C$2:J$559,2,FALSE)=B382</f>
        <v>#N/A</v>
      </c>
      <c r="P382" s="18" t="e">
        <f>VLOOKUP(A382,Model!C$2:G$208,5,FALSE)=D382</f>
        <v>#N/A</v>
      </c>
      <c r="Q382" s="18" t="e">
        <f>VLOOKUP(A382,[2]Model!C$2:L$228,8,FALSE)</f>
        <v>#N/A</v>
      </c>
      <c r="R382" s="18" t="e">
        <f>VLOOKUP(A382,[2]Model!C$2:G$228,3,FALSE)=[3]!Table14[[#This Row],[Business Definition (To go into comments and into Meta Data Hub)]]</f>
        <v>#N/A</v>
      </c>
      <c r="S382" s="18" t="e">
        <f>IF([3]!Table14[[#This Row],[Nullable in Table and in Oracle View
NULL, NOT NULL]]="No","NOT NULL","NULL")=VLOOKUP(A382,[2]Model!C$2:I$228,6,FALSE)</f>
        <v>#REF!</v>
      </c>
      <c r="T382" s="58" t="e">
        <f>VLOOKUP(B382,[2]Table!A$2:F$415,1,FALSE)=[3]!Table14[[#This Row],[Physical Name of Attribute (Name of column in Table)
Supplied by DA Team]]</f>
        <v>#N/A</v>
      </c>
      <c r="U382" s="58" t="e">
        <f>VLOOKUP(B382,Table!A$2:F$319,2,FALSE)=Table14[[#This Row],[Data type in Oracle
VARCHAR2(n), DATE, NUMBER(m,n), TIMETSTAMP(6)]]</f>
        <v>#N/A</v>
      </c>
      <c r="V382" s="58" t="e">
        <f>VLOOKUP(B382,Table!A$2:F$231,3,FALSE)=Table14[[#This Row],[Nullable in Table and in Oracle View
NULL, NOT NULL]]</f>
        <v>#N/A</v>
      </c>
      <c r="W382" s="58" t="e">
        <f>VLOOKUP(B382,Table!A$2:H$228,6,FALSE)=Table14[[#This Row],[Business Definition (To go into comments and into Meta Data Hub)]]</f>
        <v>#N/A</v>
      </c>
      <c r="X382" s="58" t="e">
        <f>VLOOKUP((UPPER(SUBSTITUTE(A382," ","_"))),'[2]Consumer View'!A$2:I$329,1,FALSE)</f>
        <v>#N/A</v>
      </c>
      <c r="Y382" s="18" t="s">
        <v>68</v>
      </c>
      <c r="Z382" s="18" t="s">
        <v>113</v>
      </c>
      <c r="AA382" s="18" t="s">
        <v>143</v>
      </c>
      <c r="AB382" s="18"/>
      <c r="AC382" s="18" t="s">
        <v>1993</v>
      </c>
      <c r="AD382" s="83" t="s">
        <v>1994</v>
      </c>
      <c r="AE382" s="46"/>
      <c r="AF382" s="18"/>
      <c r="AG382" s="18"/>
      <c r="AH382" s="18"/>
    </row>
    <row r="383" spans="1:34" ht="86.4">
      <c r="A383" s="51" t="s">
        <v>1995</v>
      </c>
      <c r="B383" s="18" t="s">
        <v>1996</v>
      </c>
      <c r="C383" s="51" t="s">
        <v>1997</v>
      </c>
      <c r="D383" s="105" t="s">
        <v>1453</v>
      </c>
      <c r="E383" s="105" t="s">
        <v>63</v>
      </c>
      <c r="F383" s="105" t="s">
        <v>1454</v>
      </c>
      <c r="G383" s="105" t="s">
        <v>63</v>
      </c>
      <c r="H383" s="46" t="s">
        <v>1998</v>
      </c>
      <c r="I383" s="18"/>
      <c r="J383" s="51" t="s">
        <v>1309</v>
      </c>
      <c r="K383" s="18"/>
      <c r="L383" s="18">
        <v>2695993</v>
      </c>
      <c r="M383" s="18">
        <v>2695993</v>
      </c>
      <c r="N383" s="18"/>
      <c r="O383" s="18" t="e">
        <f>VLOOKUP(A383,[1]Model!C$2:J$559,2,FALSE)=B383</f>
        <v>#N/A</v>
      </c>
      <c r="P383" s="18" t="e">
        <f>VLOOKUP(A383,Model!C$2:G$208,5,FALSE)=D383</f>
        <v>#N/A</v>
      </c>
      <c r="Q383" s="18" t="e">
        <f>VLOOKUP(A383,[2]Model!C$2:L$228,8,FALSE)</f>
        <v>#N/A</v>
      </c>
      <c r="R383" s="18" t="e">
        <f>VLOOKUP(A383,[2]Model!C$2:G$228,3,FALSE)=[3]!Table14[[#This Row],[Business Definition (To go into comments and into Meta Data Hub)]]</f>
        <v>#N/A</v>
      </c>
      <c r="S383" s="18" t="e">
        <f>IF([3]!Table14[[#This Row],[Nullable in Table and in Oracle View
NULL, NOT NULL]]="No","NOT NULL","NULL")=VLOOKUP(A383,[2]Model!C$2:I$228,6,FALSE)</f>
        <v>#REF!</v>
      </c>
      <c r="T383" s="58" t="e">
        <f>VLOOKUP(B383,[2]Table!A$2:F$415,1,FALSE)=[3]!Table14[[#This Row],[Physical Name of Attribute (Name of column in Table)
Supplied by DA Team]]</f>
        <v>#N/A</v>
      </c>
      <c r="U383" s="58" t="e">
        <f>VLOOKUP(B383,Table!A$2:F$319,2,FALSE)=Table14[[#This Row],[Data type in Oracle
VARCHAR2(n), DATE, NUMBER(m,n), TIMETSTAMP(6)]]</f>
        <v>#N/A</v>
      </c>
      <c r="V383" s="58" t="e">
        <f>VLOOKUP(B383,Table!A$2:F$231,3,FALSE)=Table14[[#This Row],[Nullable in Table and in Oracle View
NULL, NOT NULL]]</f>
        <v>#N/A</v>
      </c>
      <c r="W383" s="58" t="e">
        <f>VLOOKUP(B383,Table!A$2:H$228,6,FALSE)=Table14[[#This Row],[Business Definition (To go into comments and into Meta Data Hub)]]</f>
        <v>#N/A</v>
      </c>
      <c r="X383" s="58" t="e">
        <f>VLOOKUP((UPPER(SUBSTITUTE(A383," ","_"))),'[2]Consumer View'!A$2:I$329,1,FALSE)</f>
        <v>#N/A</v>
      </c>
      <c r="Y383" s="18" t="s">
        <v>68</v>
      </c>
      <c r="Z383" s="18" t="s">
        <v>113</v>
      </c>
      <c r="AA383" s="18" t="s">
        <v>114</v>
      </c>
      <c r="AB383" s="18"/>
      <c r="AC383" s="18" t="s">
        <v>1993</v>
      </c>
      <c r="AD383" s="83" t="s">
        <v>1999</v>
      </c>
      <c r="AE383" s="46"/>
      <c r="AF383" s="18"/>
      <c r="AG383" s="18"/>
      <c r="AH383" s="18"/>
    </row>
    <row r="384" spans="1:34" ht="86.4">
      <c r="A384" s="94" t="s">
        <v>2000</v>
      </c>
      <c r="B384" s="87" t="s">
        <v>2001</v>
      </c>
      <c r="C384" s="94" t="s">
        <v>2002</v>
      </c>
      <c r="D384" s="105" t="s">
        <v>82</v>
      </c>
      <c r="E384" s="105" t="s">
        <v>63</v>
      </c>
      <c r="F384" s="105" t="s">
        <v>83</v>
      </c>
      <c r="G384" s="105" t="s">
        <v>63</v>
      </c>
      <c r="H384" s="83" t="s">
        <v>2003</v>
      </c>
      <c r="I384" s="87"/>
      <c r="J384" s="51" t="s">
        <v>1309</v>
      </c>
      <c r="K384" s="87"/>
      <c r="L384" s="18">
        <v>2695993</v>
      </c>
      <c r="M384" s="18">
        <v>2695993</v>
      </c>
      <c r="N384" s="87"/>
      <c r="O384" s="87" t="e">
        <f>VLOOKUP(A384,[1]Model!C$2:J$559,2,FALSE)=B384</f>
        <v>#N/A</v>
      </c>
      <c r="P384" s="87" t="e">
        <f>VLOOKUP(A384,Model!C$2:G$208,5,FALSE)=D384</f>
        <v>#N/A</v>
      </c>
      <c r="Q384" s="87" t="e">
        <f>VLOOKUP(A384,[2]Model!C$2:L$228,8,FALSE)</f>
        <v>#N/A</v>
      </c>
      <c r="R384" s="87" t="e">
        <f>VLOOKUP(A384,[2]Model!C$2:G$228,3,FALSE)=[3]!Table14[[#This Row],[Business Definition (To go into comments and into Meta Data Hub)]]</f>
        <v>#N/A</v>
      </c>
      <c r="S384" s="87" t="e">
        <f>IF([3]!Table14[[#This Row],[Nullable in Table and in Oracle View
NULL, NOT NULL]]="No","NOT NULL","NULL")=VLOOKUP(A384,[2]Model!C$2:I$228,6,FALSE)</f>
        <v>#REF!</v>
      </c>
      <c r="T384" s="88" t="e">
        <f>VLOOKUP(B384,[2]Table!A$2:F$415,1,FALSE)=[3]!Table14[[#This Row],[Physical Name of Attribute (Name of column in Table)
Supplied by DA Team]]</f>
        <v>#N/A</v>
      </c>
      <c r="U384" s="88" t="e">
        <f>VLOOKUP(B384,Table!A$2:F$319,2,FALSE)=Table14[[#This Row],[Data type in Oracle
VARCHAR2(n), DATE, NUMBER(m,n), TIMETSTAMP(6)]]</f>
        <v>#N/A</v>
      </c>
      <c r="V384" s="88" t="e">
        <f>VLOOKUP(B384,Table!A$2:F$231,3,FALSE)=Table14[[#This Row],[Nullable in Table and in Oracle View
NULL, NOT NULL]]</f>
        <v>#N/A</v>
      </c>
      <c r="W384" s="88" t="e">
        <f>VLOOKUP(B384,Table!A$2:H$228,6,FALSE)=Table14[[#This Row],[Business Definition (To go into comments and into Meta Data Hub)]]</f>
        <v>#N/A</v>
      </c>
      <c r="X384" s="88" t="e">
        <f>VLOOKUP((UPPER(SUBSTITUTE(A384," ","_"))),'[2]Consumer View'!A$2:I$329,1,FALSE)</f>
        <v>#N/A</v>
      </c>
      <c r="Y384" s="18" t="s">
        <v>68</v>
      </c>
      <c r="Z384" s="18" t="s">
        <v>113</v>
      </c>
      <c r="AA384" s="18" t="s">
        <v>143</v>
      </c>
      <c r="AB384" s="87"/>
      <c r="AC384" s="18" t="s">
        <v>1993</v>
      </c>
      <c r="AD384" s="83" t="s">
        <v>1994</v>
      </c>
      <c r="AE384" s="83"/>
      <c r="AF384" s="87"/>
      <c r="AG384" s="87"/>
      <c r="AH384" s="87"/>
    </row>
    <row r="385" spans="1:34" ht="86.4">
      <c r="A385" s="51" t="s">
        <v>2004</v>
      </c>
      <c r="B385" s="18" t="s">
        <v>2005</v>
      </c>
      <c r="C385" s="94" t="s">
        <v>2006</v>
      </c>
      <c r="D385" s="105" t="s">
        <v>1453</v>
      </c>
      <c r="E385" s="105" t="s">
        <v>63</v>
      </c>
      <c r="F385" s="105" t="s">
        <v>1454</v>
      </c>
      <c r="G385" s="105" t="s">
        <v>63</v>
      </c>
      <c r="H385" s="46" t="s">
        <v>2007</v>
      </c>
      <c r="I385" s="18"/>
      <c r="J385" s="51" t="s">
        <v>1309</v>
      </c>
      <c r="K385" s="18"/>
      <c r="L385" s="18">
        <v>2695993</v>
      </c>
      <c r="M385" s="18">
        <v>2695993</v>
      </c>
      <c r="N385" s="18"/>
      <c r="O385" s="18" t="e">
        <f>VLOOKUP(A385,[1]Model!C$2:J$559,2,FALSE)=B385</f>
        <v>#N/A</v>
      </c>
      <c r="P385" s="18" t="e">
        <f>VLOOKUP(A385,Model!C$2:G$208,5,FALSE)=D385</f>
        <v>#N/A</v>
      </c>
      <c r="Q385" s="18" t="e">
        <f>VLOOKUP(A385,[2]Model!C$2:L$228,8,FALSE)</f>
        <v>#N/A</v>
      </c>
      <c r="R385" s="18" t="e">
        <f>VLOOKUP(A385,[2]Model!C$2:G$228,3,FALSE)=[3]!Table14[[#This Row],[Business Definition (To go into comments and into Meta Data Hub)]]</f>
        <v>#N/A</v>
      </c>
      <c r="S385" s="18" t="e">
        <f>IF([3]!Table14[[#This Row],[Nullable in Table and in Oracle View
NULL, NOT NULL]]="No","NOT NULL","NULL")=VLOOKUP(A385,[2]Model!C$2:I$228,6,FALSE)</f>
        <v>#REF!</v>
      </c>
      <c r="T385" s="58" t="e">
        <f>VLOOKUP(B385,[2]Table!A$2:F$415,1,FALSE)=[3]!Table14[[#This Row],[Physical Name of Attribute (Name of column in Table)
Supplied by DA Team]]</f>
        <v>#N/A</v>
      </c>
      <c r="U385" s="58" t="e">
        <f>VLOOKUP(B385,Table!A$2:F$319,2,FALSE)=Table14[[#This Row],[Data type in Oracle
VARCHAR2(n), DATE, NUMBER(m,n), TIMETSTAMP(6)]]</f>
        <v>#N/A</v>
      </c>
      <c r="V385" s="58" t="e">
        <f>VLOOKUP(B385,Table!A$2:F$231,3,FALSE)=Table14[[#This Row],[Nullable in Table and in Oracle View
NULL, NOT NULL]]</f>
        <v>#N/A</v>
      </c>
      <c r="W385" s="58" t="e">
        <f>VLOOKUP(B385,Table!A$2:H$228,6,FALSE)=Table14[[#This Row],[Business Definition (To go into comments and into Meta Data Hub)]]</f>
        <v>#N/A</v>
      </c>
      <c r="X385" s="58" t="e">
        <f>VLOOKUP((UPPER(SUBSTITUTE(A385," ","_"))),'[2]Consumer View'!A$2:I$329,1,FALSE)</f>
        <v>#N/A</v>
      </c>
      <c r="Y385" s="18" t="s">
        <v>68</v>
      </c>
      <c r="Z385" s="18" t="s">
        <v>113</v>
      </c>
      <c r="AA385" s="18" t="s">
        <v>114</v>
      </c>
      <c r="AB385" s="18"/>
      <c r="AC385" s="18" t="s">
        <v>1993</v>
      </c>
      <c r="AD385" s="83" t="s">
        <v>2008</v>
      </c>
      <c r="AE385" s="46"/>
      <c r="AF385" s="18"/>
      <c r="AG385" s="18"/>
      <c r="AH385" s="18"/>
    </row>
  </sheetData>
  <mergeCells count="4">
    <mergeCell ref="I1:AD4"/>
    <mergeCell ref="A11:I11"/>
    <mergeCell ref="Y11:AC11"/>
    <mergeCell ref="AD11:AE11"/>
  </mergeCells>
  <conditionalFormatting sqref="B238:C238">
    <cfRule type="duplicateValues" dxfId="7" priority="4"/>
  </conditionalFormatting>
  <conditionalFormatting sqref="B239:C239">
    <cfRule type="duplicateValues" dxfId="6" priority="3"/>
  </conditionalFormatting>
  <conditionalFormatting sqref="H288">
    <cfRule type="duplicateValues" dxfId="5" priority="1"/>
    <cfRule type="expression" dxfId="4" priority="2">
      <formula>H288&lt;&gt;#REF!</formula>
    </cfRule>
  </conditionalFormatting>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6D823-809B-4C7A-83E9-7F2BA7B3AFD9}">
  <dimension ref="A1:AH393"/>
  <sheetViews>
    <sheetView zoomScale="66" zoomScaleNormal="66" workbookViewId="0">
      <pane xSplit="2" ySplit="12" topLeftCell="H255" activePane="bottomRight" state="frozen"/>
      <selection pane="topRight" activeCell="C1" sqref="C1"/>
      <selection pane="bottomLeft" activeCell="A11" sqref="A11"/>
      <selection pane="bottomRight" activeCell="L5" sqref="L1:L1048576"/>
    </sheetView>
  </sheetViews>
  <sheetFormatPr defaultRowHeight="14.4"/>
  <cols>
    <col min="1" max="1" width="57.33203125" bestFit="1" customWidth="1"/>
    <col min="2" max="2" width="39.109375" customWidth="1"/>
    <col min="3" max="3" width="48.5546875" customWidth="1"/>
    <col min="4" max="4" width="31.109375" customWidth="1"/>
    <col min="5" max="5" width="16.5546875" bestFit="1" customWidth="1"/>
    <col min="6" max="6" width="28.88671875" bestFit="1" customWidth="1"/>
    <col min="7" max="7" width="7.6640625" customWidth="1"/>
    <col min="8" max="8" width="95.6640625" customWidth="1"/>
    <col min="9" max="9" width="7.5546875" customWidth="1"/>
    <col min="10" max="10" width="11.88671875" customWidth="1"/>
    <col min="11" max="11" width="8" customWidth="1"/>
    <col min="12" max="12" width="11.6640625" customWidth="1"/>
    <col min="13" max="14" width="13.44140625" customWidth="1"/>
    <col min="15" max="15" width="20.88671875" customWidth="1"/>
    <col min="16" max="18" width="10.6640625" customWidth="1"/>
    <col min="19" max="19" width="7.6640625" customWidth="1"/>
    <col min="20" max="20" width="8.6640625" customWidth="1"/>
    <col min="21" max="23" width="10.6640625" customWidth="1"/>
    <col min="24" max="24" width="61.33203125" customWidth="1"/>
    <col min="25" max="25" width="24.33203125" customWidth="1"/>
    <col min="26" max="26" width="40.6640625" bestFit="1" customWidth="1"/>
    <col min="27" max="27" width="34.109375" customWidth="1"/>
    <col min="28" max="28" width="15.5546875" customWidth="1"/>
    <col min="29" max="29" width="14.44140625" customWidth="1"/>
    <col min="30" max="30" width="65.44140625" customWidth="1"/>
    <col min="31" max="31" width="42.44140625" style="2" customWidth="1"/>
    <col min="32" max="32" width="21.88671875" customWidth="1"/>
  </cols>
  <sheetData>
    <row r="1" spans="1:34">
      <c r="A1" s="122" t="s">
        <v>0</v>
      </c>
      <c r="B1" s="127" t="s">
        <v>1</v>
      </c>
      <c r="C1" s="3"/>
      <c r="D1" s="3"/>
      <c r="E1" s="3"/>
      <c r="F1" s="3"/>
      <c r="G1" s="3"/>
      <c r="H1" s="3"/>
      <c r="I1" s="138" t="s">
        <v>2</v>
      </c>
      <c r="J1" s="138"/>
      <c r="K1" s="138"/>
      <c r="L1" s="138"/>
      <c r="M1" s="138"/>
      <c r="N1" s="138"/>
      <c r="O1" s="138"/>
      <c r="P1" s="138"/>
      <c r="Q1" s="138"/>
      <c r="R1" s="138"/>
      <c r="S1" s="138"/>
      <c r="T1" s="138"/>
      <c r="U1" s="138"/>
      <c r="V1" s="138"/>
      <c r="W1" s="138"/>
      <c r="X1" s="138"/>
      <c r="Y1" s="138"/>
      <c r="Z1" s="138"/>
      <c r="AA1" s="138"/>
      <c r="AB1" s="138"/>
      <c r="AC1" s="138"/>
      <c r="AD1" s="138"/>
      <c r="AE1" s="6"/>
    </row>
    <row r="2" spans="1:34">
      <c r="A2" s="122" t="s">
        <v>3</v>
      </c>
      <c r="B2" s="127" t="s">
        <v>4</v>
      </c>
      <c r="C2" s="3"/>
      <c r="D2" s="3"/>
      <c r="E2" s="3"/>
      <c r="F2" s="3"/>
      <c r="G2" s="3"/>
      <c r="H2" s="3"/>
      <c r="I2" s="138"/>
      <c r="J2" s="138"/>
      <c r="K2" s="138"/>
      <c r="L2" s="138"/>
      <c r="M2" s="138"/>
      <c r="N2" s="138"/>
      <c r="O2" s="138"/>
      <c r="P2" s="138"/>
      <c r="Q2" s="138"/>
      <c r="R2" s="138"/>
      <c r="S2" s="138"/>
      <c r="T2" s="138"/>
      <c r="U2" s="138"/>
      <c r="V2" s="138"/>
      <c r="W2" s="138"/>
      <c r="X2" s="138"/>
      <c r="Y2" s="138"/>
      <c r="Z2" s="138"/>
      <c r="AA2" s="138"/>
      <c r="AB2" s="138"/>
      <c r="AC2" s="138"/>
      <c r="AD2" s="138"/>
      <c r="AE2" s="6"/>
    </row>
    <row r="3" spans="1:34">
      <c r="A3" s="123" t="s">
        <v>5</v>
      </c>
      <c r="B3" s="128" t="s">
        <v>6</v>
      </c>
      <c r="C3" s="3"/>
      <c r="D3" s="3"/>
      <c r="E3" s="3"/>
      <c r="F3" s="3"/>
      <c r="G3" s="3"/>
      <c r="H3" s="3"/>
      <c r="I3" s="138"/>
      <c r="J3" s="138"/>
      <c r="K3" s="138"/>
      <c r="L3" s="138"/>
      <c r="M3" s="138"/>
      <c r="N3" s="138"/>
      <c r="O3" s="138"/>
      <c r="P3" s="138"/>
      <c r="Q3" s="138"/>
      <c r="R3" s="138"/>
      <c r="S3" s="138"/>
      <c r="T3" s="138"/>
      <c r="U3" s="138"/>
      <c r="V3" s="138"/>
      <c r="W3" s="138"/>
      <c r="X3" s="138"/>
      <c r="Y3" s="138"/>
      <c r="Z3" s="138"/>
      <c r="AA3" s="138"/>
      <c r="AB3" s="138"/>
      <c r="AC3" s="138"/>
      <c r="AD3" s="138"/>
      <c r="AE3" s="6"/>
    </row>
    <row r="4" spans="1:34">
      <c r="A4" s="122" t="s">
        <v>7</v>
      </c>
      <c r="B4" s="127" t="s">
        <v>8</v>
      </c>
      <c r="C4" s="3"/>
      <c r="D4" s="3"/>
      <c r="E4" s="3"/>
      <c r="F4" s="3"/>
      <c r="G4" s="3"/>
      <c r="H4" s="3"/>
      <c r="I4" s="138"/>
      <c r="J4" s="138"/>
      <c r="K4" s="138"/>
      <c r="L4" s="138"/>
      <c r="M4" s="138"/>
      <c r="N4" s="138"/>
      <c r="O4" s="138"/>
      <c r="P4" s="138"/>
      <c r="Q4" s="138"/>
      <c r="R4" s="138"/>
      <c r="S4" s="138"/>
      <c r="T4" s="138"/>
      <c r="U4" s="138"/>
      <c r="V4" s="138"/>
      <c r="W4" s="138"/>
      <c r="X4" s="138"/>
      <c r="Y4" s="138"/>
      <c r="Z4" s="138"/>
      <c r="AA4" s="138"/>
      <c r="AB4" s="138"/>
      <c r="AC4" s="138"/>
      <c r="AD4" s="138"/>
      <c r="AE4" s="6"/>
    </row>
    <row r="5" spans="1:34" ht="15" customHeight="1">
      <c r="A5" s="122" t="s">
        <v>9</v>
      </c>
      <c r="B5" s="127" t="s">
        <v>10</v>
      </c>
      <c r="C5" s="3"/>
      <c r="D5" s="3"/>
      <c r="E5" s="3"/>
      <c r="F5" s="3"/>
      <c r="G5" s="3"/>
      <c r="H5" s="3"/>
      <c r="I5" s="129" t="s">
        <v>11</v>
      </c>
      <c r="J5" s="130" t="s">
        <v>11</v>
      </c>
      <c r="K5" s="131" t="s">
        <v>11</v>
      </c>
      <c r="L5" s="132" t="s">
        <v>12</v>
      </c>
      <c r="M5" s="3"/>
      <c r="N5" s="3"/>
      <c r="O5" s="3"/>
      <c r="P5" s="3"/>
      <c r="Q5" s="3"/>
      <c r="R5" s="3"/>
      <c r="S5" s="3"/>
      <c r="T5" s="3"/>
      <c r="U5" s="3"/>
      <c r="V5" s="3"/>
      <c r="W5" s="3"/>
      <c r="X5" s="3"/>
      <c r="Y5" s="3"/>
      <c r="Z5" s="3"/>
      <c r="AA5" s="3"/>
      <c r="AB5" s="3"/>
      <c r="AC5" s="3"/>
      <c r="AD5" s="3"/>
      <c r="AE5" s="6"/>
    </row>
    <row r="6" spans="1:34" ht="15" customHeight="1">
      <c r="A6" s="122" t="s">
        <v>13</v>
      </c>
      <c r="B6" s="127" t="s">
        <v>14</v>
      </c>
      <c r="C6" s="3"/>
      <c r="D6" s="3"/>
      <c r="E6" s="3"/>
      <c r="F6" s="3"/>
      <c r="G6" s="3"/>
      <c r="H6" s="3"/>
      <c r="I6" s="3"/>
      <c r="J6" s="3"/>
      <c r="K6" s="3"/>
      <c r="L6" s="3"/>
      <c r="M6" s="3"/>
      <c r="N6" s="3"/>
      <c r="O6" s="3"/>
      <c r="P6" s="3"/>
      <c r="Q6" s="3"/>
      <c r="R6" s="3"/>
      <c r="S6" s="3"/>
      <c r="T6" s="3"/>
      <c r="U6" s="3"/>
      <c r="V6" s="3"/>
      <c r="W6" s="3"/>
      <c r="X6" s="3"/>
      <c r="Y6" s="3"/>
      <c r="Z6" s="3"/>
      <c r="AA6" s="3"/>
      <c r="AB6" s="3"/>
      <c r="AC6" s="3"/>
      <c r="AD6" s="3"/>
      <c r="AE6" s="6"/>
    </row>
    <row r="7" spans="1:34" ht="15" customHeight="1">
      <c r="A7" s="122" t="s">
        <v>15</v>
      </c>
      <c r="B7" s="127" t="s">
        <v>16</v>
      </c>
      <c r="C7" s="3"/>
      <c r="D7" s="3"/>
      <c r="E7" s="3"/>
      <c r="F7" s="3"/>
      <c r="G7" s="3"/>
      <c r="H7" s="3"/>
      <c r="I7" s="3"/>
      <c r="J7" s="3"/>
      <c r="K7" s="3"/>
      <c r="L7" s="3"/>
      <c r="M7" s="3"/>
      <c r="N7" s="3"/>
      <c r="O7" s="3"/>
      <c r="P7" s="3"/>
      <c r="Q7" s="3"/>
      <c r="R7" s="3"/>
      <c r="S7" s="3"/>
      <c r="T7" s="3"/>
      <c r="U7" s="3"/>
      <c r="V7" s="3"/>
      <c r="W7" s="3"/>
      <c r="X7" s="3"/>
      <c r="Y7" s="3"/>
      <c r="Z7" s="3"/>
      <c r="AA7" s="3"/>
      <c r="AB7" s="3"/>
      <c r="AC7" s="3"/>
      <c r="AD7" s="3"/>
      <c r="AE7" s="6"/>
    </row>
    <row r="8" spans="1:34">
      <c r="A8" s="122" t="s">
        <v>17</v>
      </c>
      <c r="B8" s="127" t="s">
        <v>18</v>
      </c>
      <c r="C8" s="3"/>
      <c r="D8" s="3"/>
      <c r="E8" s="3"/>
      <c r="F8" s="3"/>
      <c r="G8" s="3"/>
      <c r="H8" s="3"/>
      <c r="I8" s="3"/>
      <c r="J8" s="3"/>
      <c r="K8" s="3"/>
      <c r="L8" s="3"/>
      <c r="M8" s="3"/>
      <c r="N8" s="3"/>
      <c r="O8" s="3"/>
      <c r="P8" s="3"/>
      <c r="Q8" s="3"/>
      <c r="R8" s="3"/>
      <c r="S8" s="3"/>
      <c r="T8" s="3"/>
      <c r="U8" s="3"/>
      <c r="V8" s="3"/>
      <c r="W8" s="3"/>
      <c r="X8" s="3"/>
      <c r="Y8" s="3"/>
      <c r="Z8" s="3"/>
      <c r="AA8" s="3"/>
      <c r="AB8" s="3"/>
      <c r="AC8" s="3"/>
      <c r="AD8" s="3"/>
      <c r="AE8" s="6"/>
    </row>
    <row r="9" spans="1:34">
      <c r="A9" s="124" t="s">
        <v>19</v>
      </c>
      <c r="B9" s="127" t="s">
        <v>20</v>
      </c>
      <c r="C9" s="3"/>
      <c r="D9" s="3"/>
      <c r="E9" s="3"/>
      <c r="F9" s="3"/>
      <c r="G9" s="3"/>
      <c r="H9" s="3"/>
      <c r="I9" s="3"/>
      <c r="J9" s="3"/>
      <c r="K9" s="3"/>
      <c r="L9" s="3"/>
      <c r="M9" s="3"/>
      <c r="N9" s="3"/>
      <c r="O9" s="3"/>
      <c r="P9" s="3"/>
      <c r="Q9" s="3"/>
      <c r="R9" s="3"/>
      <c r="S9" s="3"/>
      <c r="T9" s="3"/>
      <c r="U9" s="3"/>
      <c r="V9" s="3"/>
      <c r="W9" s="3"/>
      <c r="X9" s="3"/>
      <c r="Y9" s="3"/>
      <c r="Z9" s="3"/>
      <c r="AA9" s="3"/>
      <c r="AB9" s="3"/>
      <c r="AC9" s="3"/>
      <c r="AD9" s="3"/>
      <c r="AE9" s="6"/>
    </row>
    <row r="10" spans="1:34">
      <c r="A10" s="124" t="s">
        <v>21</v>
      </c>
      <c r="B10" s="125"/>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6"/>
    </row>
    <row r="11" spans="1:34" ht="15" customHeight="1">
      <c r="A11" s="139" t="s">
        <v>22</v>
      </c>
      <c r="B11" s="140"/>
      <c r="C11" s="140"/>
      <c r="D11" s="140"/>
      <c r="E11" s="140"/>
      <c r="F11" s="140"/>
      <c r="G11" s="140"/>
      <c r="H11" s="140"/>
      <c r="I11" s="141"/>
      <c r="J11" s="7"/>
      <c r="K11" s="7"/>
      <c r="L11" s="7"/>
      <c r="M11" s="7"/>
      <c r="N11" s="7"/>
      <c r="O11" s="7"/>
      <c r="P11" s="7"/>
      <c r="Q11" s="7"/>
      <c r="R11" s="7"/>
      <c r="S11" s="7"/>
      <c r="T11" s="7"/>
      <c r="U11" s="7"/>
      <c r="V11" s="7"/>
      <c r="W11" s="7"/>
      <c r="X11" s="7"/>
      <c r="Y11" s="142" t="s">
        <v>23</v>
      </c>
      <c r="Z11" s="143"/>
      <c r="AA11" s="143"/>
      <c r="AB11" s="143"/>
      <c r="AC11" s="144"/>
      <c r="AD11" s="145" t="s">
        <v>24</v>
      </c>
      <c r="AE11" s="146"/>
    </row>
    <row r="12" spans="1:34" s="1" customFormat="1" ht="55.5" customHeight="1">
      <c r="A12" s="35" t="s">
        <v>25</v>
      </c>
      <c r="B12" s="72" t="s">
        <v>26</v>
      </c>
      <c r="C12" s="72" t="s">
        <v>27</v>
      </c>
      <c r="D12" s="35" t="s">
        <v>28</v>
      </c>
      <c r="E12" s="35" t="s">
        <v>29</v>
      </c>
      <c r="F12" s="36" t="s">
        <v>30</v>
      </c>
      <c r="G12" s="35" t="s">
        <v>31</v>
      </c>
      <c r="H12" s="35" t="s">
        <v>32</v>
      </c>
      <c r="I12" s="35" t="s">
        <v>33</v>
      </c>
      <c r="J12" s="35" t="s">
        <v>34</v>
      </c>
      <c r="K12" s="35" t="s">
        <v>35</v>
      </c>
      <c r="L12" s="35" t="s">
        <v>36</v>
      </c>
      <c r="M12" s="96" t="s">
        <v>37</v>
      </c>
      <c r="N12" s="35" t="s">
        <v>38</v>
      </c>
      <c r="O12" s="72" t="s">
        <v>39</v>
      </c>
      <c r="P12" s="72" t="s">
        <v>40</v>
      </c>
      <c r="Q12" s="72" t="s">
        <v>41</v>
      </c>
      <c r="R12" s="72" t="s">
        <v>42</v>
      </c>
      <c r="S12" s="72" t="s">
        <v>43</v>
      </c>
      <c r="T12" s="72" t="s">
        <v>44</v>
      </c>
      <c r="U12" s="72" t="s">
        <v>45</v>
      </c>
      <c r="V12" s="72" t="s">
        <v>46</v>
      </c>
      <c r="W12" s="72" t="s">
        <v>47</v>
      </c>
      <c r="X12" s="72" t="s">
        <v>48</v>
      </c>
      <c r="Y12" s="37" t="s">
        <v>49</v>
      </c>
      <c r="Z12" s="38" t="s">
        <v>50</v>
      </c>
      <c r="AA12" s="39" t="s">
        <v>51</v>
      </c>
      <c r="AB12" s="40" t="s">
        <v>52</v>
      </c>
      <c r="AC12" s="40" t="s">
        <v>53</v>
      </c>
      <c r="AD12" s="133" t="s">
        <v>54</v>
      </c>
      <c r="AE12" s="41" t="s">
        <v>55</v>
      </c>
      <c r="AF12" s="42" t="s">
        <v>56</v>
      </c>
      <c r="AG12" s="113" t="s">
        <v>57</v>
      </c>
      <c r="AH12" s="114" t="s">
        <v>58</v>
      </c>
    </row>
    <row r="13" spans="1:34" ht="27" hidden="1" customHeight="1">
      <c r="A13" s="51" t="s">
        <v>59</v>
      </c>
      <c r="B13" s="18" t="s">
        <v>60</v>
      </c>
      <c r="C13" s="18" t="s">
        <v>61</v>
      </c>
      <c r="D13" s="18" t="s">
        <v>62</v>
      </c>
      <c r="E13" s="18" t="s">
        <v>63</v>
      </c>
      <c r="F13" s="18" t="s">
        <v>64</v>
      </c>
      <c r="G13" s="45" t="s">
        <v>63</v>
      </c>
      <c r="H13" s="46" t="s">
        <v>65</v>
      </c>
      <c r="I13" s="18" t="s">
        <v>66</v>
      </c>
      <c r="J13" s="18" t="s">
        <v>67</v>
      </c>
      <c r="K13" s="18">
        <v>3</v>
      </c>
      <c r="L13" s="18"/>
      <c r="M13" s="18"/>
      <c r="N13" s="18"/>
      <c r="O13" s="18" t="b">
        <f>VLOOKUP(A13,[1]Model!C$2:J$559,2,FALSE)=B13</f>
        <v>1</v>
      </c>
      <c r="P13" s="18" t="e">
        <f>VLOOKUP(A13,Model!C$2:G$228,5,FALSE)=D13</f>
        <v>#N/A</v>
      </c>
      <c r="Q13" s="18">
        <f>VLOOKUP(A13,[2]Model!C$2:L$228,8,FALSE)</f>
        <v>179</v>
      </c>
      <c r="R13" s="18" t="e">
        <f>VLOOKUP(A13,[2]Model!C$2:G$228,3,FALSE)=[3]!Table14[[#This Row],[Business Definition (To go into comments and into Meta Data Hub)]]</f>
        <v>#REF!</v>
      </c>
      <c r="S13" s="18" t="e">
        <f>IF([3]!Table14[[#This Row],[Nullable in Table and in Oracle View
NULL, NOT NULL]]="No","NOT NULL","NULL")=VLOOKUP(A13,[2]Model!C$2:I$228,6,FALSE)</f>
        <v>#REF!</v>
      </c>
      <c r="T13" s="18" t="e">
        <f>VLOOKUP(B13,[2]Table!A$2:F$415,1,FALSE)=[3]!Table14[[#This Row],[Physical Name of Attribute (Name of column in Table)
Supplied by DA Team]]</f>
        <v>#REF!</v>
      </c>
      <c r="U13" s="18" t="b">
        <f>VLOOKUP(B13,Table!A$2:F$319,2,FALSE)=Table1[[#This Row],[Data type in Oracle
VARCHAR2(n), DATE, NUMBER(m,n), TIMETSTAMP(6)]]</f>
        <v>0</v>
      </c>
      <c r="V13" s="18" t="b">
        <f>VLOOKUP(B13,Table!A$2:F$231,3,FALSE)=Table1[[#This Row],[Nullable in Table and in Oracle View
NULL, NOT NULL]]</f>
        <v>1</v>
      </c>
      <c r="W13" s="18" t="b">
        <f>VLOOKUP(B13,Table!A$2:H$228,6,FALSE)=Table1[[#This Row],[Business Definition (To go into comments and into Meta Data Hub)]]</f>
        <v>1</v>
      </c>
      <c r="X13" s="55" t="str">
        <f>VLOOKUP((UPPER(SUBSTITUTE(A13," ","_"))),'[2]Consumer View'!A$2:I$329,1,FALSE)</f>
        <v>SHADOW_TRANSACTION_TYPE_CODE</v>
      </c>
      <c r="Y13" s="18" t="s">
        <v>68</v>
      </c>
      <c r="Z13" s="47" t="s">
        <v>69</v>
      </c>
      <c r="AA13" s="18" t="s">
        <v>70</v>
      </c>
      <c r="AB13" s="18"/>
      <c r="AC13" s="18"/>
      <c r="AD13" s="18"/>
      <c r="AE13" s="46"/>
      <c r="AF13" s="18"/>
      <c r="AG13" s="112"/>
      <c r="AH13" s="112" t="s">
        <v>71</v>
      </c>
    </row>
    <row r="14" spans="1:34" ht="27" hidden="1" customHeight="1">
      <c r="A14" s="51" t="s">
        <v>72</v>
      </c>
      <c r="B14" s="18" t="s">
        <v>73</v>
      </c>
      <c r="C14" s="18" t="s">
        <v>74</v>
      </c>
      <c r="D14" s="18" t="s">
        <v>62</v>
      </c>
      <c r="E14" s="18" t="s">
        <v>63</v>
      </c>
      <c r="F14" s="18" t="s">
        <v>64</v>
      </c>
      <c r="G14" s="45" t="s">
        <v>63</v>
      </c>
      <c r="H14" s="46" t="s">
        <v>75</v>
      </c>
      <c r="I14" s="18"/>
      <c r="J14" s="18" t="s">
        <v>67</v>
      </c>
      <c r="K14" s="18">
        <v>3</v>
      </c>
      <c r="L14" s="18"/>
      <c r="M14" s="18"/>
      <c r="N14" s="18"/>
      <c r="O14" s="18" t="b">
        <f>VLOOKUP(A14,[1]Model!C$2:J$559,2,FALSE)=B14</f>
        <v>1</v>
      </c>
      <c r="P14" s="18" t="e">
        <f>VLOOKUP(A14,Model!C$2:G$228,5,FALSE)=D14</f>
        <v>#N/A</v>
      </c>
      <c r="Q14" s="18">
        <f>VLOOKUP(A14,[2]Model!C$2:L$228,8,FALSE)</f>
        <v>177</v>
      </c>
      <c r="R14" s="18" t="e">
        <f>VLOOKUP(A14,[2]Model!C$2:G$228,3,FALSE)=[3]!Table14[[#This Row],[Business Definition (To go into comments and into Meta Data Hub)]]</f>
        <v>#REF!</v>
      </c>
      <c r="S14" s="18" t="e">
        <f>IF([3]!Table14[[#This Row],[Nullable in Table and in Oracle View
NULL, NOT NULL]]="No","NOT NULL","NULL")=VLOOKUP(A14,[2]Model!C$2:I$228,6,FALSE)</f>
        <v>#REF!</v>
      </c>
      <c r="T14" s="18" t="e">
        <f>VLOOKUP(B14,[2]Table!A$2:F$415,1,FALSE)=[3]!Table14[[#This Row],[Physical Name of Attribute (Name of column in Table)
Supplied by DA Team]]</f>
        <v>#REF!</v>
      </c>
      <c r="U14" s="18" t="b">
        <f>VLOOKUP(B14,Table!A$2:F$319,2,FALSE)=Table1[[#This Row],[Data type in Oracle
VARCHAR2(n), DATE, NUMBER(m,n), TIMETSTAMP(6)]]</f>
        <v>0</v>
      </c>
      <c r="V14" s="18" t="b">
        <f>VLOOKUP(B14,Table!A$2:F$231,3,FALSE)=Table1[[#This Row],[Nullable in Table and in Oracle View
NULL, NOT NULL]]</f>
        <v>1</v>
      </c>
      <c r="W14" s="18" t="b">
        <f>VLOOKUP(B14,Table!A$2:H$228,6,FALSE)=Table1[[#This Row],[Business Definition (To go into comments and into Meta Data Hub)]]</f>
        <v>1</v>
      </c>
      <c r="X14" s="18" t="str">
        <f>VLOOKUP((UPPER(SUBSTITUTE(A14," ","_"))),'[2]Consumer View'!A$2:I$329,1,FALSE)</f>
        <v>SHADOW_TRANSACTION_TYPE_NAME</v>
      </c>
      <c r="Y14" s="18" t="s">
        <v>68</v>
      </c>
      <c r="Z14" s="47" t="s">
        <v>76</v>
      </c>
      <c r="AA14" s="18" t="s">
        <v>77</v>
      </c>
      <c r="AB14" s="18"/>
      <c r="AC14" s="18"/>
      <c r="AD14" s="18" t="s">
        <v>78</v>
      </c>
      <c r="AE14" s="46"/>
      <c r="AF14" s="18"/>
      <c r="AG14" s="18"/>
      <c r="AH14" s="18" t="s">
        <v>71</v>
      </c>
    </row>
    <row r="15" spans="1:34" ht="27" hidden="1" customHeight="1">
      <c r="A15" s="51" t="s">
        <v>79</v>
      </c>
      <c r="B15" s="18" t="s">
        <v>80</v>
      </c>
      <c r="C15" s="18" t="s">
        <v>81</v>
      </c>
      <c r="D15" s="18" t="s">
        <v>82</v>
      </c>
      <c r="E15" s="18" t="s">
        <v>63</v>
      </c>
      <c r="F15" s="18" t="s">
        <v>83</v>
      </c>
      <c r="G15" s="45" t="s">
        <v>63</v>
      </c>
      <c r="H15" s="46" t="s">
        <v>84</v>
      </c>
      <c r="I15" s="48" t="s">
        <v>85</v>
      </c>
      <c r="J15" s="49" t="s">
        <v>67</v>
      </c>
      <c r="K15" s="18">
        <v>3</v>
      </c>
      <c r="L15" s="18"/>
      <c r="M15" s="18"/>
      <c r="N15" s="18"/>
      <c r="O15" s="18" t="b">
        <f>VLOOKUP(A15,[1]Model!C$2:J$559,2,FALSE)=B15</f>
        <v>1</v>
      </c>
      <c r="P15" s="18" t="b">
        <f>VLOOKUP(A15,Model!C$2:G$228,5,FALSE)=D15</f>
        <v>1</v>
      </c>
      <c r="Q15" s="18">
        <f>VLOOKUP(A15,[2]Model!C$2:L$228,8,FALSE)</f>
        <v>181</v>
      </c>
      <c r="R15" s="18" t="e">
        <f>VLOOKUP(A15,[2]Model!C$2:G$228,3,FALSE)=[3]!Table14[[#This Row],[Business Definition (To go into comments and into Meta Data Hub)]]</f>
        <v>#REF!</v>
      </c>
      <c r="S15" s="18" t="e">
        <f>IF([3]!Table14[[#This Row],[Nullable in Table and in Oracle View
NULL, NOT NULL]]="No","NOT NULL","NULL")=VLOOKUP(A15,[2]Model!C$2:I$228,6,FALSE)</f>
        <v>#REF!</v>
      </c>
      <c r="T15" s="18" t="e">
        <f>VLOOKUP(B15,[2]Table!A$2:F$415,1,FALSE)=[3]!Table14[[#This Row],[Physical Name of Attribute (Name of column in Table)
Supplied by DA Team]]</f>
        <v>#REF!</v>
      </c>
      <c r="U15" s="18" t="b">
        <f>VLOOKUP(B15,Table!A$2:F$319,2,FALSE)=Table1[[#This Row],[Data type in Oracle
VARCHAR2(n), DATE, NUMBER(m,n), TIMETSTAMP(6)]]</f>
        <v>0</v>
      </c>
      <c r="V15" s="18" t="b">
        <f>VLOOKUP(B15,Table!A$2:F$231,3,FALSE)=Table1[[#This Row],[Nullable in Table and in Oracle View
NULL, NOT NULL]]</f>
        <v>1</v>
      </c>
      <c r="W15" s="18" t="b">
        <f>VLOOKUP(B15,Table!A$2:H$228,6,FALSE)=Table1[[#This Row],[Business Definition (To go into comments and into Meta Data Hub)]]</f>
        <v>1</v>
      </c>
      <c r="X15" s="18" t="str">
        <f>VLOOKUP((UPPER(SUBSTITUTE(A15," ","_"))),'[2]Consumer View'!A$2:I$329,1,FALSE)</f>
        <v>IMPACT_SOURCE_ACTION_CODE</v>
      </c>
      <c r="Y15" s="18" t="s">
        <v>68</v>
      </c>
      <c r="Z15" s="47" t="s">
        <v>69</v>
      </c>
      <c r="AA15" s="18" t="s">
        <v>86</v>
      </c>
      <c r="AB15" s="18"/>
      <c r="AC15" s="18"/>
      <c r="AD15" s="18"/>
      <c r="AE15" s="46"/>
      <c r="AF15" s="18"/>
      <c r="AG15" s="18"/>
      <c r="AH15" s="18" t="s">
        <v>71</v>
      </c>
    </row>
    <row r="16" spans="1:34" ht="27" hidden="1" customHeight="1">
      <c r="A16" s="51" t="s">
        <v>87</v>
      </c>
      <c r="B16" s="18" t="s">
        <v>88</v>
      </c>
      <c r="C16" s="18" t="s">
        <v>89</v>
      </c>
      <c r="D16" s="18" t="s">
        <v>90</v>
      </c>
      <c r="E16" s="18" t="s">
        <v>63</v>
      </c>
      <c r="F16" s="18" t="s">
        <v>91</v>
      </c>
      <c r="G16" s="45" t="s">
        <v>63</v>
      </c>
      <c r="H16" s="46" t="s">
        <v>92</v>
      </c>
      <c r="I16" s="18" t="s">
        <v>93</v>
      </c>
      <c r="J16" s="18" t="s">
        <v>67</v>
      </c>
      <c r="K16" s="18">
        <v>3</v>
      </c>
      <c r="L16" s="18"/>
      <c r="M16" s="18"/>
      <c r="N16" s="18"/>
      <c r="O16" s="18" t="b">
        <f>VLOOKUP(A16,[1]Model!C$2:J$559,2,FALSE)=B16</f>
        <v>1</v>
      </c>
      <c r="P16" s="18" t="b">
        <f>VLOOKUP(A16,Model!C$2:G$228,5,FALSE)=D16</f>
        <v>1</v>
      </c>
      <c r="Q16" s="18">
        <f>VLOOKUP(A16,[2]Model!C$2:L$228,8,FALSE)</f>
        <v>183</v>
      </c>
      <c r="R16" s="18" t="e">
        <f>VLOOKUP(A16,[2]Model!C$2:G$228,3,FALSE)=[3]!Table14[[#This Row],[Business Definition (To go into comments and into Meta Data Hub)]]</f>
        <v>#REF!</v>
      </c>
      <c r="S16" s="18" t="e">
        <f>IF([3]!Table14[[#This Row],[Nullable in Table and in Oracle View
NULL, NOT NULL]]="No","NOT NULL","NULL")=VLOOKUP(A16,[2]Model!C$2:I$228,6,FALSE)</f>
        <v>#REF!</v>
      </c>
      <c r="T16" s="18" t="e">
        <f>VLOOKUP(B16,[2]Table!A$2:F$415,1,FALSE)=[3]!Table14[[#This Row],[Physical Name of Attribute (Name of column in Table)
Supplied by DA Team]]</f>
        <v>#REF!</v>
      </c>
      <c r="U16" s="18" t="b">
        <f>VLOOKUP(B16,Table!A$2:F$319,2,FALSE)=Table1[[#This Row],[Data type in Oracle
VARCHAR2(n), DATE, NUMBER(m,n), TIMETSTAMP(6)]]</f>
        <v>0</v>
      </c>
      <c r="V16" s="18" t="b">
        <f>VLOOKUP(B16,Table!A$2:F$231,3,FALSE)=Table1[[#This Row],[Nullable in Table and in Oracle View
NULL, NOT NULL]]</f>
        <v>1</v>
      </c>
      <c r="W16" s="18" t="b">
        <f>VLOOKUP(B16,Table!A$2:H$228,6,FALSE)=Table1[[#This Row],[Business Definition (To go into comments and into Meta Data Hub)]]</f>
        <v>1</v>
      </c>
      <c r="X16" s="18" t="str">
        <f>VLOOKUP((UPPER(SUBSTITUTE(A16," ","_"))),'[2]Consumer View'!A$2:I$329,1,FALSE)</f>
        <v>IMPACT_SOURCE_ACTION_NAME</v>
      </c>
      <c r="Y16" s="18" t="s">
        <v>94</v>
      </c>
      <c r="Z16" s="47" t="s">
        <v>95</v>
      </c>
      <c r="AA16" s="18" t="s">
        <v>96</v>
      </c>
      <c r="AB16" s="18"/>
      <c r="AC16" s="18"/>
      <c r="AD16" s="18" t="s">
        <v>97</v>
      </c>
      <c r="AE16" s="46" t="s">
        <v>98</v>
      </c>
      <c r="AF16" s="18"/>
      <c r="AG16" s="18"/>
      <c r="AH16" s="18" t="s">
        <v>71</v>
      </c>
    </row>
    <row r="17" spans="1:34" ht="27" hidden="1" customHeight="1">
      <c r="A17" s="51" t="s">
        <v>99</v>
      </c>
      <c r="B17" s="18" t="s">
        <v>100</v>
      </c>
      <c r="C17" s="18"/>
      <c r="D17" s="46" t="s">
        <v>101</v>
      </c>
      <c r="E17" s="18" t="s">
        <v>63</v>
      </c>
      <c r="F17" s="18" t="s">
        <v>102</v>
      </c>
      <c r="G17" s="45" t="s">
        <v>63</v>
      </c>
      <c r="H17" s="46" t="s">
        <v>103</v>
      </c>
      <c r="I17" s="18">
        <v>3214</v>
      </c>
      <c r="J17" s="18" t="s">
        <v>67</v>
      </c>
      <c r="K17" s="18">
        <v>3</v>
      </c>
      <c r="L17" s="18"/>
      <c r="M17" s="18"/>
      <c r="N17" s="18"/>
      <c r="O17" s="18" t="b">
        <f>VLOOKUP(A17,[1]Model!C$2:J$559,2,FALSE)=B17</f>
        <v>1</v>
      </c>
      <c r="P17" s="18" t="e">
        <f>VLOOKUP(A17,Model!C$2:G$228,5,FALSE)=D17</f>
        <v>#N/A</v>
      </c>
      <c r="Q17" s="18">
        <f>VLOOKUP(A17,[2]Model!C$2:L$228,8,FALSE)</f>
        <v>144</v>
      </c>
      <c r="R17" s="18" t="e">
        <f>VLOOKUP(A17,[2]Model!C$2:G$228,3,FALSE)=[3]!Table14[[#This Row],[Business Definition (To go into comments and into Meta Data Hub)]]</f>
        <v>#REF!</v>
      </c>
      <c r="S17" s="18" t="e">
        <f>IF([3]!Table14[[#This Row],[Nullable in Table and in Oracle View
NULL, NOT NULL]]="No","NOT NULL","NULL")=VLOOKUP(A17,[2]Model!C$2:I$228,6,FALSE)</f>
        <v>#REF!</v>
      </c>
      <c r="T17" s="18" t="e">
        <f>VLOOKUP(B17,[2]Table!A$2:F$415,1,FALSE)=[3]!Table14[[#This Row],[Physical Name of Attribute (Name of column in Table)
Supplied by DA Team]]</f>
        <v>#REF!</v>
      </c>
      <c r="U17" s="18" t="b">
        <f>VLOOKUP(B17,Table!A$2:F$319,2,FALSE)=Table1[[#This Row],[Data type in Oracle
VARCHAR2(n), DATE, NUMBER(m,n), TIMETSTAMP(6)]]</f>
        <v>1</v>
      </c>
      <c r="V17" s="18" t="b">
        <f>VLOOKUP(B17,Table!A$2:F$231,3,FALSE)=Table1[[#This Row],[Nullable in Table and in Oracle View
NULL, NOT NULL]]</f>
        <v>1</v>
      </c>
      <c r="W17" s="18" t="b">
        <f>VLOOKUP(B17,Table!A$2:H$228,6,FALSE)=Table1[[#This Row],[Business Definition (To go into comments and into Meta Data Hub)]]</f>
        <v>1</v>
      </c>
      <c r="X17" s="18" t="str">
        <f>VLOOKUP((UPPER(SUBSTITUTE(A17," ","_"))),'[2]Consumer View'!A$2:I$329,1,FALSE)</f>
        <v>SIS_DETAILED_EVENTS_ID</v>
      </c>
      <c r="Y17" s="18" t="s">
        <v>68</v>
      </c>
      <c r="Z17" s="47" t="s">
        <v>69</v>
      </c>
      <c r="AA17" s="18" t="s">
        <v>104</v>
      </c>
      <c r="AB17" s="18"/>
      <c r="AC17" s="18"/>
      <c r="AD17" s="18"/>
      <c r="AE17" s="46" t="s">
        <v>105</v>
      </c>
      <c r="AF17" s="18"/>
      <c r="AG17" s="18"/>
      <c r="AH17" s="18" t="s">
        <v>71</v>
      </c>
    </row>
    <row r="18" spans="1:34" s="8" customFormat="1" ht="27" hidden="1" customHeight="1">
      <c r="A18" s="51" t="s">
        <v>106</v>
      </c>
      <c r="B18" s="51" t="s">
        <v>107</v>
      </c>
      <c r="C18" s="51" t="s">
        <v>108</v>
      </c>
      <c r="D18" s="51" t="s">
        <v>109</v>
      </c>
      <c r="E18" s="51" t="s">
        <v>63</v>
      </c>
      <c r="F18" s="51" t="s">
        <v>110</v>
      </c>
      <c r="G18" s="45" t="s">
        <v>63</v>
      </c>
      <c r="H18" s="52" t="s">
        <v>111</v>
      </c>
      <c r="I18" s="51" t="s">
        <v>112</v>
      </c>
      <c r="J18" s="51" t="s">
        <v>67</v>
      </c>
      <c r="K18" s="18">
        <v>3</v>
      </c>
      <c r="L18" s="18"/>
      <c r="M18" s="18"/>
      <c r="N18" s="18"/>
      <c r="O18" s="18" t="b">
        <f>VLOOKUP(A18,[1]Model!C$2:J$559,2,FALSE)=B18</f>
        <v>1</v>
      </c>
      <c r="P18" s="18" t="e">
        <f>VLOOKUP(A18,Model!C$2:G$228,5,FALSE)=D18</f>
        <v>#N/A</v>
      </c>
      <c r="Q18" s="18">
        <f>VLOOKUP(A18,[2]Model!C$2:L$228,8,FALSE)</f>
        <v>145</v>
      </c>
      <c r="R18" s="18" t="e">
        <f>VLOOKUP(A18,[2]Model!C$2:G$228,3,FALSE)=[3]!Table14[[#This Row],[Business Definition (To go into comments and into Meta Data Hub)]]</f>
        <v>#REF!</v>
      </c>
      <c r="S18" s="18" t="e">
        <f>IF([3]!Table14[[#This Row],[Nullable in Table and in Oracle View
NULL, NOT NULL]]="No","NOT NULL","NULL")=VLOOKUP(A18,[2]Model!C$2:I$228,6,FALSE)</f>
        <v>#REF!</v>
      </c>
      <c r="T18" s="18" t="e">
        <f>VLOOKUP(B18,[2]Table!A$2:F$415,1,FALSE)=[3]!Table14[[#This Row],[Physical Name of Attribute (Name of column in Table)
Supplied by DA Team]]</f>
        <v>#REF!</v>
      </c>
      <c r="U18" s="18" t="b">
        <f>VLOOKUP(B18,Table!A$2:F$319,2,FALSE)=Table1[[#This Row],[Data type in Oracle
VARCHAR2(n), DATE, NUMBER(m,n), TIMETSTAMP(6)]]</f>
        <v>0</v>
      </c>
      <c r="V18" s="18" t="b">
        <f>VLOOKUP(B18,Table!A$2:F$231,3,FALSE)=Table1[[#This Row],[Nullable in Table and in Oracle View
NULL, NOT NULL]]</f>
        <v>1</v>
      </c>
      <c r="W18" s="18" t="b">
        <f>VLOOKUP(B18,Table!A$2:H$228,6,FALSE)=Table1[[#This Row],[Business Definition (To go into comments and into Meta Data Hub)]]</f>
        <v>1</v>
      </c>
      <c r="X18" s="18" t="str">
        <f>VLOOKUP((UPPER(SUBSTITUTE(A18," ","_"))),'[2]Consumer View'!A$2:I$329,1,FALSE)</f>
        <v>SIS_DETAILED_EVENTS_NAME</v>
      </c>
      <c r="Y18" s="51" t="s">
        <v>68</v>
      </c>
      <c r="Z18" s="51" t="s">
        <v>113</v>
      </c>
      <c r="AA18" s="51" t="s">
        <v>114</v>
      </c>
      <c r="AB18" s="51"/>
      <c r="AC18" s="51"/>
      <c r="AD18" s="51" t="s">
        <v>115</v>
      </c>
      <c r="AE18" s="46" t="s">
        <v>105</v>
      </c>
      <c r="AF18" s="18"/>
      <c r="AG18" s="51"/>
      <c r="AH18" s="51" t="s">
        <v>116</v>
      </c>
    </row>
    <row r="19" spans="1:34" ht="27" hidden="1" customHeight="1">
      <c r="A19" s="51" t="s">
        <v>117</v>
      </c>
      <c r="B19" s="18" t="s">
        <v>118</v>
      </c>
      <c r="C19" s="18" t="s">
        <v>119</v>
      </c>
      <c r="D19" s="18" t="s">
        <v>120</v>
      </c>
      <c r="E19" s="18" t="s">
        <v>63</v>
      </c>
      <c r="F19" s="18" t="s">
        <v>121</v>
      </c>
      <c r="G19" s="45" t="s">
        <v>63</v>
      </c>
      <c r="H19" s="46" t="s">
        <v>122</v>
      </c>
      <c r="I19" s="18" t="s">
        <v>123</v>
      </c>
      <c r="J19" s="18" t="s">
        <v>67</v>
      </c>
      <c r="K19" s="18">
        <v>3</v>
      </c>
      <c r="L19" s="18"/>
      <c r="M19" s="18"/>
      <c r="N19" s="18"/>
      <c r="O19" s="18" t="b">
        <f>VLOOKUP(A19,[1]Model!C$2:J$559,2,FALSE)=B19</f>
        <v>1</v>
      </c>
      <c r="P19" s="18" t="e">
        <f>VLOOKUP(A19,Model!C$2:G$228,5,FALSE)=D19</f>
        <v>#N/A</v>
      </c>
      <c r="Q19" s="18">
        <f>VLOOKUP(A19,[2]Model!C$2:L$228,8,FALSE)</f>
        <v>146</v>
      </c>
      <c r="R19" s="18" t="e">
        <f>VLOOKUP(A19,[2]Model!C$2:G$228,3,FALSE)=[3]!Table14[[#This Row],[Business Definition (To go into comments and into Meta Data Hub)]]</f>
        <v>#REF!</v>
      </c>
      <c r="S19" s="18" t="e">
        <f>IF([3]!Table14[[#This Row],[Nullable in Table and in Oracle View
NULL, NOT NULL]]="No","NOT NULL","NULL")=VLOOKUP(A19,[2]Model!C$2:I$228,6,FALSE)</f>
        <v>#REF!</v>
      </c>
      <c r="T19" s="18" t="e">
        <f>VLOOKUP(B19,[2]Table!A$2:F$415,1,FALSE)=[3]!Table14[[#This Row],[Physical Name of Attribute (Name of column in Table)
Supplied by DA Team]]</f>
        <v>#REF!</v>
      </c>
      <c r="U19" s="18" t="b">
        <f>VLOOKUP(B19,Table!A$2:F$319,2,FALSE)=Table1[[#This Row],[Data type in Oracle
VARCHAR2(n), DATE, NUMBER(m,n), TIMETSTAMP(6)]]</f>
        <v>0</v>
      </c>
      <c r="V19" s="18" t="b">
        <f>VLOOKUP(B19,Table!A$2:F$231,3,FALSE)=Table1[[#This Row],[Nullable in Table and in Oracle View
NULL, NOT NULL]]</f>
        <v>1</v>
      </c>
      <c r="W19" s="18" t="b">
        <f>VLOOKUP(B19,Table!A$2:H$228,6,FALSE)=Table1[[#This Row],[Business Definition (To go into comments and into Meta Data Hub)]]</f>
        <v>1</v>
      </c>
      <c r="X19" s="18" t="str">
        <f>VLOOKUP((UPPER(SUBSTITUTE(A19," ","_"))),'[2]Consumer View'!A$2:I$329,1,FALSE)</f>
        <v>SIS_USER_ID</v>
      </c>
      <c r="Y19" s="18" t="s">
        <v>68</v>
      </c>
      <c r="Z19" s="18" t="s">
        <v>69</v>
      </c>
      <c r="AA19" s="18" t="s">
        <v>124</v>
      </c>
      <c r="AB19" s="18"/>
      <c r="AC19" s="18"/>
      <c r="AD19" s="18"/>
      <c r="AE19" s="46"/>
      <c r="AF19" s="18"/>
      <c r="AG19" s="18"/>
      <c r="AH19" s="18" t="s">
        <v>71</v>
      </c>
    </row>
    <row r="20" spans="1:34" ht="27" hidden="1" customHeight="1">
      <c r="A20" s="51" t="s">
        <v>125</v>
      </c>
      <c r="B20" s="18" t="s">
        <v>126</v>
      </c>
      <c r="C20" s="18" t="s">
        <v>127</v>
      </c>
      <c r="D20" s="18" t="s">
        <v>62</v>
      </c>
      <c r="E20" s="18" t="s">
        <v>63</v>
      </c>
      <c r="F20" s="18" t="s">
        <v>64</v>
      </c>
      <c r="G20" s="45" t="s">
        <v>63</v>
      </c>
      <c r="H20" s="46" t="s">
        <v>128</v>
      </c>
      <c r="I20" s="18" t="s">
        <v>129</v>
      </c>
      <c r="J20" s="18" t="s">
        <v>67</v>
      </c>
      <c r="K20" s="18">
        <v>3</v>
      </c>
      <c r="L20" s="18"/>
      <c r="M20" s="18"/>
      <c r="N20" s="18"/>
      <c r="O20" s="18" t="b">
        <f>VLOOKUP(A20,[1]Model!C$2:J$559,2,FALSE)=B20</f>
        <v>1</v>
      </c>
      <c r="P20" s="18" t="e">
        <f>VLOOKUP(A20,Model!C$2:G$228,5,FALSE)=D20</f>
        <v>#N/A</v>
      </c>
      <c r="Q20" s="18">
        <f>VLOOKUP(A20,[2]Model!C$2:L$228,8,FALSE)</f>
        <v>147</v>
      </c>
      <c r="R20" s="18" t="e">
        <f>VLOOKUP(A20,[2]Model!C$2:G$228,3,FALSE)=[3]!Table14[[#This Row],[Business Definition (To go into comments and into Meta Data Hub)]]</f>
        <v>#REF!</v>
      </c>
      <c r="S20" s="18" t="e">
        <f>IF([3]!Table14[[#This Row],[Nullable in Table and in Oracle View
NULL, NOT NULL]]="No","NOT NULL","NULL")=VLOOKUP(A20,[2]Model!C$2:I$228,6,FALSE)</f>
        <v>#REF!</v>
      </c>
      <c r="T20" s="18" t="e">
        <f>VLOOKUP(B20,[2]Table!A$2:F$415,1,FALSE)=[3]!Table14[[#This Row],[Physical Name of Attribute (Name of column in Table)
Supplied by DA Team]]</f>
        <v>#REF!</v>
      </c>
      <c r="U20" s="18" t="b">
        <f>VLOOKUP(B20,Table!A$2:F$319,2,FALSE)=Table1[[#This Row],[Data type in Oracle
VARCHAR2(n), DATE, NUMBER(m,n), TIMETSTAMP(6)]]</f>
        <v>0</v>
      </c>
      <c r="V20" s="18" t="b">
        <f>VLOOKUP(B20,Table!A$2:F$231,3,FALSE)=Table1[[#This Row],[Nullable in Table and in Oracle View
NULL, NOT NULL]]</f>
        <v>1</v>
      </c>
      <c r="W20" s="18" t="b">
        <f>VLOOKUP(B20,Table!A$2:H$228,6,FALSE)=Table1[[#This Row],[Business Definition (To go into comments and into Meta Data Hub)]]</f>
        <v>1</v>
      </c>
      <c r="X20" s="18" t="str">
        <f>VLOOKUP((UPPER(SUBSTITUTE(A20," ","_"))),'[2]Consumer View'!A$2:I$329,1,FALSE)</f>
        <v>SIS_ACCOUNT_CLASSIFICATION_CODE</v>
      </c>
      <c r="Y20" s="18" t="s">
        <v>68</v>
      </c>
      <c r="Z20" s="18" t="s">
        <v>69</v>
      </c>
      <c r="AA20" s="18" t="s">
        <v>130</v>
      </c>
      <c r="AB20" s="18"/>
      <c r="AC20" s="18"/>
      <c r="AD20" s="18"/>
      <c r="AE20" s="46"/>
      <c r="AF20" s="18"/>
      <c r="AG20" s="18"/>
      <c r="AH20" s="18" t="s">
        <v>71</v>
      </c>
    </row>
    <row r="21" spans="1:34" ht="27" hidden="1" customHeight="1">
      <c r="A21" s="51" t="s">
        <v>131</v>
      </c>
      <c r="B21" s="18" t="s">
        <v>132</v>
      </c>
      <c r="C21" s="18"/>
      <c r="D21" s="18" t="s">
        <v>101</v>
      </c>
      <c r="E21" s="18" t="s">
        <v>63</v>
      </c>
      <c r="F21" s="18" t="s">
        <v>133</v>
      </c>
      <c r="G21" s="45" t="s">
        <v>63</v>
      </c>
      <c r="H21" s="46" t="s">
        <v>134</v>
      </c>
      <c r="I21" s="46" t="s">
        <v>135</v>
      </c>
      <c r="J21" s="18" t="s">
        <v>67</v>
      </c>
      <c r="K21" s="18">
        <v>3</v>
      </c>
      <c r="L21" s="18"/>
      <c r="M21" s="18"/>
      <c r="N21" s="18"/>
      <c r="O21" s="18" t="b">
        <f>VLOOKUP(A21,[1]Model!C$2:J$559,2,FALSE)=B21</f>
        <v>1</v>
      </c>
      <c r="P21" s="18" t="e">
        <f>VLOOKUP(A21,Model!C$2:G$228,5,FALSE)=D21</f>
        <v>#N/A</v>
      </c>
      <c r="Q21" s="18">
        <f>VLOOKUP(A21,[2]Model!C$2:L$228,8,FALSE)</f>
        <v>148</v>
      </c>
      <c r="R21" s="18" t="e">
        <f>VLOOKUP(A21,[2]Model!C$2:G$228,3,FALSE)=[3]!Table14[[#This Row],[Business Definition (To go into comments and into Meta Data Hub)]]</f>
        <v>#REF!</v>
      </c>
      <c r="S21" s="18" t="e">
        <f>IF([3]!Table14[[#This Row],[Nullable in Table and in Oracle View
NULL, NOT NULL]]="No","NOT NULL","NULL")=VLOOKUP(A21,[2]Model!C$2:I$228,6,FALSE)</f>
        <v>#REF!</v>
      </c>
      <c r="T21" s="18" t="e">
        <f>VLOOKUP(B21,[2]Table!A$2:F$415,1,FALSE)=[3]!Table14[[#This Row],[Physical Name of Attribute (Name of column in Table)
Supplied by DA Team]]</f>
        <v>#REF!</v>
      </c>
      <c r="U21" s="18" t="b">
        <f>VLOOKUP(B21,Table!A$2:F$319,2,FALSE)=Table1[[#This Row],[Data type in Oracle
VARCHAR2(n), DATE, NUMBER(m,n), TIMETSTAMP(6)]]</f>
        <v>1</v>
      </c>
      <c r="V21" s="18" t="b">
        <f>VLOOKUP(B21,Table!A$2:F$231,3,FALSE)=Table1[[#This Row],[Nullable in Table and in Oracle View
NULL, NOT NULL]]</f>
        <v>1</v>
      </c>
      <c r="W21" s="18" t="b">
        <f>VLOOKUP(B21,Table!A$2:H$228,6,FALSE)=Table1[[#This Row],[Business Definition (To go into comments and into Meta Data Hub)]]</f>
        <v>1</v>
      </c>
      <c r="X21" s="18" t="str">
        <f>VLOOKUP((UPPER(SUBSTITUTE(A21," ","_"))),'[2]Consumer View'!A$2:I$329,1,FALSE)</f>
        <v>SOURCE_CANCELLATION_REASON_ID</v>
      </c>
      <c r="Y21" s="18" t="s">
        <v>68</v>
      </c>
      <c r="Z21" s="47" t="s">
        <v>69</v>
      </c>
      <c r="AA21" s="18" t="s">
        <v>132</v>
      </c>
      <c r="AB21" s="18"/>
      <c r="AC21" s="18"/>
      <c r="AD21" s="18"/>
      <c r="AE21" s="46"/>
      <c r="AF21" s="18"/>
      <c r="AG21" s="18"/>
      <c r="AH21" s="18" t="s">
        <v>71</v>
      </c>
    </row>
    <row r="22" spans="1:34" ht="27" hidden="1" customHeight="1">
      <c r="A22" s="51" t="s">
        <v>136</v>
      </c>
      <c r="B22" s="18" t="s">
        <v>137</v>
      </c>
      <c r="C22" s="18" t="s">
        <v>138</v>
      </c>
      <c r="D22" s="18" t="s">
        <v>139</v>
      </c>
      <c r="E22" s="18" t="s">
        <v>63</v>
      </c>
      <c r="F22" s="18" t="s">
        <v>140</v>
      </c>
      <c r="G22" s="45" t="s">
        <v>63</v>
      </c>
      <c r="H22" s="53" t="s">
        <v>141</v>
      </c>
      <c r="I22" s="18" t="s">
        <v>142</v>
      </c>
      <c r="J22" s="18" t="s">
        <v>67</v>
      </c>
      <c r="K22" s="18">
        <v>3</v>
      </c>
      <c r="L22" s="18"/>
      <c r="M22" s="18"/>
      <c r="N22" s="18"/>
      <c r="O22" s="18" t="b">
        <f>VLOOKUP(A22,[1]Model!C$2:J$559,2,FALSE)=B22</f>
        <v>1</v>
      </c>
      <c r="P22" s="18" t="e">
        <f>VLOOKUP(A22,Model!C$2:G$228,5,FALSE)=D22</f>
        <v>#N/A</v>
      </c>
      <c r="Q22" s="18">
        <f>VLOOKUP(A22,[2]Model!C$2:L$228,8,FALSE)</f>
        <v>149</v>
      </c>
      <c r="R22" s="18" t="e">
        <f>VLOOKUP(A22,[2]Model!C$2:G$228,3,FALSE)=[3]!Table14[[#This Row],[Business Definition (To go into comments and into Meta Data Hub)]]</f>
        <v>#VALUE!</v>
      </c>
      <c r="S22" s="18" t="e">
        <f>IF([3]!Table14[[#This Row],[Nullable in Table and in Oracle View
NULL, NOT NULL]]="No","NOT NULL","NULL")=VLOOKUP(A22,[2]Model!C$2:I$228,6,FALSE)</f>
        <v>#REF!</v>
      </c>
      <c r="T22" s="18" t="e">
        <f>VLOOKUP(B22,[2]Table!A$2:F$415,1,FALSE)=[3]!Table14[[#This Row],[Physical Name of Attribute (Name of column in Table)
Supplied by DA Team]]</f>
        <v>#REF!</v>
      </c>
      <c r="U22" s="18" t="b">
        <f>VLOOKUP(B22,Table!A$2:F$319,2,FALSE)=Table1[[#This Row],[Data type in Oracle
VARCHAR2(n), DATE, NUMBER(m,n), TIMETSTAMP(6)]]</f>
        <v>0</v>
      </c>
      <c r="V22" s="18" t="b">
        <f>VLOOKUP(B22,Table!A$2:F$231,3,FALSE)=Table1[[#This Row],[Nullable in Table and in Oracle View
NULL, NOT NULL]]</f>
        <v>1</v>
      </c>
      <c r="W22" s="18" t="b">
        <f>VLOOKUP(B22,Table!A$2:H$228,6,FALSE)=Table1[[#This Row],[Business Definition (To go into comments and into Meta Data Hub)]]</f>
        <v>0</v>
      </c>
      <c r="X22" s="55" t="str">
        <f>VLOOKUP((UPPER(SUBSTITUTE(A22," ","_"))),'[2]Consumer View'!A$2:I$329,1,FALSE)</f>
        <v>SOURCE_CANCELLATION_REASON_CODE</v>
      </c>
      <c r="Y22" s="18" t="s">
        <v>68</v>
      </c>
      <c r="Z22" s="18" t="s">
        <v>113</v>
      </c>
      <c r="AA22" s="18" t="s">
        <v>143</v>
      </c>
      <c r="AB22" s="18"/>
      <c r="AC22" s="18"/>
      <c r="AD22" s="18" t="s">
        <v>144</v>
      </c>
      <c r="AE22" s="46" t="s">
        <v>105</v>
      </c>
      <c r="AF22" s="18"/>
      <c r="AG22" s="18"/>
      <c r="AH22" s="18" t="s">
        <v>71</v>
      </c>
    </row>
    <row r="23" spans="1:34" ht="27" hidden="1" customHeight="1">
      <c r="A23" s="51" t="s">
        <v>145</v>
      </c>
      <c r="B23" s="18" t="s">
        <v>146</v>
      </c>
      <c r="C23" s="18" t="s">
        <v>147</v>
      </c>
      <c r="D23" s="18" t="s">
        <v>109</v>
      </c>
      <c r="E23" s="18" t="s">
        <v>63</v>
      </c>
      <c r="F23" s="18" t="s">
        <v>110</v>
      </c>
      <c r="G23" s="45" t="s">
        <v>63</v>
      </c>
      <c r="H23" s="46" t="s">
        <v>148</v>
      </c>
      <c r="I23" s="18" t="s">
        <v>149</v>
      </c>
      <c r="J23" s="18" t="s">
        <v>67</v>
      </c>
      <c r="K23" s="18">
        <v>3</v>
      </c>
      <c r="L23" s="18"/>
      <c r="M23" s="18"/>
      <c r="N23" s="18"/>
      <c r="O23" s="18" t="b">
        <f>VLOOKUP(A23,[1]Model!C$2:J$559,2,FALSE)=B23</f>
        <v>1</v>
      </c>
      <c r="P23" s="18" t="e">
        <f>VLOOKUP(A23,Model!C$2:G$228,5,FALSE)=D23</f>
        <v>#N/A</v>
      </c>
      <c r="Q23" s="18">
        <f>VLOOKUP(A23,[2]Model!C$2:L$228,8,FALSE)</f>
        <v>150</v>
      </c>
      <c r="R23" s="18" t="e">
        <f>VLOOKUP(A23,[2]Model!C$2:G$228,3,FALSE)=[3]!Table14[[#This Row],[Business Definition (To go into comments and into Meta Data Hub)]]</f>
        <v>#REF!</v>
      </c>
      <c r="S23" s="18" t="e">
        <f>IF([3]!Table14[[#This Row],[Nullable in Table and in Oracle View
NULL, NOT NULL]]="No","NOT NULL","NULL")=VLOOKUP(A23,[2]Model!C$2:I$228,6,FALSE)</f>
        <v>#REF!</v>
      </c>
      <c r="T23" s="18" t="e">
        <f>VLOOKUP(B23,[2]Table!A$2:F$415,1,FALSE)=[3]!Table14[[#This Row],[Physical Name of Attribute (Name of column in Table)
Supplied by DA Team]]</f>
        <v>#REF!</v>
      </c>
      <c r="U23" s="18" t="b">
        <f>VLOOKUP(B23,Table!A$2:F$319,2,FALSE)=Table1[[#This Row],[Data type in Oracle
VARCHAR2(n), DATE, NUMBER(m,n), TIMETSTAMP(6)]]</f>
        <v>0</v>
      </c>
      <c r="V23" s="18" t="b">
        <f>VLOOKUP(B23,Table!A$2:F$231,3,FALSE)=Table1[[#This Row],[Nullable in Table and in Oracle View
NULL, NOT NULL]]</f>
        <v>1</v>
      </c>
      <c r="W23" s="18" t="b">
        <f>VLOOKUP(B23,Table!A$2:H$228,6,FALSE)=Table1[[#This Row],[Business Definition (To go into comments and into Meta Data Hub)]]</f>
        <v>1</v>
      </c>
      <c r="X23" s="18" t="str">
        <f>VLOOKUP((UPPER(SUBSTITUTE(A23," ","_"))),'[2]Consumer View'!A$2:I$329,1,FALSE)</f>
        <v>SOURCE_CANCELLATION_REASON_NAME</v>
      </c>
      <c r="Y23" s="18" t="s">
        <v>68</v>
      </c>
      <c r="Z23" s="18" t="s">
        <v>113</v>
      </c>
      <c r="AA23" s="51" t="s">
        <v>114</v>
      </c>
      <c r="AB23" s="18"/>
      <c r="AC23" s="18"/>
      <c r="AD23" s="18" t="s">
        <v>144</v>
      </c>
      <c r="AE23" s="46"/>
      <c r="AF23" s="18"/>
      <c r="AG23" s="18"/>
      <c r="AH23" s="18" t="s">
        <v>71</v>
      </c>
    </row>
    <row r="24" spans="1:34" ht="27" hidden="1" customHeight="1">
      <c r="A24" s="51" t="s">
        <v>150</v>
      </c>
      <c r="B24" s="18" t="s">
        <v>151</v>
      </c>
      <c r="C24" s="18" t="s">
        <v>152</v>
      </c>
      <c r="D24" s="18" t="s">
        <v>101</v>
      </c>
      <c r="E24" s="18" t="s">
        <v>63</v>
      </c>
      <c r="F24" s="18" t="s">
        <v>133</v>
      </c>
      <c r="G24" s="45" t="s">
        <v>63</v>
      </c>
      <c r="H24" s="46" t="s">
        <v>153</v>
      </c>
      <c r="I24" s="46">
        <v>2878</v>
      </c>
      <c r="J24" s="18" t="s">
        <v>67</v>
      </c>
      <c r="K24" s="18">
        <v>3</v>
      </c>
      <c r="L24" s="18"/>
      <c r="M24" s="18"/>
      <c r="N24" s="18"/>
      <c r="O24" s="18" t="b">
        <f>VLOOKUP(A24,[1]Model!C$2:J$559,2,FALSE)=B24</f>
        <v>1</v>
      </c>
      <c r="P24" s="18" t="e">
        <f>VLOOKUP(A24,Model!C$2:G$228,5,FALSE)=D24</f>
        <v>#N/A</v>
      </c>
      <c r="Q24" s="18">
        <f>VLOOKUP(A24,[2]Model!C$2:L$228,8,FALSE)</f>
        <v>151</v>
      </c>
      <c r="R24" s="18" t="e">
        <f>VLOOKUP(A24,[2]Model!C$2:G$228,3,FALSE)=[3]!Table14[[#This Row],[Business Definition (To go into comments and into Meta Data Hub)]]</f>
        <v>#REF!</v>
      </c>
      <c r="S24" s="18" t="e">
        <f>IF([3]!Table14[[#This Row],[Nullable in Table and in Oracle View
NULL, NOT NULL]]="No","NOT NULL","NULL")=VLOOKUP(A24,[2]Model!C$2:I$228,6,FALSE)</f>
        <v>#REF!</v>
      </c>
      <c r="T24" s="18" t="e">
        <f>VLOOKUP(B24,[2]Table!A$2:F$415,1,FALSE)=[3]!Table14[[#This Row],[Physical Name of Attribute (Name of column in Table)
Supplied by DA Team]]</f>
        <v>#REF!</v>
      </c>
      <c r="U24" s="18" t="b">
        <f>VLOOKUP(B24,Table!A$2:F$319,2,FALSE)=Table1[[#This Row],[Data type in Oracle
VARCHAR2(n), DATE, NUMBER(m,n), TIMETSTAMP(6)]]</f>
        <v>1</v>
      </c>
      <c r="V24" s="18" t="b">
        <f>VLOOKUP(B24,Table!A$2:F$231,3,FALSE)=Table1[[#This Row],[Nullable in Table and in Oracle View
NULL, NOT NULL]]</f>
        <v>1</v>
      </c>
      <c r="W24" s="18" t="b">
        <f>VLOOKUP(B24,Table!A$2:H$228,6,FALSE)=Table1[[#This Row],[Business Definition (To go into comments and into Meta Data Hub)]]</f>
        <v>1</v>
      </c>
      <c r="X24" s="18" t="str">
        <f>VLOOKUP((UPPER(SUBSTITUTE(A24," ","_"))),'[2]Consumer View'!A$2:I$329,1,FALSE)</f>
        <v>SOURCE_TRANSACTION_SEQUENCE_NUMBER</v>
      </c>
      <c r="Y24" s="18" t="s">
        <v>68</v>
      </c>
      <c r="Z24" s="18" t="s">
        <v>69</v>
      </c>
      <c r="AA24" s="18" t="s">
        <v>151</v>
      </c>
      <c r="AB24" s="18"/>
      <c r="AC24" s="18"/>
      <c r="AD24" s="18"/>
      <c r="AE24" s="46"/>
      <c r="AF24" s="18"/>
      <c r="AG24" s="18"/>
      <c r="AH24" s="18" t="s">
        <v>71</v>
      </c>
    </row>
    <row r="25" spans="1:34" ht="27" hidden="1" customHeight="1">
      <c r="A25" s="51" t="s">
        <v>154</v>
      </c>
      <c r="B25" s="18" t="s">
        <v>155</v>
      </c>
      <c r="C25" s="18" t="s">
        <v>156</v>
      </c>
      <c r="D25" s="18" t="s">
        <v>157</v>
      </c>
      <c r="E25" s="18" t="s">
        <v>63</v>
      </c>
      <c r="F25" s="18" t="s">
        <v>158</v>
      </c>
      <c r="G25" s="45" t="s">
        <v>63</v>
      </c>
      <c r="H25" s="46" t="s">
        <v>159</v>
      </c>
      <c r="I25" s="18">
        <v>42398</v>
      </c>
      <c r="J25" s="18" t="s">
        <v>67</v>
      </c>
      <c r="K25" s="18">
        <v>3</v>
      </c>
      <c r="L25" s="18"/>
      <c r="M25" s="18"/>
      <c r="N25" s="18"/>
      <c r="O25" s="18" t="b">
        <f>VLOOKUP(A25,[1]Model!C$2:J$559,2,FALSE)=B25</f>
        <v>1</v>
      </c>
      <c r="P25" s="18" t="b">
        <f>VLOOKUP(A25,Model!C$2:G$228,5,FALSE)=D25</f>
        <v>1</v>
      </c>
      <c r="Q25" s="18">
        <f>VLOOKUP(A25,[2]Model!C$2:L$228,8,FALSE)</f>
        <v>152</v>
      </c>
      <c r="R25" s="18" t="e">
        <f>VLOOKUP(A25,[2]Model!C$2:G$228,3,FALSE)=[3]!Table14[[#This Row],[Business Definition (To go into comments and into Meta Data Hub)]]</f>
        <v>#REF!</v>
      </c>
      <c r="S25" s="18" t="e">
        <f>IF([3]!Table14[[#This Row],[Nullable in Table and in Oracle View
NULL, NOT NULL]]="No","NOT NULL","NULL")=VLOOKUP(A25,[2]Model!C$2:I$228,6,FALSE)</f>
        <v>#REF!</v>
      </c>
      <c r="T25" s="18" t="e">
        <f>VLOOKUP(B25,[2]Table!A$2:F$415,1,FALSE)=[3]!Table14[[#This Row],[Physical Name of Attribute (Name of column in Table)
Supplied by DA Team]]</f>
        <v>#REF!</v>
      </c>
      <c r="U25" s="18" t="b">
        <f>VLOOKUP(B25,Table!A$2:F$319,2,FALSE)=Table1[[#This Row],[Data type in Oracle
VARCHAR2(n), DATE, NUMBER(m,n), TIMETSTAMP(6)]]</f>
        <v>1</v>
      </c>
      <c r="V25" s="18" t="b">
        <f>VLOOKUP(B25,Table!A$2:F$231,3,FALSE)=Table1[[#This Row],[Nullable in Table and in Oracle View
NULL, NOT NULL]]</f>
        <v>1</v>
      </c>
      <c r="W25" s="18" t="b">
        <f>VLOOKUP(B25,Table!A$2:H$228,6,FALSE)=Table1[[#This Row],[Business Definition (To go into comments and into Meta Data Hub)]]</f>
        <v>1</v>
      </c>
      <c r="X25" s="18" t="str">
        <f>VLOOKUP((UPPER(SUBSTITUTE(A25," ","_"))),'[2]Consumer View'!A$2:I$329,1,FALSE)</f>
        <v>DIVIDEND_RECORD_DATE</v>
      </c>
      <c r="Y25" s="18" t="s">
        <v>68</v>
      </c>
      <c r="Z25" s="18" t="s">
        <v>69</v>
      </c>
      <c r="AA25" s="18" t="s">
        <v>155</v>
      </c>
      <c r="AB25" s="18"/>
      <c r="AC25" s="18"/>
      <c r="AD25" s="18"/>
      <c r="AE25" s="46"/>
      <c r="AF25" s="18"/>
      <c r="AG25" s="18"/>
      <c r="AH25" s="18" t="s">
        <v>71</v>
      </c>
    </row>
    <row r="26" spans="1:34" ht="27" hidden="1" customHeight="1">
      <c r="A26" s="51" t="s">
        <v>160</v>
      </c>
      <c r="B26" s="18" t="s">
        <v>161</v>
      </c>
      <c r="C26" s="18" t="s">
        <v>162</v>
      </c>
      <c r="D26" s="18" t="s">
        <v>139</v>
      </c>
      <c r="E26" s="18" t="s">
        <v>63</v>
      </c>
      <c r="F26" s="18" t="s">
        <v>140</v>
      </c>
      <c r="G26" s="45" t="s">
        <v>63</v>
      </c>
      <c r="H26" s="46" t="s">
        <v>163</v>
      </c>
      <c r="I26" s="46" t="s">
        <v>164</v>
      </c>
      <c r="J26" s="18" t="s">
        <v>67</v>
      </c>
      <c r="K26" s="18">
        <v>3</v>
      </c>
      <c r="L26" s="18"/>
      <c r="M26" s="18"/>
      <c r="N26" s="18"/>
      <c r="O26" s="18" t="b">
        <f>VLOOKUP(A26,[1]Model!C$2:J$559,2,FALSE)=B26</f>
        <v>1</v>
      </c>
      <c r="P26" s="18" t="b">
        <f>VLOOKUP(A26,Model!C$2:G$228,5,FALSE)=D26</f>
        <v>1</v>
      </c>
      <c r="Q26" s="18">
        <f>VLOOKUP(A26,[2]Model!C$2:L$228,8,FALSE)</f>
        <v>153</v>
      </c>
      <c r="R26" s="18" t="e">
        <f>VLOOKUP(A26,[2]Model!C$2:G$228,3,FALSE)=[3]!Table14[[#This Row],[Business Definition (To go into comments and into Meta Data Hub)]]</f>
        <v>#REF!</v>
      </c>
      <c r="S26" s="18" t="e">
        <f>IF([3]!Table14[[#This Row],[Nullable in Table and in Oracle View
NULL, NOT NULL]]="No","NOT NULL","NULL")=VLOOKUP(A26,[2]Model!C$2:I$228,6,FALSE)</f>
        <v>#REF!</v>
      </c>
      <c r="T26" s="18" t="e">
        <f>VLOOKUP(B26,[2]Table!A$2:F$415,1,FALSE)=[3]!Table14[[#This Row],[Physical Name of Attribute (Name of column in Table)
Supplied by DA Team]]</f>
        <v>#REF!</v>
      </c>
      <c r="U26" s="18" t="b">
        <f>VLOOKUP(B26,Table!A$2:F$319,2,FALSE)=Table1[[#This Row],[Data type in Oracle
VARCHAR2(n), DATE, NUMBER(m,n), TIMETSTAMP(6)]]</f>
        <v>0</v>
      </c>
      <c r="V26" s="18" t="b">
        <f>VLOOKUP(B26,Table!A$2:F$231,3,FALSE)=Table1[[#This Row],[Nullable in Table and in Oracle View
NULL, NOT NULL]]</f>
        <v>1</v>
      </c>
      <c r="W26" s="18" t="b">
        <f>VLOOKUP(B26,Table!A$2:H$228,6,FALSE)=Table1[[#This Row],[Business Definition (To go into comments and into Meta Data Hub)]]</f>
        <v>1</v>
      </c>
      <c r="X26" s="18" t="str">
        <f>VLOOKUP((UPPER(SUBSTITUTE(A26," ","_"))),'[2]Consumer View'!A$2:I$329,1,FALSE)</f>
        <v>OWNER_IMPACT_FA_NUMBER</v>
      </c>
      <c r="Y26" s="18" t="s">
        <v>68</v>
      </c>
      <c r="Z26" s="47" t="s">
        <v>69</v>
      </c>
      <c r="AA26" s="46" t="s">
        <v>165</v>
      </c>
      <c r="AB26" s="18"/>
      <c r="AC26" s="18"/>
      <c r="AD26" s="18"/>
      <c r="AE26" s="46"/>
      <c r="AF26" s="18"/>
      <c r="AG26" s="18"/>
      <c r="AH26" s="18" t="s">
        <v>71</v>
      </c>
    </row>
    <row r="27" spans="1:34" ht="27" hidden="1" customHeight="1">
      <c r="A27" s="51" t="s">
        <v>166</v>
      </c>
      <c r="B27" s="18" t="s">
        <v>167</v>
      </c>
      <c r="C27" s="18" t="s">
        <v>168</v>
      </c>
      <c r="D27" s="18" t="s">
        <v>169</v>
      </c>
      <c r="E27" s="18" t="s">
        <v>63</v>
      </c>
      <c r="F27" s="18" t="s">
        <v>170</v>
      </c>
      <c r="G27" s="45" t="s">
        <v>63</v>
      </c>
      <c r="H27" s="46" t="s">
        <v>171</v>
      </c>
      <c r="I27" s="18" t="s">
        <v>172</v>
      </c>
      <c r="J27" s="18" t="s">
        <v>67</v>
      </c>
      <c r="K27" s="18">
        <v>3</v>
      </c>
      <c r="L27" s="18"/>
      <c r="M27" s="18"/>
      <c r="N27" s="18"/>
      <c r="O27" s="18" t="b">
        <f>VLOOKUP(A27,[1]Model!C$2:J$559,2,FALSE)=B27</f>
        <v>1</v>
      </c>
      <c r="P27" s="18" t="b">
        <f>VLOOKUP(A27,Model!C$2:G$228,5,FALSE)=D27</f>
        <v>1</v>
      </c>
      <c r="Q27" s="18">
        <f>VLOOKUP(A27,[2]Model!C$2:L$228,8,FALSE)</f>
        <v>154</v>
      </c>
      <c r="R27" s="18" t="e">
        <f>VLOOKUP(A27,[2]Model!C$2:G$228,3,FALSE)=[3]!Table14[[#This Row],[Business Definition (To go into comments and into Meta Data Hub)]]</f>
        <v>#REF!</v>
      </c>
      <c r="S27" s="18" t="e">
        <f>IF([3]!Table14[[#This Row],[Nullable in Table and in Oracle View
NULL, NOT NULL]]="No","NOT NULL","NULL")=VLOOKUP(A27,[2]Model!C$2:I$228,6,FALSE)</f>
        <v>#REF!</v>
      </c>
      <c r="T27" s="18" t="e">
        <f>VLOOKUP(B27,[2]Table!A$2:F$415,1,FALSE)=[3]!Table14[[#This Row],[Physical Name of Attribute (Name of column in Table)
Supplied by DA Team]]</f>
        <v>#REF!</v>
      </c>
      <c r="U27" s="18" t="b">
        <f>VLOOKUP(B27,Table!A$2:F$319,2,FALSE)=Table1[[#This Row],[Data type in Oracle
VARCHAR2(n), DATE, NUMBER(m,n), TIMETSTAMP(6)]]</f>
        <v>0</v>
      </c>
      <c r="V27" s="18" t="b">
        <f>VLOOKUP(B27,Table!A$2:F$231,3,FALSE)=Table1[[#This Row],[Nullable in Table and in Oracle View
NULL, NOT NULL]]</f>
        <v>1</v>
      </c>
      <c r="W27" s="18" t="b">
        <f>VLOOKUP(B27,Table!A$2:H$228,6,FALSE)=Table1[[#This Row],[Business Definition (To go into comments and into Meta Data Hub)]]</f>
        <v>1</v>
      </c>
      <c r="X27" s="18" t="str">
        <f>VLOOKUP((UPPER(SUBSTITUTE(A27," ","_"))),'[2]Consumer View'!A$2:I$329,1,FALSE)</f>
        <v>OWNER_FA_NUMBER</v>
      </c>
      <c r="Y27" s="18" t="s">
        <v>173</v>
      </c>
      <c r="Z27" s="18" t="s">
        <v>174</v>
      </c>
      <c r="AA27" s="18" t="s">
        <v>175</v>
      </c>
      <c r="AB27" s="18"/>
      <c r="AC27" s="18"/>
      <c r="AD27" s="18" t="s">
        <v>176</v>
      </c>
      <c r="AE27" s="52" t="s">
        <v>177</v>
      </c>
      <c r="AF27" s="18"/>
      <c r="AG27" s="18"/>
      <c r="AH27" s="18" t="s">
        <v>178</v>
      </c>
    </row>
    <row r="28" spans="1:34" ht="27" hidden="1" customHeight="1">
      <c r="A28" s="51" t="s">
        <v>179</v>
      </c>
      <c r="B28" s="18" t="s">
        <v>180</v>
      </c>
      <c r="C28" s="18" t="s">
        <v>181</v>
      </c>
      <c r="D28" s="18" t="s">
        <v>139</v>
      </c>
      <c r="E28" s="18" t="s">
        <v>63</v>
      </c>
      <c r="F28" s="18" t="s">
        <v>140</v>
      </c>
      <c r="G28" s="45" t="s">
        <v>63</v>
      </c>
      <c r="H28" s="46" t="s">
        <v>182</v>
      </c>
      <c r="I28" s="46" t="s">
        <v>183</v>
      </c>
      <c r="J28" s="18" t="s">
        <v>67</v>
      </c>
      <c r="K28" s="18">
        <v>3</v>
      </c>
      <c r="L28" s="18"/>
      <c r="M28" s="18"/>
      <c r="N28" s="18"/>
      <c r="O28" s="18" t="b">
        <f>VLOOKUP(A28,[1]Model!C$2:J$559,2,FALSE)=B28</f>
        <v>1</v>
      </c>
      <c r="P28" s="18" t="b">
        <f>VLOOKUP(A28,Model!C$2:G$228,5,FALSE)=D28</f>
        <v>1</v>
      </c>
      <c r="Q28" s="18">
        <f>VLOOKUP(A28,[2]Model!C$2:L$228,8,FALSE)</f>
        <v>155</v>
      </c>
      <c r="R28" s="18" t="e">
        <f>VLOOKUP(A28,[2]Model!C$2:G$228,3,FALSE)=[3]!Table14[[#This Row],[Business Definition (To go into comments and into Meta Data Hub)]]</f>
        <v>#REF!</v>
      </c>
      <c r="S28" s="18" t="e">
        <f>IF([3]!Table14[[#This Row],[Nullable in Table and in Oracle View
NULL, NOT NULL]]="No","NOT NULL","NULL")=VLOOKUP(A28,[2]Model!C$2:I$228,6,FALSE)</f>
        <v>#REF!</v>
      </c>
      <c r="T28" s="18" t="e">
        <f>VLOOKUP(B28,[2]Table!A$2:F$415,1,FALSE)=[3]!Table14[[#This Row],[Physical Name of Attribute (Name of column in Table)
Supplied by DA Team]]</f>
        <v>#REF!</v>
      </c>
      <c r="U28" s="18" t="b">
        <f>VLOOKUP(B28,Table!A$2:F$319,2,FALSE)=Table1[[#This Row],[Data type in Oracle
VARCHAR2(n), DATE, NUMBER(m,n), TIMETSTAMP(6)]]</f>
        <v>0</v>
      </c>
      <c r="V28" s="18" t="b">
        <f>VLOOKUP(B28,Table!A$2:F$231,3,FALSE)=Table1[[#This Row],[Nullable in Table and in Oracle View
NULL, NOT NULL]]</f>
        <v>1</v>
      </c>
      <c r="W28" s="18" t="b">
        <f>VLOOKUP(B28,Table!A$2:H$228,6,FALSE)=Table1[[#This Row],[Business Definition (To go into comments and into Meta Data Hub)]]</f>
        <v>1</v>
      </c>
      <c r="X28" s="18" t="str">
        <f>VLOOKUP((UPPER(SUBSTITUTE(A28," ","_"))),'[2]Consumer View'!A$2:I$329,1,FALSE)</f>
        <v>OWNER_FA_NUMBER_ENTITY_CODE</v>
      </c>
      <c r="Y28" s="18" t="s">
        <v>6</v>
      </c>
      <c r="Z28" s="47" t="s">
        <v>184</v>
      </c>
      <c r="AA28" s="18" t="s">
        <v>185</v>
      </c>
      <c r="AB28" s="18"/>
      <c r="AC28" s="18"/>
      <c r="AD28" s="101" t="s">
        <v>186</v>
      </c>
      <c r="AE28" s="52" t="s">
        <v>187</v>
      </c>
      <c r="AF28" s="18"/>
      <c r="AG28" s="18"/>
      <c r="AH28" s="18" t="s">
        <v>178</v>
      </c>
    </row>
    <row r="29" spans="1:34" ht="27" hidden="1" customHeight="1">
      <c r="A29" s="51" t="s">
        <v>188</v>
      </c>
      <c r="B29" s="18" t="s">
        <v>189</v>
      </c>
      <c r="C29" s="18" t="s">
        <v>190</v>
      </c>
      <c r="D29" s="18" t="s">
        <v>191</v>
      </c>
      <c r="E29" s="18" t="s">
        <v>63</v>
      </c>
      <c r="F29" s="18" t="s">
        <v>192</v>
      </c>
      <c r="G29" s="45" t="s">
        <v>63</v>
      </c>
      <c r="H29" s="46" t="s">
        <v>193</v>
      </c>
      <c r="I29" s="18">
        <v>49139</v>
      </c>
      <c r="J29" s="18" t="s">
        <v>67</v>
      </c>
      <c r="K29" s="18">
        <v>3</v>
      </c>
      <c r="L29" s="18"/>
      <c r="M29" s="18"/>
      <c r="N29" s="18"/>
      <c r="O29" s="18" t="b">
        <f>VLOOKUP(A29,[1]Model!C$2:J$559,2,FALSE)=B29</f>
        <v>1</v>
      </c>
      <c r="P29" s="18" t="b">
        <f>VLOOKUP(A29,Model!C$2:G$228,5,FALSE)=D29</f>
        <v>1</v>
      </c>
      <c r="Q29" s="18">
        <f>VLOOKUP(A29,[2]Model!C$2:L$228,8,FALSE)</f>
        <v>156</v>
      </c>
      <c r="R29" s="18" t="e">
        <f>VLOOKUP(A29,[2]Model!C$2:G$228,3,FALSE)=[3]!Table14[[#This Row],[Business Definition (To go into comments and into Meta Data Hub)]]</f>
        <v>#REF!</v>
      </c>
      <c r="S29" s="18" t="e">
        <f>IF([3]!Table14[[#This Row],[Nullable in Table and in Oracle View
NULL, NOT NULL]]="No","NOT NULL","NULL")=VLOOKUP(A29,[2]Model!C$2:I$228,6,FALSE)</f>
        <v>#REF!</v>
      </c>
      <c r="T29" s="18" t="e">
        <f>VLOOKUP(B29,[2]Table!A$2:F$415,1,FALSE)=[3]!Table14[[#This Row],[Physical Name of Attribute (Name of column in Table)
Supplied by DA Team]]</f>
        <v>#REF!</v>
      </c>
      <c r="U29" s="18" t="b">
        <f>VLOOKUP(B29,Table!A$2:F$319,2,FALSE)=Table1[[#This Row],[Data type in Oracle
VARCHAR2(n), DATE, NUMBER(m,n), TIMETSTAMP(6)]]</f>
        <v>0</v>
      </c>
      <c r="V29" s="18" t="b">
        <f>VLOOKUP(B29,Table!A$2:F$231,3,FALSE)=Table1[[#This Row],[Nullable in Table and in Oracle View
NULL, NOT NULL]]</f>
        <v>1</v>
      </c>
      <c r="W29" s="18" t="b">
        <f>VLOOKUP(B29,Table!A$2:H$228,6,FALSE)=Table1[[#This Row],[Business Definition (To go into comments and into Meta Data Hub)]]</f>
        <v>1</v>
      </c>
      <c r="X29" s="18" t="str">
        <f>VLOOKUP((UPPER(SUBSTITUTE(A29," ","_"))),'[2]Consumer View'!A$2:I$329,1,FALSE)</f>
        <v>OWNER_FA_EMPLOYEE_ID</v>
      </c>
      <c r="Y29" s="18" t="s">
        <v>6</v>
      </c>
      <c r="Z29" s="18" t="s">
        <v>184</v>
      </c>
      <c r="AA29" s="18" t="s">
        <v>194</v>
      </c>
      <c r="AB29" s="18"/>
      <c r="AC29" s="18"/>
      <c r="AD29" s="134"/>
      <c r="AE29" s="46" t="s">
        <v>195</v>
      </c>
      <c r="AF29" s="18"/>
      <c r="AG29" s="18"/>
      <c r="AH29" s="18" t="s">
        <v>178</v>
      </c>
    </row>
    <row r="30" spans="1:34" ht="27" hidden="1" customHeight="1">
      <c r="A30" s="51" t="s">
        <v>196</v>
      </c>
      <c r="B30" s="18" t="s">
        <v>197</v>
      </c>
      <c r="C30" s="18" t="s">
        <v>198</v>
      </c>
      <c r="D30" s="18" t="s">
        <v>199</v>
      </c>
      <c r="E30" s="18" t="s">
        <v>63</v>
      </c>
      <c r="F30" s="18" t="s">
        <v>200</v>
      </c>
      <c r="G30" s="45" t="s">
        <v>63</v>
      </c>
      <c r="H30" s="46" t="s">
        <v>201</v>
      </c>
      <c r="I30" s="46" t="s">
        <v>202</v>
      </c>
      <c r="J30" s="18" t="s">
        <v>67</v>
      </c>
      <c r="K30" s="18">
        <v>3</v>
      </c>
      <c r="L30" s="18"/>
      <c r="M30" s="18"/>
      <c r="N30" s="18"/>
      <c r="O30" s="18" t="b">
        <f>VLOOKUP(A30,[1]Model!C$2:J$559,2,FALSE)=B30</f>
        <v>1</v>
      </c>
      <c r="P30" s="18" t="b">
        <f>VLOOKUP(A30,Model!C$2:G$228,5,FALSE)=D30</f>
        <v>1</v>
      </c>
      <c r="Q30" s="18">
        <f>VLOOKUP(A30,[2]Model!C$2:L$228,8,FALSE)</f>
        <v>157</v>
      </c>
      <c r="R30" s="18" t="e">
        <f>VLOOKUP(A30,[2]Model!C$2:G$228,3,FALSE)=[3]!Table14[[#This Row],[Business Definition (To go into comments and into Meta Data Hub)]]</f>
        <v>#REF!</v>
      </c>
      <c r="S30" s="18" t="e">
        <f>IF([3]!Table14[[#This Row],[Nullable in Table and in Oracle View
NULL, NOT NULL]]="No","NOT NULL","NULL")=VLOOKUP(A30,[2]Model!C$2:I$228,6,FALSE)</f>
        <v>#REF!</v>
      </c>
      <c r="T30" s="18" t="e">
        <f>VLOOKUP(B30,[2]Table!A$2:F$415,1,FALSE)=[3]!Table14[[#This Row],[Physical Name of Attribute (Name of column in Table)
Supplied by DA Team]]</f>
        <v>#REF!</v>
      </c>
      <c r="U30" s="18" t="b">
        <f>VLOOKUP(B30,Table!A$2:F$319,2,FALSE)=Table1[[#This Row],[Data type in Oracle
VARCHAR2(n), DATE, NUMBER(m,n), TIMETSTAMP(6)]]</f>
        <v>1</v>
      </c>
      <c r="V30" s="18" t="b">
        <f>VLOOKUP(B30,Table!A$2:F$231,3,FALSE)=Table1[[#This Row],[Nullable in Table and in Oracle View
NULL, NOT NULL]]</f>
        <v>1</v>
      </c>
      <c r="W30" s="18" t="b">
        <f>VLOOKUP(B30,Table!A$2:H$228,6,FALSE)=Table1[[#This Row],[Business Definition (To go into comments and into Meta Data Hub)]]</f>
        <v>1</v>
      </c>
      <c r="X30" s="18" t="str">
        <f>VLOOKUP((UPPER(SUBSTITUTE(A30," ","_"))),'[2]Consumer View'!A$2:I$329,1,FALSE)</f>
        <v>OWNER_FA_NUMBER_ENTITY_ENTERPRISE_ID</v>
      </c>
      <c r="Y30" s="18" t="s">
        <v>6</v>
      </c>
      <c r="Z30" s="18" t="s">
        <v>203</v>
      </c>
      <c r="AA30" s="18" t="s">
        <v>204</v>
      </c>
      <c r="AB30" s="18"/>
      <c r="AC30" s="18"/>
      <c r="AD30" s="18" t="s">
        <v>205</v>
      </c>
      <c r="AE30" s="52" t="s">
        <v>206</v>
      </c>
      <c r="AF30" s="18"/>
      <c r="AG30" s="18"/>
      <c r="AH30" s="18" t="s">
        <v>207</v>
      </c>
    </row>
    <row r="31" spans="1:34" ht="27" hidden="1" customHeight="1">
      <c r="A31" s="51" t="s">
        <v>208</v>
      </c>
      <c r="B31" s="18" t="s">
        <v>209</v>
      </c>
      <c r="C31" s="18" t="s">
        <v>210</v>
      </c>
      <c r="D31" s="18" t="s">
        <v>211</v>
      </c>
      <c r="E31" s="18" t="s">
        <v>63</v>
      </c>
      <c r="F31" s="18" t="s">
        <v>212</v>
      </c>
      <c r="G31" s="45" t="s">
        <v>63</v>
      </c>
      <c r="H31" s="46" t="s">
        <v>213</v>
      </c>
      <c r="I31" s="18" t="s">
        <v>214</v>
      </c>
      <c r="J31" s="18" t="s">
        <v>67</v>
      </c>
      <c r="K31" s="18">
        <v>3</v>
      </c>
      <c r="L31" s="18"/>
      <c r="M31" s="18"/>
      <c r="N31" s="18"/>
      <c r="O31" s="18" t="b">
        <f>VLOOKUP(A31,[1]Model!C$2:J$559,2,FALSE)=B31</f>
        <v>1</v>
      </c>
      <c r="P31" s="18" t="b">
        <f>VLOOKUP(A31,Model!C$2:G$228,5,FALSE)=D31</f>
        <v>1</v>
      </c>
      <c r="Q31" s="18">
        <f>VLOOKUP(A31,[2]Model!C$2:L$228,8,FALSE)</f>
        <v>158</v>
      </c>
      <c r="R31" s="18" t="e">
        <f>VLOOKUP(A31,[2]Model!C$2:G$228,3,FALSE)=[3]!Table14[[#This Row],[Business Definition (To go into comments and into Meta Data Hub)]]</f>
        <v>#VALUE!</v>
      </c>
      <c r="S31" s="18" t="e">
        <f>IF([3]!Table14[[#This Row],[Nullable in Table and in Oracle View
NULL, NOT NULL]]="No","NOT NULL","NULL")=VLOOKUP(A31,[2]Model!C$2:I$228,6,FALSE)</f>
        <v>#REF!</v>
      </c>
      <c r="T31" s="18" t="e">
        <f>VLOOKUP(B31,[2]Table!A$2:F$415,1,FALSE)=[3]!Table14[[#This Row],[Physical Name of Attribute (Name of column in Table)
Supplied by DA Team]]</f>
        <v>#REF!</v>
      </c>
      <c r="U31" s="18" t="b">
        <f>VLOOKUP(B31,Table!A$2:F$319,2,FALSE)=Table1[[#This Row],[Data type in Oracle
VARCHAR2(n), DATE, NUMBER(m,n), TIMETSTAMP(6)]]</f>
        <v>0</v>
      </c>
      <c r="V31" s="18" t="b">
        <f>VLOOKUP(B31,Table!A$2:F$231,3,FALSE)=Table1[[#This Row],[Nullable in Table and in Oracle View
NULL, NOT NULL]]</f>
        <v>1</v>
      </c>
      <c r="W31" s="18" t="b">
        <f>VLOOKUP(B31,Table!A$2:H$228,6,FALSE)=Table1[[#This Row],[Business Definition (To go into comments and into Meta Data Hub)]]</f>
        <v>0</v>
      </c>
      <c r="X31" s="55" t="str">
        <f>VLOOKUP((UPPER(SUBSTITUTE(A31," ","_"))),'[2]Consumer View'!A$2:I$329,1,FALSE)</f>
        <v>ACAT_CONTRA_FIRM_CLEARING_NUMBER</v>
      </c>
      <c r="Y31" s="18" t="s">
        <v>68</v>
      </c>
      <c r="Z31" s="47" t="s">
        <v>69</v>
      </c>
      <c r="AA31" s="18" t="s">
        <v>215</v>
      </c>
      <c r="AB31" s="18"/>
      <c r="AC31" s="18"/>
      <c r="AD31" s="18" t="s">
        <v>216</v>
      </c>
      <c r="AE31" s="46"/>
      <c r="AF31" s="18"/>
      <c r="AG31" s="18"/>
      <c r="AH31" s="18" t="s">
        <v>71</v>
      </c>
    </row>
    <row r="32" spans="1:34" ht="27" hidden="1" customHeight="1">
      <c r="A32" s="51" t="s">
        <v>217</v>
      </c>
      <c r="B32" s="18" t="s">
        <v>218</v>
      </c>
      <c r="C32" s="18" t="s">
        <v>219</v>
      </c>
      <c r="D32" s="18" t="s">
        <v>62</v>
      </c>
      <c r="E32" s="18" t="s">
        <v>63</v>
      </c>
      <c r="F32" s="18" t="s">
        <v>64</v>
      </c>
      <c r="G32" s="45" t="s">
        <v>63</v>
      </c>
      <c r="H32" s="46" t="s">
        <v>220</v>
      </c>
      <c r="I32" s="46" t="s">
        <v>214</v>
      </c>
      <c r="J32" s="18" t="s">
        <v>67</v>
      </c>
      <c r="K32" s="18">
        <v>3</v>
      </c>
      <c r="L32" s="18"/>
      <c r="M32" s="18"/>
      <c r="N32" s="18"/>
      <c r="O32" s="18" t="b">
        <f>VLOOKUP(A32,[1]Model!C$2:J$559,2,FALSE)=B32</f>
        <v>1</v>
      </c>
      <c r="P32" s="18" t="b">
        <f>VLOOKUP(A32,Model!C$2:G$228,5,FALSE)=D32</f>
        <v>1</v>
      </c>
      <c r="Q32" s="18">
        <f>VLOOKUP(A32,[2]Model!C$2:L$228,8,FALSE)</f>
        <v>159</v>
      </c>
      <c r="R32" s="18" t="e">
        <f>VLOOKUP(A32,[2]Model!C$2:G$228,3,FALSE)=[3]!Table14[[#This Row],[Business Definition (To go into comments and into Meta Data Hub)]]</f>
        <v>#REF!</v>
      </c>
      <c r="S32" s="18" t="e">
        <f>IF([3]!Table14[[#This Row],[Nullable in Table and in Oracle View
NULL, NOT NULL]]="No","NOT NULL","NULL")=VLOOKUP(A32,[2]Model!C$2:I$228,6,FALSE)</f>
        <v>#REF!</v>
      </c>
      <c r="T32" s="18" t="e">
        <f>VLOOKUP(B32,[2]Table!A$2:F$415,1,FALSE)=[3]!Table14[[#This Row],[Physical Name of Attribute (Name of column in Table)
Supplied by DA Team]]</f>
        <v>#REF!</v>
      </c>
      <c r="U32" s="18" t="b">
        <f>VLOOKUP(B32,Table!A$2:F$319,2,FALSE)=Table1[[#This Row],[Data type in Oracle
VARCHAR2(n), DATE, NUMBER(m,n), TIMETSTAMP(6)]]</f>
        <v>0</v>
      </c>
      <c r="V32" s="18" t="b">
        <f>VLOOKUP(B32,Table!A$2:F$231,3,FALSE)=Table1[[#This Row],[Nullable in Table and in Oracle View
NULL, NOT NULL]]</f>
        <v>1</v>
      </c>
      <c r="W32" s="18" t="b">
        <f>VLOOKUP(B32,Table!A$2:H$228,6,FALSE)=Table1[[#This Row],[Business Definition (To go into comments and into Meta Data Hub)]]</f>
        <v>1</v>
      </c>
      <c r="X32" s="18" t="str">
        <f>VLOOKUP((UPPER(SUBSTITUTE(A32," ","_"))),'[2]Consumer View'!A$2:I$329,1,FALSE)</f>
        <v>ACAT_CONTRA_FIRM_NAME</v>
      </c>
      <c r="Y32" s="18" t="s">
        <v>68</v>
      </c>
      <c r="Z32" s="47" t="s">
        <v>221</v>
      </c>
      <c r="AA32" s="18" t="s">
        <v>222</v>
      </c>
      <c r="AB32" s="18"/>
      <c r="AC32" s="18"/>
      <c r="AD32" s="18" t="s">
        <v>223</v>
      </c>
      <c r="AE32" s="46" t="s">
        <v>224</v>
      </c>
      <c r="AF32" s="18"/>
      <c r="AG32" s="18"/>
      <c r="AH32" s="18" t="s">
        <v>71</v>
      </c>
    </row>
    <row r="33" spans="1:34" ht="27" hidden="1" customHeight="1">
      <c r="A33" s="51" t="s">
        <v>225</v>
      </c>
      <c r="B33" s="18" t="s">
        <v>226</v>
      </c>
      <c r="C33" s="18"/>
      <c r="D33" s="18" t="s">
        <v>227</v>
      </c>
      <c r="E33" s="18" t="s">
        <v>63</v>
      </c>
      <c r="F33" s="18" t="s">
        <v>228</v>
      </c>
      <c r="G33" s="45" t="s">
        <v>63</v>
      </c>
      <c r="H33" s="46" t="s">
        <v>229</v>
      </c>
      <c r="I33" s="46" t="s">
        <v>214</v>
      </c>
      <c r="J33" s="18" t="s">
        <v>67</v>
      </c>
      <c r="K33" s="18">
        <v>3</v>
      </c>
      <c r="L33" s="18"/>
      <c r="M33" s="18"/>
      <c r="N33" s="18"/>
      <c r="O33" s="18" t="b">
        <f>VLOOKUP(A33,[1]Model!C$2:J$559,2,FALSE)=B33</f>
        <v>1</v>
      </c>
      <c r="P33" s="18" t="b">
        <f>VLOOKUP(A33,Model!C$2:G$228,5,FALSE)=D33</f>
        <v>1</v>
      </c>
      <c r="Q33" s="18">
        <f>VLOOKUP(A33,[2]Model!C$2:L$228,8,FALSE)</f>
        <v>160</v>
      </c>
      <c r="R33" s="18" t="e">
        <f>VLOOKUP(A33,[2]Model!C$2:G$228,3,FALSE)=[3]!Table14[[#This Row],[Business Definition (To go into comments and into Meta Data Hub)]]</f>
        <v>#REF!</v>
      </c>
      <c r="S33" s="18" t="e">
        <f>IF([3]!Table14[[#This Row],[Nullable in Table and in Oracle View
NULL, NOT NULL]]="No","NOT NULL","NULL")=VLOOKUP(A33,[2]Model!C$2:I$228,6,FALSE)</f>
        <v>#REF!</v>
      </c>
      <c r="T33" s="18" t="e">
        <f>VLOOKUP(B33,[2]Table!A$2:F$415,1,FALSE)=[3]!Table14[[#This Row],[Physical Name of Attribute (Name of column in Table)
Supplied by DA Team]]</f>
        <v>#REF!</v>
      </c>
      <c r="U33" s="18" t="b">
        <f>VLOOKUP(B33,Table!A$2:F$319,2,FALSE)=Table1[[#This Row],[Data type in Oracle
VARCHAR2(n), DATE, NUMBER(m,n), TIMETSTAMP(6)]]</f>
        <v>0</v>
      </c>
      <c r="V33" s="18" t="b">
        <f>VLOOKUP(B33,Table!A$2:F$231,3,FALSE)=Table1[[#This Row],[Nullable in Table and in Oracle View
NULL, NOT NULL]]</f>
        <v>1</v>
      </c>
      <c r="W33" s="18" t="b">
        <f>VLOOKUP(B33,Table!A$2:H$228,6,FALSE)=Table1[[#This Row],[Business Definition (To go into comments and into Meta Data Hub)]]</f>
        <v>1</v>
      </c>
      <c r="X33" s="18" t="str">
        <f>VLOOKUP((UPPER(SUBSTITUTE(A33," ","_"))),'[2]Consumer View'!A$2:I$329,1,FALSE)</f>
        <v>ACAT_CONTRA_FIRM_SHORT_NAME</v>
      </c>
      <c r="Y33" s="18" t="s">
        <v>68</v>
      </c>
      <c r="Z33" s="47" t="s">
        <v>221</v>
      </c>
      <c r="AA33" s="18" t="s">
        <v>230</v>
      </c>
      <c r="AB33" s="18"/>
      <c r="AC33" s="18"/>
      <c r="AD33" s="18" t="s">
        <v>223</v>
      </c>
      <c r="AE33" s="46" t="s">
        <v>231</v>
      </c>
      <c r="AF33" s="18"/>
      <c r="AG33" s="18"/>
      <c r="AH33" s="18" t="s">
        <v>71</v>
      </c>
    </row>
    <row r="34" spans="1:34" ht="27" hidden="1" customHeight="1">
      <c r="A34" s="92" t="s">
        <v>232</v>
      </c>
      <c r="B34" s="18" t="s">
        <v>233</v>
      </c>
      <c r="C34" s="18"/>
      <c r="D34" s="18" t="s">
        <v>82</v>
      </c>
      <c r="E34" s="18" t="s">
        <v>63</v>
      </c>
      <c r="F34" s="18" t="s">
        <v>83</v>
      </c>
      <c r="G34" s="45" t="s">
        <v>63</v>
      </c>
      <c r="H34" s="46" t="s">
        <v>234</v>
      </c>
      <c r="I34" s="18">
        <v>2</v>
      </c>
      <c r="J34" s="18" t="s">
        <v>67</v>
      </c>
      <c r="K34" s="18">
        <v>3</v>
      </c>
      <c r="L34" s="18"/>
      <c r="M34" s="18"/>
      <c r="N34" s="18"/>
      <c r="O34" s="18" t="b">
        <f>VLOOKUP(A34,[1]Model!C$2:J$559,2,FALSE)=B34</f>
        <v>1</v>
      </c>
      <c r="P34" s="18" t="b">
        <f>VLOOKUP(A34,Model!C$2:G$228,5,FALSE)=D34</f>
        <v>1</v>
      </c>
      <c r="Q34" s="18">
        <f>VLOOKUP(A34,[2]Model!C$2:L$228,8,FALSE)</f>
        <v>161</v>
      </c>
      <c r="R34" s="18" t="e">
        <f>VLOOKUP(A34,[2]Model!C$2:G$228,3,FALSE)=[3]!Table14[[#This Row],[Business Definition (To go into comments and into Meta Data Hub)]]</f>
        <v>#REF!</v>
      </c>
      <c r="S34" s="18" t="e">
        <f>IF([3]!Table14[[#This Row],[Nullable in Table and in Oracle View
NULL, NOT NULL]]="No","NOT NULL","NULL")=VLOOKUP(A34,[2]Model!C$2:I$228,6,FALSE)</f>
        <v>#REF!</v>
      </c>
      <c r="T34" s="18" t="e">
        <f>VLOOKUP(B34,[2]Table!A$2:F$415,1,FALSE)=[3]!Table14[[#This Row],[Physical Name of Attribute (Name of column in Table)
Supplied by DA Team]]</f>
        <v>#REF!</v>
      </c>
      <c r="U34" s="18" t="b">
        <f>VLOOKUP(B34,Table!A$2:F$319,2,FALSE)=Table1[[#This Row],[Data type in Oracle
VARCHAR2(n), DATE, NUMBER(m,n), TIMETSTAMP(6)]]</f>
        <v>0</v>
      </c>
      <c r="V34" s="18" t="b">
        <f>VLOOKUP(B34,Table!A$2:F$231,3,FALSE)=Table1[[#This Row],[Nullable in Table and in Oracle View
NULL, NOT NULL]]</f>
        <v>1</v>
      </c>
      <c r="W34" s="18" t="b">
        <f>VLOOKUP(B34,Table!A$2:H$228,6,FALSE)=Table1[[#This Row],[Business Definition (To go into comments and into Meta Data Hub)]]</f>
        <v>1</v>
      </c>
      <c r="X34" s="18" t="str">
        <f>VLOOKUP((UPPER(SUBSTITUTE(A34," ","_"))),'[2]Consumer View'!A$2:I$329,1,FALSE)</f>
        <v>ACAT_CONTRA_FIRM_CLEARING_ID_TYPE_CODE</v>
      </c>
      <c r="Y34" s="18" t="s">
        <v>68</v>
      </c>
      <c r="Z34" s="18" t="s">
        <v>221</v>
      </c>
      <c r="AA34" s="18" t="s">
        <v>235</v>
      </c>
      <c r="AB34" s="18"/>
      <c r="AC34" s="18"/>
      <c r="AD34" s="18" t="s">
        <v>236</v>
      </c>
      <c r="AE34" s="46" t="s">
        <v>231</v>
      </c>
      <c r="AF34" s="18"/>
      <c r="AG34" s="18"/>
      <c r="AH34" s="18" t="s">
        <v>71</v>
      </c>
    </row>
    <row r="35" spans="1:34" ht="27" hidden="1" customHeight="1">
      <c r="A35" s="51" t="s">
        <v>237</v>
      </c>
      <c r="B35" s="18" t="s">
        <v>238</v>
      </c>
      <c r="C35" s="18" t="s">
        <v>239</v>
      </c>
      <c r="D35" s="18" t="s">
        <v>62</v>
      </c>
      <c r="E35" s="18" t="s">
        <v>63</v>
      </c>
      <c r="F35" s="18" t="s">
        <v>64</v>
      </c>
      <c r="G35" s="45" t="s">
        <v>63</v>
      </c>
      <c r="H35" s="46" t="s">
        <v>240</v>
      </c>
      <c r="I35" s="46" t="s">
        <v>241</v>
      </c>
      <c r="J35" s="18" t="s">
        <v>67</v>
      </c>
      <c r="K35" s="18">
        <v>3</v>
      </c>
      <c r="L35" s="18"/>
      <c r="M35" s="18"/>
      <c r="N35" s="18"/>
      <c r="O35" s="18" t="b">
        <f>VLOOKUP(A35,[1]Model!C$2:J$559,2,FALSE)=B35</f>
        <v>1</v>
      </c>
      <c r="P35" s="18" t="b">
        <f>VLOOKUP(A35,Model!C$2:G$228,5,FALSE)=D35</f>
        <v>1</v>
      </c>
      <c r="Q35" s="18">
        <f>VLOOKUP(A35,[2]Model!C$2:L$228,8,FALSE)</f>
        <v>162</v>
      </c>
      <c r="R35" s="18" t="e">
        <f>VLOOKUP(A35,[2]Model!C$2:G$228,3,FALSE)=[3]!Table14[[#This Row],[Business Definition (To go into comments and into Meta Data Hub)]]</f>
        <v>#REF!</v>
      </c>
      <c r="S35" s="18" t="e">
        <f>IF([3]!Table14[[#This Row],[Nullable in Table and in Oracle View
NULL, NOT NULL]]="No","NOT NULL","NULL")=VLOOKUP(A35,[2]Model!C$2:I$228,6,FALSE)</f>
        <v>#REF!</v>
      </c>
      <c r="T35" s="18" t="e">
        <f>VLOOKUP(B35,[2]Table!A$2:F$415,1,FALSE)=[3]!Table14[[#This Row],[Physical Name of Attribute (Name of column in Table)
Supplied by DA Team]]</f>
        <v>#REF!</v>
      </c>
      <c r="U35" s="18" t="b">
        <f>VLOOKUP(B35,Table!A$2:F$319,2,FALSE)=Table1[[#This Row],[Data type in Oracle
VARCHAR2(n), DATE, NUMBER(m,n), TIMETSTAMP(6)]]</f>
        <v>0</v>
      </c>
      <c r="V35" s="18" t="b">
        <f>VLOOKUP(B35,Table!A$2:F$231,3,FALSE)=Table1[[#This Row],[Nullable in Table and in Oracle View
NULL, NOT NULL]]</f>
        <v>1</v>
      </c>
      <c r="W35" s="18" t="b">
        <f>VLOOKUP(B35,Table!A$2:H$228,6,FALSE)=Table1[[#This Row],[Business Definition (To go into comments and into Meta Data Hub)]]</f>
        <v>1</v>
      </c>
      <c r="X35" s="18" t="str">
        <f>VLOOKUP((UPPER(SUBSTITUTE(A35," ","_"))),'[2]Consumer View'!A$2:I$329,1,FALSE)</f>
        <v>MONEY_MOVEMENT_ALTERNATE_ID</v>
      </c>
      <c r="Y35" s="18" t="s">
        <v>68</v>
      </c>
      <c r="Z35" s="47" t="s">
        <v>69</v>
      </c>
      <c r="AA35" s="18" t="s">
        <v>215</v>
      </c>
      <c r="AB35" s="18"/>
      <c r="AC35" s="18"/>
      <c r="AD35" s="18" t="s">
        <v>242</v>
      </c>
      <c r="AE35" s="46"/>
      <c r="AF35" s="18"/>
      <c r="AG35" s="18"/>
      <c r="AH35" s="18" t="s">
        <v>71</v>
      </c>
    </row>
    <row r="36" spans="1:34" ht="27" hidden="1" customHeight="1">
      <c r="A36" s="51" t="s">
        <v>243</v>
      </c>
      <c r="B36" s="18" t="s">
        <v>244</v>
      </c>
      <c r="C36" s="18" t="s">
        <v>245</v>
      </c>
      <c r="D36" s="18" t="s">
        <v>139</v>
      </c>
      <c r="E36" s="18" t="s">
        <v>63</v>
      </c>
      <c r="F36" s="18" t="s">
        <v>140</v>
      </c>
      <c r="G36" s="45" t="s">
        <v>63</v>
      </c>
      <c r="H36" s="46" t="s">
        <v>246</v>
      </c>
      <c r="I36" s="18" t="s">
        <v>247</v>
      </c>
      <c r="J36" s="18" t="s">
        <v>67</v>
      </c>
      <c r="K36" s="18">
        <v>3</v>
      </c>
      <c r="L36" s="18"/>
      <c r="M36" s="18"/>
      <c r="N36" s="18"/>
      <c r="O36" s="18" t="b">
        <f>VLOOKUP(A36,[1]Model!C$2:J$559,2,FALSE)=B36</f>
        <v>1</v>
      </c>
      <c r="P36" s="18" t="b">
        <f>VLOOKUP(A36,Model!C$2:G$228,5,FALSE)=D36</f>
        <v>1</v>
      </c>
      <c r="Q36" s="18">
        <f>VLOOKUP(A36,[2]Model!C$2:L$228,8,FALSE)</f>
        <v>185</v>
      </c>
      <c r="R36" s="18" t="e">
        <f>VLOOKUP(A36,[2]Model!C$2:G$228,3,FALSE)=[3]!Table14[[#This Row],[Business Definition (To go into comments and into Meta Data Hub)]]</f>
        <v>#REF!</v>
      </c>
      <c r="S36" s="18" t="e">
        <f>IF([3]!Table14[[#This Row],[Nullable in Table and in Oracle View
NULL, NOT NULL]]="No","NOT NULL","NULL")=VLOOKUP(A36,[2]Model!C$2:I$228,6,FALSE)</f>
        <v>#REF!</v>
      </c>
      <c r="T36" s="18" t="e">
        <f>VLOOKUP(B36,[2]Table!A$2:F$415,1,FALSE)=[3]!Table14[[#This Row],[Physical Name of Attribute (Name of column in Table)
Supplied by DA Team]]</f>
        <v>#REF!</v>
      </c>
      <c r="U36" s="18" t="b">
        <f>VLOOKUP(B36,Table!A$2:F$319,2,FALSE)=Table1[[#This Row],[Data type in Oracle
VARCHAR2(n), DATE, NUMBER(m,n), TIMETSTAMP(6)]]</f>
        <v>0</v>
      </c>
      <c r="V36" s="18" t="b">
        <f>VLOOKUP(B36,Table!A$2:F$231,3,FALSE)=Table1[[#This Row],[Nullable in Table and in Oracle View
NULL, NOT NULL]]</f>
        <v>1</v>
      </c>
      <c r="W36" s="18" t="b">
        <f>VLOOKUP(B36,Table!A$2:H$228,6,FALSE)=Table1[[#This Row],[Business Definition (To go into comments and into Meta Data Hub)]]</f>
        <v>1</v>
      </c>
      <c r="X36" s="18" t="str">
        <f>VLOOKUP((UPPER(SUBSTITUTE(A36," ","_"))),'[2]Consumer View'!A$2:I$329,1,FALSE)</f>
        <v>ARRANGEMENT_ORIGINATING_SOURCE_SYSTEM_CODE</v>
      </c>
      <c r="Y36" s="18" t="s">
        <v>173</v>
      </c>
      <c r="Z36" s="18" t="s">
        <v>248</v>
      </c>
      <c r="AA36" s="18" t="s">
        <v>249</v>
      </c>
      <c r="AB36" s="18"/>
      <c r="AC36" s="18"/>
      <c r="AD36" s="18" t="s">
        <v>250</v>
      </c>
      <c r="AE36" s="46" t="s">
        <v>251</v>
      </c>
      <c r="AF36" s="18"/>
      <c r="AG36" s="18"/>
      <c r="AH36" s="18" t="s">
        <v>178</v>
      </c>
    </row>
    <row r="37" spans="1:34" ht="27" hidden="1" customHeight="1">
      <c r="A37" s="51" t="s">
        <v>252</v>
      </c>
      <c r="B37" s="18" t="s">
        <v>253</v>
      </c>
      <c r="C37" s="18"/>
      <c r="D37" s="18" t="s">
        <v>101</v>
      </c>
      <c r="E37" s="18" t="s">
        <v>63</v>
      </c>
      <c r="F37" s="18" t="s">
        <v>133</v>
      </c>
      <c r="G37" s="45" t="s">
        <v>63</v>
      </c>
      <c r="H37" s="46" t="s">
        <v>254</v>
      </c>
      <c r="I37" s="18">
        <v>3</v>
      </c>
      <c r="J37" s="18" t="s">
        <v>67</v>
      </c>
      <c r="K37" s="18">
        <v>3</v>
      </c>
      <c r="L37" s="18"/>
      <c r="M37" s="18"/>
      <c r="N37" s="18"/>
      <c r="O37" s="18" t="b">
        <f>VLOOKUP(A37,[1]Model!C$2:J$559,2,FALSE)=B37</f>
        <v>1</v>
      </c>
      <c r="P37" s="18" t="e">
        <f>VLOOKUP(A37,Model!C$2:G$228,5,FALSE)=D37</f>
        <v>#N/A</v>
      </c>
      <c r="Q37" s="18">
        <f>VLOOKUP(A37,[2]Model!C$2:L$228,8,FALSE)</f>
        <v>163</v>
      </c>
      <c r="R37" s="18" t="e">
        <f>VLOOKUP(A37,[2]Model!C$2:G$228,3,FALSE)=[3]!Table14[[#This Row],[Business Definition (To go into comments and into Meta Data Hub)]]</f>
        <v>#REF!</v>
      </c>
      <c r="S37" s="18" t="e">
        <f>IF([3]!Table14[[#This Row],[Nullable in Table and in Oracle View
NULL, NOT NULL]]="No","NOT NULL","NULL")=VLOOKUP(A37,[2]Model!C$2:I$228,6,FALSE)</f>
        <v>#REF!</v>
      </c>
      <c r="T37" s="18" t="e">
        <f>VLOOKUP(B37,[2]Table!A$2:F$415,1,FALSE)=[3]!Table14[[#This Row],[Physical Name of Attribute (Name of column in Table)
Supplied by DA Team]]</f>
        <v>#REF!</v>
      </c>
      <c r="U37" s="18" t="b">
        <f>VLOOKUP(B37,Table!A$2:F$319,2,FALSE)=Table1[[#This Row],[Data type in Oracle
VARCHAR2(n), DATE, NUMBER(m,n), TIMETSTAMP(6)]]</f>
        <v>1</v>
      </c>
      <c r="V37" s="18" t="b">
        <f>VLOOKUP(B37,Table!A$2:F$231,3,FALSE)=Table1[[#This Row],[Nullable in Table and in Oracle View
NULL, NOT NULL]]</f>
        <v>1</v>
      </c>
      <c r="W37" s="18" t="b">
        <f>VLOOKUP(B37,Table!A$2:H$228,6,FALSE)=Table1[[#This Row],[Business Definition (To go into comments and into Meta Data Hub)]]</f>
        <v>1</v>
      </c>
      <c r="X37" s="18" t="str">
        <f>VLOOKUP((UPPER(SUBSTITUTE(A37," ","_"))),'[2]Consumer View'!A$2:I$329,1,FALSE)</f>
        <v>SOURCE_SYSTEM_ID</v>
      </c>
      <c r="Y37" s="18" t="s">
        <v>68</v>
      </c>
      <c r="Z37" s="18" t="s">
        <v>69</v>
      </c>
      <c r="AA37" s="18" t="s">
        <v>253</v>
      </c>
      <c r="AB37" s="18"/>
      <c r="AC37" s="18"/>
      <c r="AD37" s="18"/>
      <c r="AE37" s="46"/>
      <c r="AF37" s="18"/>
      <c r="AG37" s="18"/>
      <c r="AH37" s="18" t="s">
        <v>71</v>
      </c>
    </row>
    <row r="38" spans="1:34" ht="27" hidden="1" customHeight="1">
      <c r="A38" s="51" t="s">
        <v>255</v>
      </c>
      <c r="B38" s="18" t="s">
        <v>256</v>
      </c>
      <c r="C38" s="18" t="s">
        <v>257</v>
      </c>
      <c r="D38" s="18" t="s">
        <v>258</v>
      </c>
      <c r="E38" s="18" t="s">
        <v>63</v>
      </c>
      <c r="F38" s="18" t="s">
        <v>259</v>
      </c>
      <c r="G38" s="45" t="s">
        <v>63</v>
      </c>
      <c r="H38" s="46" t="s">
        <v>260</v>
      </c>
      <c r="I38" s="18" t="s">
        <v>261</v>
      </c>
      <c r="J38" s="18" t="s">
        <v>67</v>
      </c>
      <c r="K38" s="18">
        <v>3</v>
      </c>
      <c r="L38" s="18"/>
      <c r="M38" s="18"/>
      <c r="N38" s="18"/>
      <c r="O38" s="18" t="b">
        <f>VLOOKUP(A38,[1]Model!C$2:J$559,2,FALSE)=B38</f>
        <v>1</v>
      </c>
      <c r="P38" s="18" t="e">
        <f>VLOOKUP(A38,Model!C$2:G$228,5,FALSE)=D38</f>
        <v>#N/A</v>
      </c>
      <c r="Q38" s="18">
        <f>VLOOKUP(A38,[2]Model!C$2:L$228,8,FALSE)</f>
        <v>165</v>
      </c>
      <c r="R38" s="18" t="e">
        <f>VLOOKUP(A38,[2]Model!C$2:G$228,3,FALSE)=[3]!Table14[[#This Row],[Business Definition (To go into comments and into Meta Data Hub)]]</f>
        <v>#REF!</v>
      </c>
      <c r="S38" s="18" t="e">
        <f>IF([3]!Table14[[#This Row],[Nullable in Table and in Oracle View
NULL, NOT NULL]]="No","NOT NULL","NULL")=VLOOKUP(A38,[2]Model!C$2:I$228,6,FALSE)</f>
        <v>#REF!</v>
      </c>
      <c r="T38" s="18" t="e">
        <f>VLOOKUP(B38,[2]Table!A$2:F$415,1,FALSE)=[3]!Table14[[#This Row],[Physical Name of Attribute (Name of column in Table)
Supplied by DA Team]]</f>
        <v>#REF!</v>
      </c>
      <c r="U38" s="18" t="b">
        <f>VLOOKUP(B38,Table!A$2:F$319,2,FALSE)=Table1[[#This Row],[Data type in Oracle
VARCHAR2(n), DATE, NUMBER(m,n), TIMETSTAMP(6)]]</f>
        <v>0</v>
      </c>
      <c r="V38" s="18" t="b">
        <f>VLOOKUP(B38,Table!A$2:F$231,3,FALSE)=Table1[[#This Row],[Nullable in Table and in Oracle View
NULL, NOT NULL]]</f>
        <v>1</v>
      </c>
      <c r="W38" s="18" t="b">
        <f>VLOOKUP(B38,Table!A$2:H$228,6,FALSE)=Table1[[#This Row],[Business Definition (To go into comments and into Meta Data Hub)]]</f>
        <v>1</v>
      </c>
      <c r="X38" s="18" t="str">
        <f>VLOOKUP((UPPER(SUBSTITUTE(A38," ","_"))),'[2]Consumer View'!A$2:I$329,1,FALSE)</f>
        <v>SOURCE_SYSTEM_NAME</v>
      </c>
      <c r="Y38" s="18" t="s">
        <v>262</v>
      </c>
      <c r="Z38" s="18" t="s">
        <v>263</v>
      </c>
      <c r="AA38" s="18" t="s">
        <v>256</v>
      </c>
      <c r="AB38" s="18"/>
      <c r="AC38" s="18"/>
      <c r="AD38" s="18" t="s">
        <v>264</v>
      </c>
      <c r="AE38" s="46"/>
      <c r="AF38" s="18"/>
      <c r="AG38" s="18"/>
      <c r="AH38" s="18" t="s">
        <v>71</v>
      </c>
    </row>
    <row r="39" spans="1:34" ht="27" hidden="1" customHeight="1">
      <c r="A39" s="51" t="s">
        <v>265</v>
      </c>
      <c r="B39" s="18" t="s">
        <v>266</v>
      </c>
      <c r="C39" s="18" t="s">
        <v>267</v>
      </c>
      <c r="D39" s="51" t="s">
        <v>268</v>
      </c>
      <c r="E39" s="18" t="s">
        <v>63</v>
      </c>
      <c r="F39" s="18" t="s">
        <v>269</v>
      </c>
      <c r="G39" s="45" t="s">
        <v>63</v>
      </c>
      <c r="H39" s="46" t="s">
        <v>270</v>
      </c>
      <c r="I39" s="18" t="s">
        <v>271</v>
      </c>
      <c r="J39" s="18" t="s">
        <v>67</v>
      </c>
      <c r="K39" s="18">
        <v>3</v>
      </c>
      <c r="L39" s="18"/>
      <c r="M39" s="18"/>
      <c r="N39" s="18"/>
      <c r="O39" s="18" t="b">
        <f>VLOOKUP(A39,[1]Model!C$2:J$559,2,FALSE)=B39</f>
        <v>1</v>
      </c>
      <c r="P39" s="18" t="e">
        <f>VLOOKUP(A39,Model!C$2:G$228,5,FALSE)=D39</f>
        <v>#N/A</v>
      </c>
      <c r="Q39" s="18">
        <f>VLOOKUP(A39,[2]Model!C$2:L$228,8,FALSE)</f>
        <v>166</v>
      </c>
      <c r="R39" s="18" t="e">
        <f>VLOOKUP(A39,[2]Model!C$2:G$228,3,FALSE)=[3]!Table14[[#This Row],[Business Definition (To go into comments and into Meta Data Hub)]]</f>
        <v>#REF!</v>
      </c>
      <c r="S39" s="18" t="e">
        <f>IF([3]!Table14[[#This Row],[Nullable in Table and in Oracle View
NULL, NOT NULL]]="No","NOT NULL","NULL")=VLOOKUP(A39,[2]Model!C$2:I$228,6,FALSE)</f>
        <v>#REF!</v>
      </c>
      <c r="T39" s="18" t="e">
        <f>VLOOKUP(B39,[2]Table!A$2:F$415,1,FALSE)=[3]!Table14[[#This Row],[Physical Name of Attribute (Name of column in Table)
Supplied by DA Team]]</f>
        <v>#REF!</v>
      </c>
      <c r="U39" s="18" t="b">
        <f>VLOOKUP(B39,Table!A$2:F$319,2,FALSE)=Table1[[#This Row],[Data type in Oracle
VARCHAR2(n), DATE, NUMBER(m,n), TIMETSTAMP(6)]]</f>
        <v>0</v>
      </c>
      <c r="V39" s="18" t="b">
        <f>VLOOKUP(B39,Table!A$2:F$231,3,FALSE)=Table1[[#This Row],[Nullable in Table and in Oracle View
NULL, NOT NULL]]</f>
        <v>1</v>
      </c>
      <c r="W39" s="18" t="b">
        <f>VLOOKUP(B39,Table!A$2:H$228,6,FALSE)=Table1[[#This Row],[Business Definition (To go into comments and into Meta Data Hub)]]</f>
        <v>1</v>
      </c>
      <c r="X39" s="18" t="e">
        <f>VLOOKUP((UPPER(SUBSTITUTE(A39," ","_"))),'[2]Consumer View'!A$2:I$329,1,FALSE)</f>
        <v>#N/A</v>
      </c>
      <c r="Y39" s="18" t="s">
        <v>68</v>
      </c>
      <c r="Z39" s="18" t="s">
        <v>69</v>
      </c>
      <c r="AA39" s="18" t="s">
        <v>272</v>
      </c>
      <c r="AB39" s="18"/>
      <c r="AC39" s="18"/>
      <c r="AD39" s="18"/>
      <c r="AE39" s="46" t="s">
        <v>273</v>
      </c>
      <c r="AF39" s="18"/>
      <c r="AG39" s="18"/>
      <c r="AH39" s="18" t="s">
        <v>71</v>
      </c>
    </row>
    <row r="40" spans="1:34" ht="27" hidden="1" customHeight="1">
      <c r="A40" s="51" t="s">
        <v>274</v>
      </c>
      <c r="B40" s="18" t="s">
        <v>275</v>
      </c>
      <c r="C40" s="18" t="s">
        <v>276</v>
      </c>
      <c r="D40" s="18" t="s">
        <v>62</v>
      </c>
      <c r="E40" s="18" t="s">
        <v>63</v>
      </c>
      <c r="F40" s="18" t="s">
        <v>64</v>
      </c>
      <c r="G40" s="45" t="s">
        <v>63</v>
      </c>
      <c r="H40" s="46" t="s">
        <v>277</v>
      </c>
      <c r="I40" s="46" t="s">
        <v>278</v>
      </c>
      <c r="J40" s="18" t="s">
        <v>67</v>
      </c>
      <c r="K40" s="18">
        <v>3</v>
      </c>
      <c r="L40" s="18"/>
      <c r="M40" s="18"/>
      <c r="N40" s="18"/>
      <c r="O40" s="18" t="b">
        <f>VLOOKUP(A40,[1]Model!C$2:J$559,2,FALSE)=B40</f>
        <v>1</v>
      </c>
      <c r="P40" s="18" t="e">
        <f>VLOOKUP(A40,Model!C$2:G$228,5,FALSE)=D40</f>
        <v>#N/A</v>
      </c>
      <c r="Q40" s="18">
        <f>VLOOKUP(A40,[2]Model!C$2:L$228,8,FALSE)</f>
        <v>167</v>
      </c>
      <c r="R40" s="18" t="e">
        <f>VLOOKUP(A40,[2]Model!C$2:G$228,3,FALSE)=[3]!Table14[[#This Row],[Business Definition (To go into comments and into Meta Data Hub)]]</f>
        <v>#REF!</v>
      </c>
      <c r="S40" s="18" t="e">
        <f>IF([3]!Table14[[#This Row],[Nullable in Table and in Oracle View
NULL, NOT NULL]]="No","NOT NULL","NULL")=VLOOKUP(A40,[2]Model!C$2:I$228,6,FALSE)</f>
        <v>#REF!</v>
      </c>
      <c r="T40" s="18" t="e">
        <f>VLOOKUP(B40,[2]Table!A$2:F$415,1,FALSE)=[3]!Table14[[#This Row],[Physical Name of Attribute (Name of column in Table)
Supplied by DA Team]]</f>
        <v>#REF!</v>
      </c>
      <c r="U40" s="18" t="b">
        <f>VLOOKUP(B40,Table!A$2:F$319,2,FALSE)=Table1[[#This Row],[Data type in Oracle
VARCHAR2(n), DATE, NUMBER(m,n), TIMETSTAMP(6)]]</f>
        <v>0</v>
      </c>
      <c r="V40" s="18" t="b">
        <f>VLOOKUP(B40,Table!A$2:F$231,3,FALSE)=Table1[[#This Row],[Nullable in Table and in Oracle View
NULL, NOT NULL]]</f>
        <v>1</v>
      </c>
      <c r="W40" s="18" t="b">
        <f>VLOOKUP(B40,Table!A$2:H$228,6,FALSE)=Table1[[#This Row],[Business Definition (To go into comments and into Meta Data Hub)]]</f>
        <v>1</v>
      </c>
      <c r="X40" s="18" t="str">
        <f>VLOOKUP((UPPER(SUBSTITUTE(A40," ","_"))),'[2]Consumer View'!A$2:I$329,1,FALSE)</f>
        <v>SOURCE_OPTION_CLASS_CODE</v>
      </c>
      <c r="Y40" s="18" t="s">
        <v>68</v>
      </c>
      <c r="Z40" s="18" t="s">
        <v>69</v>
      </c>
      <c r="AA40" s="18" t="s">
        <v>279</v>
      </c>
      <c r="AB40" s="18"/>
      <c r="AC40" s="18"/>
      <c r="AD40" s="18"/>
      <c r="AE40" s="46"/>
      <c r="AF40" s="18"/>
      <c r="AG40" s="18"/>
      <c r="AH40" s="18" t="s">
        <v>71</v>
      </c>
    </row>
    <row r="41" spans="1:34" ht="27" hidden="1" customHeight="1">
      <c r="A41" s="51" t="s">
        <v>280</v>
      </c>
      <c r="B41" s="18" t="s">
        <v>281</v>
      </c>
      <c r="C41" s="18"/>
      <c r="D41" s="18" t="s">
        <v>101</v>
      </c>
      <c r="E41" s="18" t="s">
        <v>63</v>
      </c>
      <c r="F41" s="18" t="s">
        <v>133</v>
      </c>
      <c r="G41" s="45" t="s">
        <v>63</v>
      </c>
      <c r="H41" s="46" t="s">
        <v>282</v>
      </c>
      <c r="I41" s="18">
        <v>3</v>
      </c>
      <c r="J41" s="18" t="s">
        <v>67</v>
      </c>
      <c r="K41" s="18">
        <v>3</v>
      </c>
      <c r="L41" s="18"/>
      <c r="M41" s="18"/>
      <c r="N41" s="18"/>
      <c r="O41" s="18" t="b">
        <f>VLOOKUP(A41,[1]Model!C$2:J$559,2,FALSE)=B41</f>
        <v>1</v>
      </c>
      <c r="P41" s="18" t="e">
        <f>VLOOKUP(A41,Model!C$2:G$228,5,FALSE)=D41</f>
        <v>#N/A</v>
      </c>
      <c r="Q41" s="18">
        <f>VLOOKUP(A41,[2]Model!C$2:L$228,8,FALSE)</f>
        <v>168</v>
      </c>
      <c r="R41" s="18" t="e">
        <f>VLOOKUP(A41,[2]Model!C$2:G$228,3,FALSE)=[3]!Table14[[#This Row],[Business Definition (To go into comments and into Meta Data Hub)]]</f>
        <v>#REF!</v>
      </c>
      <c r="S41" s="18" t="e">
        <f>IF([3]!Table14[[#This Row],[Nullable in Table and in Oracle View
NULL, NOT NULL]]="No","NOT NULL","NULL")=VLOOKUP(A41,[2]Model!C$2:I$228,6,FALSE)</f>
        <v>#REF!</v>
      </c>
      <c r="T41" s="18" t="e">
        <f>VLOOKUP(B41,[2]Table!A$2:F$415,1,FALSE)=[3]!Table14[[#This Row],[Physical Name of Attribute (Name of column in Table)
Supplied by DA Team]]</f>
        <v>#REF!</v>
      </c>
      <c r="U41" s="18" t="b">
        <f>VLOOKUP(B41,Table!A$2:F$319,2,FALSE)=Table1[[#This Row],[Data type in Oracle
VARCHAR2(n), DATE, NUMBER(m,n), TIMETSTAMP(6)]]</f>
        <v>1</v>
      </c>
      <c r="V41" s="18" t="b">
        <f>VLOOKUP(B41,Table!A$2:F$231,3,FALSE)=Table1[[#This Row],[Nullable in Table and in Oracle View
NULL, NOT NULL]]</f>
        <v>1</v>
      </c>
      <c r="W41" s="18" t="b">
        <f>VLOOKUP(B41,Table!A$2:H$228,6,FALSE)=Table1[[#This Row],[Business Definition (To go into comments and into Meta Data Hub)]]</f>
        <v>0</v>
      </c>
      <c r="X41" s="55" t="e">
        <f>VLOOKUP((UPPER(SUBSTITUTE(A41," ","_"))),'[2]Consumer View'!A$2:I$329,1,FALSE)</f>
        <v>#N/A</v>
      </c>
      <c r="Y41" s="18" t="s">
        <v>68</v>
      </c>
      <c r="Z41" s="18" t="s">
        <v>69</v>
      </c>
      <c r="AA41" s="18" t="s">
        <v>283</v>
      </c>
      <c r="AB41" s="18"/>
      <c r="AC41" s="18"/>
      <c r="AD41" s="18"/>
      <c r="AE41" s="46" t="s">
        <v>284</v>
      </c>
      <c r="AF41" s="18"/>
      <c r="AG41" s="18"/>
      <c r="AH41" s="18" t="s">
        <v>71</v>
      </c>
    </row>
    <row r="42" spans="1:34" ht="27" hidden="1" customHeight="1">
      <c r="A42" s="51" t="s">
        <v>285</v>
      </c>
      <c r="B42" s="18" t="s">
        <v>286</v>
      </c>
      <c r="C42" s="18"/>
      <c r="D42" s="18" t="s">
        <v>101</v>
      </c>
      <c r="E42" s="18" t="s">
        <v>63</v>
      </c>
      <c r="F42" s="18" t="s">
        <v>133</v>
      </c>
      <c r="G42" s="45" t="s">
        <v>63</v>
      </c>
      <c r="H42" s="46" t="s">
        <v>287</v>
      </c>
      <c r="I42" s="18">
        <v>1029</v>
      </c>
      <c r="J42" s="18" t="s">
        <v>67</v>
      </c>
      <c r="K42" s="18">
        <v>3</v>
      </c>
      <c r="L42" s="18"/>
      <c r="M42" s="18"/>
      <c r="N42" s="18"/>
      <c r="O42" s="18" t="b">
        <f>VLOOKUP(A42,[1]Model!C$2:J$559,2,FALSE)=B42</f>
        <v>1</v>
      </c>
      <c r="P42" s="18" t="e">
        <f>VLOOKUP(A42,Model!C$2:G$228,5,FALSE)=D42</f>
        <v>#N/A</v>
      </c>
      <c r="Q42" s="18">
        <f>VLOOKUP(A42,[2]Model!C$2:L$228,8,FALSE)</f>
        <v>171</v>
      </c>
      <c r="R42" s="18" t="e">
        <f>VLOOKUP(A42,[2]Model!C$2:G$228,3,FALSE)=[3]!Table14[[#This Row],[Business Definition (To go into comments and into Meta Data Hub)]]</f>
        <v>#VALUE!</v>
      </c>
      <c r="S42" s="18" t="e">
        <f>IF([3]!Table14[[#This Row],[Nullable in Table and in Oracle View
NULL, NOT NULL]]="No","NOT NULL","NULL")=VLOOKUP(A42,[2]Model!C$2:I$228,6,FALSE)</f>
        <v>#REF!</v>
      </c>
      <c r="T42" s="18" t="e">
        <f>VLOOKUP(B42,[2]Table!A$2:F$415,1,FALSE)=[3]!Table14[[#This Row],[Physical Name of Attribute (Name of column in Table)
Supplied by DA Team]]</f>
        <v>#REF!</v>
      </c>
      <c r="U42" s="18" t="b">
        <f>VLOOKUP(B42,Table!A$2:F$319,2,FALSE)=Table1[[#This Row],[Data type in Oracle
VARCHAR2(n), DATE, NUMBER(m,n), TIMETSTAMP(6)]]</f>
        <v>1</v>
      </c>
      <c r="V42" s="18" t="b">
        <f>VLOOKUP(B42,Table!A$2:F$231,3,FALSE)=Table1[[#This Row],[Nullable in Table and in Oracle View
NULL, NOT NULL]]</f>
        <v>1</v>
      </c>
      <c r="W42" s="18" t="b">
        <f>VLOOKUP(B42,Table!A$2:H$228,6,FALSE)=Table1[[#This Row],[Business Definition (To go into comments and into Meta Data Hub)]]</f>
        <v>1</v>
      </c>
      <c r="X42" s="18" t="e">
        <f>VLOOKUP((UPPER(SUBSTITUTE(A42," ","_"))),'[2]Consumer View'!A$2:I$329,1,FALSE)</f>
        <v>#N/A</v>
      </c>
      <c r="Y42" s="18" t="s">
        <v>68</v>
      </c>
      <c r="Z42" s="18" t="s">
        <v>69</v>
      </c>
      <c r="AA42" s="18" t="s">
        <v>288</v>
      </c>
      <c r="AB42" s="18"/>
      <c r="AC42" s="18"/>
      <c r="AD42" s="18"/>
      <c r="AE42" s="46" t="s">
        <v>284</v>
      </c>
      <c r="AF42" s="18"/>
      <c r="AG42" s="18"/>
      <c r="AH42" s="18" t="s">
        <v>71</v>
      </c>
    </row>
    <row r="43" spans="1:34" ht="27" hidden="1" customHeight="1">
      <c r="A43" s="51" t="s">
        <v>289</v>
      </c>
      <c r="B43" s="18" t="s">
        <v>290</v>
      </c>
      <c r="C43" s="18"/>
      <c r="D43" s="18" t="s">
        <v>139</v>
      </c>
      <c r="E43" s="18" t="s">
        <v>63</v>
      </c>
      <c r="F43" s="18" t="s">
        <v>140</v>
      </c>
      <c r="G43" s="45" t="s">
        <v>63</v>
      </c>
      <c r="H43" s="46" t="s">
        <v>291</v>
      </c>
      <c r="I43" s="18" t="s">
        <v>292</v>
      </c>
      <c r="J43" s="18" t="s">
        <v>67</v>
      </c>
      <c r="K43" s="18">
        <v>3</v>
      </c>
      <c r="L43" s="18"/>
      <c r="M43" s="18"/>
      <c r="N43" s="18"/>
      <c r="O43" s="18" t="b">
        <f>VLOOKUP(A43,[1]Model!C$2:J$559,2,FALSE)=B43</f>
        <v>1</v>
      </c>
      <c r="P43" s="18" t="e">
        <f>VLOOKUP(A43,Model!C$2:G$228,5,FALSE)=D43</f>
        <v>#N/A</v>
      </c>
      <c r="Q43" s="18">
        <f>VLOOKUP(A43,[2]Model!C$2:L$228,8,FALSE)</f>
        <v>172</v>
      </c>
      <c r="R43" s="18" t="e">
        <f>VLOOKUP(A43,[2]Model!C$2:G$228,3,FALSE)=[3]!Table14[[#This Row],[Business Definition (To go into comments and into Meta Data Hub)]]</f>
        <v>#VALUE!</v>
      </c>
      <c r="S43" s="18" t="e">
        <f>IF([3]!Table14[[#This Row],[Nullable in Table and in Oracle View
NULL, NOT NULL]]="No","NOT NULL","NULL")=VLOOKUP(A43,[2]Model!C$2:I$228,6,FALSE)</f>
        <v>#REF!</v>
      </c>
      <c r="T43" s="18" t="e">
        <f>VLOOKUP(B43,[2]Table!A$2:F$415,1,FALSE)=[3]!Table14[[#This Row],[Physical Name of Attribute (Name of column in Table)
Supplied by DA Team]]</f>
        <v>#REF!</v>
      </c>
      <c r="U43" s="18" t="b">
        <f>VLOOKUP(B43,Table!A$2:F$319,2,FALSE)=Table1[[#This Row],[Data type in Oracle
VARCHAR2(n), DATE, NUMBER(m,n), TIMETSTAMP(6)]]</f>
        <v>0</v>
      </c>
      <c r="V43" s="18" t="b">
        <f>VLOOKUP(B43,Table!A$2:F$231,3,FALSE)=Table1[[#This Row],[Nullable in Table and in Oracle View
NULL, NOT NULL]]</f>
        <v>1</v>
      </c>
      <c r="W43" s="18" t="b">
        <f>VLOOKUP(B43,Table!A$2:H$228,6,FALSE)=Table1[[#This Row],[Business Definition (To go into comments and into Meta Data Hub)]]</f>
        <v>1</v>
      </c>
      <c r="X43" s="18" t="e">
        <f>VLOOKUP((UPPER(SUBSTITUTE(A43," ","_"))),'[2]Consumer View'!A$2:I$329,1,FALSE)</f>
        <v>#N/A</v>
      </c>
      <c r="Y43" s="18" t="s">
        <v>68</v>
      </c>
      <c r="Z43" s="18" t="s">
        <v>113</v>
      </c>
      <c r="AA43" s="18" t="s">
        <v>143</v>
      </c>
      <c r="AB43" s="18"/>
      <c r="AC43" s="18"/>
      <c r="AD43" s="18" t="s">
        <v>293</v>
      </c>
      <c r="AE43" s="46" t="s">
        <v>284</v>
      </c>
      <c r="AF43" s="18"/>
      <c r="AG43" s="18"/>
      <c r="AH43" s="18" t="s">
        <v>294</v>
      </c>
    </row>
    <row r="44" spans="1:34" ht="27" hidden="1" customHeight="1">
      <c r="A44" s="51" t="s">
        <v>295</v>
      </c>
      <c r="B44" s="18" t="s">
        <v>296</v>
      </c>
      <c r="C44" s="18"/>
      <c r="D44" s="18" t="s">
        <v>109</v>
      </c>
      <c r="E44" s="18" t="s">
        <v>63</v>
      </c>
      <c r="F44" s="18" t="s">
        <v>110</v>
      </c>
      <c r="G44" s="45" t="s">
        <v>63</v>
      </c>
      <c r="H44" s="46" t="s">
        <v>297</v>
      </c>
      <c r="I44" s="18" t="s">
        <v>298</v>
      </c>
      <c r="J44" s="18" t="s">
        <v>67</v>
      </c>
      <c r="K44" s="18">
        <v>3</v>
      </c>
      <c r="L44" s="18"/>
      <c r="M44" s="18"/>
      <c r="N44" s="18"/>
      <c r="O44" s="18" t="b">
        <f>VLOOKUP(A44,[1]Model!C$2:J$559,2,FALSE)=B44</f>
        <v>1</v>
      </c>
      <c r="P44" s="18" t="e">
        <f>VLOOKUP(A44,Model!C$2:G$228,5,FALSE)=D44</f>
        <v>#N/A</v>
      </c>
      <c r="Q44" s="18">
        <f>VLOOKUP(A44,[2]Model!C$2:L$228,8,FALSE)</f>
        <v>173</v>
      </c>
      <c r="R44" s="18" t="e">
        <f>VLOOKUP(A44,[2]Model!C$2:G$228,3,FALSE)=[3]!Table14[[#This Row],[Business Definition (To go into comments and into Meta Data Hub)]]</f>
        <v>#VALUE!</v>
      </c>
      <c r="S44" s="18" t="e">
        <f>IF([3]!Table14[[#This Row],[Nullable in Table and in Oracle View
NULL, NOT NULL]]="No","NOT NULL","NULL")=VLOOKUP(A44,[2]Model!C$2:I$228,6,FALSE)</f>
        <v>#REF!</v>
      </c>
      <c r="T44" s="18" t="e">
        <f>VLOOKUP(B44,[2]Table!A$2:F$415,1,FALSE)=[3]!Table14[[#This Row],[Physical Name of Attribute (Name of column in Table)
Supplied by DA Team]]</f>
        <v>#REF!</v>
      </c>
      <c r="U44" s="18" t="b">
        <f>VLOOKUP(B44,Table!A$2:F$319,2,FALSE)=Table1[[#This Row],[Data type in Oracle
VARCHAR2(n), DATE, NUMBER(m,n), TIMETSTAMP(6)]]</f>
        <v>0</v>
      </c>
      <c r="V44" s="18" t="b">
        <f>VLOOKUP(B44,Table!A$2:F$231,3,FALSE)=Table1[[#This Row],[Nullable in Table and in Oracle View
NULL, NOT NULL]]</f>
        <v>1</v>
      </c>
      <c r="W44" s="18" t="b">
        <f>VLOOKUP(B44,Table!A$2:H$228,6,FALSE)=Table1[[#This Row],[Business Definition (To go into comments and into Meta Data Hub)]]</f>
        <v>1</v>
      </c>
      <c r="X44" s="18" t="e">
        <f>VLOOKUP((UPPER(SUBSTITUTE(A44," ","_"))),'[2]Consumer View'!A$2:I$329,1,FALSE)</f>
        <v>#N/A</v>
      </c>
      <c r="Y44" s="18" t="s">
        <v>68</v>
      </c>
      <c r="Z44" s="18" t="s">
        <v>113</v>
      </c>
      <c r="AA44" s="18" t="s">
        <v>114</v>
      </c>
      <c r="AB44" s="18"/>
      <c r="AC44" s="18"/>
      <c r="AD44" s="18" t="s">
        <v>293</v>
      </c>
      <c r="AE44" s="46" t="s">
        <v>284</v>
      </c>
      <c r="AF44" s="18"/>
      <c r="AG44" s="18"/>
      <c r="AH44" s="18" t="s">
        <v>294</v>
      </c>
    </row>
    <row r="45" spans="1:34" ht="27" hidden="1" customHeight="1">
      <c r="A45" s="51" t="s">
        <v>299</v>
      </c>
      <c r="B45" s="18" t="s">
        <v>300</v>
      </c>
      <c r="C45" s="18" t="s">
        <v>301</v>
      </c>
      <c r="D45" s="18" t="s">
        <v>302</v>
      </c>
      <c r="E45" s="18" t="s">
        <v>63</v>
      </c>
      <c r="F45" s="18" t="s">
        <v>303</v>
      </c>
      <c r="G45" s="45" t="s">
        <v>63</v>
      </c>
      <c r="H45" s="46" t="s">
        <v>304</v>
      </c>
      <c r="I45" s="18"/>
      <c r="J45" s="18" t="s">
        <v>67</v>
      </c>
      <c r="K45" s="18">
        <v>3</v>
      </c>
      <c r="L45" s="18"/>
      <c r="M45" s="18"/>
      <c r="N45" s="18"/>
      <c r="O45" s="18" t="b">
        <f>VLOOKUP(A45,[1]Model!C$2:J$559,2,FALSE)=B45</f>
        <v>1</v>
      </c>
      <c r="P45" s="18" t="b">
        <f>VLOOKUP(A45,Model!C$2:G$228,5,FALSE)=D45</f>
        <v>1</v>
      </c>
      <c r="Q45" s="18">
        <f>VLOOKUP(A45,[2]Model!C$2:L$228,8,FALSE)</f>
        <v>195</v>
      </c>
      <c r="R45" s="18" t="e">
        <f>VLOOKUP(A45,[2]Model!C$2:G$228,3,FALSE)=[3]!Table14[[#This Row],[Business Definition (To go into comments and into Meta Data Hub)]]</f>
        <v>#REF!</v>
      </c>
      <c r="S45" s="18" t="e">
        <f>IF([3]!Table14[[#This Row],[Nullable in Table and in Oracle View
NULL, NOT NULL]]="No","NOT NULL","NULL")=VLOOKUP(A45,[2]Model!C$2:I$228,6,FALSE)</f>
        <v>#REF!</v>
      </c>
      <c r="T45" s="18" t="e">
        <f>VLOOKUP(B45,[2]Table!A$2:F$415,1,FALSE)=[3]!Table14[[#This Row],[Physical Name of Attribute (Name of column in Table)
Supplied by DA Team]]</f>
        <v>#REF!</v>
      </c>
      <c r="U45" s="18" t="b">
        <f>VLOOKUP(B45,Table!A$2:F$319,2,FALSE)=Table1[[#This Row],[Data type in Oracle
VARCHAR2(n), DATE, NUMBER(m,n), TIMETSTAMP(6)]]</f>
        <v>0</v>
      </c>
      <c r="V45" s="18" t="b">
        <f>VLOOKUP(B45,Table!A$2:F$231,3,FALSE)=Table1[[#This Row],[Nullable in Table and in Oracle View
NULL, NOT NULL]]</f>
        <v>1</v>
      </c>
      <c r="W45" s="18" t="b">
        <f>VLOOKUP(B45,Table!A$2:H$228,6,FALSE)=Table1[[#This Row],[Business Definition (To go into comments and into Meta Data Hub)]]</f>
        <v>1</v>
      </c>
      <c r="X45" s="18" t="str">
        <f>VLOOKUP((UPPER(SUBSTITUTE(A45," ","_"))),'[2]Consumer View'!A$2:I$329,1,FALSE)</f>
        <v>MF_ACCOUNT_NUMBER</v>
      </c>
      <c r="Y45" s="18" t="s">
        <v>173</v>
      </c>
      <c r="Z45" s="18" t="s">
        <v>248</v>
      </c>
      <c r="AA45" s="18" t="s">
        <v>305</v>
      </c>
      <c r="AB45" s="18"/>
      <c r="AC45" s="18"/>
      <c r="AD45" s="18" t="s">
        <v>306</v>
      </c>
      <c r="AE45" s="46" t="s">
        <v>251</v>
      </c>
      <c r="AF45" s="18"/>
      <c r="AG45" s="18"/>
      <c r="AH45" s="18" t="s">
        <v>178</v>
      </c>
    </row>
    <row r="46" spans="1:34" ht="27" hidden="1" customHeight="1">
      <c r="A46" s="51" t="s">
        <v>307</v>
      </c>
      <c r="B46" s="18" t="s">
        <v>308</v>
      </c>
      <c r="C46" s="18" t="s">
        <v>309</v>
      </c>
      <c r="D46" s="18" t="s">
        <v>62</v>
      </c>
      <c r="E46" s="18" t="s">
        <v>63</v>
      </c>
      <c r="F46" s="18" t="s">
        <v>64</v>
      </c>
      <c r="G46" s="45" t="s">
        <v>63</v>
      </c>
      <c r="H46" s="46" t="s">
        <v>310</v>
      </c>
      <c r="I46" s="18"/>
      <c r="J46" s="18" t="s">
        <v>67</v>
      </c>
      <c r="K46" s="18">
        <v>3</v>
      </c>
      <c r="L46" s="18"/>
      <c r="M46" s="18"/>
      <c r="N46" s="18"/>
      <c r="O46" s="18" t="b">
        <f>VLOOKUP(A46,[1]Model!C$2:J$559,2,FALSE)=B46</f>
        <v>1</v>
      </c>
      <c r="P46" s="18" t="b">
        <f>VLOOKUP(A46,Model!C$2:G$228,5,FALSE)=D46</f>
        <v>1</v>
      </c>
      <c r="Q46" s="18">
        <f>VLOOKUP(A46,[2]Model!C$2:L$228,8,FALSE)</f>
        <v>186</v>
      </c>
      <c r="R46" s="18" t="e">
        <f>VLOOKUP(A46,[2]Model!C$2:G$228,3,FALSE)=[3]!Table14[[#This Row],[Business Definition (To go into comments and into Meta Data Hub)]]</f>
        <v>#VALUE!</v>
      </c>
      <c r="S46" s="18" t="e">
        <f>IF([3]!Table14[[#This Row],[Nullable in Table and in Oracle View
NULL, NOT NULL]]="No","NOT NULL","NULL")=VLOOKUP(A46,[2]Model!C$2:I$228,6,FALSE)</f>
        <v>#REF!</v>
      </c>
      <c r="T46" s="18" t="e">
        <f>VLOOKUP(B46,[2]Table!A$2:F$415,1,FALSE)=[3]!Table14[[#This Row],[Physical Name of Attribute (Name of column in Table)
Supplied by DA Team]]</f>
        <v>#REF!</v>
      </c>
      <c r="U46" s="18" t="b">
        <f>VLOOKUP(B46,Table!A$2:F$319,2,FALSE)=Table1[[#This Row],[Data type in Oracle
VARCHAR2(n), DATE, NUMBER(m,n), TIMETSTAMP(6)]]</f>
        <v>0</v>
      </c>
      <c r="V46" s="18" t="b">
        <f>VLOOKUP(B46,Table!A$2:F$231,3,FALSE)=Table1[[#This Row],[Nullable in Table and in Oracle View
NULL, NOT NULL]]</f>
        <v>1</v>
      </c>
      <c r="W46" s="18" t="b">
        <f>VLOOKUP(B46,Table!A$2:H$228,6,FALSE)=Table1[[#This Row],[Business Definition (To go into comments and into Meta Data Hub)]]</f>
        <v>1</v>
      </c>
      <c r="X46" s="18" t="str">
        <f>VLOOKUP((UPPER(SUBSTITUTE(A46," ","_"))),'[2]Consumer View'!A$2:I$329,1,FALSE)</f>
        <v>OFFSET_ORIGINATING_SOURCE_SYSTEM_ARRANGEMENT_ID</v>
      </c>
      <c r="Y46" s="18" t="s">
        <v>173</v>
      </c>
      <c r="Z46" s="18" t="s">
        <v>248</v>
      </c>
      <c r="AA46" s="18" t="s">
        <v>311</v>
      </c>
      <c r="AB46" s="18"/>
      <c r="AC46" s="18"/>
      <c r="AD46" s="18" t="s">
        <v>312</v>
      </c>
      <c r="AE46" s="46" t="s">
        <v>313</v>
      </c>
      <c r="AF46" s="18"/>
      <c r="AG46" s="18"/>
      <c r="AH46" s="18" t="s">
        <v>178</v>
      </c>
    </row>
    <row r="47" spans="1:34" ht="27" hidden="1" customHeight="1">
      <c r="A47" s="51" t="s">
        <v>314</v>
      </c>
      <c r="B47" s="18" t="s">
        <v>315</v>
      </c>
      <c r="C47" s="18" t="s">
        <v>316</v>
      </c>
      <c r="D47" s="18" t="s">
        <v>139</v>
      </c>
      <c r="E47" s="18" t="s">
        <v>63</v>
      </c>
      <c r="F47" s="18" t="s">
        <v>140</v>
      </c>
      <c r="G47" s="45" t="s">
        <v>63</v>
      </c>
      <c r="H47" s="46" t="s">
        <v>317</v>
      </c>
      <c r="I47" s="18"/>
      <c r="J47" s="18" t="s">
        <v>67</v>
      </c>
      <c r="K47" s="18">
        <v>3</v>
      </c>
      <c r="L47" s="18"/>
      <c r="M47" s="18"/>
      <c r="N47" s="18"/>
      <c r="O47" s="18" t="b">
        <f>VLOOKUP(A47,[1]Model!C$2:J$559,2,FALSE)=B47</f>
        <v>1</v>
      </c>
      <c r="P47" s="18" t="b">
        <f>VLOOKUP(A47,Model!C$2:G$228,5,FALSE)=D47</f>
        <v>1</v>
      </c>
      <c r="Q47" s="18">
        <f>VLOOKUP(A47,[2]Model!C$2:L$228,8,FALSE)</f>
        <v>187</v>
      </c>
      <c r="R47" s="18" t="e">
        <f>VLOOKUP(A47,[2]Model!C$2:G$228,3,FALSE)=[3]!Table14[[#This Row],[Business Definition (To go into comments and into Meta Data Hub)]]</f>
        <v>#VALUE!</v>
      </c>
      <c r="S47" s="18" t="e">
        <f>IF([3]!Table14[[#This Row],[Nullable in Table and in Oracle View
NULL, NOT NULL]]="No","NOT NULL","NULL")=VLOOKUP(A47,[2]Model!C$2:I$228,6,FALSE)</f>
        <v>#REF!</v>
      </c>
      <c r="T47" s="18" t="e">
        <f>VLOOKUP(B47,[2]Table!A$2:F$415,1,FALSE)=[3]!Table14[[#This Row],[Physical Name of Attribute (Name of column in Table)
Supplied by DA Team]]</f>
        <v>#REF!</v>
      </c>
      <c r="U47" s="18" t="b">
        <f>VLOOKUP(B47,Table!A$2:F$319,2,FALSE)=Table1[[#This Row],[Data type in Oracle
VARCHAR2(n), DATE, NUMBER(m,n), TIMETSTAMP(6)]]</f>
        <v>0</v>
      </c>
      <c r="V47" s="18" t="b">
        <f>VLOOKUP(B47,Table!A$2:F$231,3,FALSE)=Table1[[#This Row],[Nullable in Table and in Oracle View
NULL, NOT NULL]]</f>
        <v>1</v>
      </c>
      <c r="W47" s="18" t="b">
        <f>VLOOKUP(B47,Table!A$2:H$228,6,FALSE)=Table1[[#This Row],[Business Definition (To go into comments and into Meta Data Hub)]]</f>
        <v>1</v>
      </c>
      <c r="X47" s="18" t="str">
        <f>VLOOKUP((UPPER(SUBSTITUTE(A47," ","_"))),'[2]Consumer View'!A$2:I$329,1,FALSE)</f>
        <v>OFFSET_ARRANGEMENT_ORIGINATING_SOURCE_SYSTEM_CODE</v>
      </c>
      <c r="Y47" s="18" t="s">
        <v>173</v>
      </c>
      <c r="Z47" s="18" t="s">
        <v>248</v>
      </c>
      <c r="AA47" s="18" t="s">
        <v>249</v>
      </c>
      <c r="AB47" s="18"/>
      <c r="AC47" s="18"/>
      <c r="AD47" s="18" t="s">
        <v>312</v>
      </c>
      <c r="AE47" s="46" t="s">
        <v>313</v>
      </c>
      <c r="AF47" s="18"/>
      <c r="AG47" s="18"/>
      <c r="AH47" s="18" t="s">
        <v>178</v>
      </c>
    </row>
    <row r="48" spans="1:34" ht="27" hidden="1" customHeight="1">
      <c r="A48" s="51" t="s">
        <v>318</v>
      </c>
      <c r="B48" s="18" t="s">
        <v>319</v>
      </c>
      <c r="C48" s="18" t="s">
        <v>320</v>
      </c>
      <c r="D48" s="18" t="s">
        <v>139</v>
      </c>
      <c r="E48" s="18" t="s">
        <v>63</v>
      </c>
      <c r="F48" s="18" t="s">
        <v>140</v>
      </c>
      <c r="G48" s="45" t="s">
        <v>63</v>
      </c>
      <c r="H48" s="46" t="s">
        <v>321</v>
      </c>
      <c r="I48" s="18"/>
      <c r="J48" s="18" t="s">
        <v>67</v>
      </c>
      <c r="K48" s="18">
        <v>3</v>
      </c>
      <c r="L48" s="18"/>
      <c r="M48" s="18"/>
      <c r="N48" s="18"/>
      <c r="O48" s="18" t="b">
        <f>VLOOKUP(A48,[1]Model!C$2:J$559,2,FALSE)=B48</f>
        <v>1</v>
      </c>
      <c r="P48" s="18" t="b">
        <f>VLOOKUP(A48,Model!C$2:G$228,5,FALSE)=D48</f>
        <v>1</v>
      </c>
      <c r="Q48" s="18">
        <f>VLOOKUP(A48,[2]Model!C$2:L$228,8,FALSE)</f>
        <v>188</v>
      </c>
      <c r="R48" s="18" t="e">
        <f>VLOOKUP(A48,[2]Model!C$2:G$228,3,FALSE)=[3]!Table14[[#This Row],[Business Definition (To go into comments and into Meta Data Hub)]]</f>
        <v>#VALUE!</v>
      </c>
      <c r="S48" s="18" t="e">
        <f>IF([3]!Table14[[#This Row],[Nullable in Table and in Oracle View
NULL, NOT NULL]]="No","NOT NULL","NULL")=VLOOKUP(A48,[2]Model!C$2:I$228,6,FALSE)</f>
        <v>#REF!</v>
      </c>
      <c r="T48" s="18" t="e">
        <f>VLOOKUP(B48,[2]Table!A$2:F$415,1,FALSE)=[3]!Table14[[#This Row],[Physical Name of Attribute (Name of column in Table)
Supplied by DA Team]]</f>
        <v>#REF!</v>
      </c>
      <c r="U48" s="18" t="b">
        <f>VLOOKUP(B48,Table!A$2:F$319,2,FALSE)=Table1[[#This Row],[Data type in Oracle
VARCHAR2(n), DATE, NUMBER(m,n), TIMETSTAMP(6)]]</f>
        <v>0</v>
      </c>
      <c r="V48" s="18" t="b">
        <f>VLOOKUP(B48,Table!A$2:F$231,3,FALSE)=Table1[[#This Row],[Nullable in Table and in Oracle View
NULL, NOT NULL]]</f>
        <v>1</v>
      </c>
      <c r="W48" s="18" t="b">
        <f>VLOOKUP(B48,Table!A$2:H$228,6,FALSE)=Table1[[#This Row],[Business Definition (To go into comments and into Meta Data Hub)]]</f>
        <v>0</v>
      </c>
      <c r="X48" s="55" t="str">
        <f>VLOOKUP((UPPER(SUBSTITUTE(A48," ","_"))),'[2]Consumer View'!A$2:I$329,1,FALSE)</f>
        <v>OFFSET_ARRANGEMENT_SETTLEMENT_TYPE_CODE</v>
      </c>
      <c r="Y48" s="18" t="s">
        <v>173</v>
      </c>
      <c r="Z48" s="18" t="s">
        <v>248</v>
      </c>
      <c r="AA48" s="18" t="s">
        <v>322</v>
      </c>
      <c r="AB48" s="18"/>
      <c r="AC48" s="18"/>
      <c r="AD48" s="18" t="s">
        <v>312</v>
      </c>
      <c r="AE48" s="46" t="s">
        <v>313</v>
      </c>
      <c r="AF48" s="18"/>
      <c r="AG48" s="18"/>
      <c r="AH48" s="18" t="s">
        <v>178</v>
      </c>
    </row>
    <row r="49" spans="1:34" ht="27" hidden="1" customHeight="1">
      <c r="A49" s="51" t="s">
        <v>323</v>
      </c>
      <c r="B49" s="18" t="s">
        <v>324</v>
      </c>
      <c r="C49" s="18" t="s">
        <v>325</v>
      </c>
      <c r="D49" s="18" t="s">
        <v>90</v>
      </c>
      <c r="E49" s="18" t="s">
        <v>63</v>
      </c>
      <c r="F49" s="18" t="s">
        <v>91</v>
      </c>
      <c r="G49" s="45" t="s">
        <v>63</v>
      </c>
      <c r="H49" s="46" t="s">
        <v>326</v>
      </c>
      <c r="I49" s="18"/>
      <c r="J49" s="18" t="s">
        <v>67</v>
      </c>
      <c r="K49" s="18">
        <v>3</v>
      </c>
      <c r="L49" s="18"/>
      <c r="M49" s="18"/>
      <c r="N49" s="18"/>
      <c r="O49" s="18" t="b">
        <f>VLOOKUP(A49,[1]Model!C$2:J$559,2,FALSE)=B49</f>
        <v>1</v>
      </c>
      <c r="P49" s="18" t="b">
        <f>VLOOKUP(A49,Model!C$2:G$228,5,FALSE)=D49</f>
        <v>1</v>
      </c>
      <c r="Q49" s="18">
        <f>VLOOKUP(A49,[2]Model!C$2:L$228,8,FALSE)</f>
        <v>189</v>
      </c>
      <c r="R49" s="18" t="e">
        <f>VLOOKUP(A49,[2]Model!C$2:G$228,3,FALSE)=[3]!Table14[[#This Row],[Business Definition (To go into comments and into Meta Data Hub)]]</f>
        <v>#VALUE!</v>
      </c>
      <c r="S49" s="18" t="e">
        <f>IF([3]!Table14[[#This Row],[Nullable in Table and in Oracle View
NULL, NOT NULL]]="No","NOT NULL","NULL")=VLOOKUP(A49,[2]Model!C$2:I$228,6,FALSE)</f>
        <v>#REF!</v>
      </c>
      <c r="T49" s="18" t="e">
        <f>VLOOKUP(B49,[2]Table!A$2:F$415,1,FALSE)=[3]!Table14[[#This Row],[Physical Name of Attribute (Name of column in Table)
Supplied by DA Team]]</f>
        <v>#REF!</v>
      </c>
      <c r="U49" s="18" t="b">
        <f>VLOOKUP(B49,Table!A$2:F$319,2,FALSE)=Table1[[#This Row],[Data type in Oracle
VARCHAR2(n), DATE, NUMBER(m,n), TIMETSTAMP(6)]]</f>
        <v>0</v>
      </c>
      <c r="V49" s="18" t="b">
        <f>VLOOKUP(B49,Table!A$2:F$231,3,FALSE)=Table1[[#This Row],[Nullable in Table and in Oracle View
NULL, NOT NULL]]</f>
        <v>1</v>
      </c>
      <c r="W49" s="18" t="b">
        <f>VLOOKUP(B49,Table!A$2:H$228,6,FALSE)=Table1[[#This Row],[Business Definition (To go into comments and into Meta Data Hub)]]</f>
        <v>0</v>
      </c>
      <c r="X49" s="55" t="str">
        <f>VLOOKUP((UPPER(SUBSTITUTE(A49," ","_"))),'[2]Consumer View'!A$2:I$329,1,FALSE)</f>
        <v>OFFSET_ARRANGEMENT_SETTLEMENT_TYPE_DESCRIPTION</v>
      </c>
      <c r="Y49" s="18" t="s">
        <v>173</v>
      </c>
      <c r="Z49" s="18" t="s">
        <v>248</v>
      </c>
      <c r="AA49" s="18" t="s">
        <v>327</v>
      </c>
      <c r="AB49" s="18"/>
      <c r="AC49" s="18"/>
      <c r="AD49" s="18" t="s">
        <v>312</v>
      </c>
      <c r="AE49" s="46" t="s">
        <v>313</v>
      </c>
      <c r="AF49" s="18"/>
      <c r="AG49" s="18"/>
      <c r="AH49" s="18" t="s">
        <v>178</v>
      </c>
    </row>
    <row r="50" spans="1:34" ht="27" hidden="1" customHeight="1">
      <c r="A50" s="51" t="s">
        <v>328</v>
      </c>
      <c r="B50" s="18" t="s">
        <v>329</v>
      </c>
      <c r="C50" s="18" t="s">
        <v>330</v>
      </c>
      <c r="D50" s="18" t="s">
        <v>139</v>
      </c>
      <c r="E50" s="18" t="s">
        <v>63</v>
      </c>
      <c r="F50" s="18" t="s">
        <v>140</v>
      </c>
      <c r="G50" s="45" t="s">
        <v>63</v>
      </c>
      <c r="H50" s="46" t="s">
        <v>331</v>
      </c>
      <c r="I50" s="18"/>
      <c r="J50" s="18" t="s">
        <v>67</v>
      </c>
      <c r="K50" s="18">
        <v>3</v>
      </c>
      <c r="L50" s="18"/>
      <c r="M50" s="18"/>
      <c r="N50" s="18"/>
      <c r="O50" s="18" t="b">
        <f>VLOOKUP(A50,[1]Model!C$2:J$559,2,FALSE)=B50</f>
        <v>1</v>
      </c>
      <c r="P50" s="18" t="b">
        <f>VLOOKUP(A50,Model!C$2:G$228,5,FALSE)=D50</f>
        <v>1</v>
      </c>
      <c r="Q50" s="18">
        <f>VLOOKUP(A50,[2]Model!C$2:L$228,8,FALSE)</f>
        <v>190</v>
      </c>
      <c r="R50" s="18" t="e">
        <f>VLOOKUP(A50,[2]Model!C$2:G$228,3,FALSE)=[3]!Table14[[#This Row],[Business Definition (To go into comments and into Meta Data Hub)]]</f>
        <v>#REF!</v>
      </c>
      <c r="S50" s="18" t="e">
        <f>IF([3]!Table14[[#This Row],[Nullable in Table and in Oracle View
NULL, NOT NULL]]="No","NOT NULL","NULL")=VLOOKUP(A50,[2]Model!C$2:I$228,6,FALSE)</f>
        <v>#REF!</v>
      </c>
      <c r="T50" s="18" t="e">
        <f>VLOOKUP(B50,[2]Table!A$2:F$415,1,FALSE)=[3]!Table14[[#This Row],[Physical Name of Attribute (Name of column in Table)
Supplied by DA Team]]</f>
        <v>#REF!</v>
      </c>
      <c r="U50" s="18" t="b">
        <f>VLOOKUP(B50,Table!A$2:F$319,2,FALSE)=Table1[[#This Row],[Data type in Oracle
VARCHAR2(n), DATE, NUMBER(m,n), TIMETSTAMP(6)]]</f>
        <v>0</v>
      </c>
      <c r="V50" s="18" t="b">
        <f>VLOOKUP(B50,Table!A$2:F$231,3,FALSE)=Table1[[#This Row],[Nullable in Table and in Oracle View
NULL, NOT NULL]]</f>
        <v>1</v>
      </c>
      <c r="W50" s="18" t="b">
        <f>VLOOKUP(B50,Table!A$2:H$228,6,FALSE)=Table1[[#This Row],[Business Definition (To go into comments and into Meta Data Hub)]]</f>
        <v>0</v>
      </c>
      <c r="X50" s="18" t="str">
        <f>VLOOKUP((UPPER(SUBSTITUTE(A50," ","_"))),'[2]Consumer View'!A$2:I$329,1,FALSE)</f>
        <v>ARRANGEMENT_SETTLEMENT_TYPE_CODE</v>
      </c>
      <c r="Y50" s="18" t="s">
        <v>173</v>
      </c>
      <c r="Z50" s="18" t="s">
        <v>248</v>
      </c>
      <c r="AA50" s="18" t="s">
        <v>322</v>
      </c>
      <c r="AB50" s="18"/>
      <c r="AC50" s="18"/>
      <c r="AD50" s="18" t="s">
        <v>306</v>
      </c>
      <c r="AE50" s="46" t="s">
        <v>251</v>
      </c>
      <c r="AF50" s="18"/>
      <c r="AG50" s="18"/>
      <c r="AH50" s="18" t="s">
        <v>178</v>
      </c>
    </row>
    <row r="51" spans="1:34" ht="27" hidden="1" customHeight="1">
      <c r="A51" s="51" t="s">
        <v>332</v>
      </c>
      <c r="B51" s="18" t="s">
        <v>333</v>
      </c>
      <c r="C51" s="18" t="s">
        <v>334</v>
      </c>
      <c r="D51" s="18" t="s">
        <v>90</v>
      </c>
      <c r="E51" s="18" t="s">
        <v>63</v>
      </c>
      <c r="F51" s="18" t="s">
        <v>91</v>
      </c>
      <c r="G51" s="45" t="s">
        <v>63</v>
      </c>
      <c r="H51" s="46" t="s">
        <v>335</v>
      </c>
      <c r="I51" s="18"/>
      <c r="J51" s="18" t="s">
        <v>67</v>
      </c>
      <c r="K51" s="18">
        <v>3</v>
      </c>
      <c r="L51" s="18"/>
      <c r="M51" s="18"/>
      <c r="N51" s="18"/>
      <c r="O51" s="18" t="b">
        <f>VLOOKUP(A51,[1]Model!C$2:J$559,2,FALSE)=B51</f>
        <v>1</v>
      </c>
      <c r="P51" s="18" t="b">
        <f>VLOOKUP(A51,Model!C$2:G$228,5,FALSE)=D51</f>
        <v>1</v>
      </c>
      <c r="Q51" s="18">
        <f>VLOOKUP(A51,[2]Model!C$2:L$228,8,FALSE)</f>
        <v>191</v>
      </c>
      <c r="R51" s="18" t="e">
        <f>VLOOKUP(A51,[2]Model!C$2:G$228,3,FALSE)=[3]!Table14[[#This Row],[Business Definition (To go into comments and into Meta Data Hub)]]</f>
        <v>#REF!</v>
      </c>
      <c r="S51" s="18" t="e">
        <f>IF([3]!Table14[[#This Row],[Nullable in Table and in Oracle View
NULL, NOT NULL]]="No","NOT NULL","NULL")=VLOOKUP(A51,[2]Model!C$2:I$228,6,FALSE)</f>
        <v>#REF!</v>
      </c>
      <c r="T51" s="18" t="e">
        <f>VLOOKUP(B51,[2]Table!A$2:F$415,1,FALSE)=[3]!Table14[[#This Row],[Physical Name of Attribute (Name of column in Table)
Supplied by DA Team]]</f>
        <v>#REF!</v>
      </c>
      <c r="U51" s="18" t="b">
        <f>VLOOKUP(B51,Table!A$2:F$319,2,FALSE)=Table1[[#This Row],[Data type in Oracle
VARCHAR2(n), DATE, NUMBER(m,n), TIMETSTAMP(6)]]</f>
        <v>0</v>
      </c>
      <c r="V51" s="18" t="b">
        <f>VLOOKUP(B51,Table!A$2:F$231,3,FALSE)=Table1[[#This Row],[Nullable in Table and in Oracle View
NULL, NOT NULL]]</f>
        <v>1</v>
      </c>
      <c r="W51" s="18" t="b">
        <f>VLOOKUP(B51,Table!A$2:H$228,6,FALSE)=Table1[[#This Row],[Business Definition (To go into comments and into Meta Data Hub)]]</f>
        <v>1</v>
      </c>
      <c r="X51" s="18" t="str">
        <f>VLOOKUP((UPPER(SUBSTITUTE(A51," ","_"))),'[2]Consumer View'!A$2:I$329,1,FALSE)</f>
        <v>ARRANGEMENT_SETTLEMENT_TYPE_DESCRIPTION</v>
      </c>
      <c r="Y51" s="18" t="s">
        <v>173</v>
      </c>
      <c r="Z51" s="18" t="s">
        <v>248</v>
      </c>
      <c r="AA51" s="18" t="s">
        <v>327</v>
      </c>
      <c r="AB51" s="18"/>
      <c r="AC51" s="18"/>
      <c r="AD51" s="18" t="s">
        <v>306</v>
      </c>
      <c r="AE51" s="46" t="s">
        <v>251</v>
      </c>
      <c r="AF51" s="18"/>
      <c r="AG51" s="18"/>
      <c r="AH51" s="18" t="s">
        <v>178</v>
      </c>
    </row>
    <row r="52" spans="1:34" ht="27" hidden="1" customHeight="1">
      <c r="A52" s="51" t="s">
        <v>336</v>
      </c>
      <c r="B52" s="18" t="s">
        <v>311</v>
      </c>
      <c r="C52" s="18" t="s">
        <v>337</v>
      </c>
      <c r="D52" s="18" t="s">
        <v>62</v>
      </c>
      <c r="E52" s="18" t="s">
        <v>63</v>
      </c>
      <c r="F52" s="18" t="s">
        <v>64</v>
      </c>
      <c r="G52" s="45" t="s">
        <v>63</v>
      </c>
      <c r="H52" s="46" t="s">
        <v>338</v>
      </c>
      <c r="I52" s="18"/>
      <c r="J52" s="18" t="s">
        <v>67</v>
      </c>
      <c r="K52" s="18">
        <v>3</v>
      </c>
      <c r="L52" s="18"/>
      <c r="M52" s="18"/>
      <c r="N52" s="18"/>
      <c r="O52" s="18" t="b">
        <f>VLOOKUP(A52,[1]Model!C$2:J$559,2,FALSE)=B52</f>
        <v>1</v>
      </c>
      <c r="P52" s="18" t="b">
        <f>VLOOKUP(A52,Model!C$2:G$228,5,FALSE)=D52</f>
        <v>1</v>
      </c>
      <c r="Q52" s="18">
        <f>VLOOKUP(A52,[2]Model!C$2:L$228,8,FALSE)</f>
        <v>184</v>
      </c>
      <c r="R52" s="18" t="e">
        <f>VLOOKUP(A52,[2]Model!C$2:G$228,3,FALSE)=[3]!Table14[[#This Row],[Business Definition (To go into comments and into Meta Data Hub)]]</f>
        <v>#REF!</v>
      </c>
      <c r="S52" s="18" t="e">
        <f>IF([3]!Table14[[#This Row],[Nullable in Table and in Oracle View
NULL, NOT NULL]]="No","NOT NULL","NULL")=VLOOKUP(A52,[2]Model!C$2:I$228,6,FALSE)</f>
        <v>#REF!</v>
      </c>
      <c r="T52" s="18" t="e">
        <f>VLOOKUP(B52,[2]Table!A$2:F$415,1,FALSE)=[3]!Table14[[#This Row],[Physical Name of Attribute (Name of column in Table)
Supplied by DA Team]]</f>
        <v>#REF!</v>
      </c>
      <c r="U52" s="18" t="b">
        <f>VLOOKUP(B52,Table!A$2:F$319,2,FALSE)=Table1[[#This Row],[Data type in Oracle
VARCHAR2(n), DATE, NUMBER(m,n), TIMETSTAMP(6)]]</f>
        <v>0</v>
      </c>
      <c r="V52" s="18" t="b">
        <f>VLOOKUP(B52,Table!A$2:F$231,3,FALSE)=Table1[[#This Row],[Nullable in Table and in Oracle View
NULL, NOT NULL]]</f>
        <v>1</v>
      </c>
      <c r="W52" s="18" t="b">
        <f>VLOOKUP(B52,Table!A$2:H$228,6,FALSE)=Table1[[#This Row],[Business Definition (To go into comments and into Meta Data Hub)]]</f>
        <v>1</v>
      </c>
      <c r="X52" s="18" t="str">
        <f>VLOOKUP((UPPER(SUBSTITUTE(A52," ","_"))),'[2]Consumer View'!A$2:I$329,1,FALSE)</f>
        <v>ORIGINATING_SOURCE_SYSTEM_ARRANGEMENT_ID</v>
      </c>
      <c r="Y52" s="18" t="s">
        <v>173</v>
      </c>
      <c r="Z52" s="46" t="s">
        <v>339</v>
      </c>
      <c r="AA52" s="46" t="s">
        <v>340</v>
      </c>
      <c r="AB52" s="18"/>
      <c r="AC52" s="18"/>
      <c r="AD52" s="18" t="s">
        <v>341</v>
      </c>
      <c r="AE52" s="46" t="s">
        <v>342</v>
      </c>
      <c r="AF52" s="18"/>
      <c r="AG52" s="18"/>
      <c r="AH52" s="18" t="s">
        <v>178</v>
      </c>
    </row>
    <row r="53" spans="1:34" ht="27" hidden="1" customHeight="1">
      <c r="A53" s="51" t="s">
        <v>343</v>
      </c>
      <c r="B53" s="18" t="s">
        <v>344</v>
      </c>
      <c r="C53" s="18"/>
      <c r="D53" s="18" t="s">
        <v>101</v>
      </c>
      <c r="E53" s="18" t="s">
        <v>345</v>
      </c>
      <c r="F53" s="18" t="s">
        <v>133</v>
      </c>
      <c r="G53" s="45" t="s">
        <v>63</v>
      </c>
      <c r="H53" s="46" t="s">
        <v>346</v>
      </c>
      <c r="I53" s="18"/>
      <c r="J53" s="18" t="s">
        <v>347</v>
      </c>
      <c r="K53" s="18">
        <v>3</v>
      </c>
      <c r="L53" s="18"/>
      <c r="M53" s="18"/>
      <c r="N53" s="18"/>
      <c r="O53" s="18" t="b">
        <f>VLOOKUP(A53,[1]Model!C$2:J$559,2,FALSE)=B53</f>
        <v>1</v>
      </c>
      <c r="P53" s="18" t="e">
        <f>VLOOKUP(A53,Model!C$2:G$228,5,FALSE)=D53</f>
        <v>#N/A</v>
      </c>
      <c r="Q53" s="18">
        <f>VLOOKUP(A53,[2]Model!C$2:L$228,8,FALSE)</f>
        <v>37</v>
      </c>
      <c r="R53" s="18" t="e">
        <f>VLOOKUP(A53,[2]Model!C$2:G$228,3,FALSE)=[3]!Table14[[#This Row],[Business Definition (To go into comments and into Meta Data Hub)]]</f>
        <v>#REF!</v>
      </c>
      <c r="S53" s="18" t="e">
        <f>IF([3]!Table14[[#This Row],[Nullable in Table and in Oracle View
NULL, NOT NULL]]="No","NOT NULL","NULL")=VLOOKUP(A53,[2]Model!C$2:I$228,6,FALSE)</f>
        <v>#REF!</v>
      </c>
      <c r="T53" s="18" t="e">
        <f>VLOOKUP(B53,[2]Table!A$2:F$415,1,FALSE)=[3]!Table14[[#This Row],[Physical Name of Attribute (Name of column in Table)
Supplied by DA Team]]</f>
        <v>#REF!</v>
      </c>
      <c r="U53" s="18" t="b">
        <f>VLOOKUP(B53,Table!A$2:F$319,2,FALSE)=Table1[[#This Row],[Data type in Oracle
VARCHAR2(n), DATE, NUMBER(m,n), TIMETSTAMP(6)]]</f>
        <v>1</v>
      </c>
      <c r="V53" s="18" t="b">
        <f>VLOOKUP(B53,Table!A$2:F$231,3,FALSE)=Table1[[#This Row],[Nullable in Table and in Oracle View
NULL, NOT NULL]]</f>
        <v>1</v>
      </c>
      <c r="W53" s="18" t="b">
        <f>VLOOKUP(B53,Table!A$2:H$228,6,FALSE)=Table1[[#This Row],[Business Definition (To go into comments and into Meta Data Hub)]]</f>
        <v>1</v>
      </c>
      <c r="X53" s="55" t="str">
        <f>VLOOKUP((UPPER(SUBSTITUTE(A53," ","_"))),'[2]Consumer View'!A$2:I$329,1,FALSE)</f>
        <v>TRADE_DATE_DIMENSION_ID</v>
      </c>
      <c r="Y53" s="18" t="s">
        <v>262</v>
      </c>
      <c r="Z53" s="18" t="s">
        <v>348</v>
      </c>
      <c r="AA53" s="18" t="s">
        <v>349</v>
      </c>
      <c r="AB53" s="18"/>
      <c r="AC53" s="18"/>
      <c r="AD53" s="18" t="s">
        <v>350</v>
      </c>
      <c r="AE53" s="46"/>
      <c r="AF53" s="18"/>
      <c r="AG53" s="18"/>
      <c r="AH53" s="18" t="s">
        <v>351</v>
      </c>
    </row>
    <row r="54" spans="1:34" ht="27" hidden="1" customHeight="1">
      <c r="A54" s="51" t="s">
        <v>352</v>
      </c>
      <c r="B54" s="18" t="s">
        <v>353</v>
      </c>
      <c r="C54" s="18"/>
      <c r="D54" s="18" t="s">
        <v>101</v>
      </c>
      <c r="E54" s="18" t="s">
        <v>345</v>
      </c>
      <c r="F54" s="18" t="s">
        <v>133</v>
      </c>
      <c r="G54" s="45" t="s">
        <v>63</v>
      </c>
      <c r="H54" s="46" t="s">
        <v>354</v>
      </c>
      <c r="I54" s="18"/>
      <c r="J54" s="18" t="s">
        <v>347</v>
      </c>
      <c r="K54" s="18">
        <v>3</v>
      </c>
      <c r="L54" s="18"/>
      <c r="M54" s="18"/>
      <c r="N54" s="18"/>
      <c r="O54" s="18" t="b">
        <f>VLOOKUP(A54,[1]Model!C$2:J$559,2,FALSE)=B54</f>
        <v>1</v>
      </c>
      <c r="P54" s="18" t="b">
        <f>VLOOKUP(A54,Model!C$2:G$228,5,FALSE)=D54</f>
        <v>1</v>
      </c>
      <c r="Q54" s="18">
        <f>VLOOKUP(A54,[2]Model!C$2:L$228,8,FALSE)</f>
        <v>38</v>
      </c>
      <c r="R54" s="18" t="e">
        <f>VLOOKUP(A54,[2]Model!C$2:G$228,3,FALSE)=[3]!Table14[[#This Row],[Business Definition (To go into comments and into Meta Data Hub)]]</f>
        <v>#REF!</v>
      </c>
      <c r="S54" s="18" t="e">
        <f>IF([3]!Table14[[#This Row],[Nullable in Table and in Oracle View
NULL, NOT NULL]]="No","NOT NULL","NULL")=VLOOKUP(A54,[2]Model!C$2:I$228,6,FALSE)</f>
        <v>#REF!</v>
      </c>
      <c r="T54" s="18" t="e">
        <f>VLOOKUP(B54,[2]Table!A$2:F$415,1,FALSE)=[3]!Table14[[#This Row],[Physical Name of Attribute (Name of column in Table)
Supplied by DA Team]]</f>
        <v>#REF!</v>
      </c>
      <c r="U54" s="18" t="b">
        <f>VLOOKUP(B54,Table!A$2:F$319,2,FALSE)=Table1[[#This Row],[Data type in Oracle
VARCHAR2(n), DATE, NUMBER(m,n), TIMETSTAMP(6)]]</f>
        <v>1</v>
      </c>
      <c r="V54" s="18" t="b">
        <f>VLOOKUP(B54,Table!A$2:F$231,3,FALSE)=Table1[[#This Row],[Nullable in Table and in Oracle View
NULL, NOT NULL]]</f>
        <v>1</v>
      </c>
      <c r="W54" s="18" t="b">
        <f>VLOOKUP(B54,Table!A$2:H$228,6,FALSE)=Table1[[#This Row],[Business Definition (To go into comments and into Meta Data Hub)]]</f>
        <v>1</v>
      </c>
      <c r="X54" s="18" t="str">
        <f>VLOOKUP((UPPER(SUBSTITUTE(A54," ","_"))),'[2]Consumer View'!A$2:I$329,1,FALSE)</f>
        <v>EXCHANGE_DIMENSION_ID</v>
      </c>
      <c r="Y54" s="18" t="s">
        <v>355</v>
      </c>
      <c r="Z54" s="18" t="s">
        <v>356</v>
      </c>
      <c r="AA54" s="18" t="s">
        <v>353</v>
      </c>
      <c r="AB54" s="18"/>
      <c r="AC54" s="18"/>
      <c r="AD54" s="18" t="s">
        <v>357</v>
      </c>
      <c r="AE54" s="46" t="s">
        <v>358</v>
      </c>
      <c r="AF54" s="18"/>
      <c r="AG54" s="18"/>
      <c r="AH54" s="18" t="s">
        <v>351</v>
      </c>
    </row>
    <row r="55" spans="1:34" ht="27" hidden="1" customHeight="1">
      <c r="A55" s="51" t="s">
        <v>359</v>
      </c>
      <c r="B55" s="18" t="s">
        <v>360</v>
      </c>
      <c r="C55" s="18" t="s">
        <v>361</v>
      </c>
      <c r="D55" s="18" t="s">
        <v>82</v>
      </c>
      <c r="E55" s="18" t="s">
        <v>63</v>
      </c>
      <c r="F55" s="18" t="s">
        <v>83</v>
      </c>
      <c r="G55" s="45" t="s">
        <v>63</v>
      </c>
      <c r="H55" s="46" t="s">
        <v>362</v>
      </c>
      <c r="I55" s="18"/>
      <c r="J55" s="18" t="s">
        <v>347</v>
      </c>
      <c r="K55" s="18">
        <v>3</v>
      </c>
      <c r="L55" s="18"/>
      <c r="M55" s="18"/>
      <c r="N55" s="18"/>
      <c r="O55" s="18" t="b">
        <f>VLOOKUP(A55,[1]Model!C$2:J$559,2,FALSE)=B55</f>
        <v>1</v>
      </c>
      <c r="P55" s="18" t="b">
        <f>VLOOKUP(A55,Model!C$2:G$228,5,FALSE)=D55</f>
        <v>1</v>
      </c>
      <c r="Q55" s="18">
        <f>VLOOKUP(A55,[2]Model!C$2:L$228,8,FALSE)</f>
        <v>102</v>
      </c>
      <c r="R55" s="18" t="e">
        <f>VLOOKUP(A55,[2]Model!C$2:G$228,3,FALSE)=[3]!Table14[[#This Row],[Business Definition (To go into comments and into Meta Data Hub)]]</f>
        <v>#REF!</v>
      </c>
      <c r="S55" s="18" t="e">
        <f>IF([3]!Table14[[#This Row],[Nullable in Table and in Oracle View
NULL, NOT NULL]]="No","NOT NULL","NULL")=VLOOKUP(A55,[2]Model!C$2:I$228,6,FALSE)</f>
        <v>#REF!</v>
      </c>
      <c r="T55" s="18" t="e">
        <f>VLOOKUP(B55,[2]Table!A$2:F$415,1,FALSE)=[3]!Table14[[#This Row],[Physical Name of Attribute (Name of column in Table)
Supplied by DA Team]]</f>
        <v>#REF!</v>
      </c>
      <c r="U55" s="18" t="b">
        <f>VLOOKUP(B55,Table!A$2:F$319,2,FALSE)=Table1[[#This Row],[Data type in Oracle
VARCHAR2(n), DATE, NUMBER(m,n), TIMETSTAMP(6)]]</f>
        <v>0</v>
      </c>
      <c r="V55" s="18" t="b">
        <f>VLOOKUP(B55,Table!A$2:F$231,3,FALSE)=Table1[[#This Row],[Nullable in Table and in Oracle View
NULL, NOT NULL]]</f>
        <v>1</v>
      </c>
      <c r="W55" s="18" t="b">
        <f>VLOOKUP(B55,Table!A$2:H$228,6,FALSE)=Table1[[#This Row],[Business Definition (To go into comments and into Meta Data Hub)]]</f>
        <v>1</v>
      </c>
      <c r="X55" s="55" t="str">
        <f>VLOOKUP((UPPER(SUBSTITUTE(A55," ","_"))),'[2]Consumer View'!A$2:I$329,1,FALSE)</f>
        <v>ACCOUNTING_TYPE_CODE</v>
      </c>
      <c r="Y55" s="18" t="s">
        <v>262</v>
      </c>
      <c r="Z55" s="18" t="s">
        <v>363</v>
      </c>
      <c r="AA55" s="18" t="s">
        <v>360</v>
      </c>
      <c r="AB55" s="18"/>
      <c r="AC55" s="18"/>
      <c r="AD55" s="18" t="s">
        <v>364</v>
      </c>
      <c r="AE55" s="46"/>
      <c r="AF55" s="18"/>
      <c r="AG55" s="18"/>
      <c r="AH55" s="18" t="s">
        <v>71</v>
      </c>
    </row>
    <row r="56" spans="1:34" ht="27" hidden="1" customHeight="1">
      <c r="A56" s="51" t="s">
        <v>365</v>
      </c>
      <c r="B56" s="18" t="s">
        <v>366</v>
      </c>
      <c r="C56" s="18"/>
      <c r="D56" s="18" t="s">
        <v>101</v>
      </c>
      <c r="E56" s="18" t="s">
        <v>345</v>
      </c>
      <c r="F56" s="18" t="s">
        <v>133</v>
      </c>
      <c r="G56" s="45" t="s">
        <v>63</v>
      </c>
      <c r="H56" s="46" t="s">
        <v>367</v>
      </c>
      <c r="I56" s="18"/>
      <c r="J56" s="18" t="s">
        <v>347</v>
      </c>
      <c r="K56" s="18">
        <v>3</v>
      </c>
      <c r="L56" s="18"/>
      <c r="M56" s="18"/>
      <c r="N56" s="18"/>
      <c r="O56" s="18" t="b">
        <f>VLOOKUP(A56,[1]Model!C$2:J$559,2,FALSE)=B56</f>
        <v>1</v>
      </c>
      <c r="P56" s="18" t="b">
        <f>VLOOKUP(A56,Model!C$2:G$228,5,FALSE)=D56</f>
        <v>1</v>
      </c>
      <c r="Q56" s="18">
        <f>VLOOKUP(A56,[2]Model!C$2:L$228,8,FALSE)</f>
        <v>41</v>
      </c>
      <c r="R56" s="18" t="e">
        <f>VLOOKUP(A56,[2]Model!C$2:G$228,3,FALSE)=[3]!Table14[[#This Row],[Business Definition (To go into comments and into Meta Data Hub)]]</f>
        <v>#REF!</v>
      </c>
      <c r="S56" s="18" t="e">
        <f>IF([3]!Table14[[#This Row],[Nullable in Table and in Oracle View
NULL, NOT NULL]]="No","NOT NULL","NULL")=VLOOKUP(A56,[2]Model!C$2:I$228,6,FALSE)</f>
        <v>#REF!</v>
      </c>
      <c r="T56" s="18" t="e">
        <f>VLOOKUP(B56,[2]Table!A$2:F$415,1,FALSE)=[3]!Table14[[#This Row],[Physical Name of Attribute (Name of column in Table)
Supplied by DA Team]]</f>
        <v>#REF!</v>
      </c>
      <c r="U56" s="18" t="b">
        <f>VLOOKUP(B56,Table!A$2:F$319,2,FALSE)=Table1[[#This Row],[Data type in Oracle
VARCHAR2(n), DATE, NUMBER(m,n), TIMETSTAMP(6)]]</f>
        <v>1</v>
      </c>
      <c r="V56" s="18" t="b">
        <f>VLOOKUP(B56,Table!A$2:F$231,3,FALSE)=Table1[[#This Row],[Nullable in Table and in Oracle View
NULL, NOT NULL]]</f>
        <v>1</v>
      </c>
      <c r="W56" s="18" t="b">
        <f>VLOOKUP(B56,Table!A$2:H$228,6,FALSE)=Table1[[#This Row],[Business Definition (To go into comments and into Meta Data Hub)]]</f>
        <v>1</v>
      </c>
      <c r="X56" s="18" t="str">
        <f>VLOOKUP((UPPER(SUBSTITUTE(A56," ","_"))),'[2]Consumer View'!A$2:I$329,1,FALSE)</f>
        <v>ACCOUNTING_TYPE_DIMENSION_ID</v>
      </c>
      <c r="Y56" s="18" t="s">
        <v>262</v>
      </c>
      <c r="Z56" s="18" t="s">
        <v>363</v>
      </c>
      <c r="AA56" s="18" t="s">
        <v>366</v>
      </c>
      <c r="AB56" s="18"/>
      <c r="AC56" s="18"/>
      <c r="AD56" s="18" t="s">
        <v>364</v>
      </c>
      <c r="AE56" s="46"/>
      <c r="AF56" s="18"/>
      <c r="AG56" s="18"/>
      <c r="AH56" s="18" t="s">
        <v>351</v>
      </c>
    </row>
    <row r="57" spans="1:34" ht="27" hidden="1" customHeight="1">
      <c r="A57" s="51" t="s">
        <v>368</v>
      </c>
      <c r="B57" s="18" t="s">
        <v>369</v>
      </c>
      <c r="C57" s="18" t="s">
        <v>370</v>
      </c>
      <c r="D57" s="18" t="s">
        <v>302</v>
      </c>
      <c r="E57" s="18" t="s">
        <v>63</v>
      </c>
      <c r="F57" s="18" t="s">
        <v>303</v>
      </c>
      <c r="G57" s="45" t="s">
        <v>63</v>
      </c>
      <c r="H57" s="46" t="s">
        <v>371</v>
      </c>
      <c r="I57" s="18"/>
      <c r="J57" s="18" t="s">
        <v>347</v>
      </c>
      <c r="K57" s="18">
        <v>3</v>
      </c>
      <c r="L57" s="18"/>
      <c r="M57" s="18"/>
      <c r="N57" s="18"/>
      <c r="O57" s="18" t="b">
        <f>VLOOKUP(A57,[1]Model!C$2:J$559,2,FALSE)=B57</f>
        <v>1</v>
      </c>
      <c r="P57" s="18" t="b">
        <f>VLOOKUP(A57,Model!C$2:G$228,5,FALSE)=D57</f>
        <v>1</v>
      </c>
      <c r="Q57" s="18">
        <f>VLOOKUP(A57,[2]Model!C$2:L$228,8,FALSE)</f>
        <v>101</v>
      </c>
      <c r="R57" s="18" t="e">
        <f>VLOOKUP(A57,[2]Model!C$2:G$228,3,FALSE)=[3]!Table14[[#This Row],[Business Definition (To go into comments and into Meta Data Hub)]]</f>
        <v>#REF!</v>
      </c>
      <c r="S57" s="18" t="e">
        <f>IF([3]!Table14[[#This Row],[Nullable in Table and in Oracle View
NULL, NOT NULL]]="No","NOT NULL","NULL")=VLOOKUP(A57,[2]Model!C$2:I$228,6,FALSE)</f>
        <v>#REF!</v>
      </c>
      <c r="T57" s="18" t="e">
        <f>VLOOKUP(B57,[2]Table!A$2:F$415,1,FALSE)=[3]!Table14[[#This Row],[Physical Name of Attribute (Name of column in Table)
Supplied by DA Team]]</f>
        <v>#REF!</v>
      </c>
      <c r="U57" s="18" t="b">
        <f>VLOOKUP(B57,Table!A$2:F$319,2,FALSE)=Table1[[#This Row],[Data type in Oracle
VARCHAR2(n), DATE, NUMBER(m,n), TIMETSTAMP(6)]]</f>
        <v>0</v>
      </c>
      <c r="V57" s="18" t="b">
        <f>VLOOKUP(B57,Table!A$2:F$231,3,FALSE)=Table1[[#This Row],[Nullable in Table and in Oracle View
NULL, NOT NULL]]</f>
        <v>1</v>
      </c>
      <c r="W57" s="18" t="b">
        <f>VLOOKUP(B57,Table!A$2:H$228,6,FALSE)=Table1[[#This Row],[Business Definition (To go into comments and into Meta Data Hub)]]</f>
        <v>1</v>
      </c>
      <c r="X57" s="55" t="str">
        <f>VLOOKUP((UPPER(SUBSTITUTE(A57," ","_"))),'[2]Consumer View'!A$2:I$329,1,FALSE)</f>
        <v>ACCOUNTING_TYPE_NAME</v>
      </c>
      <c r="Y57" s="18" t="s">
        <v>262</v>
      </c>
      <c r="Z57" s="18" t="s">
        <v>363</v>
      </c>
      <c r="AA57" s="18" t="s">
        <v>369</v>
      </c>
      <c r="AB57" s="18"/>
      <c r="AC57" s="18"/>
      <c r="AD57" s="18" t="s">
        <v>364</v>
      </c>
      <c r="AE57" s="46"/>
      <c r="AF57" s="18"/>
      <c r="AG57" s="18"/>
      <c r="AH57" s="18" t="s">
        <v>71</v>
      </c>
    </row>
    <row r="58" spans="1:34" ht="27" hidden="1" customHeight="1">
      <c r="A58" s="51" t="s">
        <v>372</v>
      </c>
      <c r="B58" s="18" t="s">
        <v>373</v>
      </c>
      <c r="C58" s="18"/>
      <c r="D58" s="18" t="s">
        <v>101</v>
      </c>
      <c r="E58" s="18" t="s">
        <v>63</v>
      </c>
      <c r="F58" s="18" t="s">
        <v>133</v>
      </c>
      <c r="G58" s="45" t="s">
        <v>63</v>
      </c>
      <c r="H58" s="46" t="s">
        <v>374</v>
      </c>
      <c r="I58" s="18"/>
      <c r="J58" s="18" t="s">
        <v>67</v>
      </c>
      <c r="K58" s="18">
        <v>3</v>
      </c>
      <c r="L58" s="18"/>
      <c r="M58" s="18"/>
      <c r="N58" s="18"/>
      <c r="O58" s="18" t="b">
        <f>VLOOKUP(A58,[1]Model!C$2:J$559,2,FALSE)=B58</f>
        <v>1</v>
      </c>
      <c r="P58" s="18" t="b">
        <f>VLOOKUP(A58,Model!C$2:G$228,5,FALSE)=D58</f>
        <v>1</v>
      </c>
      <c r="Q58" s="18">
        <f>VLOOKUP(A58,[2]Model!C$2:L$228,8,FALSE)</f>
        <v>192</v>
      </c>
      <c r="R58" s="18" t="e">
        <f>VLOOKUP(A58,[2]Model!C$2:G$228,3,FALSE)=[3]!Table14[[#This Row],[Business Definition (To go into comments and into Meta Data Hub)]]</f>
        <v>#REF!</v>
      </c>
      <c r="S58" s="18" t="e">
        <f>IF([3]!Table14[[#This Row],[Nullable in Table and in Oracle View
NULL, NOT NULL]]="No","NOT NULL","NULL")=VLOOKUP(A58,[2]Model!C$2:I$228,6,FALSE)</f>
        <v>#REF!</v>
      </c>
      <c r="T58" s="18" t="e">
        <f>VLOOKUP(B58,[2]Table!A$2:F$415,1,FALSE)=[3]!Table14[[#This Row],[Physical Name of Attribute (Name of column in Table)
Supplied by DA Team]]</f>
        <v>#REF!</v>
      </c>
      <c r="U58" s="18" t="b">
        <f>VLOOKUP(B58,Table!A$2:F$319,2,FALSE)=Table1[[#This Row],[Data type in Oracle
VARCHAR2(n), DATE, NUMBER(m,n), TIMETSTAMP(6)]]</f>
        <v>1</v>
      </c>
      <c r="V58" s="18" t="b">
        <f>VLOOKUP(B58,Table!A$2:F$231,3,FALSE)=Table1[[#This Row],[Nullable in Table and in Oracle View
NULL, NOT NULL]]</f>
        <v>1</v>
      </c>
      <c r="W58" s="18" t="b">
        <f>VLOOKUP(B58,Table!A$2:H$228,6,FALSE)=Table1[[#This Row],[Business Definition (To go into comments and into Meta Data Hub)]]</f>
        <v>1</v>
      </c>
      <c r="X58" s="18" t="str">
        <f>VLOOKUP((UPPER(SUBSTITUTE(A58," ","_"))),'[2]Consumer View'!A$2:I$329,1,FALSE)</f>
        <v>ACCOUNTING_TYPE_ID</v>
      </c>
      <c r="Y58" s="18" t="s">
        <v>68</v>
      </c>
      <c r="Z58" s="18" t="s">
        <v>375</v>
      </c>
      <c r="AA58" s="18" t="s">
        <v>373</v>
      </c>
      <c r="AB58" s="18"/>
      <c r="AC58" s="18"/>
      <c r="AD58" s="18" t="s">
        <v>376</v>
      </c>
      <c r="AE58" s="46"/>
      <c r="AF58" s="18"/>
      <c r="AG58" s="18"/>
      <c r="AH58" s="18" t="s">
        <v>71</v>
      </c>
    </row>
    <row r="59" spans="1:34" ht="27" hidden="1" customHeight="1">
      <c r="A59" s="51" t="s">
        <v>377</v>
      </c>
      <c r="B59" s="18" t="s">
        <v>378</v>
      </c>
      <c r="C59" s="18" t="s">
        <v>379</v>
      </c>
      <c r="D59" s="55" t="s">
        <v>82</v>
      </c>
      <c r="E59" s="18" t="s">
        <v>345</v>
      </c>
      <c r="F59" s="18" t="s">
        <v>83</v>
      </c>
      <c r="G59" s="45" t="s">
        <v>63</v>
      </c>
      <c r="H59" s="46" t="s">
        <v>380</v>
      </c>
      <c r="I59" s="18"/>
      <c r="J59" s="18" t="s">
        <v>381</v>
      </c>
      <c r="K59" s="18">
        <v>3</v>
      </c>
      <c r="L59" s="18"/>
      <c r="M59" s="18"/>
      <c r="N59" s="18"/>
      <c r="O59" s="18" t="b">
        <f>VLOOKUP(A59,[1]Model!C$2:J$559,2,FALSE)=B59</f>
        <v>1</v>
      </c>
      <c r="P59" s="18" t="b">
        <f>VLOOKUP(A59,Model!C$2:G$228,5,FALSE)=D59</f>
        <v>1</v>
      </c>
      <c r="Q59" s="18">
        <f>VLOOKUP(A59,[2]Model!C$2:L$228,8,FALSE)</f>
        <v>95</v>
      </c>
      <c r="R59" s="18" t="e">
        <f>VLOOKUP(A59,[2]Model!C$2:G$228,3,FALSE)=[3]!Table14[[#This Row],[Business Definition (To go into comments and into Meta Data Hub)]]</f>
        <v>#REF!</v>
      </c>
      <c r="S59" s="18" t="e">
        <f>IF([3]!Table14[[#This Row],[Nullable in Table and in Oracle View
NULL, NOT NULL]]="No","NOT NULL","NULL")=VLOOKUP(A59,[2]Model!C$2:I$228,6,FALSE)</f>
        <v>#REF!</v>
      </c>
      <c r="T59" s="18" t="e">
        <f>VLOOKUP(B59,[2]Table!A$2:F$415,1,FALSE)=[3]!Table14[[#This Row],[Physical Name of Attribute (Name of column in Table)
Supplied by DA Team]]</f>
        <v>#REF!</v>
      </c>
      <c r="U59" s="18" t="b">
        <f>VLOOKUP(B59,Table!A$2:F$319,2,FALSE)=Table1[[#This Row],[Data type in Oracle
VARCHAR2(n), DATE, NUMBER(m,n), TIMETSTAMP(6)]]</f>
        <v>0</v>
      </c>
      <c r="V59" s="18" t="b">
        <f>VLOOKUP(B59,Table!A$2:F$231,3,FALSE)=Table1[[#This Row],[Nullable in Table and in Oracle View
NULL, NOT NULL]]</f>
        <v>1</v>
      </c>
      <c r="W59" s="18" t="b">
        <f>VLOOKUP(B59,Table!A$2:H$228,6,FALSE)=Table1[[#This Row],[Business Definition (To go into comments and into Meta Data Hub)]]</f>
        <v>1</v>
      </c>
      <c r="X59" s="55" t="str">
        <f>VLOOKUP((UPPER(SUBSTITUTE(A59," ","_"))),'[2]Consumer View'!A$2:I$329,1,FALSE)</f>
        <v>ACTIVE_FLAG</v>
      </c>
      <c r="Y59" s="18" t="s">
        <v>68</v>
      </c>
      <c r="Z59" s="18" t="s">
        <v>69</v>
      </c>
      <c r="AA59" s="18" t="s">
        <v>378</v>
      </c>
      <c r="AB59" s="18"/>
      <c r="AC59" s="18"/>
      <c r="AD59" s="18"/>
      <c r="AE59" s="46"/>
      <c r="AF59" s="18"/>
      <c r="AG59" s="18"/>
      <c r="AH59" s="18" t="s">
        <v>71</v>
      </c>
    </row>
    <row r="60" spans="1:34" ht="27" hidden="1" customHeight="1">
      <c r="A60" s="51" t="s">
        <v>382</v>
      </c>
      <c r="B60" s="18" t="s">
        <v>383</v>
      </c>
      <c r="C60" s="18" t="s">
        <v>384</v>
      </c>
      <c r="D60" s="18" t="s">
        <v>385</v>
      </c>
      <c r="E60" s="18" t="s">
        <v>63</v>
      </c>
      <c r="F60" s="18" t="s">
        <v>385</v>
      </c>
      <c r="G60" s="45" t="s">
        <v>63</v>
      </c>
      <c r="H60" s="57" t="s">
        <v>386</v>
      </c>
      <c r="I60" s="46"/>
      <c r="J60" s="46" t="s">
        <v>387</v>
      </c>
      <c r="K60" s="18">
        <v>3</v>
      </c>
      <c r="L60" s="18"/>
      <c r="M60" s="18"/>
      <c r="N60" s="18"/>
      <c r="O60" s="18" t="b">
        <f>VLOOKUP(A60,[1]Model!C$2:J$559,2,FALSE)=B60</f>
        <v>1</v>
      </c>
      <c r="P60" s="18" t="b">
        <f>VLOOKUP(A60,Model!C$2:G$228,5,FALSE)=D60</f>
        <v>0</v>
      </c>
      <c r="Q60" s="18">
        <f>VLOOKUP(A60,[2]Model!C$2:L$228,8,FALSE)</f>
        <v>87</v>
      </c>
      <c r="R60" s="18" t="e">
        <f>VLOOKUP(A60,[2]Model!C$2:G$228,3,FALSE)=[3]!Table14[[#This Row],[Business Definition (To go into comments and into Meta Data Hub)]]</f>
        <v>#REF!</v>
      </c>
      <c r="S60" s="18" t="e">
        <f>IF([3]!Table14[[#This Row],[Nullable in Table and in Oracle View
NULL, NOT NULL]]="No","NOT NULL","NULL")=VLOOKUP(A60,[2]Model!C$2:I$228,6,FALSE)</f>
        <v>#REF!</v>
      </c>
      <c r="T60" s="18" t="e">
        <f>VLOOKUP(B60,[2]Table!A$2:F$415,1,FALSE)=[3]!Table14[[#This Row],[Physical Name of Attribute (Name of column in Table)
Supplied by DA Team]]</f>
        <v>#REF!</v>
      </c>
      <c r="U60" s="18" t="b">
        <f>VLOOKUP(B60,Table!A$2:F$319,2,FALSE)=Table1[[#This Row],[Data type in Oracle
VARCHAR2(n), DATE, NUMBER(m,n), TIMETSTAMP(6)]]</f>
        <v>1</v>
      </c>
      <c r="V60" s="18" t="b">
        <f>VLOOKUP(B60,Table!A$2:F$231,3,FALSE)=Table1[[#This Row],[Nullable in Table and in Oracle View
NULL, NOT NULL]]</f>
        <v>1</v>
      </c>
      <c r="W60" s="18" t="b">
        <f>VLOOKUP(B60,Table!A$2:H$228,6,FALSE)=Table1[[#This Row],[Business Definition (To go into comments and into Meta Data Hub)]]</f>
        <v>0</v>
      </c>
      <c r="X60" s="55" t="str">
        <f>VLOOKUP((UPPER(SUBSTITUTE(A60," ","_"))),'[2]Consumer View'!A$2:I$329,1,FALSE)</f>
        <v>AGGREGATE_ORIGINAL_FEES</v>
      </c>
      <c r="Y60" s="58" t="s">
        <v>68</v>
      </c>
      <c r="Z60" s="58" t="s">
        <v>388</v>
      </c>
      <c r="AA60" s="58" t="s">
        <v>389</v>
      </c>
      <c r="AB60" s="58"/>
      <c r="AC60" s="58"/>
      <c r="AD60" s="58" t="s">
        <v>390</v>
      </c>
      <c r="AE60" s="57" t="s">
        <v>391</v>
      </c>
      <c r="AF60" s="18"/>
      <c r="AG60" s="18"/>
      <c r="AH60" s="18" t="s">
        <v>71</v>
      </c>
    </row>
    <row r="61" spans="1:34" ht="27" hidden="1" customHeight="1">
      <c r="A61" s="51" t="s">
        <v>392</v>
      </c>
      <c r="B61" s="18" t="s">
        <v>393</v>
      </c>
      <c r="C61" s="18" t="s">
        <v>394</v>
      </c>
      <c r="D61" s="18" t="s">
        <v>385</v>
      </c>
      <c r="E61" s="18" t="s">
        <v>63</v>
      </c>
      <c r="F61" s="18" t="s">
        <v>385</v>
      </c>
      <c r="G61" s="45" t="s">
        <v>63</v>
      </c>
      <c r="H61" s="57" t="s">
        <v>386</v>
      </c>
      <c r="I61" s="18"/>
      <c r="J61" s="46" t="s">
        <v>387</v>
      </c>
      <c r="K61" s="18">
        <v>3</v>
      </c>
      <c r="L61" s="18"/>
      <c r="M61" s="18"/>
      <c r="N61" s="18"/>
      <c r="O61" s="18" t="b">
        <f>VLOOKUP(A61,[1]Model!C$2:J$559,2,FALSE)=B61</f>
        <v>1</v>
      </c>
      <c r="P61" s="18" t="b">
        <f>VLOOKUP(A61,Model!C$2:G$228,5,FALSE)=D61</f>
        <v>0</v>
      </c>
      <c r="Q61" s="18">
        <f>VLOOKUP(A61,[2]Model!C$2:L$228,8,FALSE)</f>
        <v>88</v>
      </c>
      <c r="R61" s="18" t="e">
        <f>VLOOKUP(A61,[2]Model!C$2:G$228,3,FALSE)=[3]!Table14[[#This Row],[Business Definition (To go into comments and into Meta Data Hub)]]</f>
        <v>#REF!</v>
      </c>
      <c r="S61" s="18" t="e">
        <f>IF([3]!Table14[[#This Row],[Nullable in Table and in Oracle View
NULL, NOT NULL]]="No","NOT NULL","NULL")=VLOOKUP(A61,[2]Model!C$2:I$228,6,FALSE)</f>
        <v>#REF!</v>
      </c>
      <c r="T61" s="18" t="e">
        <f>VLOOKUP(B61,[2]Table!A$2:F$415,1,FALSE)=[3]!Table14[[#This Row],[Physical Name of Attribute (Name of column in Table)
Supplied by DA Team]]</f>
        <v>#REF!</v>
      </c>
      <c r="U61" s="18" t="b">
        <f>VLOOKUP(B61,Table!A$2:F$319,2,FALSE)=Table1[[#This Row],[Data type in Oracle
VARCHAR2(n), DATE, NUMBER(m,n), TIMETSTAMP(6)]]</f>
        <v>1</v>
      </c>
      <c r="V61" s="18" t="b">
        <f>VLOOKUP(B61,Table!A$2:F$231,3,FALSE)=Table1[[#This Row],[Nullable in Table and in Oracle View
NULL, NOT NULL]]</f>
        <v>1</v>
      </c>
      <c r="W61" s="18" t="b">
        <f>VLOOKUP(B61,Table!A$2:H$228,6,FALSE)=Table1[[#This Row],[Business Definition (To go into comments and into Meta Data Hub)]]</f>
        <v>0</v>
      </c>
      <c r="X61" s="55" t="str">
        <f>VLOOKUP((UPPER(SUBSTITUTE(A61," ","_"))),'[2]Consumer View'!A$2:I$329,1,FALSE)</f>
        <v>AGGREGATE_STATEMENT_FEES</v>
      </c>
      <c r="Y61" s="58" t="s">
        <v>68</v>
      </c>
      <c r="Z61" s="58" t="s">
        <v>388</v>
      </c>
      <c r="AA61" s="58" t="s">
        <v>395</v>
      </c>
      <c r="AB61" s="58"/>
      <c r="AC61" s="58"/>
      <c r="AD61" s="58" t="s">
        <v>390</v>
      </c>
      <c r="AE61" s="57" t="s">
        <v>391</v>
      </c>
      <c r="AF61" s="18"/>
      <c r="AG61" s="18"/>
      <c r="AH61" s="18" t="s">
        <v>71</v>
      </c>
    </row>
    <row r="62" spans="1:34" ht="27" hidden="1" customHeight="1">
      <c r="A62" s="51" t="s">
        <v>396</v>
      </c>
      <c r="B62" s="18" t="s">
        <v>397</v>
      </c>
      <c r="C62" s="18" t="s">
        <v>398</v>
      </c>
      <c r="D62" s="18" t="s">
        <v>101</v>
      </c>
      <c r="E62" s="18" t="s">
        <v>63</v>
      </c>
      <c r="F62" s="18" t="s">
        <v>133</v>
      </c>
      <c r="G62" s="45" t="s">
        <v>63</v>
      </c>
      <c r="H62" s="46" t="s">
        <v>399</v>
      </c>
      <c r="I62" s="18"/>
      <c r="J62" s="18" t="s">
        <v>347</v>
      </c>
      <c r="K62" s="18">
        <v>3</v>
      </c>
      <c r="L62" s="18"/>
      <c r="M62" s="18"/>
      <c r="N62" s="18"/>
      <c r="O62" s="18" t="b">
        <f>VLOOKUP(A62,[1]Model!C$2:J$559,2,FALSE)=B62</f>
        <v>1</v>
      </c>
      <c r="P62" s="18" t="b">
        <f>VLOOKUP(A62,Model!C$2:G$228,5,FALSE)=D62</f>
        <v>1</v>
      </c>
      <c r="Q62" s="18">
        <f>VLOOKUP(A62,[2]Model!C$2:L$228,8,FALSE)</f>
        <v>103</v>
      </c>
      <c r="R62" s="18" t="e">
        <f>VLOOKUP(A62,[2]Model!C$2:G$228,3,FALSE)=[3]!Table14[[#This Row],[Business Definition (To go into comments and into Meta Data Hub)]]</f>
        <v>#REF!</v>
      </c>
      <c r="S62" s="18" t="e">
        <f>IF([3]!Table14[[#This Row],[Nullable in Table and in Oracle View
NULL, NOT NULL]]="No","NOT NULL","NULL")=VLOOKUP(A62,[2]Model!C$2:I$228,6,FALSE)</f>
        <v>#REF!</v>
      </c>
      <c r="T62" s="18" t="e">
        <f>VLOOKUP(B62,[2]Table!A$2:F$415,1,FALSE)=[3]!Table14[[#This Row],[Physical Name of Attribute (Name of column in Table)
Supplied by DA Team]]</f>
        <v>#REF!</v>
      </c>
      <c r="U62" s="18" t="b">
        <f>VLOOKUP(B62,Table!A$2:F$319,2,FALSE)=Table1[[#This Row],[Data type in Oracle
VARCHAR2(n), DATE, NUMBER(m,n), TIMETSTAMP(6)]]</f>
        <v>1</v>
      </c>
      <c r="V62" s="18" t="b">
        <f>VLOOKUP(B62,Table!A$2:F$231,3,FALSE)=Table1[[#This Row],[Nullable in Table and in Oracle View
NULL, NOT NULL]]</f>
        <v>1</v>
      </c>
      <c r="W62" s="18" t="b">
        <f>VLOOKUP(B62,Table!A$2:H$228,6,FALSE)=Table1[[#This Row],[Business Definition (To go into comments and into Meta Data Hub)]]</f>
        <v>1</v>
      </c>
      <c r="X62" s="55" t="str">
        <f>VLOOKUP((UPPER(SUBSTITUTE(A62," ","_"))),'[2]Consumer View'!A$2:I$329,1,FALSE)</f>
        <v>ARRANGEMENT_ID</v>
      </c>
      <c r="Y62" s="18" t="s">
        <v>68</v>
      </c>
      <c r="Z62" s="18" t="s">
        <v>69</v>
      </c>
      <c r="AA62" s="18" t="s">
        <v>397</v>
      </c>
      <c r="AB62" s="18"/>
      <c r="AC62" s="18"/>
      <c r="AD62" s="18"/>
      <c r="AE62" s="46" t="s">
        <v>400</v>
      </c>
      <c r="AF62" s="18"/>
      <c r="AG62" s="18"/>
      <c r="AH62" s="18" t="s">
        <v>71</v>
      </c>
    </row>
    <row r="63" spans="1:34" ht="27" hidden="1" customHeight="1">
      <c r="A63" s="51" t="s">
        <v>401</v>
      </c>
      <c r="B63" s="18" t="s">
        <v>402</v>
      </c>
      <c r="C63" s="18" t="s">
        <v>403</v>
      </c>
      <c r="D63" s="18" t="s">
        <v>157</v>
      </c>
      <c r="E63" s="18" t="s">
        <v>63</v>
      </c>
      <c r="F63" s="18" t="s">
        <v>158</v>
      </c>
      <c r="G63" s="45" t="s">
        <v>63</v>
      </c>
      <c r="H63" s="46" t="s">
        <v>404</v>
      </c>
      <c r="I63" s="18"/>
      <c r="J63" s="18" t="s">
        <v>347</v>
      </c>
      <c r="K63" s="18">
        <v>3</v>
      </c>
      <c r="L63" s="18"/>
      <c r="M63" s="18"/>
      <c r="N63" s="18"/>
      <c r="O63" s="18" t="b">
        <f>VLOOKUP(A63,[1]Model!C$2:J$559,2,FALSE)=B63</f>
        <v>1</v>
      </c>
      <c r="P63" s="18" t="b">
        <f>VLOOKUP(A63,Model!C$2:G$228,5,FALSE)=D63</f>
        <v>1</v>
      </c>
      <c r="Q63" s="18">
        <f>VLOOKUP(A63,[2]Model!C$2:L$228,8,FALSE)</f>
        <v>104</v>
      </c>
      <c r="R63" s="18" t="e">
        <f>VLOOKUP(A63,[2]Model!C$2:G$228,3,FALSE)=[3]!Table14[[#This Row],[Business Definition (To go into comments and into Meta Data Hub)]]</f>
        <v>#REF!</v>
      </c>
      <c r="S63" s="18" t="e">
        <f>IF([3]!Table14[[#This Row],[Nullable in Table and in Oracle View
NULL, NOT NULL]]="No","NOT NULL","NULL")=VLOOKUP(A63,[2]Model!C$2:I$228,6,FALSE)</f>
        <v>#REF!</v>
      </c>
      <c r="T63" s="18" t="e">
        <f>VLOOKUP(B63,[2]Table!A$2:F$415,1,FALSE)=[3]!Table14[[#This Row],[Physical Name of Attribute (Name of column in Table)
Supplied by DA Team]]</f>
        <v>#REF!</v>
      </c>
      <c r="U63" s="18" t="b">
        <f>VLOOKUP(B63,Table!A$2:F$319,2,FALSE)=Table1[[#This Row],[Data type in Oracle
VARCHAR2(n), DATE, NUMBER(m,n), TIMETSTAMP(6)]]</f>
        <v>1</v>
      </c>
      <c r="V63" s="18" t="b">
        <f>VLOOKUP(B63,Table!A$2:F$231,3,FALSE)=Table1[[#This Row],[Nullable in Table and in Oracle View
NULL, NOT NULL]]</f>
        <v>1</v>
      </c>
      <c r="W63" s="18" t="b">
        <f>VLOOKUP(B63,Table!A$2:H$228,6,FALSE)=Table1[[#This Row],[Business Definition (To go into comments and into Meta Data Hub)]]</f>
        <v>0</v>
      </c>
      <c r="X63" s="55" t="str">
        <f>VLOOKUP((UPPER(SUBSTITUTE(A63," ","_"))),'[2]Consumer View'!A$2:I$329,1,FALSE)</f>
        <v>BATCH_DATE</v>
      </c>
      <c r="Y63" s="18" t="s">
        <v>68</v>
      </c>
      <c r="Z63" s="18" t="s">
        <v>405</v>
      </c>
      <c r="AA63" s="18" t="s">
        <v>402</v>
      </c>
      <c r="AB63" s="18"/>
      <c r="AC63" s="18"/>
      <c r="AD63" s="18" t="s">
        <v>406</v>
      </c>
      <c r="AE63" s="46"/>
      <c r="AF63" s="18"/>
      <c r="AG63" s="18"/>
      <c r="AH63" s="18" t="s">
        <v>71</v>
      </c>
    </row>
    <row r="64" spans="1:34" ht="27" hidden="1" customHeight="1">
      <c r="A64" s="51" t="s">
        <v>407</v>
      </c>
      <c r="B64" s="18" t="s">
        <v>408</v>
      </c>
      <c r="C64" s="18" t="s">
        <v>409</v>
      </c>
      <c r="D64" s="18" t="s">
        <v>157</v>
      </c>
      <c r="E64" s="18" t="s">
        <v>63</v>
      </c>
      <c r="F64" s="18" t="s">
        <v>158</v>
      </c>
      <c r="G64" s="45" t="s">
        <v>63</v>
      </c>
      <c r="H64" s="46" t="s">
        <v>410</v>
      </c>
      <c r="I64" s="18"/>
      <c r="J64" s="18" t="s">
        <v>347</v>
      </c>
      <c r="K64" s="18">
        <v>3</v>
      </c>
      <c r="L64" s="18"/>
      <c r="M64" s="18"/>
      <c r="N64" s="18"/>
      <c r="O64" s="18" t="b">
        <f>VLOOKUP(A64,[1]Model!C$2:J$559,2,FALSE)=B64</f>
        <v>1</v>
      </c>
      <c r="P64" s="18" t="b">
        <f>VLOOKUP(A64,Model!C$2:G$228,5,FALSE)=D64</f>
        <v>1</v>
      </c>
      <c r="Q64" s="18">
        <f>VLOOKUP(A64,[2]Model!C$2:L$228,8,FALSE)</f>
        <v>21</v>
      </c>
      <c r="R64" s="18" t="e">
        <f>VLOOKUP(A64,[2]Model!C$2:G$228,3,FALSE)=[3]!Table14[[#This Row],[Business Definition (To go into comments and into Meta Data Hub)]]</f>
        <v>#REF!</v>
      </c>
      <c r="S64" s="18" t="e">
        <f>IF([3]!Table14[[#This Row],[Nullable in Table and in Oracle View
NULL, NOT NULL]]="No","NOT NULL","NULL")=VLOOKUP(A64,[2]Model!C$2:I$228,6,FALSE)</f>
        <v>#REF!</v>
      </c>
      <c r="T64" s="18" t="e">
        <f>VLOOKUP(B64,[2]Table!A$2:F$415,1,FALSE)=[3]!Table14[[#This Row],[Physical Name of Attribute (Name of column in Table)
Supplied by DA Team]]</f>
        <v>#REF!</v>
      </c>
      <c r="U64" s="18" t="b">
        <f>VLOOKUP(B64,Table!A$2:F$319,2,FALSE)=Table1[[#This Row],[Data type in Oracle
VARCHAR2(n), DATE, NUMBER(m,n), TIMETSTAMP(6)]]</f>
        <v>1</v>
      </c>
      <c r="V64" s="18" t="b">
        <f>VLOOKUP(B64,Table!A$2:F$231,3,FALSE)=Table1[[#This Row],[Nullable in Table and in Oracle View
NULL, NOT NULL]]</f>
        <v>1</v>
      </c>
      <c r="W64" s="18" t="b">
        <f>VLOOKUP(B64,Table!A$2:H$228,6,FALSE)=Table1[[#This Row],[Business Definition (To go into comments and into Meta Data Hub)]]</f>
        <v>1</v>
      </c>
      <c r="X64" s="18" t="str">
        <f>VLOOKUP((UPPER(SUBSTITUTE(A64," ","_"))),'[2]Consumer View'!A$2:I$329,1,FALSE)</f>
        <v>BOOKING_DATE</v>
      </c>
      <c r="Y64" s="18" t="s">
        <v>68</v>
      </c>
      <c r="Z64" s="18" t="s">
        <v>69</v>
      </c>
      <c r="AA64" s="18" t="s">
        <v>408</v>
      </c>
      <c r="AB64" s="18"/>
      <c r="AC64" s="18"/>
      <c r="AD64" s="18"/>
      <c r="AE64" s="46"/>
      <c r="AF64" s="18"/>
      <c r="AG64" s="18"/>
      <c r="AH64" s="18" t="s">
        <v>71</v>
      </c>
    </row>
    <row r="65" spans="1:34" ht="27" hidden="1" customHeight="1">
      <c r="A65" s="51" t="s">
        <v>411</v>
      </c>
      <c r="B65" s="18" t="s">
        <v>412</v>
      </c>
      <c r="C65" s="18" t="s">
        <v>413</v>
      </c>
      <c r="D65" s="18" t="s">
        <v>139</v>
      </c>
      <c r="E65" s="18" t="s">
        <v>63</v>
      </c>
      <c r="F65" s="18" t="s">
        <v>140</v>
      </c>
      <c r="G65" s="45" t="s">
        <v>63</v>
      </c>
      <c r="H65" s="46" t="s">
        <v>414</v>
      </c>
      <c r="I65" s="18"/>
      <c r="J65" s="18" t="s">
        <v>347</v>
      </c>
      <c r="K65" s="18">
        <v>3</v>
      </c>
      <c r="L65" s="18"/>
      <c r="M65" s="18"/>
      <c r="N65" s="18"/>
      <c r="O65" s="18" t="b">
        <f>VLOOKUP(A65,[1]Model!C$2:J$559,2,FALSE)=B65</f>
        <v>1</v>
      </c>
      <c r="P65" s="18" t="b">
        <f>VLOOKUP(A65,Model!C$2:G$228,5,FALSE)=D65</f>
        <v>1</v>
      </c>
      <c r="Q65" s="18">
        <f>VLOOKUP(A65,[2]Model!C$2:L$228,8,FALSE)</f>
        <v>92</v>
      </c>
      <c r="R65" s="18" t="e">
        <f>VLOOKUP(A65,[2]Model!C$2:G$228,3,FALSE)=[3]!Table14[[#This Row],[Business Definition (To go into comments and into Meta Data Hub)]]</f>
        <v>#REF!</v>
      </c>
      <c r="S65" s="18" t="e">
        <f>IF([3]!Table14[[#This Row],[Nullable in Table and in Oracle View
NULL, NOT NULL]]="No","NOT NULL","NULL")=VLOOKUP(A65,[2]Model!C$2:I$228,6,FALSE)</f>
        <v>#REF!</v>
      </c>
      <c r="T65" s="18" t="e">
        <f>VLOOKUP(B65,[2]Table!A$2:F$415,1,FALSE)=[3]!Table14[[#This Row],[Physical Name of Attribute (Name of column in Table)
Supplied by DA Team]]</f>
        <v>#REF!</v>
      </c>
      <c r="U65" s="18" t="b">
        <f>VLOOKUP(B65,Table!A$2:F$319,2,FALSE)=Table1[[#This Row],[Data type in Oracle
VARCHAR2(n), DATE, NUMBER(m,n), TIMETSTAMP(6)]]</f>
        <v>0</v>
      </c>
      <c r="V65" s="18" t="b">
        <f>VLOOKUP(B65,Table!A$2:F$231,3,FALSE)=Table1[[#This Row],[Nullable in Table and in Oracle View
NULL, NOT NULL]]</f>
        <v>1</v>
      </c>
      <c r="W65" s="18" t="b">
        <f>VLOOKUP(B65,Table!A$2:H$228,6,FALSE)=Table1[[#This Row],[Business Definition (To go into comments and into Meta Data Hub)]]</f>
        <v>1</v>
      </c>
      <c r="X65" s="55" t="str">
        <f>VLOOKUP((UPPER(SUBSTITUTE(A65," ","_"))),'[2]Consumer View'!A$2:I$329,1,FALSE)</f>
        <v>BRANCH_CODE</v>
      </c>
      <c r="Y65" s="18" t="s">
        <v>68</v>
      </c>
      <c r="Z65" s="18" t="s">
        <v>69</v>
      </c>
      <c r="AA65" s="18" t="s">
        <v>415</v>
      </c>
      <c r="AB65" s="18"/>
      <c r="AC65" s="18"/>
      <c r="AD65" s="18"/>
      <c r="AE65" s="46"/>
      <c r="AF65" s="18"/>
      <c r="AG65" s="18"/>
      <c r="AH65" s="18" t="s">
        <v>71</v>
      </c>
    </row>
    <row r="66" spans="1:34" ht="27" hidden="1" customHeight="1">
      <c r="A66" s="51" t="s">
        <v>416</v>
      </c>
      <c r="B66" s="18" t="s">
        <v>417</v>
      </c>
      <c r="C66" s="18" t="s">
        <v>418</v>
      </c>
      <c r="D66" s="18" t="s">
        <v>101</v>
      </c>
      <c r="E66" s="18" t="s">
        <v>63</v>
      </c>
      <c r="F66" s="18" t="s">
        <v>133</v>
      </c>
      <c r="G66" s="45" t="s">
        <v>63</v>
      </c>
      <c r="H66" s="46" t="s">
        <v>419</v>
      </c>
      <c r="I66" s="18"/>
      <c r="J66" s="18" t="s">
        <v>347</v>
      </c>
      <c r="K66" s="18">
        <v>3</v>
      </c>
      <c r="L66" s="18"/>
      <c r="M66" s="18"/>
      <c r="N66" s="18"/>
      <c r="O66" s="18" t="b">
        <f>VLOOKUP(A66,[1]Model!C$2:J$559,2,FALSE)=B66</f>
        <v>1</v>
      </c>
      <c r="P66" s="18" t="b">
        <f>VLOOKUP(A66,Model!C$2:G$228,5,FALSE)=D66</f>
        <v>1</v>
      </c>
      <c r="Q66" s="18">
        <f>VLOOKUP(A66,[2]Model!C$2:L$228,8,FALSE)</f>
        <v>105</v>
      </c>
      <c r="R66" s="18" t="e">
        <f>VLOOKUP(A66,[2]Model!C$2:G$228,3,FALSE)=[3]!Table14[[#This Row],[Business Definition (To go into comments and into Meta Data Hub)]]</f>
        <v>#REF!</v>
      </c>
      <c r="S66" s="18" t="e">
        <f>IF([3]!Table14[[#This Row],[Nullable in Table and in Oracle View
NULL, NOT NULL]]="No","NOT NULL","NULL")=VLOOKUP(A66,[2]Model!C$2:I$228,6,FALSE)</f>
        <v>#REF!</v>
      </c>
      <c r="T66" s="18" t="e">
        <f>VLOOKUP(B66,[2]Table!A$2:F$415,1,FALSE)=[3]!Table14[[#This Row],[Physical Name of Attribute (Name of column in Table)
Supplied by DA Team]]</f>
        <v>#REF!</v>
      </c>
      <c r="U66" s="18" t="b">
        <f>VLOOKUP(B66,Table!A$2:F$319,2,FALSE)=Table1[[#This Row],[Data type in Oracle
VARCHAR2(n), DATE, NUMBER(m,n), TIMETSTAMP(6)]]</f>
        <v>1</v>
      </c>
      <c r="V66" s="18" t="b">
        <f>VLOOKUP(B66,Table!A$2:F$231,3,FALSE)=Table1[[#This Row],[Nullable in Table and in Oracle View
NULL, NOT NULL]]</f>
        <v>1</v>
      </c>
      <c r="W66" s="18" t="b">
        <f>VLOOKUP(B66,Table!A$2:H$228,6,FALSE)=Table1[[#This Row],[Business Definition (To go into comments and into Meta Data Hub)]]</f>
        <v>1</v>
      </c>
      <c r="X66" s="55" t="str">
        <f>VLOOKUP((UPPER(SUBSTITUTE(A66," ","_"))),'[2]Consumer View'!A$2:I$329,1,FALSE)</f>
        <v>BROKERAGE_ARRANGEMENT_ID</v>
      </c>
      <c r="Y66" s="18" t="s">
        <v>68</v>
      </c>
      <c r="Z66" s="46" t="s">
        <v>420</v>
      </c>
      <c r="AA66" s="46" t="s">
        <v>421</v>
      </c>
      <c r="AB66" s="18"/>
      <c r="AC66" s="18"/>
      <c r="AD66" s="18" t="s">
        <v>422</v>
      </c>
      <c r="AE66" s="46" t="s">
        <v>423</v>
      </c>
      <c r="AF66" s="18"/>
      <c r="AG66" s="18"/>
      <c r="AH66" s="18" t="s">
        <v>71</v>
      </c>
    </row>
    <row r="67" spans="1:34" ht="27" hidden="1" customHeight="1">
      <c r="A67" s="51" t="s">
        <v>424</v>
      </c>
      <c r="B67" s="18" t="s">
        <v>425</v>
      </c>
      <c r="C67" s="18" t="s">
        <v>426</v>
      </c>
      <c r="D67" s="55" t="s">
        <v>427</v>
      </c>
      <c r="E67" s="18" t="s">
        <v>63</v>
      </c>
      <c r="F67" s="18" t="s">
        <v>428</v>
      </c>
      <c r="G67" s="45" t="s">
        <v>63</v>
      </c>
      <c r="H67" s="46" t="s">
        <v>429</v>
      </c>
      <c r="I67" s="18"/>
      <c r="J67" s="18" t="s">
        <v>347</v>
      </c>
      <c r="K67" s="18">
        <v>3</v>
      </c>
      <c r="L67" s="18"/>
      <c r="M67" s="18"/>
      <c r="N67" s="18"/>
      <c r="O67" s="18" t="b">
        <f>VLOOKUP(A67,[1]Model!C$2:J$559,2,FALSE)=B67</f>
        <v>1</v>
      </c>
      <c r="P67" s="18" t="b">
        <f>VLOOKUP(A67,Model!C$2:G$228,5,FALSE)=D67</f>
        <v>1</v>
      </c>
      <c r="Q67" s="18">
        <f>VLOOKUP(A67,[2]Model!C$2:L$228,8,FALSE)</f>
        <v>52</v>
      </c>
      <c r="R67" s="18" t="e">
        <f>VLOOKUP(A67,[2]Model!C$2:G$228,3,FALSE)=[3]!Table14[[#This Row],[Business Definition (To go into comments and into Meta Data Hub)]]</f>
        <v>#REF!</v>
      </c>
      <c r="S67" s="18" t="e">
        <f>IF([3]!Table14[[#This Row],[Nullable in Table and in Oracle View
NULL, NOT NULL]]="No","NOT NULL","NULL")=VLOOKUP(A67,[2]Model!C$2:I$228,6,FALSE)</f>
        <v>#REF!</v>
      </c>
      <c r="T67" s="18" t="e">
        <f>VLOOKUP(B67,[2]Table!A$2:F$415,1,FALSE)=[3]!Table14[[#This Row],[Physical Name of Attribute (Name of column in Table)
Supplied by DA Team]]</f>
        <v>#REF!</v>
      </c>
      <c r="U67" s="18" t="b">
        <f>VLOOKUP(B67,Table!A$2:F$319,2,FALSE)=Table1[[#This Row],[Data type in Oracle
VARCHAR2(n), DATE, NUMBER(m,n), TIMETSTAMP(6)]]</f>
        <v>0</v>
      </c>
      <c r="V67" s="18" t="b">
        <f>VLOOKUP(B67,Table!A$2:F$231,3,FALSE)=Table1[[#This Row],[Nullable in Table and in Oracle View
NULL, NOT NULL]]</f>
        <v>1</v>
      </c>
      <c r="W67" s="18" t="b">
        <f>VLOOKUP(B67,Table!A$2:H$228,6,FALSE)=Table1[[#This Row],[Business Definition (To go into comments and into Meta Data Hub)]]</f>
        <v>1</v>
      </c>
      <c r="X67" s="18" t="str">
        <f>VLOOKUP((UPPER(SUBSTITUTE(A67," ","_"))),'[2]Consumer View'!A$2:I$329,1,FALSE)</f>
        <v>BUY_SELL_INDICATOR</v>
      </c>
      <c r="Y67" s="18" t="s">
        <v>68</v>
      </c>
      <c r="Z67" s="18" t="s">
        <v>69</v>
      </c>
      <c r="AA67" s="18" t="s">
        <v>425</v>
      </c>
      <c r="AB67" s="18"/>
      <c r="AC67" s="18"/>
      <c r="AD67" s="18"/>
      <c r="AE67" s="46" t="s">
        <v>105</v>
      </c>
      <c r="AF67" s="18"/>
      <c r="AG67" s="18"/>
      <c r="AH67" s="18" t="s">
        <v>71</v>
      </c>
    </row>
    <row r="68" spans="1:34" ht="27" hidden="1" customHeight="1">
      <c r="A68" s="51" t="s">
        <v>430</v>
      </c>
      <c r="B68" s="18" t="s">
        <v>431</v>
      </c>
      <c r="C68" s="18" t="s">
        <v>432</v>
      </c>
      <c r="D68" s="55" t="s">
        <v>433</v>
      </c>
      <c r="E68" s="18" t="s">
        <v>63</v>
      </c>
      <c r="F68" s="18" t="s">
        <v>434</v>
      </c>
      <c r="G68" s="45" t="s">
        <v>63</v>
      </c>
      <c r="H68" s="46" t="s">
        <v>435</v>
      </c>
      <c r="I68" s="18"/>
      <c r="J68" s="18" t="s">
        <v>381</v>
      </c>
      <c r="K68" s="18">
        <v>3</v>
      </c>
      <c r="L68" s="18"/>
      <c r="M68" s="18"/>
      <c r="N68" s="18"/>
      <c r="O68" s="18" t="b">
        <f>VLOOKUP(A68,[1]Model!C$2:J$559,2,FALSE)=B68</f>
        <v>1</v>
      </c>
      <c r="P68" s="18" t="b">
        <f>VLOOKUP(A68,Model!C$2:G$228,5,FALSE)=D68</f>
        <v>1</v>
      </c>
      <c r="Q68" s="18">
        <f>VLOOKUP(A68,[2]Model!C$2:L$228,8,FALSE)</f>
        <v>85</v>
      </c>
      <c r="R68" s="18" t="e">
        <f>VLOOKUP(A68,[2]Model!C$2:G$228,3,FALSE)=[3]!Table14[[#This Row],[Business Definition (To go into comments and into Meta Data Hub)]]</f>
        <v>#REF!</v>
      </c>
      <c r="S68" s="18" t="e">
        <f>IF([3]!Table14[[#This Row],[Nullable in Table and in Oracle View
NULL, NOT NULL]]="No","NOT NULL","NULL")=VLOOKUP(A68,[2]Model!C$2:I$228,6,FALSE)</f>
        <v>#REF!</v>
      </c>
      <c r="T68" s="18" t="e">
        <f>VLOOKUP(B68,[2]Table!A$2:F$415,1,FALSE)=[3]!Table14[[#This Row],[Physical Name of Attribute (Name of column in Table)
Supplied by DA Team]]</f>
        <v>#REF!</v>
      </c>
      <c r="U68" s="18" t="b">
        <f>VLOOKUP(B68,Table!A$2:F$319,2,FALSE)=Table1[[#This Row],[Data type in Oracle
VARCHAR2(n), DATE, NUMBER(m,n), TIMETSTAMP(6)]]</f>
        <v>0</v>
      </c>
      <c r="V68" s="18" t="b">
        <f>VLOOKUP(B68,Table!A$2:F$231,3,FALSE)=Table1[[#This Row],[Nullable in Table and in Oracle View
NULL, NOT NULL]]</f>
        <v>1</v>
      </c>
      <c r="W68" s="18" t="b">
        <f>VLOOKUP(B68,Table!A$2:H$228,6,FALSE)=Table1[[#This Row],[Business Definition (To go into comments and into Meta Data Hub)]]</f>
        <v>0</v>
      </c>
      <c r="X68" s="55" t="str">
        <f>VLOOKUP((UPPER(SUBSTITUTE(A68," ","_"))),'[2]Consumer View'!A$2:I$329,1,FALSE)</f>
        <v>CASH_ACTIVITY_CATEGORY</v>
      </c>
      <c r="Y68" s="18" t="s">
        <v>68</v>
      </c>
      <c r="Z68" s="18" t="s">
        <v>436</v>
      </c>
      <c r="AA68" s="18" t="s">
        <v>437</v>
      </c>
      <c r="AB68" s="18"/>
      <c r="AC68" s="18"/>
      <c r="AD68" s="18" t="s">
        <v>438</v>
      </c>
      <c r="AE68" s="46"/>
      <c r="AF68" s="18"/>
      <c r="AG68" s="18"/>
      <c r="AH68" s="18" t="s">
        <v>71</v>
      </c>
    </row>
    <row r="69" spans="1:34" ht="27" hidden="1" customHeight="1">
      <c r="A69" s="51" t="s">
        <v>439</v>
      </c>
      <c r="B69" s="18" t="s">
        <v>440</v>
      </c>
      <c r="C69" s="18" t="s">
        <v>441</v>
      </c>
      <c r="D69" s="18" t="s">
        <v>433</v>
      </c>
      <c r="E69" s="18" t="s">
        <v>63</v>
      </c>
      <c r="F69" s="18" t="s">
        <v>434</v>
      </c>
      <c r="G69" s="45" t="s">
        <v>63</v>
      </c>
      <c r="H69" s="12" t="s">
        <v>442</v>
      </c>
      <c r="I69" s="18"/>
      <c r="J69" s="18" t="s">
        <v>67</v>
      </c>
      <c r="K69" s="18">
        <v>3</v>
      </c>
      <c r="L69" s="18"/>
      <c r="M69" s="18"/>
      <c r="N69" s="18"/>
      <c r="O69" s="18" t="b">
        <f>VLOOKUP(A69,[1]Model!C$2:J$559,2,FALSE)=B69</f>
        <v>1</v>
      </c>
      <c r="P69" s="18" t="b">
        <f>VLOOKUP(A69,Model!C$2:G$228,5,FALSE)=D69</f>
        <v>1</v>
      </c>
      <c r="Q69" s="18">
        <f>VLOOKUP(A69,[2]Model!C$2:L$228,8,FALSE)</f>
        <v>174</v>
      </c>
      <c r="R69" s="18" t="e">
        <f>VLOOKUP(A69,[2]Model!C$2:G$228,3,FALSE)=[3]!Table14[[#This Row],[Business Definition (To go into comments and into Meta Data Hub)]]</f>
        <v>#REF!</v>
      </c>
      <c r="S69" s="18" t="e">
        <f>IF([3]!Table14[[#This Row],[Nullable in Table and in Oracle View
NULL, NOT NULL]]="No","NOT NULL","NULL")=VLOOKUP(A69,[2]Model!C$2:I$228,6,FALSE)</f>
        <v>#REF!</v>
      </c>
      <c r="T69" s="18" t="e">
        <f>VLOOKUP(B69,[2]Table!A$2:F$415,1,FALSE)=[3]!Table14[[#This Row],[Physical Name of Attribute (Name of column in Table)
Supplied by DA Team]]</f>
        <v>#REF!</v>
      </c>
      <c r="U69" s="18" t="b">
        <f>VLOOKUP(B69,Table!A$2:F$319,2,FALSE)=Table1[[#This Row],[Data type in Oracle
VARCHAR2(n), DATE, NUMBER(m,n), TIMETSTAMP(6)]]</f>
        <v>0</v>
      </c>
      <c r="V69" s="18" t="b">
        <f>VLOOKUP(B69,Table!A$2:F$231,3,FALSE)=Table1[[#This Row],[Nullable in Table and in Oracle View
NULL, NOT NULL]]</f>
        <v>1</v>
      </c>
      <c r="W69" s="18" t="b">
        <f>VLOOKUP(B69,Table!A$2:H$228,6,FALSE)=Table1[[#This Row],[Business Definition (To go into comments and into Meta Data Hub)]]</f>
        <v>0</v>
      </c>
      <c r="X69" s="55" t="str">
        <f>VLOOKUP((UPPER(SUBSTITUTE(A69," ","_"))),'[2]Consumer View'!A$2:I$329,1,FALSE)</f>
        <v>CASH_SIMPLIFIED_DISPLAY_ACTIVITY_CATEGORY</v>
      </c>
      <c r="Y69" s="18" t="s">
        <v>68</v>
      </c>
      <c r="Z69" s="18" t="s">
        <v>436</v>
      </c>
      <c r="AA69" s="18" t="s">
        <v>443</v>
      </c>
      <c r="AB69" s="18"/>
      <c r="AC69" s="18"/>
      <c r="AD69" s="18" t="s">
        <v>438</v>
      </c>
      <c r="AE69" s="46"/>
      <c r="AF69" s="18"/>
      <c r="AG69" s="18"/>
      <c r="AH69" s="18" t="s">
        <v>71</v>
      </c>
    </row>
    <row r="70" spans="1:34" ht="27" hidden="1" customHeight="1">
      <c r="A70" s="51" t="s">
        <v>444</v>
      </c>
      <c r="B70" s="18" t="s">
        <v>445</v>
      </c>
      <c r="C70" s="1" t="s">
        <v>446</v>
      </c>
      <c r="D70" s="60" t="s">
        <v>101</v>
      </c>
      <c r="E70" s="18" t="s">
        <v>63</v>
      </c>
      <c r="F70" s="60" t="s">
        <v>133</v>
      </c>
      <c r="G70" s="45" t="s">
        <v>63</v>
      </c>
      <c r="H70" s="46" t="s">
        <v>447</v>
      </c>
      <c r="I70" s="18"/>
      <c r="J70" s="18" t="s">
        <v>347</v>
      </c>
      <c r="K70" s="18">
        <v>3</v>
      </c>
      <c r="L70" s="18"/>
      <c r="M70" s="18"/>
      <c r="N70" s="18"/>
      <c r="O70" s="18" t="b">
        <f>VLOOKUP(A70,[1]Model!C$2:J$559,2,FALSE)=B70</f>
        <v>1</v>
      </c>
      <c r="P70" s="18" t="b">
        <f>VLOOKUP(A70,Model!C$2:G$228,5,FALSE)=D70</f>
        <v>1</v>
      </c>
      <c r="Q70" s="18">
        <f>VLOOKUP(A70,[2]Model!C$2:L$228,8,FALSE)</f>
        <v>84</v>
      </c>
      <c r="R70" s="18" t="e">
        <f>VLOOKUP(A70,[2]Model!C$2:G$228,3,FALSE)=[3]!Table14[[#This Row],[Business Definition (To go into comments and into Meta Data Hub)]]</f>
        <v>#REF!</v>
      </c>
      <c r="S70" s="18" t="e">
        <f>IF([3]!Table14[[#This Row],[Nullable in Table and in Oracle View
NULL, NOT NULL]]="No","NOT NULL","NULL")=VLOOKUP(A70,[2]Model!C$2:I$228,6,FALSE)</f>
        <v>#REF!</v>
      </c>
      <c r="T70" s="18" t="e">
        <f>VLOOKUP(B70,[2]Table!A$2:F$415,1,FALSE)=[3]!Table14[[#This Row],[Physical Name of Attribute (Name of column in Table)
Supplied by DA Team]]</f>
        <v>#REF!</v>
      </c>
      <c r="U70" s="18" t="b">
        <f>VLOOKUP(B70,Table!A$2:F$319,2,FALSE)=Table1[[#This Row],[Data type in Oracle
VARCHAR2(n), DATE, NUMBER(m,n), TIMETSTAMP(6)]]</f>
        <v>1</v>
      </c>
      <c r="V70" s="18" t="b">
        <f>VLOOKUP(B70,Table!A$2:F$231,3,FALSE)=Table1[[#This Row],[Nullable in Table and in Oracle View
NULL, NOT NULL]]</f>
        <v>1</v>
      </c>
      <c r="W70" s="18" t="b">
        <f>VLOOKUP(B70,Table!A$2:H$228,6,FALSE)=Table1[[#This Row],[Business Definition (To go into comments and into Meta Data Hub)]]</f>
        <v>0</v>
      </c>
      <c r="X70" s="55" t="str">
        <f>VLOOKUP((UPPER(SUBSTITUTE(A70," ","_"))),'[2]Consumer View'!A$2:I$329,1,FALSE)</f>
        <v>CASH_ACTIVITY_CLASSIFICATION_ID</v>
      </c>
      <c r="Y70" s="18" t="s">
        <v>68</v>
      </c>
      <c r="Z70" s="18" t="s">
        <v>448</v>
      </c>
      <c r="AA70" s="18" t="s">
        <v>449</v>
      </c>
      <c r="AB70" s="18"/>
      <c r="AC70" s="18"/>
      <c r="AD70" s="18" t="s">
        <v>450</v>
      </c>
      <c r="AE70" s="46"/>
      <c r="AF70" s="18"/>
      <c r="AG70" s="18"/>
      <c r="AH70" s="18" t="s">
        <v>71</v>
      </c>
    </row>
    <row r="71" spans="1:34" ht="27" hidden="1" customHeight="1">
      <c r="A71" s="51" t="s">
        <v>451</v>
      </c>
      <c r="B71" s="18" t="s">
        <v>452</v>
      </c>
      <c r="C71" s="18" t="s">
        <v>453</v>
      </c>
      <c r="D71" s="18" t="s">
        <v>90</v>
      </c>
      <c r="E71" s="18" t="s">
        <v>63</v>
      </c>
      <c r="F71" s="18" t="s">
        <v>91</v>
      </c>
      <c r="G71" s="45" t="s">
        <v>63</v>
      </c>
      <c r="H71" s="46" t="s">
        <v>454</v>
      </c>
      <c r="I71" s="18"/>
      <c r="J71" s="18" t="s">
        <v>347</v>
      </c>
      <c r="K71" s="18">
        <v>3</v>
      </c>
      <c r="L71" s="18"/>
      <c r="M71" s="18"/>
      <c r="N71" s="18"/>
      <c r="O71" s="18" t="b">
        <f>VLOOKUP(A71,[1]Model!C$2:J$559,2,FALSE)=B71</f>
        <v>1</v>
      </c>
      <c r="P71" s="18" t="b">
        <f>VLOOKUP(A71,Model!C$2:G$228,5,FALSE)=D71</f>
        <v>1</v>
      </c>
      <c r="Q71" s="18">
        <f>VLOOKUP(A71,[2]Model!C$2:L$228,8,FALSE)</f>
        <v>86</v>
      </c>
      <c r="R71" s="18" t="e">
        <f>VLOOKUP(A71,[2]Model!C$2:G$228,3,FALSE)=[3]!Table14[[#This Row],[Business Definition (To go into comments and into Meta Data Hub)]]</f>
        <v>#REF!</v>
      </c>
      <c r="S71" s="18" t="e">
        <f>IF([3]!Table14[[#This Row],[Nullable in Table and in Oracle View
NULL, NOT NULL]]="No","NOT NULL","NULL")=VLOOKUP(A71,[2]Model!C$2:I$228,6,FALSE)</f>
        <v>#REF!</v>
      </c>
      <c r="T71" s="18" t="e">
        <f>VLOOKUP(B71,[2]Table!A$2:F$415,1,FALSE)=[3]!Table14[[#This Row],[Physical Name of Attribute (Name of column in Table)
Supplied by DA Team]]</f>
        <v>#REF!</v>
      </c>
      <c r="U71" s="18" t="b">
        <f>VLOOKUP(B71,Table!A$2:F$319,2,FALSE)=Table1[[#This Row],[Data type in Oracle
VARCHAR2(n), DATE, NUMBER(m,n), TIMETSTAMP(6)]]</f>
        <v>0</v>
      </c>
      <c r="V71" s="18" t="b">
        <f>VLOOKUP(B71,Table!A$2:F$231,3,FALSE)=Table1[[#This Row],[Nullable in Table and in Oracle View
NULL, NOT NULL]]</f>
        <v>1</v>
      </c>
      <c r="W71" s="18" t="b">
        <f>VLOOKUP(B71,Table!A$2:H$228,6,FALSE)=Table1[[#This Row],[Business Definition (To go into comments and into Meta Data Hub)]]</f>
        <v>0</v>
      </c>
      <c r="X71" s="55" t="str">
        <f>VLOOKUP((UPPER(SUBSTITUTE(A71," ","_"))),'[2]Consumer View'!A$2:I$329,1,FALSE)</f>
        <v>CASH_ACTIVITY_TYPE</v>
      </c>
      <c r="Y71" s="18" t="s">
        <v>68</v>
      </c>
      <c r="Z71" s="18" t="s">
        <v>436</v>
      </c>
      <c r="AA71" s="18" t="s">
        <v>455</v>
      </c>
      <c r="AB71" s="18"/>
      <c r="AC71" s="18"/>
      <c r="AD71" s="18" t="s">
        <v>438</v>
      </c>
      <c r="AE71" s="46"/>
      <c r="AF71" s="18"/>
      <c r="AG71" s="18"/>
      <c r="AH71" s="18" t="s">
        <v>71</v>
      </c>
    </row>
    <row r="72" spans="1:34" ht="27" hidden="1" customHeight="1">
      <c r="A72" s="51" t="s">
        <v>456</v>
      </c>
      <c r="B72" s="18" t="s">
        <v>457</v>
      </c>
      <c r="C72" s="18" t="s">
        <v>458</v>
      </c>
      <c r="D72" s="18" t="s">
        <v>90</v>
      </c>
      <c r="E72" s="18" t="s">
        <v>63</v>
      </c>
      <c r="F72" s="18" t="s">
        <v>91</v>
      </c>
      <c r="G72" s="45" t="s">
        <v>63</v>
      </c>
      <c r="H72" s="12" t="s">
        <v>459</v>
      </c>
      <c r="I72" s="18"/>
      <c r="J72" s="18" t="s">
        <v>67</v>
      </c>
      <c r="K72" s="18">
        <v>3</v>
      </c>
      <c r="L72" s="18"/>
      <c r="M72" s="18"/>
      <c r="N72" s="18"/>
      <c r="O72" s="18" t="b">
        <f>VLOOKUP(A72,[1]Model!C$2:J$559,2,FALSE)=B72</f>
        <v>1</v>
      </c>
      <c r="P72" s="18" t="b">
        <f>VLOOKUP(A72,Model!C$2:G$228,5,FALSE)=D72</f>
        <v>1</v>
      </c>
      <c r="Q72" s="18">
        <f>VLOOKUP(A72,[2]Model!C$2:L$228,8,FALSE)</f>
        <v>175</v>
      </c>
      <c r="R72" s="18" t="e">
        <f>VLOOKUP(A72,[2]Model!C$2:G$228,3,FALSE)=[3]!Table14[[#This Row],[Business Definition (To go into comments and into Meta Data Hub)]]</f>
        <v>#REF!</v>
      </c>
      <c r="S72" s="18" t="e">
        <f>IF([3]!Table14[[#This Row],[Nullable in Table and in Oracle View
NULL, NOT NULL]]="No","NOT NULL","NULL")=VLOOKUP(A72,[2]Model!C$2:I$228,6,FALSE)</f>
        <v>#REF!</v>
      </c>
      <c r="T72" s="18" t="e">
        <f>VLOOKUP(B72,[2]Table!A$2:F$415,1,FALSE)=[3]!Table14[[#This Row],[Physical Name of Attribute (Name of column in Table)
Supplied by DA Team]]</f>
        <v>#REF!</v>
      </c>
      <c r="U72" s="18" t="b">
        <f>VLOOKUP(B72,Table!A$2:F$319,2,FALSE)=Table1[[#This Row],[Data type in Oracle
VARCHAR2(n), DATE, NUMBER(m,n), TIMETSTAMP(6)]]</f>
        <v>0</v>
      </c>
      <c r="V72" s="18" t="b">
        <f>VLOOKUP(B72,Table!A$2:F$231,3,FALSE)=Table1[[#This Row],[Nullable in Table and in Oracle View
NULL, NOT NULL]]</f>
        <v>1</v>
      </c>
      <c r="W72" s="18" t="b">
        <f>VLOOKUP(B72,Table!A$2:H$228,6,FALSE)=Table1[[#This Row],[Business Definition (To go into comments and into Meta Data Hub)]]</f>
        <v>0</v>
      </c>
      <c r="X72" s="55" t="str">
        <f>VLOOKUP((UPPER(SUBSTITUTE(A72," ","_"))),'[2]Consumer View'!A$2:I$329,1,FALSE)</f>
        <v>CASH_SIMPLIFIED_DISPLAY_ACTIVITY_TYPE</v>
      </c>
      <c r="Y72" s="18" t="s">
        <v>68</v>
      </c>
      <c r="Z72" s="18" t="s">
        <v>436</v>
      </c>
      <c r="AA72" s="18" t="s">
        <v>460</v>
      </c>
      <c r="AB72" s="18"/>
      <c r="AC72" s="18"/>
      <c r="AD72" s="18" t="s">
        <v>438</v>
      </c>
      <c r="AE72" s="46"/>
      <c r="AF72" s="18"/>
      <c r="AG72" s="18"/>
      <c r="AH72" s="18" t="s">
        <v>71</v>
      </c>
    </row>
    <row r="73" spans="1:34" ht="27" hidden="1" customHeight="1">
      <c r="A73" s="51" t="s">
        <v>461</v>
      </c>
      <c r="B73" s="18" t="s">
        <v>462</v>
      </c>
      <c r="C73" s="18" t="s">
        <v>463</v>
      </c>
      <c r="D73" s="18" t="s">
        <v>464</v>
      </c>
      <c r="E73" s="18" t="s">
        <v>63</v>
      </c>
      <c r="F73" s="18" t="s">
        <v>465</v>
      </c>
      <c r="G73" s="45" t="s">
        <v>63</v>
      </c>
      <c r="H73" s="46" t="s">
        <v>466</v>
      </c>
      <c r="I73" s="18"/>
      <c r="J73" s="18" t="s">
        <v>347</v>
      </c>
      <c r="K73" s="18">
        <v>3</v>
      </c>
      <c r="L73" s="18"/>
      <c r="M73" s="18"/>
      <c r="N73" s="18"/>
      <c r="O73" s="18" t="b">
        <f>VLOOKUP(A73,[1]Model!C$2:J$559,2,FALSE)=B73</f>
        <v>1</v>
      </c>
      <c r="P73" s="18" t="b">
        <f>VLOOKUP(A73,Model!C$2:G$228,5,FALSE)=D73</f>
        <v>1</v>
      </c>
      <c r="Q73" s="18">
        <f>VLOOKUP(A73,[2]Model!C$2:L$228,8,FALSE)</f>
        <v>50</v>
      </c>
      <c r="R73" s="18" t="e">
        <f>VLOOKUP(A73,[2]Model!C$2:G$228,3,FALSE)=[3]!Table14[[#This Row],[Business Definition (To go into comments and into Meta Data Hub)]]</f>
        <v>#REF!</v>
      </c>
      <c r="S73" s="18" t="e">
        <f>IF([3]!Table14[[#This Row],[Nullable in Table and in Oracle View
NULL, NOT NULL]]="No","NOT NULL","NULL")=VLOOKUP(A73,[2]Model!C$2:I$228,6,FALSE)</f>
        <v>#REF!</v>
      </c>
      <c r="T73" s="18" t="e">
        <f>VLOOKUP(B73,[2]Table!A$2:F$415,1,FALSE)=[3]!Table14[[#This Row],[Physical Name of Attribute (Name of column in Table)
Supplied by DA Team]]</f>
        <v>#REF!</v>
      </c>
      <c r="U73" s="18" t="b">
        <f>VLOOKUP(B73,Table!A$2:F$319,2,FALSE)=Table1[[#This Row],[Data type in Oracle
VARCHAR2(n), DATE, NUMBER(m,n), TIMETSTAMP(6)]]</f>
        <v>0</v>
      </c>
      <c r="V73" s="18" t="b">
        <f>VLOOKUP(B73,Table!A$2:F$231,3,FALSE)=Table1[[#This Row],[Nullable in Table and in Oracle View
NULL, NOT NULL]]</f>
        <v>1</v>
      </c>
      <c r="W73" s="18" t="b">
        <f>VLOOKUP(B73,Table!A$2:H$228,6,FALSE)=Table1[[#This Row],[Business Definition (To go into comments and into Meta Data Hub)]]</f>
        <v>0</v>
      </c>
      <c r="X73" s="55" t="str">
        <f>VLOOKUP((UPPER(SUBSTITUTE(A73," ","_"))),'[2]Consumer View'!A$2:I$329,1,FALSE)</f>
        <v>CASH_ALTERNATE_DESCRIPTION_TRAILER_2</v>
      </c>
      <c r="Y73" s="18" t="s">
        <v>68</v>
      </c>
      <c r="Z73" s="18" t="s">
        <v>375</v>
      </c>
      <c r="AA73" s="18" t="s">
        <v>467</v>
      </c>
      <c r="AB73" s="18"/>
      <c r="AC73" s="18"/>
      <c r="AD73" s="18" t="s">
        <v>468</v>
      </c>
      <c r="AE73" s="46"/>
      <c r="AF73" s="18"/>
      <c r="AG73" s="18"/>
      <c r="AH73" s="18" t="s">
        <v>71</v>
      </c>
    </row>
    <row r="74" spans="1:34" ht="27" hidden="1" customHeight="1">
      <c r="A74" s="51" t="s">
        <v>469</v>
      </c>
      <c r="B74" s="18" t="s">
        <v>470</v>
      </c>
      <c r="C74" s="18" t="s">
        <v>471</v>
      </c>
      <c r="D74" s="18" t="s">
        <v>62</v>
      </c>
      <c r="E74" s="18" t="s">
        <v>63</v>
      </c>
      <c r="F74" s="18" t="s">
        <v>64</v>
      </c>
      <c r="G74" s="45" t="s">
        <v>63</v>
      </c>
      <c r="H74" s="46" t="s">
        <v>472</v>
      </c>
      <c r="I74" s="18"/>
      <c r="J74" s="18" t="s">
        <v>67</v>
      </c>
      <c r="K74" s="18">
        <v>3</v>
      </c>
      <c r="L74" s="18"/>
      <c r="M74" s="18"/>
      <c r="N74" s="18"/>
      <c r="O74" s="18" t="b">
        <f>VLOOKUP(A74,[1]Model!C$2:J$559,2,FALSE)=B74</f>
        <v>1</v>
      </c>
      <c r="P74" s="18" t="b">
        <f>VLOOKUP(A74,Model!C$2:G$228,5,FALSE)=D74</f>
        <v>1</v>
      </c>
      <c r="Q74" s="18">
        <f>VLOOKUP(A74,[2]Model!C$2:L$228,8,FALSE)</f>
        <v>51</v>
      </c>
      <c r="R74" s="18" t="e">
        <f>VLOOKUP(A74,[2]Model!C$2:G$228,3,FALSE)=[3]!Table14[[#This Row],[Business Definition (To go into comments and into Meta Data Hub)]]</f>
        <v>#REF!</v>
      </c>
      <c r="S74" s="18" t="e">
        <f>IF([3]!Table14[[#This Row],[Nullable in Table and in Oracle View
NULL, NOT NULL]]="No","NOT NULL","NULL")=VLOOKUP(A74,[2]Model!C$2:I$228,6,FALSE)</f>
        <v>#REF!</v>
      </c>
      <c r="T74" s="18" t="e">
        <f>VLOOKUP(B74,[2]Table!A$2:F$415,1,FALSE)=[3]!Table14[[#This Row],[Physical Name of Attribute (Name of column in Table)
Supplied by DA Team]]</f>
        <v>#REF!</v>
      </c>
      <c r="U74" s="18" t="b">
        <f>VLOOKUP(B74,Table!A$2:F$319,2,FALSE)=Table1[[#This Row],[Data type in Oracle
VARCHAR2(n), DATE, NUMBER(m,n), TIMETSTAMP(6)]]</f>
        <v>0</v>
      </c>
      <c r="V74" s="18" t="b">
        <f>VLOOKUP(B74,Table!A$2:F$231,3,FALSE)=Table1[[#This Row],[Nullable in Table and in Oracle View
NULL, NOT NULL]]</f>
        <v>1</v>
      </c>
      <c r="W74" s="18" t="b">
        <f>VLOOKUP(B74,Table!A$2:H$228,6,FALSE)=Table1[[#This Row],[Business Definition (To go into comments and into Meta Data Hub)]]</f>
        <v>0</v>
      </c>
      <c r="X74" s="55" t="str">
        <f>VLOOKUP((UPPER(SUBSTITUTE(A74," ","_"))),'[2]Consumer View'!A$2:I$329,1,FALSE)</f>
        <v>CASH_ASSET_PACKAGE_EXTERNAL_QUALIFIER</v>
      </c>
      <c r="Y74" s="18" t="s">
        <v>68</v>
      </c>
      <c r="Z74" s="18" t="s">
        <v>375</v>
      </c>
      <c r="AA74" s="18" t="s">
        <v>473</v>
      </c>
      <c r="AB74" s="18"/>
      <c r="AC74" s="18"/>
      <c r="AD74" s="18" t="s">
        <v>468</v>
      </c>
      <c r="AE74" s="46"/>
      <c r="AF74" s="18"/>
      <c r="AG74" s="18"/>
      <c r="AH74" s="18" t="s">
        <v>71</v>
      </c>
    </row>
    <row r="75" spans="1:34" ht="27" hidden="1" customHeight="1">
      <c r="A75" s="51" t="s">
        <v>474</v>
      </c>
      <c r="B75" s="18" t="s">
        <v>475</v>
      </c>
      <c r="C75" s="18"/>
      <c r="D75" s="18" t="s">
        <v>101</v>
      </c>
      <c r="E75" s="18" t="s">
        <v>63</v>
      </c>
      <c r="F75" s="18" t="s">
        <v>133</v>
      </c>
      <c r="G75" s="45" t="s">
        <v>63</v>
      </c>
      <c r="H75" s="46" t="s">
        <v>476</v>
      </c>
      <c r="I75" s="18"/>
      <c r="J75" s="18" t="s">
        <v>347</v>
      </c>
      <c r="K75" s="18">
        <v>3</v>
      </c>
      <c r="L75" s="18"/>
      <c r="M75" s="18"/>
      <c r="N75" s="18"/>
      <c r="O75" s="18" t="b">
        <f>VLOOKUP(A75,[1]Model!C$2:J$559,2,FALSE)=B75</f>
        <v>1</v>
      </c>
      <c r="P75" s="18" t="b">
        <f>VLOOKUP(A75,Model!C$2:G$228,5,FALSE)=D75</f>
        <v>1</v>
      </c>
      <c r="Q75" s="18">
        <f>VLOOKUP(A75,[2]Model!C$2:L$228,8,FALSE)</f>
        <v>24</v>
      </c>
      <c r="R75" s="18" t="e">
        <f>VLOOKUP(A75,[2]Model!C$2:G$228,3,FALSE)=[3]!Table14[[#This Row],[Business Definition (To go into comments and into Meta Data Hub)]]</f>
        <v>#REF!</v>
      </c>
      <c r="S75" s="18" t="e">
        <f>IF([3]!Table14[[#This Row],[Nullable in Table and in Oracle View
NULL, NOT NULL]]="No","NOT NULL","NULL")=VLOOKUP(A75,[2]Model!C$2:I$228,6,FALSE)</f>
        <v>#REF!</v>
      </c>
      <c r="T75" s="18" t="e">
        <f>VLOOKUP(B75,[2]Table!A$2:F$415,1,FALSE)=[3]!Table14[[#This Row],[Physical Name of Attribute (Name of column in Table)
Supplied by DA Team]]</f>
        <v>#REF!</v>
      </c>
      <c r="U75" s="18" t="b">
        <f>VLOOKUP(B75,Table!A$2:F$319,2,FALSE)=Table1[[#This Row],[Data type in Oracle
VARCHAR2(n), DATE, NUMBER(m,n), TIMETSTAMP(6)]]</f>
        <v>1</v>
      </c>
      <c r="V75" s="18" t="b">
        <f>VLOOKUP(B75,Table!A$2:F$231,3,FALSE)=Table1[[#This Row],[Nullable in Table and in Oracle View
NULL, NOT NULL]]</f>
        <v>1</v>
      </c>
      <c r="W75" s="18" t="b">
        <f>VLOOKUP(B75,Table!A$2:H$228,6,FALSE)=Table1[[#This Row],[Business Definition (To go into comments and into Meta Data Hub)]]</f>
        <v>0</v>
      </c>
      <c r="X75" s="55" t="str">
        <f>VLOOKUP((UPPER(SUBSTITUTE(A75," ","_"))),'[2]Consumer View'!A$2:I$329,1,FALSE)</f>
        <v>CASH_ASSET_PACKAGE_ID</v>
      </c>
      <c r="Y75" s="18" t="s">
        <v>68</v>
      </c>
      <c r="Z75" s="18" t="s">
        <v>375</v>
      </c>
      <c r="AA75" s="18" t="s">
        <v>477</v>
      </c>
      <c r="AB75" s="18"/>
      <c r="AC75" s="18"/>
      <c r="AD75" s="18" t="s">
        <v>468</v>
      </c>
      <c r="AE75" s="46"/>
      <c r="AF75" s="18"/>
      <c r="AG75" s="18"/>
      <c r="AH75" s="18" t="s">
        <v>71</v>
      </c>
    </row>
    <row r="76" spans="1:34" ht="27" hidden="1" customHeight="1">
      <c r="A76" s="51" t="s">
        <v>478</v>
      </c>
      <c r="B76" s="18" t="s">
        <v>479</v>
      </c>
      <c r="C76" s="18" t="s">
        <v>480</v>
      </c>
      <c r="D76" s="18" t="s">
        <v>139</v>
      </c>
      <c r="E76" s="18" t="s">
        <v>63</v>
      </c>
      <c r="F76" s="18" t="s">
        <v>140</v>
      </c>
      <c r="G76" s="45" t="s">
        <v>63</v>
      </c>
      <c r="H76" s="46" t="s">
        <v>481</v>
      </c>
      <c r="I76" s="18"/>
      <c r="J76" s="18" t="s">
        <v>347</v>
      </c>
      <c r="K76" s="18">
        <v>3</v>
      </c>
      <c r="L76" s="18"/>
      <c r="M76" s="18"/>
      <c r="N76" s="18"/>
      <c r="O76" s="18" t="b">
        <f>VLOOKUP(A76,[1]Model!C$2:J$559,2,FALSE)=B76</f>
        <v>1</v>
      </c>
      <c r="P76" s="18" t="b">
        <f>VLOOKUP(A76,Model!C$2:G$228,5,FALSE)=D76</f>
        <v>1</v>
      </c>
      <c r="Q76" s="18">
        <f>VLOOKUP(A76,[2]Model!C$2:L$228,8,FALSE)</f>
        <v>81</v>
      </c>
      <c r="R76" s="18" t="e">
        <f>VLOOKUP(A76,[2]Model!C$2:G$228,3,FALSE)=[3]!Table14[[#This Row],[Business Definition (To go into comments and into Meta Data Hub)]]</f>
        <v>#REF!</v>
      </c>
      <c r="S76" s="18" t="e">
        <f>IF([3]!Table14[[#This Row],[Nullable in Table and in Oracle View
NULL, NOT NULL]]="No","NOT NULL","NULL")=VLOOKUP(A76,[2]Model!C$2:I$228,6,FALSE)</f>
        <v>#REF!</v>
      </c>
      <c r="T76" s="18" t="e">
        <f>VLOOKUP(B76,[2]Table!A$2:F$415,1,FALSE)=[3]!Table14[[#This Row],[Physical Name of Attribute (Name of column in Table)
Supplied by DA Team]]</f>
        <v>#REF!</v>
      </c>
      <c r="U76" s="18" t="b">
        <f>VLOOKUP(B76,Table!A$2:F$319,2,FALSE)=Table1[[#This Row],[Data type in Oracle
VARCHAR2(n), DATE, NUMBER(m,n), TIMETSTAMP(6)]]</f>
        <v>0</v>
      </c>
      <c r="V76" s="18" t="b">
        <f>VLOOKUP(B76,Table!A$2:F$231,3,FALSE)=Table1[[#This Row],[Nullable in Table and in Oracle View
NULL, NOT NULL]]</f>
        <v>1</v>
      </c>
      <c r="W76" s="18" t="b">
        <f>VLOOKUP(B76,Table!A$2:H$228,6,FALSE)=Table1[[#This Row],[Business Definition (To go into comments and into Meta Data Hub)]]</f>
        <v>0</v>
      </c>
      <c r="X76" s="55" t="str">
        <f>VLOOKUP((UPPER(SUBSTITUTE(A76," ","_"))),'[2]Consumer View'!A$2:I$329,1,FALSE)</f>
        <v>CASH_ASSET_PACKAGE_TYPE_CODE</v>
      </c>
      <c r="Y76" s="18" t="s">
        <v>68</v>
      </c>
      <c r="Z76" s="18" t="s">
        <v>113</v>
      </c>
      <c r="AA76" s="18" t="s">
        <v>143</v>
      </c>
      <c r="AB76" s="18"/>
      <c r="AC76" s="18"/>
      <c r="AD76" s="18" t="s">
        <v>468</v>
      </c>
      <c r="AE76" s="46"/>
      <c r="AF76" s="18"/>
      <c r="AG76" s="18"/>
      <c r="AH76" s="18" t="s">
        <v>71</v>
      </c>
    </row>
    <row r="77" spans="1:34" ht="27" hidden="1" customHeight="1">
      <c r="A77" s="51" t="s">
        <v>482</v>
      </c>
      <c r="B77" s="18" t="s">
        <v>483</v>
      </c>
      <c r="C77" s="18" t="s">
        <v>484</v>
      </c>
      <c r="D77" s="18" t="s">
        <v>485</v>
      </c>
      <c r="E77" s="18" t="s">
        <v>63</v>
      </c>
      <c r="F77" s="18" t="s">
        <v>486</v>
      </c>
      <c r="G77" s="45" t="s">
        <v>63</v>
      </c>
      <c r="H77" s="46" t="s">
        <v>487</v>
      </c>
      <c r="I77" s="18"/>
      <c r="J77" s="18" t="s">
        <v>347</v>
      </c>
      <c r="K77" s="18">
        <v>3</v>
      </c>
      <c r="L77" s="18"/>
      <c r="M77" s="18"/>
      <c r="N77" s="18"/>
      <c r="O77" s="18" t="b">
        <f>VLOOKUP(A77,[1]Model!C$2:J$559,2,FALSE)=B77</f>
        <v>1</v>
      </c>
      <c r="P77" s="18" t="b">
        <f>VLOOKUP(A77,Model!C$2:G$228,5,FALSE)=D77</f>
        <v>1</v>
      </c>
      <c r="Q77" s="18">
        <f>VLOOKUP(A77,[2]Model!C$2:L$228,8,FALSE)</f>
        <v>83</v>
      </c>
      <c r="R77" s="18" t="e">
        <f>VLOOKUP(A77,[2]Model!C$2:G$228,3,FALSE)=[3]!Table14[[#This Row],[Business Definition (To go into comments and into Meta Data Hub)]]</f>
        <v>#REF!</v>
      </c>
      <c r="S77" s="18" t="e">
        <f>IF([3]!Table14[[#This Row],[Nullable in Table and in Oracle View
NULL, NOT NULL]]="No","NOT NULL","NULL")=VLOOKUP(A77,[2]Model!C$2:I$228,6,FALSE)</f>
        <v>#REF!</v>
      </c>
      <c r="T77" s="18" t="e">
        <f>VLOOKUP(B77,[2]Table!A$2:F$415,1,FALSE)=[3]!Table14[[#This Row],[Physical Name of Attribute (Name of column in Table)
Supplied by DA Team]]</f>
        <v>#REF!</v>
      </c>
      <c r="U77" s="18" t="b">
        <f>VLOOKUP(B77,Table!A$2:F$319,2,FALSE)=Table1[[#This Row],[Data type in Oracle
VARCHAR2(n), DATE, NUMBER(m,n), TIMETSTAMP(6)]]</f>
        <v>0</v>
      </c>
      <c r="V77" s="18" t="b">
        <f>VLOOKUP(B77,Table!A$2:F$231,3,FALSE)=Table1[[#This Row],[Nullable in Table and in Oracle View
NULL, NOT NULL]]</f>
        <v>1</v>
      </c>
      <c r="W77" s="18" t="b">
        <f>VLOOKUP(B77,Table!A$2:H$228,6,FALSE)=Table1[[#This Row],[Business Definition (To go into comments and into Meta Data Hub)]]</f>
        <v>0</v>
      </c>
      <c r="X77" s="55" t="str">
        <f>VLOOKUP((UPPER(SUBSTITUTE(A77," ","_"))),'[2]Consumer View'!A$2:I$329,1,FALSE)</f>
        <v>CASH_ASSET_PACKAGE_TYPE_DESCRIPTION</v>
      </c>
      <c r="Y77" s="18" t="s">
        <v>68</v>
      </c>
      <c r="Z77" s="18" t="s">
        <v>113</v>
      </c>
      <c r="AA77" s="18" t="s">
        <v>488</v>
      </c>
      <c r="AB77" s="18"/>
      <c r="AC77" s="18"/>
      <c r="AD77" s="18" t="s">
        <v>468</v>
      </c>
      <c r="AE77" s="46"/>
      <c r="AF77" s="18"/>
      <c r="AG77" s="18"/>
      <c r="AH77" s="18" t="s">
        <v>71</v>
      </c>
    </row>
    <row r="78" spans="1:34" ht="27" hidden="1" customHeight="1">
      <c r="A78" s="51" t="s">
        <v>489</v>
      </c>
      <c r="B78" s="18" t="s">
        <v>490</v>
      </c>
      <c r="C78" s="18"/>
      <c r="D78" s="18" t="s">
        <v>101</v>
      </c>
      <c r="E78" s="18" t="s">
        <v>63</v>
      </c>
      <c r="F78" s="18" t="s">
        <v>133</v>
      </c>
      <c r="G78" s="45" t="s">
        <v>63</v>
      </c>
      <c r="H78" s="46" t="s">
        <v>491</v>
      </c>
      <c r="I78" s="18"/>
      <c r="J78" s="18" t="s">
        <v>347</v>
      </c>
      <c r="K78" s="18">
        <v>3</v>
      </c>
      <c r="L78" s="18"/>
      <c r="M78" s="18"/>
      <c r="N78" s="18"/>
      <c r="O78" s="18" t="b">
        <f>VLOOKUP(A78,[1]Model!C$2:J$559,2,FALSE)=B78</f>
        <v>1</v>
      </c>
      <c r="P78" s="18" t="b">
        <f>VLOOKUP(A78,Model!C$2:G$228,5,FALSE)=D78</f>
        <v>1</v>
      </c>
      <c r="Q78" s="18">
        <f>VLOOKUP(A78,[2]Model!C$2:L$228,8,FALSE)</f>
        <v>80</v>
      </c>
      <c r="R78" s="18" t="e">
        <f>VLOOKUP(A78,[2]Model!C$2:G$228,3,FALSE)=[3]!Table14[[#This Row],[Business Definition (To go into comments and into Meta Data Hub)]]</f>
        <v>#REF!</v>
      </c>
      <c r="S78" s="18" t="e">
        <f>IF([3]!Table14[[#This Row],[Nullable in Table and in Oracle View
NULL, NOT NULL]]="No","NOT NULL","NULL")=VLOOKUP(A78,[2]Model!C$2:I$228,6,FALSE)</f>
        <v>#REF!</v>
      </c>
      <c r="T78" s="18" t="e">
        <f>VLOOKUP(B78,[2]Table!A$2:F$415,1,FALSE)=[3]!Table14[[#This Row],[Physical Name of Attribute (Name of column in Table)
Supplied by DA Team]]</f>
        <v>#REF!</v>
      </c>
      <c r="U78" s="18" t="b">
        <f>VLOOKUP(B78,Table!A$2:F$319,2,FALSE)=Table1[[#This Row],[Data type in Oracle
VARCHAR2(n), DATE, NUMBER(m,n), TIMETSTAMP(6)]]</f>
        <v>1</v>
      </c>
      <c r="V78" s="18" t="b">
        <f>VLOOKUP(B78,Table!A$2:F$231,3,FALSE)=Table1[[#This Row],[Nullable in Table and in Oracle View
NULL, NOT NULL]]</f>
        <v>1</v>
      </c>
      <c r="W78" s="18" t="b">
        <f>VLOOKUP(B78,Table!A$2:H$228,6,FALSE)=Table1[[#This Row],[Business Definition (To go into comments and into Meta Data Hub)]]</f>
        <v>0</v>
      </c>
      <c r="X78" s="55" t="str">
        <f>VLOOKUP((UPPER(SUBSTITUTE(A78," ","_"))),'[2]Consumer View'!A$2:I$329,1,FALSE)</f>
        <v>CASH_ASSET_PACKAGE_TYPE_ID</v>
      </c>
      <c r="Y78" s="18" t="s">
        <v>68</v>
      </c>
      <c r="Z78" s="18" t="s">
        <v>375</v>
      </c>
      <c r="AA78" s="18" t="s">
        <v>492</v>
      </c>
      <c r="AB78" s="18"/>
      <c r="AC78" s="18"/>
      <c r="AD78" s="18" t="s">
        <v>468</v>
      </c>
      <c r="AE78" s="46"/>
      <c r="AF78" s="18"/>
      <c r="AG78" s="18"/>
      <c r="AH78" s="18" t="s">
        <v>71</v>
      </c>
    </row>
    <row r="79" spans="1:34" ht="27" hidden="1" customHeight="1">
      <c r="A79" s="51" t="s">
        <v>493</v>
      </c>
      <c r="B79" s="18" t="s">
        <v>494</v>
      </c>
      <c r="C79" s="18" t="s">
        <v>495</v>
      </c>
      <c r="D79" s="55" t="s">
        <v>109</v>
      </c>
      <c r="E79" s="18" t="s">
        <v>63</v>
      </c>
      <c r="F79" s="18" t="s">
        <v>110</v>
      </c>
      <c r="G79" s="45" t="s">
        <v>63</v>
      </c>
      <c r="H79" s="46" t="s">
        <v>496</v>
      </c>
      <c r="I79" s="18"/>
      <c r="J79" s="18" t="s">
        <v>381</v>
      </c>
      <c r="K79" s="18">
        <v>3</v>
      </c>
      <c r="L79" s="18"/>
      <c r="M79" s="18"/>
      <c r="N79" s="18"/>
      <c r="O79" s="18" t="b">
        <f>VLOOKUP(A79,[1]Model!C$2:J$559,2,FALSE)=B79</f>
        <v>1</v>
      </c>
      <c r="P79" s="18" t="b">
        <f>VLOOKUP(A79,Model!C$2:G$228,5,FALSE)=D79</f>
        <v>1</v>
      </c>
      <c r="Q79" s="18">
        <f>VLOOKUP(A79,[2]Model!C$2:L$228,8,FALSE)</f>
        <v>82</v>
      </c>
      <c r="R79" s="18" t="e">
        <f>VLOOKUP(A79,[2]Model!C$2:G$228,3,FALSE)=[3]!Table14[[#This Row],[Business Definition (To go into comments and into Meta Data Hub)]]</f>
        <v>#REF!</v>
      </c>
      <c r="S79" s="18" t="e">
        <f>IF([3]!Table14[[#This Row],[Nullable in Table and in Oracle View
NULL, NOT NULL]]="No","NOT NULL","NULL")=VLOOKUP(A79,[2]Model!C$2:I$228,6,FALSE)</f>
        <v>#REF!</v>
      </c>
      <c r="T79" s="18" t="e">
        <f>VLOOKUP(B79,[2]Table!A$2:F$415,1,FALSE)=[3]!Table14[[#This Row],[Physical Name of Attribute (Name of column in Table)
Supplied by DA Team]]</f>
        <v>#REF!</v>
      </c>
      <c r="U79" s="18" t="b">
        <f>VLOOKUP(B79,Table!A$2:F$319,2,FALSE)=Table1[[#This Row],[Data type in Oracle
VARCHAR2(n), DATE, NUMBER(m,n), TIMETSTAMP(6)]]</f>
        <v>0</v>
      </c>
      <c r="V79" s="18" t="b">
        <f>VLOOKUP(B79,Table!A$2:F$231,3,FALSE)=Table1[[#This Row],[Nullable in Table and in Oracle View
NULL, NOT NULL]]</f>
        <v>1</v>
      </c>
      <c r="W79" s="18" t="b">
        <f>VLOOKUP(B79,Table!A$2:H$228,6,FALSE)=Table1[[#This Row],[Business Definition (To go into comments and into Meta Data Hub)]]</f>
        <v>0</v>
      </c>
      <c r="X79" s="55" t="str">
        <f>VLOOKUP((UPPER(SUBSTITUTE(A79," ","_"))),'[2]Consumer View'!A$2:I$329,1,FALSE)</f>
        <v>CASH_ASSET_PACKAGE_TYPE_NAME</v>
      </c>
      <c r="Y79" s="18" t="s">
        <v>68</v>
      </c>
      <c r="Z79" s="18" t="s">
        <v>113</v>
      </c>
      <c r="AA79" s="18" t="s">
        <v>114</v>
      </c>
      <c r="AB79" s="18"/>
      <c r="AC79" s="18"/>
      <c r="AD79" s="18" t="s">
        <v>468</v>
      </c>
      <c r="AE79" s="46" t="s">
        <v>105</v>
      </c>
      <c r="AF79" s="18"/>
      <c r="AG79" s="18"/>
      <c r="AH79" s="18" t="s">
        <v>71</v>
      </c>
    </row>
    <row r="80" spans="1:34" ht="27" hidden="1" customHeight="1">
      <c r="A80" s="51" t="s">
        <v>497</v>
      </c>
      <c r="B80" s="18" t="s">
        <v>498</v>
      </c>
      <c r="C80" s="18" t="s">
        <v>499</v>
      </c>
      <c r="D80" s="18" t="s">
        <v>101</v>
      </c>
      <c r="E80" s="18" t="s">
        <v>63</v>
      </c>
      <c r="F80" s="18" t="s">
        <v>133</v>
      </c>
      <c r="G80" s="45" t="s">
        <v>63</v>
      </c>
      <c r="H80" s="46" t="s">
        <v>500</v>
      </c>
      <c r="I80" s="18"/>
      <c r="J80" s="18" t="s">
        <v>347</v>
      </c>
      <c r="K80" s="18">
        <v>3</v>
      </c>
      <c r="L80" s="18"/>
      <c r="M80" s="18"/>
      <c r="N80" s="18"/>
      <c r="O80" s="18" t="b">
        <f>VLOOKUP(A80,[1]Model!C$2:J$559,2,FALSE)=B80</f>
        <v>1</v>
      </c>
      <c r="P80" s="18" t="b">
        <f>VLOOKUP(A80,Model!C$2:G$228,5,FALSE)=D80</f>
        <v>1</v>
      </c>
      <c r="Q80" s="18">
        <f>VLOOKUP(A80,[2]Model!C$2:L$228,8,FALSE)</f>
        <v>106</v>
      </c>
      <c r="R80" s="18" t="e">
        <f>VLOOKUP(A80,[2]Model!C$2:G$228,3,FALSE)=[3]!Table14[[#This Row],[Business Definition (To go into comments and into Meta Data Hub)]]</f>
        <v>#REF!</v>
      </c>
      <c r="S80" s="18" t="e">
        <f>IF([3]!Table14[[#This Row],[Nullable in Table and in Oracle View
NULL, NOT NULL]]="No","NOT NULL","NULL")=VLOOKUP(A80,[2]Model!C$2:I$228,6,FALSE)</f>
        <v>#REF!</v>
      </c>
      <c r="T80" s="18" t="e">
        <f>VLOOKUP(B80,[2]Table!A$2:F$415,1,FALSE)=[3]!Table14[[#This Row],[Physical Name of Attribute (Name of column in Table)
Supplied by DA Team]]</f>
        <v>#REF!</v>
      </c>
      <c r="U80" s="18" t="b">
        <f>VLOOKUP(B80,Table!A$2:F$319,2,FALSE)=Table1[[#This Row],[Data type in Oracle
VARCHAR2(n), DATE, NUMBER(m,n), TIMETSTAMP(6)]]</f>
        <v>1</v>
      </c>
      <c r="V80" s="18" t="b">
        <f>VLOOKUP(B80,Table!A$2:F$231,3,FALSE)=Table1[[#This Row],[Nullable in Table and in Oracle View
NULL, NOT NULL]]</f>
        <v>1</v>
      </c>
      <c r="W80" s="18" t="b">
        <f>VLOOKUP(B80,Table!A$2:H$228,6,FALSE)=Table1[[#This Row],[Business Definition (To go into comments and into Meta Data Hub)]]</f>
        <v>0</v>
      </c>
      <c r="X80" s="55" t="str">
        <f>VLOOKUP((UPPER(SUBSTITUTE(A80," ","_"))),'[2]Consumer View'!A$2:I$329,1,FALSE)</f>
        <v>CASH_CIRD_PRODUCT_ID</v>
      </c>
      <c r="Y80" s="18" t="s">
        <v>68</v>
      </c>
      <c r="Z80" s="18" t="s">
        <v>501</v>
      </c>
      <c r="AA80" s="18" t="s">
        <v>502</v>
      </c>
      <c r="AB80" s="18"/>
      <c r="AC80" s="18"/>
      <c r="AD80" s="46" t="s">
        <v>503</v>
      </c>
      <c r="AE80" s="46"/>
      <c r="AF80" s="18"/>
      <c r="AG80" s="18"/>
      <c r="AH80" s="106" t="s">
        <v>178</v>
      </c>
    </row>
    <row r="81" spans="1:34" ht="27" hidden="1" customHeight="1">
      <c r="A81" s="51" t="s">
        <v>504</v>
      </c>
      <c r="B81" s="18" t="s">
        <v>505</v>
      </c>
      <c r="C81" s="18"/>
      <c r="D81" s="55" t="s">
        <v>139</v>
      </c>
      <c r="E81" s="18" t="s">
        <v>63</v>
      </c>
      <c r="F81" s="18" t="s">
        <v>140</v>
      </c>
      <c r="G81" s="45" t="s">
        <v>63</v>
      </c>
      <c r="H81" s="46" t="s">
        <v>506</v>
      </c>
      <c r="I81" s="18"/>
      <c r="J81" s="18" t="s">
        <v>381</v>
      </c>
      <c r="K81" s="18">
        <v>3</v>
      </c>
      <c r="L81" s="18"/>
      <c r="M81" s="18"/>
      <c r="N81" s="18"/>
      <c r="O81" s="18" t="b">
        <f>VLOOKUP(A81,[1]Model!C$2:J$559,2,FALSE)=B81</f>
        <v>1</v>
      </c>
      <c r="P81" s="18" t="b">
        <f>VLOOKUP(A81,Model!C$2:G$228,5,FALSE)=D81</f>
        <v>1</v>
      </c>
      <c r="Q81" s="18">
        <f>VLOOKUP(A81,[2]Model!C$2:L$228,8,FALSE)</f>
        <v>107</v>
      </c>
      <c r="R81" s="18" t="e">
        <f>VLOOKUP(A81,[2]Model!C$2:G$228,3,FALSE)=[3]!Table14[[#This Row],[Business Definition (To go into comments and into Meta Data Hub)]]</f>
        <v>#REF!</v>
      </c>
      <c r="S81" s="18" t="e">
        <f>IF([3]!Table14[[#This Row],[Nullable in Table and in Oracle View
NULL, NOT NULL]]="No","NOT NULL","NULL")=VLOOKUP(A81,[2]Model!C$2:I$228,6,FALSE)</f>
        <v>#REF!</v>
      </c>
      <c r="T81" s="18" t="e">
        <f>VLOOKUP(B81,[2]Table!A$2:F$415,1,FALSE)=[3]!Table14[[#This Row],[Physical Name of Attribute (Name of column in Table)
Supplied by DA Team]]</f>
        <v>#REF!</v>
      </c>
      <c r="U81" s="18" t="b">
        <f>VLOOKUP(B81,Table!A$2:F$319,2,FALSE)=Table1[[#This Row],[Data type in Oracle
VARCHAR2(n), DATE, NUMBER(m,n), TIMETSTAMP(6)]]</f>
        <v>0</v>
      </c>
      <c r="V81" s="18" t="b">
        <f>VLOOKUP(B81,Table!A$2:F$231,3,FALSE)=Table1[[#This Row],[Nullable in Table and in Oracle View
NULL, NOT NULL]]</f>
        <v>1</v>
      </c>
      <c r="W81" s="18" t="b">
        <f>VLOOKUP(B81,Table!A$2:H$228,6,FALSE)=Table1[[#This Row],[Business Definition (To go into comments and into Meta Data Hub)]]</f>
        <v>0</v>
      </c>
      <c r="X81" s="55" t="str">
        <f>VLOOKUP((UPPER(SUBSTITUTE(A81," ","_"))),'[2]Consumer View'!A$2:I$329,1,FALSE)</f>
        <v>CASH_DEBIT_CREDIT_CODE</v>
      </c>
      <c r="Y81" s="18" t="s">
        <v>68</v>
      </c>
      <c r="Z81" s="18" t="s">
        <v>113</v>
      </c>
      <c r="AA81" s="18" t="s">
        <v>143</v>
      </c>
      <c r="AB81" s="18"/>
      <c r="AC81" s="18"/>
      <c r="AD81" s="18" t="s">
        <v>507</v>
      </c>
      <c r="AE81" s="46"/>
      <c r="AF81" s="18"/>
      <c r="AG81" s="18"/>
      <c r="AH81" s="18" t="s">
        <v>71</v>
      </c>
    </row>
    <row r="82" spans="1:34" ht="27" hidden="1" customHeight="1">
      <c r="A82" s="51" t="s">
        <v>508</v>
      </c>
      <c r="B82" s="18" t="s">
        <v>509</v>
      </c>
      <c r="C82" s="18" t="s">
        <v>510</v>
      </c>
      <c r="D82" s="55" t="s">
        <v>90</v>
      </c>
      <c r="E82" s="18" t="s">
        <v>63</v>
      </c>
      <c r="F82" s="18" t="s">
        <v>91</v>
      </c>
      <c r="G82" s="45" t="s">
        <v>63</v>
      </c>
      <c r="H82" s="46" t="s">
        <v>511</v>
      </c>
      <c r="I82" s="18"/>
      <c r="J82" s="18" t="s">
        <v>381</v>
      </c>
      <c r="K82" s="18">
        <v>3</v>
      </c>
      <c r="L82" s="18"/>
      <c r="M82" s="18"/>
      <c r="N82" s="18"/>
      <c r="O82" s="18" t="b">
        <f>VLOOKUP(A82,[1]Model!C$2:J$559,2,FALSE)=B82</f>
        <v>1</v>
      </c>
      <c r="P82" s="18" t="b">
        <f>VLOOKUP(A82,Model!C$2:G$228,5,FALSE)=D82</f>
        <v>1</v>
      </c>
      <c r="Q82" s="18">
        <f>VLOOKUP(A82,[2]Model!C$2:L$228,8,FALSE)</f>
        <v>108</v>
      </c>
      <c r="R82" s="18" t="e">
        <f>VLOOKUP(A82,[2]Model!C$2:G$228,3,FALSE)=[3]!Table14[[#This Row],[Business Definition (To go into comments and into Meta Data Hub)]]</f>
        <v>#REF!</v>
      </c>
      <c r="S82" s="18" t="e">
        <f>IF([3]!Table14[[#This Row],[Nullable in Table and in Oracle View
NULL, NOT NULL]]="No","NOT NULL","NULL")=VLOOKUP(A82,[2]Model!C$2:I$228,6,FALSE)</f>
        <v>#REF!</v>
      </c>
      <c r="T82" s="18" t="e">
        <f>VLOOKUP(B82,[2]Table!A$2:F$415,1,FALSE)=[3]!Table14[[#This Row],[Physical Name of Attribute (Name of column in Table)
Supplied by DA Team]]</f>
        <v>#REF!</v>
      </c>
      <c r="U82" s="18" t="b">
        <f>VLOOKUP(B82,Table!A$2:F$319,2,FALSE)=Table1[[#This Row],[Data type in Oracle
VARCHAR2(n), DATE, NUMBER(m,n), TIMETSTAMP(6)]]</f>
        <v>0</v>
      </c>
      <c r="V82" s="18" t="b">
        <f>VLOOKUP(B82,Table!A$2:F$231,3,FALSE)=Table1[[#This Row],[Nullable in Table and in Oracle View
NULL, NOT NULL]]</f>
        <v>1</v>
      </c>
      <c r="W82" s="18" t="b">
        <f>VLOOKUP(B82,Table!A$2:H$228,6,FALSE)=Table1[[#This Row],[Business Definition (To go into comments and into Meta Data Hub)]]</f>
        <v>0</v>
      </c>
      <c r="X82" s="55" t="str">
        <f>VLOOKUP((UPPER(SUBSTITUTE(A82," ","_"))),'[2]Consumer View'!A$2:I$329,1,FALSE)</f>
        <v>CASH_DEBIT_CREDIT_NAME</v>
      </c>
      <c r="Y82" s="18" t="s">
        <v>68</v>
      </c>
      <c r="Z82" s="18" t="s">
        <v>113</v>
      </c>
      <c r="AA82" s="18" t="s">
        <v>114</v>
      </c>
      <c r="AB82" s="18"/>
      <c r="AC82" s="18"/>
      <c r="AD82" s="18" t="s">
        <v>507</v>
      </c>
      <c r="AE82" s="46"/>
      <c r="AF82" s="18"/>
      <c r="AG82" s="18"/>
      <c r="AH82" s="18" t="s">
        <v>71</v>
      </c>
    </row>
    <row r="83" spans="1:34" ht="27" hidden="1" customHeight="1">
      <c r="A83" s="51" t="s">
        <v>512</v>
      </c>
      <c r="B83" s="18" t="s">
        <v>513</v>
      </c>
      <c r="C83" s="18" t="s">
        <v>514</v>
      </c>
      <c r="D83" s="18" t="s">
        <v>464</v>
      </c>
      <c r="E83" s="18" t="s">
        <v>63</v>
      </c>
      <c r="F83" s="18" t="s">
        <v>465</v>
      </c>
      <c r="G83" s="45" t="s">
        <v>63</v>
      </c>
      <c r="H83" s="46" t="s">
        <v>515</v>
      </c>
      <c r="I83" s="18"/>
      <c r="J83" s="18" t="s">
        <v>347</v>
      </c>
      <c r="K83" s="18">
        <v>3</v>
      </c>
      <c r="L83" s="18"/>
      <c r="M83" s="18"/>
      <c r="N83" s="18"/>
      <c r="O83" s="18" t="b">
        <f>VLOOKUP(A83,[1]Model!C$2:J$559,2,FALSE)=B83</f>
        <v>1</v>
      </c>
      <c r="P83" s="18" t="b">
        <f>VLOOKUP(A83,Model!C$2:G$228,5,FALSE)=D83</f>
        <v>1</v>
      </c>
      <c r="Q83" s="18">
        <f>VLOOKUP(A83,[2]Model!C$2:L$228,8,FALSE)</f>
        <v>49</v>
      </c>
      <c r="R83" s="18" t="e">
        <f>VLOOKUP(A83,[2]Model!C$2:G$228,3,FALSE)=[3]!Table14[[#This Row],[Business Definition (To go into comments and into Meta Data Hub)]]</f>
        <v>#REF!</v>
      </c>
      <c r="S83" s="18" t="e">
        <f>IF([3]!Table14[[#This Row],[Nullable in Table and in Oracle View
NULL, NOT NULL]]="No","NOT NULL","NULL")=VLOOKUP(A83,[2]Model!C$2:I$228,6,FALSE)</f>
        <v>#REF!</v>
      </c>
      <c r="T83" s="18" t="e">
        <f>VLOOKUP(B83,[2]Table!A$2:F$415,1,FALSE)=[3]!Table14[[#This Row],[Physical Name of Attribute (Name of column in Table)
Supplied by DA Team]]</f>
        <v>#REF!</v>
      </c>
      <c r="U83" s="18" t="b">
        <f>VLOOKUP(B83,Table!A$2:F$319,2,FALSE)=Table1[[#This Row],[Data type in Oracle
VARCHAR2(n), DATE, NUMBER(m,n), TIMETSTAMP(6)]]</f>
        <v>0</v>
      </c>
      <c r="V83" s="18" t="b">
        <f>VLOOKUP(B83,Table!A$2:F$231,3,FALSE)=Table1[[#This Row],[Nullable in Table and in Oracle View
NULL, NOT NULL]]</f>
        <v>1</v>
      </c>
      <c r="W83" s="18" t="b">
        <f>VLOOKUP(B83,Table!A$2:H$228,6,FALSE)=Table1[[#This Row],[Business Definition (To go into comments and into Meta Data Hub)]]</f>
        <v>0</v>
      </c>
      <c r="X83" s="55" t="str">
        <f>VLOOKUP((UPPER(SUBSTITUTE(A83," ","_"))),'[2]Consumer View'!A$2:I$329,1,FALSE)</f>
        <v>CASH_DESCRIPTION_TRAILER_1</v>
      </c>
      <c r="Y83" s="18" t="s">
        <v>68</v>
      </c>
      <c r="Z83" s="18" t="s">
        <v>375</v>
      </c>
      <c r="AA83" s="18" t="s">
        <v>516</v>
      </c>
      <c r="AB83" s="18"/>
      <c r="AC83" s="18"/>
      <c r="AD83" s="18" t="s">
        <v>468</v>
      </c>
      <c r="AE83" s="46"/>
      <c r="AF83" s="18"/>
      <c r="AG83" s="18"/>
      <c r="AH83" s="18" t="s">
        <v>71</v>
      </c>
    </row>
    <row r="84" spans="1:34" ht="27" hidden="1" customHeight="1">
      <c r="A84" s="51" t="s">
        <v>517</v>
      </c>
      <c r="B84" s="18" t="s">
        <v>518</v>
      </c>
      <c r="C84" s="18"/>
      <c r="D84" s="18" t="s">
        <v>519</v>
      </c>
      <c r="E84" s="18" t="s">
        <v>63</v>
      </c>
      <c r="F84" s="18" t="s">
        <v>520</v>
      </c>
      <c r="G84" s="45" t="s">
        <v>63</v>
      </c>
      <c r="H84" s="46" t="s">
        <v>517</v>
      </c>
      <c r="I84" s="18"/>
      <c r="J84" s="18" t="s">
        <v>347</v>
      </c>
      <c r="K84" s="18">
        <v>3</v>
      </c>
      <c r="L84" s="18"/>
      <c r="M84" s="18"/>
      <c r="N84" s="18"/>
      <c r="O84" s="18" t="b">
        <f>VLOOKUP(A84,[1]Model!C$2:J$559,2,FALSE)=B84</f>
        <v>1</v>
      </c>
      <c r="P84" s="18" t="b">
        <f>VLOOKUP(A84,Model!C$2:G$228,5,FALSE)=D84</f>
        <v>1</v>
      </c>
      <c r="Q84" s="18">
        <f>VLOOKUP(A84,[2]Model!C$2:L$228,8,FALSE)</f>
        <v>53</v>
      </c>
      <c r="R84" s="18" t="e">
        <f>VLOOKUP(A84,[2]Model!C$2:G$228,3,FALSE)=[3]!Table14[[#This Row],[Business Definition (To go into comments and into Meta Data Hub)]]</f>
        <v>#REF!</v>
      </c>
      <c r="S84" s="18" t="e">
        <f>IF([3]!Table14[[#This Row],[Nullable in Table and in Oracle View
NULL, NOT NULL]]="No","NOT NULL","NULL")=VLOOKUP(A84,[2]Model!C$2:I$228,6,FALSE)</f>
        <v>#REF!</v>
      </c>
      <c r="T84" s="18" t="e">
        <f>VLOOKUP(B84,[2]Table!A$2:F$415,1,FALSE)=[3]!Table14[[#This Row],[Physical Name of Attribute (Name of column in Table)
Supplied by DA Team]]</f>
        <v>#REF!</v>
      </c>
      <c r="U84" s="18" t="b">
        <f>VLOOKUP(B84,Table!A$2:F$319,2,FALSE)=Table1[[#This Row],[Data type in Oracle
VARCHAR2(n), DATE, NUMBER(m,n), TIMETSTAMP(6)]]</f>
        <v>0</v>
      </c>
      <c r="V84" s="18" t="b">
        <f>VLOOKUP(B84,Table!A$2:F$231,3,FALSE)=Table1[[#This Row],[Nullable in Table and in Oracle View
NULL, NOT NULL]]</f>
        <v>1</v>
      </c>
      <c r="W84" s="18" t="b">
        <f>VLOOKUP(B84,Table!A$2:H$228,6,FALSE)=Table1[[#This Row],[Business Definition (To go into comments and into Meta Data Hub)]]</f>
        <v>1</v>
      </c>
      <c r="X84" s="18" t="str">
        <f>VLOOKUP((UPPER(SUBSTITUTE(A84," ","_"))),'[2]Consumer View'!A$2:I$329,1,FALSE)</f>
        <v>CASH_FLOW_GENERATION_FLAG</v>
      </c>
      <c r="Y84" s="18" t="s">
        <v>68</v>
      </c>
      <c r="Z84" s="18" t="s">
        <v>69</v>
      </c>
      <c r="AA84" s="18" t="s">
        <v>518</v>
      </c>
      <c r="AB84" s="18"/>
      <c r="AC84" s="18"/>
      <c r="AD84" s="18"/>
      <c r="AE84" s="46"/>
      <c r="AF84" s="18"/>
      <c r="AG84" s="18"/>
      <c r="AH84" s="18" t="s">
        <v>71</v>
      </c>
    </row>
    <row r="85" spans="1:34" ht="27" hidden="1" customHeight="1">
      <c r="A85" s="51" t="s">
        <v>521</v>
      </c>
      <c r="B85" s="18" t="s">
        <v>522</v>
      </c>
      <c r="C85" s="18" t="s">
        <v>523</v>
      </c>
      <c r="D85" s="18" t="s">
        <v>427</v>
      </c>
      <c r="E85" s="18" t="s">
        <v>63</v>
      </c>
      <c r="F85" s="18" t="s">
        <v>428</v>
      </c>
      <c r="G85" s="45" t="s">
        <v>63</v>
      </c>
      <c r="H85" s="46" t="s">
        <v>524</v>
      </c>
      <c r="I85" s="18"/>
      <c r="J85" s="18" t="s">
        <v>347</v>
      </c>
      <c r="K85" s="18">
        <v>3</v>
      </c>
      <c r="L85" s="18"/>
      <c r="M85" s="18"/>
      <c r="N85" s="18"/>
      <c r="O85" s="18" t="b">
        <f>VLOOKUP(A85,[1]Model!C$2:J$559,2,FALSE)=B85</f>
        <v>1</v>
      </c>
      <c r="P85" s="18" t="b">
        <f>VLOOKUP(A85,Model!C$2:G$228,5,FALSE)=D85</f>
        <v>1</v>
      </c>
      <c r="Q85" s="18">
        <f>VLOOKUP(A85,[2]Model!C$2:L$228,8,FALSE)</f>
        <v>110</v>
      </c>
      <c r="R85" s="18" t="e">
        <f>VLOOKUP(A85,[2]Model!C$2:G$228,3,FALSE)=[3]!Table14[[#This Row],[Business Definition (To go into comments and into Meta Data Hub)]]</f>
        <v>#REF!</v>
      </c>
      <c r="S85" s="18" t="e">
        <f>IF([3]!Table14[[#This Row],[Nullable in Table and in Oracle View
NULL, NOT NULL]]="No","NOT NULL","NULL")=VLOOKUP(A85,[2]Model!C$2:I$228,6,FALSE)</f>
        <v>#REF!</v>
      </c>
      <c r="T85" s="18" t="e">
        <f>VLOOKUP(B85,[2]Table!A$2:F$415,1,FALSE)=[3]!Table14[[#This Row],[Physical Name of Attribute (Name of column in Table)
Supplied by DA Team]]</f>
        <v>#REF!</v>
      </c>
      <c r="U85" s="18" t="b">
        <f>VLOOKUP(B85,Table!A$2:F$319,2,FALSE)=Table1[[#This Row],[Data type in Oracle
VARCHAR2(n), DATE, NUMBER(m,n), TIMETSTAMP(6)]]</f>
        <v>0</v>
      </c>
      <c r="V85" s="18" t="b">
        <f>VLOOKUP(B85,Table!A$2:F$231,3,FALSE)=Table1[[#This Row],[Nullable in Table and in Oracle View
NULL, NOT NULL]]</f>
        <v>1</v>
      </c>
      <c r="W85" s="18" t="b">
        <f>VLOOKUP(B85,Table!A$2:H$228,6,FALSE)=Table1[[#This Row],[Business Definition (To go into comments and into Meta Data Hub)]]</f>
        <v>1</v>
      </c>
      <c r="X85" s="55" t="str">
        <f>VLOOKUP((UPPER(SUBSTITUTE(A85," ","_"))),'[2]Consumer View'!A$2:I$329,1,FALSE)</f>
        <v>CASH_POSITION_TYPE_CODE</v>
      </c>
      <c r="Y85" s="18" t="s">
        <v>262</v>
      </c>
      <c r="Z85" s="18" t="s">
        <v>525</v>
      </c>
      <c r="AA85" s="18" t="s">
        <v>522</v>
      </c>
      <c r="AB85" s="18"/>
      <c r="AC85" s="18"/>
      <c r="AD85" s="18" t="s">
        <v>526</v>
      </c>
      <c r="AE85" s="46"/>
      <c r="AF85" s="18"/>
      <c r="AG85" s="18"/>
      <c r="AH85" s="18" t="s">
        <v>71</v>
      </c>
    </row>
    <row r="86" spans="1:34" ht="27" hidden="1" customHeight="1">
      <c r="A86" s="86" t="s">
        <v>527</v>
      </c>
      <c r="B86" s="18" t="s">
        <v>528</v>
      </c>
      <c r="C86" s="18"/>
      <c r="D86" s="18" t="s">
        <v>101</v>
      </c>
      <c r="E86" s="18" t="s">
        <v>345</v>
      </c>
      <c r="F86" s="18" t="s">
        <v>133</v>
      </c>
      <c r="G86" s="45" t="s">
        <v>63</v>
      </c>
      <c r="H86" s="46" t="s">
        <v>529</v>
      </c>
      <c r="I86" s="18"/>
      <c r="J86" s="18" t="s">
        <v>347</v>
      </c>
      <c r="K86" s="18">
        <v>3</v>
      </c>
      <c r="L86" s="18"/>
      <c r="M86" s="18"/>
      <c r="N86" s="18"/>
      <c r="O86" s="18" t="b">
        <f>VLOOKUP(A86,[1]Model!C$2:J$559,2,FALSE)=B86</f>
        <v>1</v>
      </c>
      <c r="P86" s="18" t="b">
        <f>VLOOKUP(A86,Model!C$2:G$228,5,FALSE)=D86</f>
        <v>1</v>
      </c>
      <c r="Q86" s="18">
        <f>VLOOKUP(A86,[2]Model!C$2:L$228,8,FALSE)</f>
        <v>6</v>
      </c>
      <c r="R86" s="18" t="e">
        <f>VLOOKUP(A86,[2]Model!C$2:G$228,3,FALSE)=[3]!Table14[[#This Row],[Business Definition (To go into comments and into Meta Data Hub)]]</f>
        <v>#REF!</v>
      </c>
      <c r="S86" s="18" t="e">
        <f>IF([3]!Table14[[#This Row],[Nullable in Table and in Oracle View
NULL, NOT NULL]]="No","NOT NULL","NULL")=VLOOKUP(A86,[2]Model!C$2:I$228,6,FALSE)</f>
        <v>#REF!</v>
      </c>
      <c r="T86" s="18" t="e">
        <f>VLOOKUP(B86,[2]Table!A$2:F$415,1,FALSE)=[3]!Table14[[#This Row],[Physical Name of Attribute (Name of column in Table)
Supplied by DA Team]]</f>
        <v>#REF!</v>
      </c>
      <c r="U86" s="18" t="b">
        <f>VLOOKUP(B86,Table!A$2:F$319,2,FALSE)=Table1[[#This Row],[Data type in Oracle
VARCHAR2(n), DATE, NUMBER(m,n), TIMETSTAMP(6)]]</f>
        <v>1</v>
      </c>
      <c r="V86" s="18" t="b">
        <f>VLOOKUP(B86,Table!A$2:F$231,3,FALSE)=Table1[[#This Row],[Nullable in Table and in Oracle View
NULL, NOT NULL]]</f>
        <v>1</v>
      </c>
      <c r="W86" s="18" t="b">
        <f>VLOOKUP(B86,Table!A$2:H$228,6,FALSE)=Table1[[#This Row],[Business Definition (To go into comments and into Meta Data Hub)]]</f>
        <v>1</v>
      </c>
      <c r="X86" s="55" t="str">
        <f>VLOOKUP((UPPER(SUBSTITUTE(A86," ","_"))),'[2]Consumer View'!A$2:I$329,1,FALSE)</f>
        <v>CASH_POSITION_TYPE_DIMENSION_ID</v>
      </c>
      <c r="Y86" s="18" t="s">
        <v>262</v>
      </c>
      <c r="Z86" s="18" t="s">
        <v>525</v>
      </c>
      <c r="AA86" s="18" t="s">
        <v>528</v>
      </c>
      <c r="AB86" s="18"/>
      <c r="AC86" s="18"/>
      <c r="AD86" s="18" t="s">
        <v>526</v>
      </c>
      <c r="AE86" s="46"/>
      <c r="AF86" s="18"/>
      <c r="AG86" s="18"/>
      <c r="AH86" s="18" t="s">
        <v>351</v>
      </c>
    </row>
    <row r="87" spans="1:34" ht="27" hidden="1" customHeight="1">
      <c r="A87" s="51" t="s">
        <v>530</v>
      </c>
      <c r="B87" s="18" t="s">
        <v>531</v>
      </c>
      <c r="C87" s="18" t="s">
        <v>532</v>
      </c>
      <c r="D87" s="18" t="s">
        <v>533</v>
      </c>
      <c r="E87" s="18" t="s">
        <v>63</v>
      </c>
      <c r="F87" s="18" t="s">
        <v>534</v>
      </c>
      <c r="G87" s="45" t="s">
        <v>63</v>
      </c>
      <c r="H87" s="46" t="s">
        <v>535</v>
      </c>
      <c r="I87" s="18"/>
      <c r="J87" s="18" t="s">
        <v>347</v>
      </c>
      <c r="K87" s="18">
        <v>3</v>
      </c>
      <c r="L87" s="18"/>
      <c r="M87" s="18"/>
      <c r="N87" s="18"/>
      <c r="O87" s="18" t="b">
        <f>VLOOKUP(A87,[1]Model!C$2:J$559,2,FALSE)=B87</f>
        <v>1</v>
      </c>
      <c r="P87" s="18" t="b">
        <f>VLOOKUP(A87,Model!C$2:G$228,5,FALSE)=D87</f>
        <v>1</v>
      </c>
      <c r="Q87" s="18">
        <f>VLOOKUP(A87,[2]Model!C$2:L$228,8,FALSE)</f>
        <v>111</v>
      </c>
      <c r="R87" s="18" t="e">
        <f>VLOOKUP(A87,[2]Model!C$2:G$228,3,FALSE)=[3]!Table14[[#This Row],[Business Definition (To go into comments and into Meta Data Hub)]]</f>
        <v>#REF!</v>
      </c>
      <c r="S87" s="18" t="e">
        <f>IF([3]!Table14[[#This Row],[Nullable in Table and in Oracle View
NULL, NOT NULL]]="No","NOT NULL","NULL")=VLOOKUP(A87,[2]Model!C$2:I$228,6,FALSE)</f>
        <v>#REF!</v>
      </c>
      <c r="T87" s="18" t="e">
        <f>VLOOKUP(B87,[2]Table!A$2:F$415,1,FALSE)=[3]!Table14[[#This Row],[Physical Name of Attribute (Name of column in Table)
Supplied by DA Team]]</f>
        <v>#REF!</v>
      </c>
      <c r="U87" s="18" t="b">
        <f>VLOOKUP(B87,Table!A$2:F$319,2,FALSE)=Table1[[#This Row],[Data type in Oracle
VARCHAR2(n), DATE, NUMBER(m,n), TIMETSTAMP(6)]]</f>
        <v>0</v>
      </c>
      <c r="V87" s="18" t="b">
        <f>VLOOKUP(B87,Table!A$2:F$231,3,FALSE)=Table1[[#This Row],[Nullable in Table and in Oracle View
NULL, NOT NULL]]</f>
        <v>1</v>
      </c>
      <c r="W87" s="18" t="b">
        <f>VLOOKUP(B87,Table!A$2:H$228,6,FALSE)=Table1[[#This Row],[Business Definition (To go into comments and into Meta Data Hub)]]</f>
        <v>1</v>
      </c>
      <c r="X87" s="55" t="str">
        <f>VLOOKUP((UPPER(SUBSTITUTE(A87," ","_"))),'[2]Consumer View'!A$2:I$329,1,FALSE)</f>
        <v>CASH_POSITION_TYPE_NAME</v>
      </c>
      <c r="Y87" s="18" t="s">
        <v>262</v>
      </c>
      <c r="Z87" s="18" t="s">
        <v>525</v>
      </c>
      <c r="AA87" s="18" t="s">
        <v>531</v>
      </c>
      <c r="AB87" s="18"/>
      <c r="AC87" s="18"/>
      <c r="AD87" s="18" t="s">
        <v>526</v>
      </c>
      <c r="AE87" s="46"/>
      <c r="AF87" s="18"/>
      <c r="AG87" s="18"/>
      <c r="AH87" s="18" t="s">
        <v>71</v>
      </c>
    </row>
    <row r="88" spans="1:34" ht="27" hidden="1" customHeight="1">
      <c r="A88" s="51" t="s">
        <v>536</v>
      </c>
      <c r="B88" s="18" t="s">
        <v>537</v>
      </c>
      <c r="C88" s="18"/>
      <c r="D88" s="18" t="s">
        <v>101</v>
      </c>
      <c r="E88" s="18" t="s">
        <v>63</v>
      </c>
      <c r="F88" s="18" t="s">
        <v>133</v>
      </c>
      <c r="G88" s="45" t="s">
        <v>63</v>
      </c>
      <c r="H88" s="46" t="s">
        <v>538</v>
      </c>
      <c r="I88" s="18"/>
      <c r="J88" s="18" t="s">
        <v>67</v>
      </c>
      <c r="K88" s="18">
        <v>3</v>
      </c>
      <c r="L88" s="18"/>
      <c r="M88" s="18"/>
      <c r="N88" s="18"/>
      <c r="O88" s="18" t="b">
        <f>VLOOKUP(A88,[1]Model!C$2:J$559,2,FALSE)=B88</f>
        <v>1</v>
      </c>
      <c r="P88" s="18" t="b">
        <f>VLOOKUP(A88,Model!C$2:G$228,5,FALSE)=D88</f>
        <v>1</v>
      </c>
      <c r="Q88" s="18">
        <f>VLOOKUP(A88,[2]Model!C$2:L$228,8,FALSE)</f>
        <v>196</v>
      </c>
      <c r="R88" s="18" t="e">
        <f>VLOOKUP(A88,[2]Model!C$2:G$228,3,FALSE)=[3]!Table14[[#This Row],[Business Definition (To go into comments and into Meta Data Hub)]]</f>
        <v>#REF!</v>
      </c>
      <c r="S88" s="18" t="e">
        <f>IF([3]!Table14[[#This Row],[Nullable in Table and in Oracle View
NULL, NOT NULL]]="No","NOT NULL","NULL")=VLOOKUP(A88,[2]Model!C$2:I$228,6,FALSE)</f>
        <v>#REF!</v>
      </c>
      <c r="T88" s="18" t="e">
        <f>VLOOKUP(B88,[2]Table!A$2:F$415,1,FALSE)=[3]!Table14[[#This Row],[Physical Name of Attribute (Name of column in Table)
Supplied by DA Team]]</f>
        <v>#REF!</v>
      </c>
      <c r="U88" s="18" t="b">
        <f>VLOOKUP(B88,Table!A$2:F$319,2,FALSE)=Table1[[#This Row],[Data type in Oracle
VARCHAR2(n), DATE, NUMBER(m,n), TIMETSTAMP(6)]]</f>
        <v>1</v>
      </c>
      <c r="V88" s="18" t="b">
        <f>VLOOKUP(B88,Table!A$2:F$231,3,FALSE)=Table1[[#This Row],[Nullable in Table and in Oracle View
NULL, NOT NULL]]</f>
        <v>1</v>
      </c>
      <c r="W88" s="18" t="b">
        <f>VLOOKUP(B88,Table!A$2:H$228,6,FALSE)=Table1[[#This Row],[Business Definition (To go into comments and into Meta Data Hub)]]</f>
        <v>1</v>
      </c>
      <c r="X88" s="18" t="str">
        <f>VLOOKUP((UPPER(SUBSTITUTE(A88," ","_"))),'[2]Consumer View'!A$2:I$329,1,FALSE)</f>
        <v>CASH_POSITION_TYPE_ID</v>
      </c>
      <c r="Y88" s="18" t="s">
        <v>68</v>
      </c>
      <c r="Z88" s="18" t="s">
        <v>375</v>
      </c>
      <c r="AA88" s="18" t="s">
        <v>537</v>
      </c>
      <c r="AB88" s="18"/>
      <c r="AC88" s="18"/>
      <c r="AD88" s="18" t="s">
        <v>539</v>
      </c>
      <c r="AE88" s="46"/>
      <c r="AF88" s="18"/>
      <c r="AG88" s="18"/>
      <c r="AH88" s="18" t="s">
        <v>71</v>
      </c>
    </row>
    <row r="89" spans="1:34" ht="27" hidden="1" customHeight="1">
      <c r="A89" s="51" t="s">
        <v>540</v>
      </c>
      <c r="B89" s="18" t="s">
        <v>541</v>
      </c>
      <c r="C89" s="18" t="s">
        <v>542</v>
      </c>
      <c r="D89" s="18" t="s">
        <v>101</v>
      </c>
      <c r="E89" s="18" t="s">
        <v>63</v>
      </c>
      <c r="F89" s="18" t="s">
        <v>133</v>
      </c>
      <c r="G89" s="45" t="s">
        <v>63</v>
      </c>
      <c r="H89" s="46" t="s">
        <v>543</v>
      </c>
      <c r="I89" s="18"/>
      <c r="J89" s="18" t="s">
        <v>347</v>
      </c>
      <c r="K89" s="18">
        <v>3</v>
      </c>
      <c r="L89" s="18"/>
      <c r="M89" s="18"/>
      <c r="N89" s="18"/>
      <c r="O89" s="18" t="b">
        <f>VLOOKUP(A89,[1]Model!C$2:J$559,2,FALSE)=B89</f>
        <v>1</v>
      </c>
      <c r="P89" s="18" t="b">
        <f>VLOOKUP(A89,Model!C$2:G$228,5,FALSE)=D89</f>
        <v>1</v>
      </c>
      <c r="Q89" s="18">
        <f>VLOOKUP(A89,[2]Model!C$2:L$228,8,FALSE)</f>
        <v>109</v>
      </c>
      <c r="R89" s="18" t="e">
        <f>VLOOKUP(A89,[2]Model!C$2:G$228,3,FALSE)=[3]!Table14[[#This Row],[Business Definition (To go into comments and into Meta Data Hub)]]</f>
        <v>#REF!</v>
      </c>
      <c r="S89" s="18" t="e">
        <f>IF([3]!Table14[[#This Row],[Nullable in Table and in Oracle View
NULL, NOT NULL]]="No","NOT NULL","NULL")=VLOOKUP(A89,[2]Model!C$2:I$228,6,FALSE)</f>
        <v>#REF!</v>
      </c>
      <c r="T89" s="18" t="e">
        <f>VLOOKUP(B89,[2]Table!A$2:F$415,1,FALSE)=[3]!Table14[[#This Row],[Physical Name of Attribute (Name of column in Table)
Supplied by DA Team]]</f>
        <v>#REF!</v>
      </c>
      <c r="U89" s="18" t="b">
        <f>VLOOKUP(B89,Table!A$2:F$319,2,FALSE)=Table1[[#This Row],[Data type in Oracle
VARCHAR2(n), DATE, NUMBER(m,n), TIMETSTAMP(6)]]</f>
        <v>1</v>
      </c>
      <c r="V89" s="18" t="b">
        <f>VLOOKUP(B89,Table!A$2:F$231,3,FALSE)=Table1[[#This Row],[Nullable in Table and in Oracle View
NULL, NOT NULL]]</f>
        <v>1</v>
      </c>
      <c r="W89" s="18" t="b">
        <f>VLOOKUP(B89,Table!A$2:H$228,6,FALSE)=Table1[[#This Row],[Business Definition (To go into comments and into Meta Data Hub)]]</f>
        <v>1</v>
      </c>
      <c r="X89" s="55" t="e">
        <f>VLOOKUP((UPPER(SUBSTITUTE(A89," ","_"))),'[2]Consumer View'!A$2:I$329,1,FALSE)</f>
        <v>#N/A</v>
      </c>
      <c r="Y89" s="18" t="s">
        <v>68</v>
      </c>
      <c r="Z89" s="18" t="s">
        <v>375</v>
      </c>
      <c r="AA89" s="18" t="s">
        <v>544</v>
      </c>
      <c r="AB89" s="18"/>
      <c r="AC89" s="18"/>
      <c r="AD89" s="18" t="s">
        <v>468</v>
      </c>
      <c r="AE89" s="46"/>
      <c r="AF89" s="18"/>
      <c r="AG89" s="18"/>
      <c r="AH89" s="18" t="s">
        <v>71</v>
      </c>
    </row>
    <row r="90" spans="1:34" ht="27" hidden="1" customHeight="1">
      <c r="A90" s="51" t="s">
        <v>545</v>
      </c>
      <c r="B90" s="18" t="s">
        <v>546</v>
      </c>
      <c r="C90" s="18"/>
      <c r="D90" s="18" t="s">
        <v>101</v>
      </c>
      <c r="E90" s="18" t="s">
        <v>345</v>
      </c>
      <c r="F90" s="18" t="s">
        <v>133</v>
      </c>
      <c r="G90" s="45" t="s">
        <v>63</v>
      </c>
      <c r="H90" s="46" t="s">
        <v>547</v>
      </c>
      <c r="I90" s="18"/>
      <c r="J90" s="18" t="s">
        <v>347</v>
      </c>
      <c r="K90" s="18">
        <v>3</v>
      </c>
      <c r="L90" s="18"/>
      <c r="M90" s="18"/>
      <c r="N90" s="18"/>
      <c r="O90" s="18" t="b">
        <f>VLOOKUP(A90,[1]Model!C$2:J$559,2,FALSE)=B90</f>
        <v>1</v>
      </c>
      <c r="P90" s="18" t="b">
        <f>VLOOKUP(A90,Model!C$2:G$228,5,FALSE)=D90</f>
        <v>1</v>
      </c>
      <c r="Q90" s="18">
        <f>VLOOKUP(A90,[2]Model!C$2:L$228,8,FALSE)</f>
        <v>2</v>
      </c>
      <c r="R90" s="18" t="e">
        <f>VLOOKUP(A90,[2]Model!C$2:G$228,3,FALSE)=[3]!Table14[[#This Row],[Business Definition (To go into comments and into Meta Data Hub)]]</f>
        <v>#REF!</v>
      </c>
      <c r="S90" s="18" t="e">
        <f>IF([3]!Table14[[#This Row],[Nullable in Table and in Oracle View
NULL, NOT NULL]]="No","NOT NULL","NULL")=VLOOKUP(A90,[2]Model!C$2:I$228,6,FALSE)</f>
        <v>#REF!</v>
      </c>
      <c r="T90" s="18" t="e">
        <f>VLOOKUP(B90,[2]Table!A$2:F$415,1,FALSE)=[3]!Table14[[#This Row],[Physical Name of Attribute (Name of column in Table)
Supplied by DA Team]]</f>
        <v>#REF!</v>
      </c>
      <c r="U90" s="18" t="b">
        <f>VLOOKUP(B90,Table!A$2:F$319,2,FALSE)=Table1[[#This Row],[Data type in Oracle
VARCHAR2(n), DATE, NUMBER(m,n), TIMETSTAMP(6)]]</f>
        <v>1</v>
      </c>
      <c r="V90" s="18" t="b">
        <f>VLOOKUP(B90,Table!A$2:F$231,3,FALSE)=Table1[[#This Row],[Nullable in Table and in Oracle View
NULL, NOT NULL]]</f>
        <v>1</v>
      </c>
      <c r="W90" s="18" t="b">
        <f>VLOOKUP(B90,Table!A$2:H$228,6,FALSE)=Table1[[#This Row],[Business Definition (To go into comments and into Meta Data Hub)]]</f>
        <v>0</v>
      </c>
      <c r="X90" s="55" t="e">
        <f>VLOOKUP((UPPER(SUBSTITUTE(A90," ","_"))),'[2]Consumer View'!A$2:I$329,1,FALSE)</f>
        <v>#N/A</v>
      </c>
      <c r="Y90" s="18" t="s">
        <v>355</v>
      </c>
      <c r="Z90" s="18" t="s">
        <v>548</v>
      </c>
      <c r="AA90" s="18" t="s">
        <v>549</v>
      </c>
      <c r="AB90" s="18"/>
      <c r="AC90" s="18"/>
      <c r="AD90" s="18" t="s">
        <v>550</v>
      </c>
      <c r="AE90" s="46" t="s">
        <v>313</v>
      </c>
      <c r="AF90" s="18"/>
      <c r="AG90" s="18"/>
      <c r="AH90" s="18" t="s">
        <v>351</v>
      </c>
    </row>
    <row r="91" spans="1:34" ht="27" hidden="1" customHeight="1">
      <c r="A91" s="51" t="s">
        <v>551</v>
      </c>
      <c r="B91" s="18" t="s">
        <v>552</v>
      </c>
      <c r="C91" s="18" t="s">
        <v>553</v>
      </c>
      <c r="D91" s="55" t="s">
        <v>101</v>
      </c>
      <c r="E91" s="18" t="s">
        <v>63</v>
      </c>
      <c r="F91" s="18" t="s">
        <v>133</v>
      </c>
      <c r="G91" s="45" t="s">
        <v>63</v>
      </c>
      <c r="H91" s="46" t="s">
        <v>554</v>
      </c>
      <c r="I91" s="18"/>
      <c r="J91" s="18" t="s">
        <v>381</v>
      </c>
      <c r="K91" s="18">
        <v>3</v>
      </c>
      <c r="L91" s="18"/>
      <c r="M91" s="18"/>
      <c r="N91" s="18"/>
      <c r="O91" s="18" t="b">
        <f>VLOOKUP(A91,[1]Model!C$2:J$559,2,FALSE)=B91</f>
        <v>1</v>
      </c>
      <c r="P91" s="18" t="b">
        <f>VLOOKUP(A91,Model!C$2:G$228,5,FALSE)=D91</f>
        <v>1</v>
      </c>
      <c r="Q91" s="18">
        <f>VLOOKUP(A91,[2]Model!C$2:L$228,8,FALSE)</f>
        <v>45</v>
      </c>
      <c r="R91" s="18" t="e">
        <f>VLOOKUP(A91,[2]Model!C$2:G$228,3,FALSE)=[3]!Table14[[#This Row],[Business Definition (To go into comments and into Meta Data Hub)]]</f>
        <v>#REF!</v>
      </c>
      <c r="S91" s="18" t="e">
        <f>IF([3]!Table14[[#This Row],[Nullable in Table and in Oracle View
NULL, NOT NULL]]="No","NOT NULL","NULL")=VLOOKUP(A91,[2]Model!C$2:I$228,6,FALSE)</f>
        <v>#REF!</v>
      </c>
      <c r="T91" s="18" t="e">
        <f>VLOOKUP(B91,[2]Table!A$2:F$415,1,FALSE)=[3]!Table14[[#This Row],[Physical Name of Attribute (Name of column in Table)
Supplied by DA Team]]</f>
        <v>#REF!</v>
      </c>
      <c r="U91" s="18" t="b">
        <f>VLOOKUP(B91,Table!A$2:F$319,2,FALSE)=Table1[[#This Row],[Data type in Oracle
VARCHAR2(n), DATE, NUMBER(m,n), TIMETSTAMP(6)]]</f>
        <v>1</v>
      </c>
      <c r="V91" s="18" t="b">
        <f>VLOOKUP(B91,Table!A$2:F$231,3,FALSE)=Table1[[#This Row],[Nullable in Table and in Oracle View
NULL, NOT NULL]]</f>
        <v>1</v>
      </c>
      <c r="W91" s="18" t="b">
        <f>VLOOKUP(B91,Table!A$2:H$228,6,FALSE)=Table1[[#This Row],[Business Definition (To go into comments and into Meta Data Hub)]]</f>
        <v>0</v>
      </c>
      <c r="X91" s="55" t="str">
        <f>VLOOKUP((UPPER(SUBSTITUTE(A91," ","_"))),'[2]Consumer View'!A$2:I$329,1,FALSE)</f>
        <v>CASH_SOURCE_SEQUENCE_NUMBER</v>
      </c>
      <c r="Y91" s="18" t="s">
        <v>68</v>
      </c>
      <c r="Z91" s="18" t="s">
        <v>375</v>
      </c>
      <c r="AA91" s="18" t="s">
        <v>555</v>
      </c>
      <c r="AB91" s="18"/>
      <c r="AC91" s="18"/>
      <c r="AD91" s="18" t="s">
        <v>468</v>
      </c>
      <c r="AE91" s="46"/>
      <c r="AF91" s="18"/>
      <c r="AG91" s="18"/>
      <c r="AH91" s="18" t="s">
        <v>71</v>
      </c>
    </row>
    <row r="92" spans="1:34" ht="27" hidden="1" customHeight="1">
      <c r="A92" s="51" t="s">
        <v>556</v>
      </c>
      <c r="B92" s="18" t="s">
        <v>557</v>
      </c>
      <c r="C92" s="18" t="s">
        <v>558</v>
      </c>
      <c r="D92" s="55" t="s">
        <v>559</v>
      </c>
      <c r="E92" s="18" t="s">
        <v>63</v>
      </c>
      <c r="F92" s="18" t="s">
        <v>560</v>
      </c>
      <c r="G92" s="45" t="s">
        <v>63</v>
      </c>
      <c r="H92" s="46" t="s">
        <v>561</v>
      </c>
      <c r="I92" s="18"/>
      <c r="J92" s="18" t="s">
        <v>381</v>
      </c>
      <c r="K92" s="18">
        <v>3</v>
      </c>
      <c r="L92" s="18"/>
      <c r="M92" s="18"/>
      <c r="N92" s="18"/>
      <c r="O92" s="18" t="b">
        <f>VLOOKUP(A92,[1]Model!C$2:J$559,2,FALSE)=B92</f>
        <v>1</v>
      </c>
      <c r="P92" s="18" t="b">
        <f>VLOOKUP(A92,Model!C$2:G$228,5,FALSE)=D92</f>
        <v>1</v>
      </c>
      <c r="Q92" s="18">
        <f>VLOOKUP(A92,[2]Model!C$2:L$228,8,FALSE)</f>
        <v>40</v>
      </c>
      <c r="R92" s="18" t="e">
        <f>VLOOKUP(A92,[2]Model!C$2:G$228,3,FALSE)=[3]!Table14[[#This Row],[Business Definition (To go into comments and into Meta Data Hub)]]</f>
        <v>#REF!</v>
      </c>
      <c r="S92" s="18" t="e">
        <f>IF([3]!Table14[[#This Row],[Nullable in Table and in Oracle View
NULL, NOT NULL]]="No","NOT NULL","NULL")=VLOOKUP(A92,[2]Model!C$2:I$228,6,FALSE)</f>
        <v>#REF!</v>
      </c>
      <c r="T92" s="18" t="e">
        <f>VLOOKUP(B92,[2]Table!A$2:F$415,1,FALSE)=[3]!Table14[[#This Row],[Physical Name of Attribute (Name of column in Table)
Supplied by DA Team]]</f>
        <v>#REF!</v>
      </c>
      <c r="U92" s="18" t="b">
        <f>VLOOKUP(B92,Table!A$2:F$319,2,FALSE)=Table1[[#This Row],[Data type in Oracle
VARCHAR2(n), DATE, NUMBER(m,n), TIMETSTAMP(6)]]</f>
        <v>1</v>
      </c>
      <c r="V92" s="18" t="b">
        <f>VLOOKUP(B92,Table!A$2:F$231,3,FALSE)=Table1[[#This Row],[Nullable in Table and in Oracle View
NULL, NOT NULL]]</f>
        <v>1</v>
      </c>
      <c r="W92" s="18" t="b">
        <f>VLOOKUP(B92,Table!A$2:H$228,6,FALSE)=Table1[[#This Row],[Business Definition (To go into comments and into Meta Data Hub)]]</f>
        <v>0</v>
      </c>
      <c r="X92" s="55" t="str">
        <f>VLOOKUP((UPPER(SUBSTITUTE(A92," ","_"))),'[2]Consumer View'!A$2:I$329,1,FALSE)</f>
        <v>CASH_SYSTEM_BASE_CURRENCY_AMOUNT</v>
      </c>
      <c r="Y92" s="18" t="s">
        <v>68</v>
      </c>
      <c r="Z92" s="18" t="s">
        <v>375</v>
      </c>
      <c r="AA92" s="18" t="s">
        <v>562</v>
      </c>
      <c r="AB92" s="18"/>
      <c r="AC92" s="18"/>
      <c r="AD92" s="46" t="s">
        <v>563</v>
      </c>
      <c r="AE92" s="46"/>
      <c r="AF92" s="18"/>
      <c r="AG92" s="18"/>
      <c r="AH92" s="18" t="s">
        <v>71</v>
      </c>
    </row>
    <row r="93" spans="1:34" ht="27" hidden="1" customHeight="1">
      <c r="A93" s="51" t="s">
        <v>564</v>
      </c>
      <c r="B93" s="18" t="s">
        <v>565</v>
      </c>
      <c r="C93" s="18" t="s">
        <v>566</v>
      </c>
      <c r="D93" s="55" t="s">
        <v>559</v>
      </c>
      <c r="E93" s="18" t="s">
        <v>63</v>
      </c>
      <c r="F93" s="18" t="s">
        <v>560</v>
      </c>
      <c r="G93" s="45" t="s">
        <v>63</v>
      </c>
      <c r="H93" s="46" t="s">
        <v>567</v>
      </c>
      <c r="I93" s="18"/>
      <c r="J93" s="18" t="s">
        <v>381</v>
      </c>
      <c r="K93" s="18">
        <v>3</v>
      </c>
      <c r="L93" s="18"/>
      <c r="M93" s="18"/>
      <c r="N93" s="18"/>
      <c r="O93" s="18" t="b">
        <f>VLOOKUP(A93,[1]Model!C$2:J$559,2,FALSE)=B93</f>
        <v>1</v>
      </c>
      <c r="P93" s="18" t="b">
        <f>VLOOKUP(A93,Model!C$2:G$228,5,FALSE)=D93</f>
        <v>1</v>
      </c>
      <c r="Q93" s="18">
        <f>VLOOKUP(A93,[2]Model!C$2:L$228,8,FALSE)</f>
        <v>30</v>
      </c>
      <c r="R93" s="18" t="e">
        <f>VLOOKUP(A93,[2]Model!C$2:G$228,3,FALSE)=[3]!Table14[[#This Row],[Business Definition (To go into comments and into Meta Data Hub)]]</f>
        <v>#REF!</v>
      </c>
      <c r="S93" s="18" t="e">
        <f>IF([3]!Table14[[#This Row],[Nullable in Table and in Oracle View
NULL, NOT NULL]]="No","NOT NULL","NULL")=VLOOKUP(A93,[2]Model!C$2:I$228,6,FALSE)</f>
        <v>#REF!</v>
      </c>
      <c r="T93" s="18" t="e">
        <f>VLOOKUP(B93,[2]Table!A$2:F$415,1,FALSE)=[3]!Table14[[#This Row],[Physical Name of Attribute (Name of column in Table)
Supplied by DA Team]]</f>
        <v>#REF!</v>
      </c>
      <c r="U93" s="18" t="b">
        <f>VLOOKUP(B93,Table!A$2:F$319,2,FALSE)=Table1[[#This Row],[Data type in Oracle
VARCHAR2(n), DATE, NUMBER(m,n), TIMETSTAMP(6)]]</f>
        <v>1</v>
      </c>
      <c r="V93" s="18" t="b">
        <f>VLOOKUP(B93,Table!A$2:F$231,3,FALSE)=Table1[[#This Row],[Nullable in Table and in Oracle View
NULL, NOT NULL]]</f>
        <v>1</v>
      </c>
      <c r="W93" s="18" t="b">
        <f>VLOOKUP(B93,Table!A$2:H$228,6,FALSE)=Table1[[#This Row],[Business Definition (To go into comments and into Meta Data Hub)]]</f>
        <v>0</v>
      </c>
      <c r="X93" s="55" t="str">
        <f>VLOOKUP((UPPER(SUBSTITUTE(A93," ","_"))),'[2]Consumer View'!A$2:I$329,1,FALSE)</f>
        <v>CASH_TRANSACTION_AMOUNT</v>
      </c>
      <c r="Y93" s="18" t="s">
        <v>68</v>
      </c>
      <c r="Z93" s="18" t="s">
        <v>375</v>
      </c>
      <c r="AA93" s="18" t="s">
        <v>568</v>
      </c>
      <c r="AB93" s="18"/>
      <c r="AC93" s="18"/>
      <c r="AD93" s="46" t="s">
        <v>563</v>
      </c>
      <c r="AE93" s="46"/>
      <c r="AF93" s="18"/>
      <c r="AG93" s="18"/>
      <c r="AH93" s="18" t="s">
        <v>71</v>
      </c>
    </row>
    <row r="94" spans="1:34" ht="27" hidden="1" customHeight="1">
      <c r="A94" s="51" t="s">
        <v>569</v>
      </c>
      <c r="B94" s="18" t="s">
        <v>570</v>
      </c>
      <c r="C94" s="18" t="s">
        <v>571</v>
      </c>
      <c r="D94" s="18" t="s">
        <v>464</v>
      </c>
      <c r="E94" s="18" t="s">
        <v>63</v>
      </c>
      <c r="F94" s="18" t="s">
        <v>465</v>
      </c>
      <c r="G94" s="45" t="s">
        <v>63</v>
      </c>
      <c r="H94" s="46" t="s">
        <v>572</v>
      </c>
      <c r="I94" s="18"/>
      <c r="J94" s="18" t="s">
        <v>347</v>
      </c>
      <c r="K94" s="18">
        <v>3</v>
      </c>
      <c r="L94" s="18"/>
      <c r="M94" s="18"/>
      <c r="N94" s="18"/>
      <c r="O94" s="18" t="b">
        <f>VLOOKUP(A94,[1]Model!C$2:J$559,2,FALSE)=B94</f>
        <v>1</v>
      </c>
      <c r="P94" s="18" t="b">
        <f>VLOOKUP(A94,Model!C$2:G$228,5,FALSE)=D94</f>
        <v>1</v>
      </c>
      <c r="Q94" s="18">
        <f>VLOOKUP(A94,[2]Model!C$2:L$228,8,FALSE)</f>
        <v>100</v>
      </c>
      <c r="R94" s="18" t="e">
        <f>VLOOKUP(A94,[2]Model!C$2:G$228,3,FALSE)=[3]!Table14[[#This Row],[Business Definition (To go into comments and into Meta Data Hub)]]</f>
        <v>#REF!</v>
      </c>
      <c r="S94" s="18" t="e">
        <f>IF([3]!Table14[[#This Row],[Nullable in Table and in Oracle View
NULL, NOT NULL]]="No","NOT NULL","NULL")=VLOOKUP(A94,[2]Model!C$2:I$228,6,FALSE)</f>
        <v>#REF!</v>
      </c>
      <c r="T94" s="18" t="e">
        <f>VLOOKUP(B94,[2]Table!A$2:F$415,1,FALSE)=[3]!Table14[[#This Row],[Physical Name of Attribute (Name of column in Table)
Supplied by DA Team]]</f>
        <v>#REF!</v>
      </c>
      <c r="U94" s="18" t="b">
        <f>VLOOKUP(B94,Table!A$2:F$319,2,FALSE)=Table1[[#This Row],[Data type in Oracle
VARCHAR2(n), DATE, NUMBER(m,n), TIMETSTAMP(6)]]</f>
        <v>0</v>
      </c>
      <c r="V94" s="18" t="b">
        <f>VLOOKUP(B94,Table!A$2:F$231,3,FALSE)=Table1[[#This Row],[Nullable in Table and in Oracle View
NULL, NOT NULL]]</f>
        <v>1</v>
      </c>
      <c r="W94" s="18" t="b">
        <f>VLOOKUP(B94,Table!A$2:H$228,6,FALSE)=Table1[[#This Row],[Business Definition (To go into comments and into Meta Data Hub)]]</f>
        <v>1</v>
      </c>
      <c r="X94" s="55" t="str">
        <f>VLOOKUP((UPPER(SUBSTITUTE(A94," ","_"))),'[2]Consumer View'!A$2:I$329,1,FALSE)</f>
        <v>CLIENT_FRIENDLY_DESCRIPTION</v>
      </c>
      <c r="Y94" s="18" t="s">
        <v>68</v>
      </c>
      <c r="Z94" s="18" t="s">
        <v>375</v>
      </c>
      <c r="AA94" s="18" t="s">
        <v>573</v>
      </c>
      <c r="AB94" s="18"/>
      <c r="AC94" s="18"/>
      <c r="AD94" s="18" t="s">
        <v>574</v>
      </c>
      <c r="AE94" s="46"/>
      <c r="AF94" s="18"/>
      <c r="AG94" s="18"/>
      <c r="AH94" s="18" t="s">
        <v>71</v>
      </c>
    </row>
    <row r="95" spans="1:34" ht="27" hidden="1" customHeight="1">
      <c r="A95" s="51" t="s">
        <v>575</v>
      </c>
      <c r="B95" s="18" t="s">
        <v>576</v>
      </c>
      <c r="C95" s="18" t="s">
        <v>577</v>
      </c>
      <c r="D95" s="18" t="s">
        <v>157</v>
      </c>
      <c r="E95" s="18" t="s">
        <v>345</v>
      </c>
      <c r="F95" s="18" t="s">
        <v>158</v>
      </c>
      <c r="G95" s="45" t="s">
        <v>63</v>
      </c>
      <c r="H95" s="46" t="s">
        <v>578</v>
      </c>
      <c r="I95" s="18"/>
      <c r="J95" s="18" t="s">
        <v>347</v>
      </c>
      <c r="K95" s="18">
        <v>3</v>
      </c>
      <c r="L95" s="18"/>
      <c r="M95" s="18"/>
      <c r="N95" s="18"/>
      <c r="O95" s="18" t="b">
        <f>VLOOKUP(A95,[1]Model!C$2:J$559,2,FALSE)=B95</f>
        <v>1</v>
      </c>
      <c r="P95" s="18" t="b">
        <f>VLOOKUP(A95,Model!C$2:G$228,5,FALSE)=D95</f>
        <v>1</v>
      </c>
      <c r="Q95" s="18">
        <f>VLOOKUP(A95,[2]Model!C$2:L$228,8,FALSE)</f>
        <v>91</v>
      </c>
      <c r="R95" s="18" t="e">
        <f>VLOOKUP(A95,[2]Model!C$2:G$228,3,FALSE)=[3]!Table14[[#This Row],[Business Definition (To go into comments and into Meta Data Hub)]]</f>
        <v>#REF!</v>
      </c>
      <c r="S95" s="18" t="e">
        <f>IF([3]!Table14[[#This Row],[Nullable in Table and in Oracle View
NULL, NOT NULL]]="No","NOT NULL","NULL")=VLOOKUP(A95,[2]Model!C$2:I$228,6,FALSE)</f>
        <v>#REF!</v>
      </c>
      <c r="T95" s="18" t="e">
        <f>VLOOKUP(B95,[2]Table!A$2:F$415,1,FALSE)=[3]!Table14[[#This Row],[Physical Name of Attribute (Name of column in Table)
Supplied by DA Team]]</f>
        <v>#REF!</v>
      </c>
      <c r="U95" s="18" t="b">
        <f>VLOOKUP(B95,Table!A$2:F$319,2,FALSE)=Table1[[#This Row],[Data type in Oracle
VARCHAR2(n), DATE, NUMBER(m,n), TIMETSTAMP(6)]]</f>
        <v>1</v>
      </c>
      <c r="V95" s="18" t="b">
        <f>VLOOKUP(B95,Table!A$2:F$231,3,FALSE)=Table1[[#This Row],[Nullable in Table and in Oracle View
NULL, NOT NULL]]</f>
        <v>1</v>
      </c>
      <c r="W95" s="18" t="b">
        <f>VLOOKUP(B95,Table!A$2:H$228,6,FALSE)=Table1[[#This Row],[Business Definition (To go into comments and into Meta Data Hub)]]</f>
        <v>1</v>
      </c>
      <c r="X95" s="55" t="str">
        <f>VLOOKUP((UPPER(SUBSTITUTE(A95," ","_"))),'[2]Consumer View'!A$2:I$329,1,FALSE)</f>
        <v>CREATE_DATETIME</v>
      </c>
      <c r="Y95" s="18" t="s">
        <v>68</v>
      </c>
      <c r="Z95" s="18" t="s">
        <v>69</v>
      </c>
      <c r="AA95" s="18" t="s">
        <v>576</v>
      </c>
      <c r="AB95" s="18"/>
      <c r="AC95" s="18"/>
      <c r="AD95" s="18"/>
      <c r="AE95" s="46"/>
      <c r="AF95" s="18"/>
      <c r="AG95" s="18"/>
      <c r="AH95" s="18" t="s">
        <v>71</v>
      </c>
    </row>
    <row r="96" spans="1:34" ht="27" hidden="1" customHeight="1">
      <c r="A96" s="51" t="s">
        <v>579</v>
      </c>
      <c r="B96" s="18" t="s">
        <v>580</v>
      </c>
      <c r="C96" s="18" t="s">
        <v>581</v>
      </c>
      <c r="D96" s="55" t="s">
        <v>464</v>
      </c>
      <c r="E96" s="18" t="s">
        <v>345</v>
      </c>
      <c r="F96" s="18" t="s">
        <v>465</v>
      </c>
      <c r="G96" s="45" t="s">
        <v>63</v>
      </c>
      <c r="H96" s="46" t="s">
        <v>582</v>
      </c>
      <c r="I96" s="18"/>
      <c r="J96" s="18" t="s">
        <v>381</v>
      </c>
      <c r="K96" s="18">
        <v>3</v>
      </c>
      <c r="L96" s="18"/>
      <c r="M96" s="18"/>
      <c r="N96" s="18"/>
      <c r="O96" s="18" t="b">
        <f>VLOOKUP(A96,[1]Model!C$2:J$559,2,FALSE)=B96</f>
        <v>1</v>
      </c>
      <c r="P96" s="18" t="b">
        <f>VLOOKUP(A96,Model!C$2:G$228,5,FALSE)=D96</f>
        <v>1</v>
      </c>
      <c r="Q96" s="18">
        <f>VLOOKUP(A96,[2]Model!C$2:L$228,8,FALSE)</f>
        <v>90</v>
      </c>
      <c r="R96" s="18" t="e">
        <f>VLOOKUP(A96,[2]Model!C$2:G$228,3,FALSE)=[3]!Table14[[#This Row],[Business Definition (To go into comments and into Meta Data Hub)]]</f>
        <v>#REF!</v>
      </c>
      <c r="S96" s="18" t="e">
        <f>IF([3]!Table14[[#This Row],[Nullable in Table and in Oracle View
NULL, NOT NULL]]="No","NOT NULL","NULL")=VLOOKUP(A96,[2]Model!C$2:I$228,6,FALSE)</f>
        <v>#REF!</v>
      </c>
      <c r="T96" s="18" t="e">
        <f>VLOOKUP(B96,[2]Table!A$2:F$415,1,FALSE)=[3]!Table14[[#This Row],[Physical Name of Attribute (Name of column in Table)
Supplied by DA Team]]</f>
        <v>#REF!</v>
      </c>
      <c r="U96" s="18" t="b">
        <f>VLOOKUP(B96,Table!A$2:F$319,2,FALSE)=Table1[[#This Row],[Data type in Oracle
VARCHAR2(n), DATE, NUMBER(m,n), TIMETSTAMP(6)]]</f>
        <v>0</v>
      </c>
      <c r="V96" s="18" t="b">
        <f>VLOOKUP(B96,Table!A$2:F$231,3,FALSE)=Table1[[#This Row],[Nullable in Table and in Oracle View
NULL, NOT NULL]]</f>
        <v>1</v>
      </c>
      <c r="W96" s="18" t="b">
        <f>VLOOKUP(B96,Table!A$2:H$228,6,FALSE)=Table1[[#This Row],[Business Definition (To go into comments and into Meta Data Hub)]]</f>
        <v>1</v>
      </c>
      <c r="X96" s="55" t="str">
        <f>VLOOKUP((UPPER(SUBSTITUTE(A96," ","_"))),'[2]Consumer View'!A$2:I$329,1,FALSE)</f>
        <v>CREATE_USER_NAME</v>
      </c>
      <c r="Y96" s="18" t="s">
        <v>68</v>
      </c>
      <c r="Z96" s="18" t="s">
        <v>69</v>
      </c>
      <c r="AA96" s="18" t="s">
        <v>580</v>
      </c>
      <c r="AB96" s="18"/>
      <c r="AC96" s="18"/>
      <c r="AD96" s="18"/>
      <c r="AE96" s="46"/>
      <c r="AF96" s="18"/>
      <c r="AG96" s="18"/>
      <c r="AH96" s="18" t="s">
        <v>71</v>
      </c>
    </row>
    <row r="97" spans="1:34" ht="27" hidden="1" customHeight="1">
      <c r="A97" s="51" t="s">
        <v>583</v>
      </c>
      <c r="B97" s="18" t="s">
        <v>584</v>
      </c>
      <c r="C97" s="18" t="s">
        <v>585</v>
      </c>
      <c r="D97" s="18" t="s">
        <v>268</v>
      </c>
      <c r="E97" s="18" t="s">
        <v>63</v>
      </c>
      <c r="F97" s="18" t="s">
        <v>269</v>
      </c>
      <c r="G97" s="45" t="s">
        <v>63</v>
      </c>
      <c r="H97" s="46" t="s">
        <v>586</v>
      </c>
      <c r="I97" s="18"/>
      <c r="J97" s="18" t="s">
        <v>347</v>
      </c>
      <c r="K97" s="18">
        <v>3</v>
      </c>
      <c r="L97" s="18"/>
      <c r="M97" s="18"/>
      <c r="N97" s="18"/>
      <c r="O97" s="18" t="b">
        <f>VLOOKUP(A97,[1]Model!C$2:J$559,2,FALSE)=B97</f>
        <v>1</v>
      </c>
      <c r="P97" s="18" t="b">
        <f>VLOOKUP(A97,Model!C$2:G$228,5,FALSE)=D97</f>
        <v>1</v>
      </c>
      <c r="Q97" s="18">
        <f>VLOOKUP(A97,[2]Model!C$2:L$228,8,FALSE)</f>
        <v>112</v>
      </c>
      <c r="R97" s="18" t="e">
        <f>VLOOKUP(A97,[2]Model!C$2:G$228,3,FALSE)=[3]!Table14[[#This Row],[Business Definition (To go into comments and into Meta Data Hub)]]</f>
        <v>#REF!</v>
      </c>
      <c r="S97" s="18" t="e">
        <f>IF([3]!Table14[[#This Row],[Nullable in Table and in Oracle View
NULL, NOT NULL]]="No","NOT NULL","NULL")=VLOOKUP(A97,[2]Model!C$2:I$228,6,FALSE)</f>
        <v>#REF!</v>
      </c>
      <c r="T97" s="18" t="e">
        <f>VLOOKUP(B97,[2]Table!A$2:F$415,1,FALSE)=[3]!Table14[[#This Row],[Physical Name of Attribute (Name of column in Table)
Supplied by DA Team]]</f>
        <v>#REF!</v>
      </c>
      <c r="U97" s="18" t="b">
        <f>VLOOKUP(B97,Table!A$2:F$319,2,FALSE)=Table1[[#This Row],[Data type in Oracle
VARCHAR2(n), DATE, NUMBER(m,n), TIMETSTAMP(6)]]</f>
        <v>0</v>
      </c>
      <c r="V97" s="18" t="b">
        <f>VLOOKUP(B97,Table!A$2:F$231,3,FALSE)=Table1[[#This Row],[Nullable in Table and in Oracle View
NULL, NOT NULL]]</f>
        <v>1</v>
      </c>
      <c r="W97" s="18" t="b">
        <f>VLOOKUP(B97,Table!A$2:H$228,6,FALSE)=Table1[[#This Row],[Business Definition (To go into comments and into Meta Data Hub)]]</f>
        <v>1</v>
      </c>
      <c r="X97" s="55" t="str">
        <f>VLOOKUP((UPPER(SUBSTITUTE(A97," ","_"))),'[2]Consumer View'!A$2:I$329,1,FALSE)</f>
        <v>CURRENCY_CODE</v>
      </c>
      <c r="Y97" s="18" t="s">
        <v>68</v>
      </c>
      <c r="Z97" s="18" t="s">
        <v>375</v>
      </c>
      <c r="AA97" s="18" t="s">
        <v>587</v>
      </c>
      <c r="AB97" s="18"/>
      <c r="AC97" s="18"/>
      <c r="AD97" s="46"/>
      <c r="AE97" s="46"/>
      <c r="AF97" s="18"/>
      <c r="AG97" s="18"/>
      <c r="AH97" s="18" t="s">
        <v>588</v>
      </c>
    </row>
    <row r="98" spans="1:34" ht="27" hidden="1" customHeight="1">
      <c r="A98" s="51" t="s">
        <v>589</v>
      </c>
      <c r="B98" s="18" t="s">
        <v>590</v>
      </c>
      <c r="C98" s="18"/>
      <c r="D98" s="18" t="s">
        <v>101</v>
      </c>
      <c r="E98" s="18" t="s">
        <v>63</v>
      </c>
      <c r="F98" s="18" t="s">
        <v>133</v>
      </c>
      <c r="G98" s="45" t="s">
        <v>63</v>
      </c>
      <c r="H98" s="46" t="s">
        <v>591</v>
      </c>
      <c r="I98" s="18"/>
      <c r="J98" s="18" t="s">
        <v>347</v>
      </c>
      <c r="K98" s="18">
        <v>3</v>
      </c>
      <c r="L98" s="18"/>
      <c r="M98" s="18"/>
      <c r="N98" s="18"/>
      <c r="O98" s="18" t="b">
        <f>VLOOKUP(A98,[1]Model!C$2:J$559,2,FALSE)=B98</f>
        <v>1</v>
      </c>
      <c r="P98" s="18" t="b">
        <f>VLOOKUP(A98,Model!C$2:G$228,5,FALSE)=D98</f>
        <v>1</v>
      </c>
      <c r="Q98" s="18">
        <f>VLOOKUP(A98,[2]Model!C$2:L$228,8,FALSE)</f>
        <v>18</v>
      </c>
      <c r="R98" s="18" t="e">
        <f>VLOOKUP(A98,[2]Model!C$2:G$228,3,FALSE)=[3]!Table14[[#This Row],[Business Definition (To go into comments and into Meta Data Hub)]]</f>
        <v>#REF!</v>
      </c>
      <c r="S98" s="18" t="e">
        <f>IF([3]!Table14[[#This Row],[Nullable in Table and in Oracle View
NULL, NOT NULL]]="No","NOT NULL","NULL")=VLOOKUP(A98,[2]Model!C$2:I$228,6,FALSE)</f>
        <v>#REF!</v>
      </c>
      <c r="T98" s="18" t="e">
        <f>VLOOKUP(B98,[2]Table!A$2:F$415,1,FALSE)=[3]!Table14[[#This Row],[Physical Name of Attribute (Name of column in Table)
Supplied by DA Team]]</f>
        <v>#REF!</v>
      </c>
      <c r="U98" s="18" t="b">
        <f>VLOOKUP(B98,Table!A$2:F$319,2,FALSE)=Table1[[#This Row],[Data type in Oracle
VARCHAR2(n), DATE, NUMBER(m,n), TIMETSTAMP(6)]]</f>
        <v>1</v>
      </c>
      <c r="V98" s="18" t="b">
        <f>VLOOKUP(B98,Table!A$2:F$231,3,FALSE)=Table1[[#This Row],[Nullable in Table and in Oracle View
NULL, NOT NULL]]</f>
        <v>1</v>
      </c>
      <c r="W98" s="18" t="b">
        <f>VLOOKUP(B98,Table!A$2:H$228,6,FALSE)=Table1[[#This Row],[Business Definition (To go into comments and into Meta Data Hub)]]</f>
        <v>1</v>
      </c>
      <c r="X98" s="55" t="str">
        <f>VLOOKUP((UPPER(SUBSTITUTE(A98," ","_"))),'[2]Consumer View'!A$2:I$329,1,FALSE)</f>
        <v>CURRENCY_DIMENSION_ID</v>
      </c>
      <c r="Y98" s="18" t="s">
        <v>355</v>
      </c>
      <c r="Z98" s="18" t="s">
        <v>592</v>
      </c>
      <c r="AA98" s="18" t="s">
        <v>590</v>
      </c>
      <c r="AB98" s="18"/>
      <c r="AC98" s="18"/>
      <c r="AD98" s="18" t="s">
        <v>593</v>
      </c>
      <c r="AE98" s="46"/>
      <c r="AF98" s="18"/>
      <c r="AG98" s="18"/>
      <c r="AH98" s="18" t="s">
        <v>351</v>
      </c>
    </row>
    <row r="99" spans="1:34" ht="27" hidden="1" customHeight="1">
      <c r="A99" s="51" t="s">
        <v>594</v>
      </c>
      <c r="B99" s="18" t="s">
        <v>595</v>
      </c>
      <c r="C99" s="18" t="s">
        <v>596</v>
      </c>
      <c r="D99" s="18" t="s">
        <v>139</v>
      </c>
      <c r="E99" s="18" t="s">
        <v>63</v>
      </c>
      <c r="F99" s="18" t="s">
        <v>140</v>
      </c>
      <c r="G99" s="45" t="s">
        <v>63</v>
      </c>
      <c r="H99" s="46" t="s">
        <v>597</v>
      </c>
      <c r="I99" s="18"/>
      <c r="J99" s="18" t="s">
        <v>347</v>
      </c>
      <c r="K99" s="18">
        <v>3</v>
      </c>
      <c r="L99" s="18"/>
      <c r="M99" s="18"/>
      <c r="N99" s="18"/>
      <c r="O99" s="18" t="b">
        <f>VLOOKUP(A99,[1]Model!C$2:J$559,2,FALSE)=B99</f>
        <v>1</v>
      </c>
      <c r="P99" s="18" t="b">
        <f>VLOOKUP(A99,Model!C$2:G$228,5,FALSE)=D99</f>
        <v>1</v>
      </c>
      <c r="Q99" s="18">
        <f>VLOOKUP(A99,[2]Model!C$2:L$228,8,FALSE)</f>
        <v>113</v>
      </c>
      <c r="R99" s="18" t="e">
        <f>VLOOKUP(A99,[2]Model!C$2:G$228,3,FALSE)=[3]!Table14[[#This Row],[Business Definition (To go into comments and into Meta Data Hub)]]</f>
        <v>#REF!</v>
      </c>
      <c r="S99" s="18" t="e">
        <f>IF([3]!Table14[[#This Row],[Nullable in Table and in Oracle View
NULL, NOT NULL]]="No","NOT NULL","NULL")=VLOOKUP(A99,[2]Model!C$2:I$228,6,FALSE)</f>
        <v>#REF!</v>
      </c>
      <c r="T99" s="18" t="e">
        <f>VLOOKUP(B99,[2]Table!A$2:F$415,1,FALSE)=[3]!Table14[[#This Row],[Physical Name of Attribute (Name of column in Table)
Supplied by DA Team]]</f>
        <v>#REF!</v>
      </c>
      <c r="U99" s="18" t="b">
        <f>VLOOKUP(B99,Table!A$2:F$319,2,FALSE)=Table1[[#This Row],[Data type in Oracle
VARCHAR2(n), DATE, NUMBER(m,n), TIMETSTAMP(6)]]</f>
        <v>0</v>
      </c>
      <c r="V99" s="18" t="b">
        <f>VLOOKUP(B99,Table!A$2:F$231,3,FALSE)=Table1[[#This Row],[Nullable in Table and in Oracle View
NULL, NOT NULL]]</f>
        <v>1</v>
      </c>
      <c r="W99" s="18" t="b">
        <f>VLOOKUP(B99,Table!A$2:H$228,6,FALSE)=Table1[[#This Row],[Business Definition (To go into comments and into Meta Data Hub)]]</f>
        <v>1</v>
      </c>
      <c r="X99" s="55" t="str">
        <f>VLOOKUP((UPPER(SUBSTITUTE(A99," ","_"))),'[2]Consumer View'!A$2:I$329,1,FALSE)</f>
        <v>DEPARTMENT_OF_LABOR_INDICATOR_CODE</v>
      </c>
      <c r="Y99" s="18" t="s">
        <v>68</v>
      </c>
      <c r="Z99" s="18" t="s">
        <v>113</v>
      </c>
      <c r="AA99" s="18" t="s">
        <v>143</v>
      </c>
      <c r="AB99" s="18"/>
      <c r="AC99" s="18"/>
      <c r="AD99" s="18" t="s">
        <v>598</v>
      </c>
      <c r="AE99" s="46" t="s">
        <v>599</v>
      </c>
      <c r="AF99" s="18"/>
      <c r="AG99" s="18"/>
      <c r="AH99" s="18" t="s">
        <v>71</v>
      </c>
    </row>
    <row r="100" spans="1:34" ht="27" hidden="1" customHeight="1">
      <c r="A100" s="51" t="s">
        <v>600</v>
      </c>
      <c r="B100" s="18" t="s">
        <v>601</v>
      </c>
      <c r="C100" s="18"/>
      <c r="D100" s="18" t="s">
        <v>101</v>
      </c>
      <c r="E100" s="18" t="s">
        <v>63</v>
      </c>
      <c r="F100" s="18" t="s">
        <v>133</v>
      </c>
      <c r="G100" s="45" t="s">
        <v>63</v>
      </c>
      <c r="H100" s="46" t="s">
        <v>602</v>
      </c>
      <c r="I100" s="18"/>
      <c r="J100" s="18" t="s">
        <v>347</v>
      </c>
      <c r="K100" s="18">
        <v>3</v>
      </c>
      <c r="L100" s="18"/>
      <c r="M100" s="18"/>
      <c r="N100" s="18"/>
      <c r="O100" s="18" t="b">
        <f>VLOOKUP(A100,[1]Model!C$2:J$559,2,FALSE)=B100</f>
        <v>1</v>
      </c>
      <c r="P100" s="18" t="b">
        <f>VLOOKUP(A100,Model!C$2:G$228,5,FALSE)=D100</f>
        <v>1</v>
      </c>
      <c r="Q100" s="18">
        <f>VLOOKUP(A100,[2]Model!C$2:L$228,8,FALSE)</f>
        <v>114</v>
      </c>
      <c r="R100" s="18" t="e">
        <f>VLOOKUP(A100,[2]Model!C$2:G$228,3,FALSE)=[3]!Table14[[#This Row],[Business Definition (To go into comments and into Meta Data Hub)]]</f>
        <v>#REF!</v>
      </c>
      <c r="S100" s="18" t="e">
        <f>IF([3]!Table14[[#This Row],[Nullable in Table and in Oracle View
NULL, NOT NULL]]="No","NOT NULL","NULL")=VLOOKUP(A100,[2]Model!C$2:I$228,6,FALSE)</f>
        <v>#REF!</v>
      </c>
      <c r="T100" s="18" t="e">
        <f>VLOOKUP(B100,[2]Table!A$2:F$415,1,FALSE)=[3]!Table14[[#This Row],[Physical Name of Attribute (Name of column in Table)
Supplied by DA Team]]</f>
        <v>#REF!</v>
      </c>
      <c r="U100" s="18" t="b">
        <f>VLOOKUP(B100,Table!A$2:F$319,2,FALSE)=Table1[[#This Row],[Data type in Oracle
VARCHAR2(n), DATE, NUMBER(m,n), TIMETSTAMP(6)]]</f>
        <v>1</v>
      </c>
      <c r="V100" s="18" t="b">
        <f>VLOOKUP(B100,Table!A$2:F$231,3,FALSE)=Table1[[#This Row],[Nullable in Table and in Oracle View
NULL, NOT NULL]]</f>
        <v>1</v>
      </c>
      <c r="W100" s="18" t="b">
        <f>VLOOKUP(B100,Table!A$2:H$228,6,FALSE)=Table1[[#This Row],[Business Definition (To go into comments and into Meta Data Hub)]]</f>
        <v>1</v>
      </c>
      <c r="X100" s="55" t="str">
        <f>VLOOKUP((UPPER(SUBSTITUTE(A100," ","_"))),'[2]Consumer View'!A$2:I$329,1,FALSE)</f>
        <v>DEPARTMENT_OF_LABOR_INDICATOR_ID</v>
      </c>
      <c r="Y100" s="18" t="s">
        <v>68</v>
      </c>
      <c r="Z100" s="18" t="s">
        <v>69</v>
      </c>
      <c r="AA100" s="18" t="s">
        <v>601</v>
      </c>
      <c r="AB100" s="18"/>
      <c r="AC100" s="18"/>
      <c r="AD100" s="18"/>
      <c r="AE100" s="46"/>
      <c r="AF100" s="18"/>
      <c r="AG100" s="18"/>
      <c r="AH100" s="18" t="s">
        <v>71</v>
      </c>
    </row>
    <row r="101" spans="1:34" ht="27" hidden="1" customHeight="1">
      <c r="A101" s="51" t="s">
        <v>603</v>
      </c>
      <c r="B101" s="18" t="s">
        <v>604</v>
      </c>
      <c r="C101" s="18" t="s">
        <v>605</v>
      </c>
      <c r="D101" s="18" t="s">
        <v>109</v>
      </c>
      <c r="E101" s="18" t="s">
        <v>63</v>
      </c>
      <c r="F101" s="18" t="s">
        <v>110</v>
      </c>
      <c r="G101" s="45" t="s">
        <v>63</v>
      </c>
      <c r="H101" s="46" t="s">
        <v>606</v>
      </c>
      <c r="I101" s="18"/>
      <c r="J101" s="18" t="s">
        <v>347</v>
      </c>
      <c r="K101" s="18">
        <v>3</v>
      </c>
      <c r="L101" s="18"/>
      <c r="M101" s="18"/>
      <c r="N101" s="18"/>
      <c r="O101" s="18" t="b">
        <f>VLOOKUP(A101,[1]Model!C$2:J$559,2,FALSE)=B101</f>
        <v>1</v>
      </c>
      <c r="P101" s="18" t="b">
        <f>VLOOKUP(A101,Model!C$2:G$228,5,FALSE)=D101</f>
        <v>1</v>
      </c>
      <c r="Q101" s="18">
        <f>VLOOKUP(A101,[2]Model!C$2:L$228,8,FALSE)</f>
        <v>115</v>
      </c>
      <c r="R101" s="18" t="e">
        <f>VLOOKUP(A101,[2]Model!C$2:G$228,3,FALSE)=[3]!Table14[[#This Row],[Business Definition (To go into comments and into Meta Data Hub)]]</f>
        <v>#REF!</v>
      </c>
      <c r="S101" s="18" t="e">
        <f>IF([3]!Table14[[#This Row],[Nullable in Table and in Oracle View
NULL, NOT NULL]]="No","NOT NULL","NULL")=VLOOKUP(A101,[2]Model!C$2:I$228,6,FALSE)</f>
        <v>#REF!</v>
      </c>
      <c r="T101" s="18" t="e">
        <f>VLOOKUP(B101,[2]Table!A$2:F$415,1,FALSE)=[3]!Table14[[#This Row],[Physical Name of Attribute (Name of column in Table)
Supplied by DA Team]]</f>
        <v>#REF!</v>
      </c>
      <c r="U101" s="18" t="b">
        <f>VLOOKUP(B101,Table!A$2:F$319,2,FALSE)=Table1[[#This Row],[Data type in Oracle
VARCHAR2(n), DATE, NUMBER(m,n), TIMETSTAMP(6)]]</f>
        <v>0</v>
      </c>
      <c r="V101" s="18" t="b">
        <f>VLOOKUP(B101,Table!A$2:F$231,3,FALSE)=Table1[[#This Row],[Nullable in Table and in Oracle View
NULL, NOT NULL]]</f>
        <v>1</v>
      </c>
      <c r="W101" s="18" t="b">
        <f>VLOOKUP(B101,Table!A$2:H$228,6,FALSE)=Table1[[#This Row],[Business Definition (To go into comments and into Meta Data Hub)]]</f>
        <v>1</v>
      </c>
      <c r="X101" s="55" t="str">
        <f>VLOOKUP((UPPER(SUBSTITUTE(A101," ","_"))),'[2]Consumer View'!A$2:I$329,1,FALSE)</f>
        <v>DEPARTMENT_OF_LABOR_INDICATOR_NAME</v>
      </c>
      <c r="Y101" s="18" t="s">
        <v>68</v>
      </c>
      <c r="Z101" s="18" t="s">
        <v>113</v>
      </c>
      <c r="AA101" s="18" t="s">
        <v>114</v>
      </c>
      <c r="AB101" s="18"/>
      <c r="AC101" s="18"/>
      <c r="AD101" s="18" t="s">
        <v>598</v>
      </c>
      <c r="AE101" s="46" t="s">
        <v>607</v>
      </c>
      <c r="AF101" s="18"/>
      <c r="AG101" s="18"/>
      <c r="AH101" s="18" t="s">
        <v>71</v>
      </c>
    </row>
    <row r="102" spans="1:34" ht="27" hidden="1" customHeight="1">
      <c r="A102" s="51" t="s">
        <v>608</v>
      </c>
      <c r="B102" s="18" t="s">
        <v>609</v>
      </c>
      <c r="C102" s="18" t="s">
        <v>610</v>
      </c>
      <c r="D102" s="18" t="s">
        <v>302</v>
      </c>
      <c r="E102" s="18" t="s">
        <v>63</v>
      </c>
      <c r="F102" s="18" t="s">
        <v>303</v>
      </c>
      <c r="G102" s="45" t="s">
        <v>63</v>
      </c>
      <c r="H102" s="46" t="s">
        <v>611</v>
      </c>
      <c r="I102" s="18"/>
      <c r="J102" s="18" t="s">
        <v>347</v>
      </c>
      <c r="K102" s="18">
        <v>3</v>
      </c>
      <c r="L102" s="18"/>
      <c r="M102" s="18"/>
      <c r="N102" s="18"/>
      <c r="O102" s="18" t="b">
        <f>VLOOKUP(A102,[1]Model!C$2:J$559,2,FALSE)=B102</f>
        <v>1</v>
      </c>
      <c r="P102" s="18" t="b">
        <f>VLOOKUP(A102,Model!C$2:G$228,5,FALSE)=D102</f>
        <v>1</v>
      </c>
      <c r="Q102" s="18">
        <f>VLOOKUP(A102,[2]Model!C$2:L$228,8,FALSE)</f>
        <v>116</v>
      </c>
      <c r="R102" s="18" t="e">
        <f>VLOOKUP(A102,[2]Model!C$2:G$228,3,FALSE)=[3]!Table14[[#This Row],[Business Definition (To go into comments and into Meta Data Hub)]]</f>
        <v>#REF!</v>
      </c>
      <c r="S102" s="18" t="e">
        <f>IF([3]!Table14[[#This Row],[Nullable in Table and in Oracle View
NULL, NOT NULL]]="No","NOT NULL","NULL")=VLOOKUP(A102,[2]Model!C$2:I$228,6,FALSE)</f>
        <v>#REF!</v>
      </c>
      <c r="T102" s="18" t="e">
        <f>VLOOKUP(B102,[2]Table!A$2:F$415,1,FALSE)=[3]!Table14[[#This Row],[Physical Name of Attribute (Name of column in Table)
Supplied by DA Team]]</f>
        <v>#REF!</v>
      </c>
      <c r="U102" s="18" t="b">
        <f>VLOOKUP(B102,Table!A$2:F$319,2,FALSE)=Table1[[#This Row],[Data type in Oracle
VARCHAR2(n), DATE, NUMBER(m,n), TIMETSTAMP(6)]]</f>
        <v>0</v>
      </c>
      <c r="V102" s="18" t="b">
        <f>VLOOKUP(B102,Table!A$2:F$231,3,FALSE)=Table1[[#This Row],[Nullable in Table and in Oracle View
NULL, NOT NULL]]</f>
        <v>1</v>
      </c>
      <c r="W102" s="18" t="b">
        <f>VLOOKUP(B102,Table!A$2:H$228,6,FALSE)=Table1[[#This Row],[Business Definition (To go into comments and into Meta Data Hub)]]</f>
        <v>1</v>
      </c>
      <c r="X102" s="55" t="str">
        <f>VLOOKUP((UPPER(SUBSTITUTE(A102," ","_"))),'[2]Consumer View'!A$2:I$329,1,FALSE)</f>
        <v>EXCHANGE_CODE</v>
      </c>
      <c r="Y102" s="18" t="s">
        <v>68</v>
      </c>
      <c r="Z102" s="18" t="s">
        <v>69</v>
      </c>
      <c r="AA102" s="18" t="s">
        <v>612</v>
      </c>
      <c r="AB102" s="18"/>
      <c r="AC102" s="18"/>
      <c r="AD102" s="18"/>
      <c r="AE102" s="46" t="s">
        <v>613</v>
      </c>
      <c r="AF102" s="18"/>
      <c r="AG102" s="18"/>
      <c r="AH102" s="18" t="s">
        <v>71</v>
      </c>
    </row>
    <row r="103" spans="1:34" ht="27" hidden="1" customHeight="1">
      <c r="A103" s="51" t="s">
        <v>614</v>
      </c>
      <c r="B103" s="18" t="s">
        <v>615</v>
      </c>
      <c r="C103" s="18" t="s">
        <v>616</v>
      </c>
      <c r="D103" s="18" t="s">
        <v>617</v>
      </c>
      <c r="E103" s="18" t="s">
        <v>63</v>
      </c>
      <c r="F103" s="18" t="s">
        <v>618</v>
      </c>
      <c r="G103" s="45" t="s">
        <v>63</v>
      </c>
      <c r="H103" s="46" t="s">
        <v>619</v>
      </c>
      <c r="I103" s="18"/>
      <c r="J103" s="18" t="s">
        <v>347</v>
      </c>
      <c r="K103" s="18">
        <v>3</v>
      </c>
      <c r="L103" s="18"/>
      <c r="M103" s="18"/>
      <c r="N103" s="18"/>
      <c r="O103" s="18" t="b">
        <f>VLOOKUP(A103,[1]Model!C$2:J$559,2,FALSE)=B103</f>
        <v>1</v>
      </c>
      <c r="P103" s="18" t="b">
        <f>VLOOKUP(A103,Model!C$2:G$228,5,FALSE)=D103</f>
        <v>1</v>
      </c>
      <c r="Q103" s="18">
        <f>VLOOKUP(A103,[2]Model!C$2:L$228,8,FALSE)</f>
        <v>117</v>
      </c>
      <c r="R103" s="18" t="e">
        <f>VLOOKUP(A103,[2]Model!C$2:G$228,3,FALSE)=[3]!Table14[[#This Row],[Business Definition (To go into comments and into Meta Data Hub)]]</f>
        <v>#REF!</v>
      </c>
      <c r="S103" s="18" t="e">
        <f>IF([3]!Table14[[#This Row],[Nullable in Table and in Oracle View
NULL, NOT NULL]]="No","NOT NULL","NULL")=VLOOKUP(A103,[2]Model!C$2:I$228,6,FALSE)</f>
        <v>#REF!</v>
      </c>
      <c r="T103" s="18" t="e">
        <f>VLOOKUP(B103,[2]Table!A$2:F$415,1,FALSE)=[3]!Table14[[#This Row],[Physical Name of Attribute (Name of column in Table)
Supplied by DA Team]]</f>
        <v>#REF!</v>
      </c>
      <c r="U103" s="18" t="b">
        <f>VLOOKUP(B103,Table!A$2:F$319,2,FALSE)=Table1[[#This Row],[Data type in Oracle
VARCHAR2(n), DATE, NUMBER(m,n), TIMETSTAMP(6)]]</f>
        <v>0</v>
      </c>
      <c r="V103" s="18" t="b">
        <f>VLOOKUP(B103,Table!A$2:F$231,3,FALSE)=Table1[[#This Row],[Nullable in Table and in Oracle View
NULL, NOT NULL]]</f>
        <v>1</v>
      </c>
      <c r="W103" s="18" t="b">
        <f>VLOOKUP(B103,Table!A$2:H$228,6,FALSE)=Table1[[#This Row],[Business Definition (To go into comments and into Meta Data Hub)]]</f>
        <v>1</v>
      </c>
      <c r="X103" s="55" t="str">
        <f>VLOOKUP((UPPER(SUBSTITUTE(A103," ","_"))),'[2]Consumer View'!A$2:I$329,1,FALSE)</f>
        <v>EXCHANGE_NAME</v>
      </c>
      <c r="Y103" s="18" t="s">
        <v>355</v>
      </c>
      <c r="Z103" s="18" t="s">
        <v>356</v>
      </c>
      <c r="AA103" s="18" t="s">
        <v>615</v>
      </c>
      <c r="AB103" s="18"/>
      <c r="AC103" s="18"/>
      <c r="AD103" s="18" t="s">
        <v>357</v>
      </c>
      <c r="AE103" s="46" t="s">
        <v>620</v>
      </c>
      <c r="AF103" s="18"/>
      <c r="AG103" s="18"/>
      <c r="AH103" s="18" t="s">
        <v>178</v>
      </c>
    </row>
    <row r="104" spans="1:34" ht="27" hidden="1" customHeight="1">
      <c r="A104" s="51" t="s">
        <v>621</v>
      </c>
      <c r="B104" s="18" t="s">
        <v>622</v>
      </c>
      <c r="C104" s="18" t="s">
        <v>623</v>
      </c>
      <c r="D104" s="18" t="s">
        <v>624</v>
      </c>
      <c r="E104" s="18" t="s">
        <v>63</v>
      </c>
      <c r="F104" s="18" t="s">
        <v>624</v>
      </c>
      <c r="G104" s="45" t="s">
        <v>63</v>
      </c>
      <c r="H104" s="46" t="s">
        <v>625</v>
      </c>
      <c r="I104" s="18"/>
      <c r="J104" s="18" t="s">
        <v>381</v>
      </c>
      <c r="K104" s="18">
        <v>3</v>
      </c>
      <c r="L104" s="18"/>
      <c r="M104" s="18"/>
      <c r="N104" s="18"/>
      <c r="O104" s="18" t="b">
        <f>VLOOKUP(A104,[1]Model!C$2:J$559,2,FALSE)=B104</f>
        <v>1</v>
      </c>
      <c r="P104" s="18" t="b">
        <f>VLOOKUP(A104,Model!C$2:G$228,5,FALSE)=D104</f>
        <v>1</v>
      </c>
      <c r="Q104" s="18">
        <f>VLOOKUP(A104,[2]Model!C$2:L$228,8,FALSE)</f>
        <v>197</v>
      </c>
      <c r="R104" s="18" t="e">
        <f>VLOOKUP(A104,[2]Model!C$2:G$228,3,FALSE)=[3]!Table14[[#This Row],[Business Definition (To go into comments and into Meta Data Hub)]]</f>
        <v>#REF!</v>
      </c>
      <c r="S104" s="18" t="e">
        <f>IF([3]!Table14[[#This Row],[Nullable in Table and in Oracle View
NULL, NOT NULL]]="No","NOT NULL","NULL")=VLOOKUP(A104,[2]Model!C$2:I$228,6,FALSE)</f>
        <v>#REF!</v>
      </c>
      <c r="T104" s="18" t="e">
        <f>VLOOKUP(B104,[2]Table!A$2:F$415,1,FALSE)=[3]!Table14[[#This Row],[Physical Name of Attribute (Name of column in Table)
Supplied by DA Team]]</f>
        <v>#REF!</v>
      </c>
      <c r="U104" s="18" t="b">
        <f>VLOOKUP(B104,Table!A$2:F$319,2,FALSE)=Table1[[#This Row],[Data type in Oracle
VARCHAR2(n), DATE, NUMBER(m,n), TIMETSTAMP(6)]]</f>
        <v>1</v>
      </c>
      <c r="V104" s="18" t="b">
        <f>VLOOKUP(B104,Table!A$2:F$231,3,FALSE)=Table1[[#This Row],[Nullable in Table and in Oracle View
NULL, NOT NULL]]</f>
        <v>1</v>
      </c>
      <c r="W104" s="18" t="b">
        <f>VLOOKUP(B104,Table!A$2:H$228,6,FALSE)=Table1[[#This Row],[Business Definition (To go into comments and into Meta Data Hub)]]</f>
        <v>1</v>
      </c>
      <c r="X104" s="55" t="str">
        <f>VLOOKUP((UPPER(SUBSTITUTE(A104," ","_"))),'[2]Consumer View'!A$2:I$329,1,FALSE)</f>
        <v>EXECUTION_DATE</v>
      </c>
      <c r="Y104" s="18" t="s">
        <v>68</v>
      </c>
      <c r="Z104" s="18" t="s">
        <v>69</v>
      </c>
      <c r="AA104" s="18" t="s">
        <v>622</v>
      </c>
      <c r="AB104" s="18"/>
      <c r="AC104" s="18"/>
      <c r="AD104" s="18"/>
      <c r="AE104" s="46"/>
      <c r="AF104" s="18"/>
      <c r="AG104" s="18"/>
      <c r="AH104" s="18" t="s">
        <v>71</v>
      </c>
    </row>
    <row r="105" spans="1:34" ht="27" hidden="1" customHeight="1">
      <c r="A105" s="51" t="s">
        <v>626</v>
      </c>
      <c r="B105" s="18" t="s">
        <v>627</v>
      </c>
      <c r="C105" s="18" t="s">
        <v>628</v>
      </c>
      <c r="D105" s="18" t="s">
        <v>139</v>
      </c>
      <c r="E105" s="18" t="s">
        <v>63</v>
      </c>
      <c r="F105" s="18" t="s">
        <v>140</v>
      </c>
      <c r="G105" s="45" t="s">
        <v>63</v>
      </c>
      <c r="H105" s="46" t="s">
        <v>629</v>
      </c>
      <c r="I105" s="18"/>
      <c r="J105" s="18" t="s">
        <v>347</v>
      </c>
      <c r="K105" s="18">
        <v>3</v>
      </c>
      <c r="L105" s="18"/>
      <c r="M105" s="18"/>
      <c r="N105" s="18"/>
      <c r="O105" s="18" t="b">
        <f>VLOOKUP(A105,[1]Model!C$2:J$559,2,FALSE)=B105</f>
        <v>1</v>
      </c>
      <c r="P105" s="18" t="b">
        <f>VLOOKUP(A105,Model!C$2:G$228,5,FALSE)=D105</f>
        <v>1</v>
      </c>
      <c r="Q105" s="18">
        <f>VLOOKUP(A105,[2]Model!C$2:L$228,8,FALSE)</f>
        <v>70</v>
      </c>
      <c r="R105" s="18" t="e">
        <f>VLOOKUP(A105,[2]Model!C$2:G$228,3,FALSE)=[3]!Table14[[#This Row],[Business Definition (To go into comments and into Meta Data Hub)]]</f>
        <v>#REF!</v>
      </c>
      <c r="S105" s="18" t="e">
        <f>IF([3]!Table14[[#This Row],[Nullable in Table and in Oracle View
NULL, NOT NULL]]="No","NOT NULL","NULL")=VLOOKUP(A105,[2]Model!C$2:I$228,6,FALSE)</f>
        <v>#REF!</v>
      </c>
      <c r="T105" s="18" t="e">
        <f>VLOOKUP(B105,[2]Table!A$2:F$415,1,FALSE)=[3]!Table14[[#This Row],[Physical Name of Attribute (Name of column in Table)
Supplied by DA Team]]</f>
        <v>#REF!</v>
      </c>
      <c r="U105" s="18" t="b">
        <f>VLOOKUP(B105,Table!A$2:F$319,2,FALSE)=Table1[[#This Row],[Data type in Oracle
VARCHAR2(n), DATE, NUMBER(m,n), TIMETSTAMP(6)]]</f>
        <v>0</v>
      </c>
      <c r="V105" s="18" t="b">
        <f>VLOOKUP(B105,Table!A$2:F$231,3,FALSE)=Table1[[#This Row],[Nullable in Table and in Oracle View
NULL, NOT NULL]]</f>
        <v>1</v>
      </c>
      <c r="W105" s="18" t="b">
        <f>VLOOKUP(B105,Table!A$2:H$228,6,FALSE)=Table1[[#This Row],[Business Definition (To go into comments and into Meta Data Hub)]]</f>
        <v>0</v>
      </c>
      <c r="X105" s="55" t="str">
        <f>VLOOKUP((UPPER(SUBSTITUTE(A105," ","_"))),'[2]Consumer View'!A$2:I$329,1,FALSE)</f>
        <v>EXECUTION_SUBTYPE_CODE</v>
      </c>
      <c r="Y105" s="18" t="s">
        <v>68</v>
      </c>
      <c r="Z105" s="18" t="s">
        <v>113</v>
      </c>
      <c r="AA105" s="18" t="s">
        <v>143</v>
      </c>
      <c r="AB105" s="18"/>
      <c r="AC105" s="18"/>
      <c r="AD105" s="18" t="s">
        <v>630</v>
      </c>
      <c r="AE105" s="46"/>
      <c r="AF105" s="18"/>
      <c r="AG105" s="18"/>
      <c r="AH105" s="18" t="s">
        <v>71</v>
      </c>
    </row>
    <row r="106" spans="1:34" ht="27" hidden="1" customHeight="1">
      <c r="A106" s="51" t="s">
        <v>631</v>
      </c>
      <c r="B106" s="18" t="s">
        <v>632</v>
      </c>
      <c r="C106" s="18" t="s">
        <v>633</v>
      </c>
      <c r="D106" s="18" t="s">
        <v>485</v>
      </c>
      <c r="E106" s="18" t="s">
        <v>63</v>
      </c>
      <c r="F106" s="18" t="s">
        <v>486</v>
      </c>
      <c r="G106" s="45" t="s">
        <v>63</v>
      </c>
      <c r="H106" s="46" t="s">
        <v>634</v>
      </c>
      <c r="I106" s="18"/>
      <c r="J106" s="18" t="s">
        <v>347</v>
      </c>
      <c r="K106" s="18">
        <v>3</v>
      </c>
      <c r="L106" s="18"/>
      <c r="M106" s="18"/>
      <c r="N106" s="18"/>
      <c r="O106" s="18" t="b">
        <f>VLOOKUP(A106,[1]Model!C$2:J$559,2,FALSE)=B106</f>
        <v>1</v>
      </c>
      <c r="P106" s="18" t="b">
        <f>VLOOKUP(A106,Model!C$2:G$228,5,FALSE)=D106</f>
        <v>1</v>
      </c>
      <c r="Q106" s="18">
        <f>VLOOKUP(A106,[2]Model!C$2:L$228,8,FALSE)</f>
        <v>72</v>
      </c>
      <c r="R106" s="18" t="e">
        <f>VLOOKUP(A106,[2]Model!C$2:G$228,3,FALSE)=[3]!Table14[[#This Row],[Business Definition (To go into comments and into Meta Data Hub)]]</f>
        <v>#REF!</v>
      </c>
      <c r="S106" s="18" t="e">
        <f>IF([3]!Table14[[#This Row],[Nullable in Table and in Oracle View
NULL, NOT NULL]]="No","NOT NULL","NULL")=VLOOKUP(A106,[2]Model!C$2:I$228,6,FALSE)</f>
        <v>#REF!</v>
      </c>
      <c r="T106" s="18" t="e">
        <f>VLOOKUP(B106,[2]Table!A$2:F$415,1,FALSE)=[3]!Table14[[#This Row],[Physical Name of Attribute (Name of column in Table)
Supplied by DA Team]]</f>
        <v>#REF!</v>
      </c>
      <c r="U106" s="18" t="b">
        <f>VLOOKUP(B106,Table!A$2:F$319,2,FALSE)=Table1[[#This Row],[Data type in Oracle
VARCHAR2(n), DATE, NUMBER(m,n), TIMETSTAMP(6)]]</f>
        <v>0</v>
      </c>
      <c r="V106" s="18" t="b">
        <f>VLOOKUP(B106,Table!A$2:F$231,3,FALSE)=Table1[[#This Row],[Nullable in Table and in Oracle View
NULL, NOT NULL]]</f>
        <v>1</v>
      </c>
      <c r="W106" s="18" t="b">
        <f>VLOOKUP(B106,Table!A$2:H$228,6,FALSE)=Table1[[#This Row],[Business Definition (To go into comments and into Meta Data Hub)]]</f>
        <v>0</v>
      </c>
      <c r="X106" s="55" t="str">
        <f>VLOOKUP((UPPER(SUBSTITUTE(A106," ","_"))),'[2]Consumer View'!A$2:I$329,1,FALSE)</f>
        <v>EXECUTION_SUBTYPE_DESCRIPTION</v>
      </c>
      <c r="Y106" s="18" t="s">
        <v>68</v>
      </c>
      <c r="Z106" s="18" t="s">
        <v>113</v>
      </c>
      <c r="AA106" s="18" t="s">
        <v>488</v>
      </c>
      <c r="AB106" s="18"/>
      <c r="AC106" s="18"/>
      <c r="AD106" s="18" t="s">
        <v>630</v>
      </c>
      <c r="AE106" s="46"/>
      <c r="AF106" s="18"/>
      <c r="AG106" s="18"/>
      <c r="AH106" s="18" t="s">
        <v>71</v>
      </c>
    </row>
    <row r="107" spans="1:34" ht="27" hidden="1" customHeight="1">
      <c r="A107" s="51" t="s">
        <v>635</v>
      </c>
      <c r="B107" s="18" t="s">
        <v>636</v>
      </c>
      <c r="C107" s="18"/>
      <c r="D107" s="18" t="s">
        <v>101</v>
      </c>
      <c r="E107" s="18" t="s">
        <v>63</v>
      </c>
      <c r="F107" s="18" t="s">
        <v>133</v>
      </c>
      <c r="G107" s="45" t="s">
        <v>63</v>
      </c>
      <c r="H107" s="46" t="s">
        <v>637</v>
      </c>
      <c r="I107" s="46"/>
      <c r="J107" s="18" t="s">
        <v>347</v>
      </c>
      <c r="K107" s="18">
        <v>3</v>
      </c>
      <c r="L107" s="18"/>
      <c r="M107" s="18"/>
      <c r="N107" s="18"/>
      <c r="O107" s="18" t="b">
        <f>VLOOKUP(A107,[1]Model!C$2:J$559,2,FALSE)=B107</f>
        <v>1</v>
      </c>
      <c r="P107" s="18" t="b">
        <f>VLOOKUP(A107,Model!C$2:G$228,5,FALSE)=D107</f>
        <v>1</v>
      </c>
      <c r="Q107" s="18">
        <f>VLOOKUP(A107,[2]Model!C$2:L$228,8,FALSE)</f>
        <v>69</v>
      </c>
      <c r="R107" s="18" t="e">
        <f>VLOOKUP(A107,[2]Model!C$2:G$228,3,FALSE)=[3]!Table14[[#This Row],[Business Definition (To go into comments and into Meta Data Hub)]]</f>
        <v>#VALUE!</v>
      </c>
      <c r="S107" s="18" t="e">
        <f>IF([3]!Table14[[#This Row],[Nullable in Table and in Oracle View
NULL, NOT NULL]]="No","NOT NULL","NULL")=VLOOKUP(A107,[2]Model!C$2:I$228,6,FALSE)</f>
        <v>#REF!</v>
      </c>
      <c r="T107" s="18" t="e">
        <f>VLOOKUP(B107,[2]Table!A$2:F$415,1,FALSE)=[3]!Table14[[#This Row],[Physical Name of Attribute (Name of column in Table)
Supplied by DA Team]]</f>
        <v>#REF!</v>
      </c>
      <c r="U107" s="18" t="b">
        <f>VLOOKUP(B107,Table!A$2:F$319,2,FALSE)=Table1[[#This Row],[Data type in Oracle
VARCHAR2(n), DATE, NUMBER(m,n), TIMETSTAMP(6)]]</f>
        <v>1</v>
      </c>
      <c r="V107" s="18" t="b">
        <f>VLOOKUP(B107,Table!A$2:F$231,3,FALSE)=Table1[[#This Row],[Nullable in Table and in Oracle View
NULL, NOT NULL]]</f>
        <v>1</v>
      </c>
      <c r="W107" s="18" t="b">
        <f>VLOOKUP(B107,Table!A$2:H$228,6,FALSE)=Table1[[#This Row],[Business Definition (To go into comments and into Meta Data Hub)]]</f>
        <v>0</v>
      </c>
      <c r="X107" s="55" t="str">
        <f>VLOOKUP((UPPER(SUBSTITUTE(A107," ","_"))),'[2]Consumer View'!A$2:I$329,1,FALSE)</f>
        <v>EXECUTION_SUBTYPE_ID</v>
      </c>
      <c r="Y107" s="18" t="s">
        <v>68</v>
      </c>
      <c r="Z107" s="18" t="s">
        <v>69</v>
      </c>
      <c r="AA107" s="18" t="s">
        <v>636</v>
      </c>
      <c r="AB107" s="18"/>
      <c r="AC107" s="18"/>
      <c r="AD107" s="18"/>
      <c r="AE107" s="46"/>
      <c r="AF107" s="18"/>
      <c r="AG107" s="18"/>
      <c r="AH107" s="18" t="s">
        <v>71</v>
      </c>
    </row>
    <row r="108" spans="1:34" ht="27" hidden="1" customHeight="1">
      <c r="A108" s="51" t="s">
        <v>638</v>
      </c>
      <c r="B108" s="18" t="s">
        <v>639</v>
      </c>
      <c r="C108" s="18" t="s">
        <v>640</v>
      </c>
      <c r="D108" s="18" t="s">
        <v>109</v>
      </c>
      <c r="E108" s="18" t="s">
        <v>63</v>
      </c>
      <c r="F108" s="18" t="s">
        <v>110</v>
      </c>
      <c r="G108" s="45" t="s">
        <v>63</v>
      </c>
      <c r="H108" s="46" t="s">
        <v>641</v>
      </c>
      <c r="I108" s="18"/>
      <c r="J108" s="18" t="s">
        <v>347</v>
      </c>
      <c r="K108" s="18">
        <v>3</v>
      </c>
      <c r="L108" s="18"/>
      <c r="M108" s="18"/>
      <c r="N108" s="18"/>
      <c r="O108" s="18" t="b">
        <f>VLOOKUP(A108,[1]Model!C$2:J$559,2,FALSE)=B108</f>
        <v>1</v>
      </c>
      <c r="P108" s="18" t="b">
        <f>VLOOKUP(A108,Model!C$2:G$228,5,FALSE)=D108</f>
        <v>1</v>
      </c>
      <c r="Q108" s="18">
        <f>VLOOKUP(A108,[2]Model!C$2:L$228,8,FALSE)</f>
        <v>71</v>
      </c>
      <c r="R108" s="18" t="e">
        <f>VLOOKUP(A108,[2]Model!C$2:G$228,3,FALSE)=[3]!Table14[[#This Row],[Business Definition (To go into comments and into Meta Data Hub)]]</f>
        <v>#REF!</v>
      </c>
      <c r="S108" s="18" t="e">
        <f>IF([3]!Table14[[#This Row],[Nullable in Table and in Oracle View
NULL, NOT NULL]]="No","NOT NULL","NULL")=VLOOKUP(A108,[2]Model!C$2:I$228,6,FALSE)</f>
        <v>#REF!</v>
      </c>
      <c r="T108" s="18" t="e">
        <f>VLOOKUP(B108,[2]Table!A$2:F$415,1,FALSE)=[3]!Table14[[#This Row],[Physical Name of Attribute (Name of column in Table)
Supplied by DA Team]]</f>
        <v>#REF!</v>
      </c>
      <c r="U108" s="18" t="b">
        <f>VLOOKUP(B108,Table!A$2:F$319,2,FALSE)=Table1[[#This Row],[Data type in Oracle
VARCHAR2(n), DATE, NUMBER(m,n), TIMETSTAMP(6)]]</f>
        <v>0</v>
      </c>
      <c r="V108" s="18" t="b">
        <f>VLOOKUP(B108,Table!A$2:F$231,3,FALSE)=Table1[[#This Row],[Nullable in Table and in Oracle View
NULL, NOT NULL]]</f>
        <v>1</v>
      </c>
      <c r="W108" s="18" t="b">
        <f>VLOOKUP(B108,Table!A$2:H$228,6,FALSE)=Table1[[#This Row],[Business Definition (To go into comments and into Meta Data Hub)]]</f>
        <v>0</v>
      </c>
      <c r="X108" s="55" t="str">
        <f>VLOOKUP((UPPER(SUBSTITUTE(A108," ","_"))),'[2]Consumer View'!A$2:I$329,1,FALSE)</f>
        <v>EXECUTION_SUBTYPE_NAME</v>
      </c>
      <c r="Y108" s="18" t="s">
        <v>68</v>
      </c>
      <c r="Z108" s="18" t="s">
        <v>113</v>
      </c>
      <c r="AA108" s="18" t="s">
        <v>114</v>
      </c>
      <c r="AB108" s="18"/>
      <c r="AC108" s="18"/>
      <c r="AD108" s="18" t="s">
        <v>630</v>
      </c>
      <c r="AE108" s="46"/>
      <c r="AF108" s="18"/>
      <c r="AG108" s="18"/>
      <c r="AH108" s="18" t="s">
        <v>71</v>
      </c>
    </row>
    <row r="109" spans="1:34" ht="27" hidden="1" customHeight="1">
      <c r="A109" s="51" t="s">
        <v>642</v>
      </c>
      <c r="B109" s="18" t="s">
        <v>643</v>
      </c>
      <c r="C109" s="18" t="s">
        <v>644</v>
      </c>
      <c r="D109" s="18" t="s">
        <v>139</v>
      </c>
      <c r="E109" s="18" t="s">
        <v>63</v>
      </c>
      <c r="F109" s="18" t="s">
        <v>140</v>
      </c>
      <c r="G109" s="45" t="s">
        <v>63</v>
      </c>
      <c r="H109" s="46" t="s">
        <v>645</v>
      </c>
      <c r="I109" s="18"/>
      <c r="J109" s="18" t="s">
        <v>347</v>
      </c>
      <c r="K109" s="18">
        <v>3</v>
      </c>
      <c r="L109" s="18"/>
      <c r="M109" s="18"/>
      <c r="N109" s="18"/>
      <c r="O109" s="18" t="b">
        <f>VLOOKUP(A109,[1]Model!C$2:J$559,2,FALSE)=B109</f>
        <v>1</v>
      </c>
      <c r="P109" s="18" t="b">
        <f>VLOOKUP(A109,Model!C$2:G$228,5,FALSE)=D109</f>
        <v>1</v>
      </c>
      <c r="Q109" s="18">
        <f>VLOOKUP(A109,[2]Model!C$2:L$228,8,FALSE)</f>
        <v>66</v>
      </c>
      <c r="R109" s="18" t="e">
        <f>VLOOKUP(A109,[2]Model!C$2:G$228,3,FALSE)=[3]!Table14[[#This Row],[Business Definition (To go into comments and into Meta Data Hub)]]</f>
        <v>#VALUE!</v>
      </c>
      <c r="S109" s="18" t="e">
        <f>IF([3]!Table14[[#This Row],[Nullable in Table and in Oracle View
NULL, NOT NULL]]="No","NOT NULL","NULL")=VLOOKUP(A109,[2]Model!C$2:I$228,6,FALSE)</f>
        <v>#REF!</v>
      </c>
      <c r="T109" s="18" t="e">
        <f>VLOOKUP(B109,[2]Table!A$2:F$415,1,FALSE)=[3]!Table14[[#This Row],[Physical Name of Attribute (Name of column in Table)
Supplied by DA Team]]</f>
        <v>#REF!</v>
      </c>
      <c r="U109" s="18" t="b">
        <f>VLOOKUP(B109,Table!A$2:F$319,2,FALSE)=Table1[[#This Row],[Data type in Oracle
VARCHAR2(n), DATE, NUMBER(m,n), TIMETSTAMP(6)]]</f>
        <v>0</v>
      </c>
      <c r="V109" s="18" t="b">
        <f>VLOOKUP(B109,Table!A$2:F$231,3,FALSE)=Table1[[#This Row],[Nullable in Table and in Oracle View
NULL, NOT NULL]]</f>
        <v>1</v>
      </c>
      <c r="W109" s="18" t="b">
        <f>VLOOKUP(B109,Table!A$2:H$228,6,FALSE)=Table1[[#This Row],[Business Definition (To go into comments and into Meta Data Hub)]]</f>
        <v>1</v>
      </c>
      <c r="X109" s="55" t="str">
        <f>VLOOKUP((UPPER(SUBSTITUTE(A109," ","_"))),'[2]Consumer View'!A$2:I$329,1,FALSE)</f>
        <v>EXECUTION_TYPE_CODE</v>
      </c>
      <c r="Y109" s="18" t="s">
        <v>68</v>
      </c>
      <c r="Z109" s="18" t="s">
        <v>113</v>
      </c>
      <c r="AA109" s="18" t="s">
        <v>143</v>
      </c>
      <c r="AB109" s="18"/>
      <c r="AC109" s="18"/>
      <c r="AD109" s="18" t="s">
        <v>646</v>
      </c>
      <c r="AE109" s="46"/>
      <c r="AF109" s="18"/>
      <c r="AG109" s="18"/>
      <c r="AH109" s="18" t="s">
        <v>71</v>
      </c>
    </row>
    <row r="110" spans="1:34" ht="27" hidden="1" customHeight="1">
      <c r="A110" s="51" t="s">
        <v>647</v>
      </c>
      <c r="B110" s="18" t="s">
        <v>648</v>
      </c>
      <c r="C110" s="18" t="s">
        <v>649</v>
      </c>
      <c r="D110" s="18" t="s">
        <v>485</v>
      </c>
      <c r="E110" s="18" t="s">
        <v>63</v>
      </c>
      <c r="F110" s="18" t="s">
        <v>486</v>
      </c>
      <c r="G110" s="45" t="s">
        <v>63</v>
      </c>
      <c r="H110" s="46" t="s">
        <v>650</v>
      </c>
      <c r="I110" s="18"/>
      <c r="J110" s="18" t="s">
        <v>347</v>
      </c>
      <c r="K110" s="18">
        <v>3</v>
      </c>
      <c r="L110" s="18"/>
      <c r="M110" s="18"/>
      <c r="N110" s="18"/>
      <c r="O110" s="18" t="b">
        <f>VLOOKUP(A110,[1]Model!C$2:J$559,2,FALSE)=B110</f>
        <v>1</v>
      </c>
      <c r="P110" s="18" t="b">
        <f>VLOOKUP(A110,Model!C$2:G$228,5,FALSE)=D110</f>
        <v>1</v>
      </c>
      <c r="Q110" s="18">
        <f>VLOOKUP(A110,[2]Model!C$2:L$228,8,FALSE)</f>
        <v>68</v>
      </c>
      <c r="R110" s="18" t="e">
        <f>VLOOKUP(A110,[2]Model!C$2:G$228,3,FALSE)=[3]!Table14[[#This Row],[Business Definition (To go into comments and into Meta Data Hub)]]</f>
        <v>#VALUE!</v>
      </c>
      <c r="S110" s="18" t="e">
        <f>IF([3]!Table14[[#This Row],[Nullable in Table and in Oracle View
NULL, NOT NULL]]="No","NOT NULL","NULL")=VLOOKUP(A110,[2]Model!C$2:I$228,6,FALSE)</f>
        <v>#REF!</v>
      </c>
      <c r="T110" s="18" t="e">
        <f>VLOOKUP(B110,[2]Table!A$2:F$415,1,FALSE)=[3]!Table14[[#This Row],[Physical Name of Attribute (Name of column in Table)
Supplied by DA Team]]</f>
        <v>#REF!</v>
      </c>
      <c r="U110" s="18" t="b">
        <f>VLOOKUP(B110,Table!A$2:F$319,2,FALSE)=Table1[[#This Row],[Data type in Oracle
VARCHAR2(n), DATE, NUMBER(m,n), TIMETSTAMP(6)]]</f>
        <v>0</v>
      </c>
      <c r="V110" s="18" t="b">
        <f>VLOOKUP(B110,Table!A$2:F$231,3,FALSE)=Table1[[#This Row],[Nullable in Table and in Oracle View
NULL, NOT NULL]]</f>
        <v>1</v>
      </c>
      <c r="W110" s="18" t="b">
        <f>VLOOKUP(B110,Table!A$2:H$228,6,FALSE)=Table1[[#This Row],[Business Definition (To go into comments and into Meta Data Hub)]]</f>
        <v>1</v>
      </c>
      <c r="X110" s="55" t="str">
        <f>VLOOKUP((UPPER(SUBSTITUTE(A110," ","_"))),'[2]Consumer View'!A$2:I$329,1,FALSE)</f>
        <v>EXECUTION_TYPE_DESCRIPTION</v>
      </c>
      <c r="Y110" s="18" t="s">
        <v>68</v>
      </c>
      <c r="Z110" s="18" t="s">
        <v>113</v>
      </c>
      <c r="AA110" s="18" t="s">
        <v>488</v>
      </c>
      <c r="AB110" s="18"/>
      <c r="AC110" s="18"/>
      <c r="AD110" s="18" t="s">
        <v>646</v>
      </c>
      <c r="AE110" s="46"/>
      <c r="AF110" s="18"/>
      <c r="AG110" s="18"/>
      <c r="AH110" s="18" t="s">
        <v>71</v>
      </c>
    </row>
    <row r="111" spans="1:34" ht="27" hidden="1" customHeight="1">
      <c r="A111" s="51" t="s">
        <v>651</v>
      </c>
      <c r="B111" s="18" t="s">
        <v>652</v>
      </c>
      <c r="C111" s="18"/>
      <c r="D111" s="18" t="s">
        <v>101</v>
      </c>
      <c r="E111" s="18" t="s">
        <v>63</v>
      </c>
      <c r="F111" s="18" t="s">
        <v>133</v>
      </c>
      <c r="G111" s="45" t="s">
        <v>63</v>
      </c>
      <c r="H111" s="46" t="s">
        <v>653</v>
      </c>
      <c r="I111" s="18"/>
      <c r="J111" s="18" t="s">
        <v>347</v>
      </c>
      <c r="K111" s="18">
        <v>3</v>
      </c>
      <c r="L111" s="18"/>
      <c r="M111" s="18"/>
      <c r="N111" s="18"/>
      <c r="O111" s="18" t="b">
        <f>VLOOKUP(A111,[1]Model!C$2:J$559,2,FALSE)=B111</f>
        <v>1</v>
      </c>
      <c r="P111" s="18" t="b">
        <f>VLOOKUP(A111,Model!C$2:G$228,5,FALSE)=D111</f>
        <v>1</v>
      </c>
      <c r="Q111" s="18">
        <f>VLOOKUP(A111,[2]Model!C$2:L$228,8,FALSE)</f>
        <v>65</v>
      </c>
      <c r="R111" s="18" t="e">
        <f>VLOOKUP(A111,[2]Model!C$2:G$228,3,FALSE)=[3]!Table14[[#This Row],[Business Definition (To go into comments and into Meta Data Hub)]]</f>
        <v>#VALUE!</v>
      </c>
      <c r="S111" s="18" t="e">
        <f>IF([3]!Table14[[#This Row],[Nullable in Table and in Oracle View
NULL, NOT NULL]]="No","NOT NULL","NULL")=VLOOKUP(A111,[2]Model!C$2:I$228,6,FALSE)</f>
        <v>#REF!</v>
      </c>
      <c r="T111" s="18" t="e">
        <f>VLOOKUP(B111,[2]Table!A$2:F$415,1,FALSE)=[3]!Table14[[#This Row],[Physical Name of Attribute (Name of column in Table)
Supplied by DA Team]]</f>
        <v>#REF!</v>
      </c>
      <c r="U111" s="18" t="b">
        <f>VLOOKUP(B111,Table!A$2:F$319,2,FALSE)=Table1[[#This Row],[Data type in Oracle
VARCHAR2(n), DATE, NUMBER(m,n), TIMETSTAMP(6)]]</f>
        <v>1</v>
      </c>
      <c r="V111" s="18" t="b">
        <f>VLOOKUP(B111,Table!A$2:F$231,3,FALSE)=Table1[[#This Row],[Nullable in Table and in Oracle View
NULL, NOT NULL]]</f>
        <v>1</v>
      </c>
      <c r="W111" s="18" t="b">
        <f>VLOOKUP(B111,Table!A$2:H$228,6,FALSE)=Table1[[#This Row],[Business Definition (To go into comments and into Meta Data Hub)]]</f>
        <v>1</v>
      </c>
      <c r="X111" s="55" t="str">
        <f>VLOOKUP((UPPER(SUBSTITUTE(A111," ","_"))),'[2]Consumer View'!A$2:I$329,1,FALSE)</f>
        <v>EXECUTION_TYPE_ID</v>
      </c>
      <c r="Y111" s="18" t="s">
        <v>68</v>
      </c>
      <c r="Z111" s="18" t="s">
        <v>69</v>
      </c>
      <c r="AA111" s="18" t="s">
        <v>652</v>
      </c>
      <c r="AB111" s="18"/>
      <c r="AC111" s="18"/>
      <c r="AD111" s="18"/>
      <c r="AE111" s="46"/>
      <c r="AF111" s="18"/>
      <c r="AG111" s="18"/>
      <c r="AH111" s="18" t="s">
        <v>71</v>
      </c>
    </row>
    <row r="112" spans="1:34" ht="27" hidden="1" customHeight="1">
      <c r="A112" s="51" t="s">
        <v>654</v>
      </c>
      <c r="B112" s="18" t="s">
        <v>655</v>
      </c>
      <c r="C112" s="18" t="s">
        <v>656</v>
      </c>
      <c r="D112" s="18" t="s">
        <v>109</v>
      </c>
      <c r="E112" s="18" t="s">
        <v>63</v>
      </c>
      <c r="F112" s="18" t="s">
        <v>110</v>
      </c>
      <c r="G112" s="45" t="s">
        <v>63</v>
      </c>
      <c r="H112" s="46" t="s">
        <v>657</v>
      </c>
      <c r="I112" s="18"/>
      <c r="J112" s="18" t="s">
        <v>347</v>
      </c>
      <c r="K112" s="18">
        <v>3</v>
      </c>
      <c r="L112" s="18"/>
      <c r="M112" s="18"/>
      <c r="N112" s="18"/>
      <c r="O112" s="18" t="b">
        <f>VLOOKUP(A112,[1]Model!C$2:J$559,2,FALSE)=B112</f>
        <v>1</v>
      </c>
      <c r="P112" s="18" t="b">
        <f>VLOOKUP(A112,Model!C$2:G$228,5,FALSE)=D112</f>
        <v>1</v>
      </c>
      <c r="Q112" s="18">
        <f>VLOOKUP(A112,[2]Model!C$2:L$228,8,FALSE)</f>
        <v>67</v>
      </c>
      <c r="R112" s="18" t="e">
        <f>VLOOKUP(A112,[2]Model!C$2:G$228,3,FALSE)=[3]!Table14[[#This Row],[Business Definition (To go into comments and into Meta Data Hub)]]</f>
        <v>#VALUE!</v>
      </c>
      <c r="S112" s="18" t="e">
        <f>IF([3]!Table14[[#This Row],[Nullable in Table and in Oracle View
NULL, NOT NULL]]="No","NOT NULL","NULL")=VLOOKUP(A112,[2]Model!C$2:I$228,6,FALSE)</f>
        <v>#REF!</v>
      </c>
      <c r="T112" s="18" t="e">
        <f>VLOOKUP(B112,[2]Table!A$2:F$415,1,FALSE)=[3]!Table14[[#This Row],[Physical Name of Attribute (Name of column in Table)
Supplied by DA Team]]</f>
        <v>#REF!</v>
      </c>
      <c r="U112" s="18" t="b">
        <f>VLOOKUP(B112,Table!A$2:F$319,2,FALSE)=Table1[[#This Row],[Data type in Oracle
VARCHAR2(n), DATE, NUMBER(m,n), TIMETSTAMP(6)]]</f>
        <v>0</v>
      </c>
      <c r="V112" s="18" t="b">
        <f>VLOOKUP(B112,Table!A$2:F$231,3,FALSE)=Table1[[#This Row],[Nullable in Table and in Oracle View
NULL, NOT NULL]]</f>
        <v>1</v>
      </c>
      <c r="W112" s="18" t="b">
        <f>VLOOKUP(B112,Table!A$2:H$228,6,FALSE)=Table1[[#This Row],[Business Definition (To go into comments and into Meta Data Hub)]]</f>
        <v>1</v>
      </c>
      <c r="X112" s="55" t="str">
        <f>VLOOKUP((UPPER(SUBSTITUTE(A112," ","_"))),'[2]Consumer View'!A$2:I$329,1,FALSE)</f>
        <v>EXECUTION_TYPE_NAME</v>
      </c>
      <c r="Y112" s="18" t="s">
        <v>68</v>
      </c>
      <c r="Z112" s="18" t="s">
        <v>113</v>
      </c>
      <c r="AA112" s="18" t="s">
        <v>114</v>
      </c>
      <c r="AB112" s="18"/>
      <c r="AC112" s="18"/>
      <c r="AD112" s="18" t="s">
        <v>646</v>
      </c>
      <c r="AE112" s="46"/>
      <c r="AF112" s="18"/>
      <c r="AG112" s="18"/>
      <c r="AH112" s="18" t="s">
        <v>71</v>
      </c>
    </row>
    <row r="113" spans="1:34" ht="27" hidden="1" customHeight="1">
      <c r="A113" s="51" t="s">
        <v>658</v>
      </c>
      <c r="B113" s="18" t="s">
        <v>175</v>
      </c>
      <c r="C113" s="18" t="s">
        <v>659</v>
      </c>
      <c r="D113" s="18" t="s">
        <v>139</v>
      </c>
      <c r="E113" s="18" t="s">
        <v>63</v>
      </c>
      <c r="F113" s="18" t="s">
        <v>140</v>
      </c>
      <c r="G113" s="45" t="s">
        <v>63</v>
      </c>
      <c r="H113" s="46" t="s">
        <v>660</v>
      </c>
      <c r="I113" s="46"/>
      <c r="J113" s="18" t="s">
        <v>347</v>
      </c>
      <c r="K113" s="18">
        <v>3</v>
      </c>
      <c r="L113" s="18"/>
      <c r="M113" s="18"/>
      <c r="N113" s="18"/>
      <c r="O113" s="18" t="b">
        <f>VLOOKUP(A113,[1]Model!C$2:J$559,2,FALSE)=B113</f>
        <v>1</v>
      </c>
      <c r="P113" s="18" t="b">
        <f>VLOOKUP(A113,Model!C$2:G$228,5,FALSE)=D113</f>
        <v>1</v>
      </c>
      <c r="Q113" s="18">
        <f>VLOOKUP(A113,[2]Model!C$2:L$228,8,FALSE)</f>
        <v>93</v>
      </c>
      <c r="R113" s="18" t="e">
        <f>VLOOKUP(A113,[2]Model!C$2:G$228,3,FALSE)=[3]!Table14[[#This Row],[Business Definition (To go into comments and into Meta Data Hub)]]</f>
        <v>#REF!</v>
      </c>
      <c r="S113" s="18" t="e">
        <f>IF([3]!Table14[[#This Row],[Nullable in Table and in Oracle View
NULL, NOT NULL]]="No","NOT NULL","NULL")=VLOOKUP(A113,[2]Model!C$2:I$228,6,FALSE)</f>
        <v>#REF!</v>
      </c>
      <c r="T113" s="18" t="e">
        <f>VLOOKUP(B113,[2]Table!A$2:F$415,1,FALSE)=[3]!Table14[[#This Row],[Physical Name of Attribute (Name of column in Table)
Supplied by DA Team]]</f>
        <v>#REF!</v>
      </c>
      <c r="U113" s="18" t="b">
        <f>VLOOKUP(B113,Table!A$2:F$319,2,FALSE)=Table1[[#This Row],[Data type in Oracle
VARCHAR2(n), DATE, NUMBER(m,n), TIMETSTAMP(6)]]</f>
        <v>0</v>
      </c>
      <c r="V113" s="18" t="b">
        <f>VLOOKUP(B113,Table!A$2:F$231,3,FALSE)=Table1[[#This Row],[Nullable in Table and in Oracle View
NULL, NOT NULL]]</f>
        <v>1</v>
      </c>
      <c r="W113" s="18" t="b">
        <f>VLOOKUP(B113,Table!A$2:H$228,6,FALSE)=Table1[[#This Row],[Business Definition (To go into comments and into Meta Data Hub)]]</f>
        <v>1</v>
      </c>
      <c r="X113" s="55" t="str">
        <f>VLOOKUP((UPPER(SUBSTITUTE(A113," ","_"))),'[2]Consumer View'!A$2:I$329,1,FALSE)</f>
        <v>FA_NUMBER</v>
      </c>
      <c r="Y113" s="18" t="s">
        <v>68</v>
      </c>
      <c r="Z113" s="18" t="s">
        <v>69</v>
      </c>
      <c r="AA113" s="18" t="s">
        <v>175</v>
      </c>
      <c r="AB113" s="18"/>
      <c r="AC113" s="18"/>
      <c r="AD113" s="18"/>
      <c r="AE113" s="46"/>
      <c r="AF113" s="18"/>
      <c r="AG113" s="18"/>
      <c r="AH113" s="18" t="s">
        <v>71</v>
      </c>
    </row>
    <row r="114" spans="1:34" ht="27" hidden="1" customHeight="1">
      <c r="A114" s="51" t="s">
        <v>661</v>
      </c>
      <c r="B114" s="18" t="s">
        <v>662</v>
      </c>
      <c r="C114" s="18" t="s">
        <v>663</v>
      </c>
      <c r="D114" s="18" t="s">
        <v>139</v>
      </c>
      <c r="E114" s="18" t="s">
        <v>63</v>
      </c>
      <c r="F114" s="18" t="s">
        <v>140</v>
      </c>
      <c r="G114" s="45" t="s">
        <v>63</v>
      </c>
      <c r="H114" s="46" t="s">
        <v>664</v>
      </c>
      <c r="I114" s="18"/>
      <c r="J114" s="18" t="s">
        <v>347</v>
      </c>
      <c r="K114" s="18">
        <v>3</v>
      </c>
      <c r="L114" s="18"/>
      <c r="M114" s="18"/>
      <c r="N114" s="18"/>
      <c r="O114" s="18" t="b">
        <f>VLOOKUP(A114,[1]Model!C$2:J$559,2,FALSE)=B114</f>
        <v>1</v>
      </c>
      <c r="P114" s="18" t="b">
        <f>VLOOKUP(A114,Model!C$2:G$228,5,FALSE)=D114</f>
        <v>1</v>
      </c>
      <c r="Q114" s="18">
        <f>VLOOKUP(A114,[2]Model!C$2:L$228,8,FALSE)</f>
        <v>118</v>
      </c>
      <c r="R114" s="18" t="e">
        <f>VLOOKUP(A114,[2]Model!C$2:G$228,3,FALSE)=[3]!Table14[[#This Row],[Business Definition (To go into comments and into Meta Data Hub)]]</f>
        <v>#REF!</v>
      </c>
      <c r="S114" s="18" t="e">
        <f>IF([3]!Table14[[#This Row],[Nullable in Table and in Oracle View
NULL, NOT NULL]]="No","NOT NULL","NULL")=VLOOKUP(A114,[2]Model!C$2:I$228,6,FALSE)</f>
        <v>#REF!</v>
      </c>
      <c r="T114" s="18" t="e">
        <f>VLOOKUP(B114,[2]Table!A$2:F$415,1,FALSE)=[3]!Table14[[#This Row],[Physical Name of Attribute (Name of column in Table)
Supplied by DA Team]]</f>
        <v>#REF!</v>
      </c>
      <c r="U114" s="18" t="b">
        <f>VLOOKUP(B114,Table!A$2:F$319,2,FALSE)=Table1[[#This Row],[Data type in Oracle
VARCHAR2(n), DATE, NUMBER(m,n), TIMETSTAMP(6)]]</f>
        <v>0</v>
      </c>
      <c r="V114" s="18" t="b">
        <f>VLOOKUP(B114,Table!A$2:F$231,3,FALSE)=Table1[[#This Row],[Nullable in Table and in Oracle View
NULL, NOT NULL]]</f>
        <v>1</v>
      </c>
      <c r="W114" s="18" t="b">
        <f>VLOOKUP(B114,Table!A$2:H$228,6,FALSE)=Table1[[#This Row],[Business Definition (To go into comments and into Meta Data Hub)]]</f>
        <v>1</v>
      </c>
      <c r="X114" s="55" t="str">
        <f>VLOOKUP((UPPER(SUBSTITUTE(A114," ","_"))),'[2]Consumer View'!A$2:I$329,1,FALSE)</f>
        <v>LEGACY_CANCELLATION_COMPLIANCE_REASON_TYPE_CODE</v>
      </c>
      <c r="Y114" s="18" t="s">
        <v>8</v>
      </c>
      <c r="Z114" s="18" t="s">
        <v>665</v>
      </c>
      <c r="AA114" s="18" t="s">
        <v>662</v>
      </c>
      <c r="AB114" s="18"/>
      <c r="AC114" s="18"/>
      <c r="AD114" s="18" t="s">
        <v>666</v>
      </c>
      <c r="AE114" s="46"/>
      <c r="AF114" s="18"/>
      <c r="AG114" s="18"/>
      <c r="AH114" s="18" t="s">
        <v>71</v>
      </c>
    </row>
    <row r="115" spans="1:34" ht="27" hidden="1" customHeight="1">
      <c r="A115" s="51" t="s">
        <v>667</v>
      </c>
      <c r="B115" s="18" t="s">
        <v>668</v>
      </c>
      <c r="C115" s="18"/>
      <c r="D115" s="18" t="s">
        <v>101</v>
      </c>
      <c r="E115" s="18" t="s">
        <v>345</v>
      </c>
      <c r="F115" s="18" t="s">
        <v>133</v>
      </c>
      <c r="G115" s="45" t="s">
        <v>63</v>
      </c>
      <c r="H115" s="18" t="s">
        <v>669</v>
      </c>
      <c r="I115" s="18"/>
      <c r="J115" s="18" t="s">
        <v>347</v>
      </c>
      <c r="K115" s="18">
        <v>3</v>
      </c>
      <c r="L115" s="18"/>
      <c r="M115" s="18"/>
      <c r="N115" s="18"/>
      <c r="O115" s="18" t="b">
        <f>VLOOKUP(A115,[1]Model!C$2:J$559,2,FALSE)=B115</f>
        <v>1</v>
      </c>
      <c r="P115" s="18" t="b">
        <f>VLOOKUP(A115,Model!C$2:G$228,5,FALSE)=D115</f>
        <v>1</v>
      </c>
      <c r="Q115" s="18">
        <f>VLOOKUP(A115,[2]Model!C$2:L$228,8,FALSE)</f>
        <v>7</v>
      </c>
      <c r="R115" s="18" t="e">
        <f>VLOOKUP(A115,[2]Model!C$2:G$228,3,FALSE)=[3]!Table14[[#This Row],[Business Definition (To go into comments and into Meta Data Hub)]]</f>
        <v>#REF!</v>
      </c>
      <c r="S115" s="18" t="e">
        <f>IF([3]!Table14[[#This Row],[Nullable in Table and in Oracle View
NULL, NOT NULL]]="No","NOT NULL","NULL")=VLOOKUP(A115,[2]Model!C$2:I$228,6,FALSE)</f>
        <v>#REF!</v>
      </c>
      <c r="T115" s="18" t="e">
        <f>VLOOKUP(B115,[2]Table!A$2:F$415,1,FALSE)=[3]!Table14[[#This Row],[Physical Name of Attribute (Name of column in Table)
Supplied by DA Team]]</f>
        <v>#REF!</v>
      </c>
      <c r="U115" s="18" t="b">
        <f>VLOOKUP(B115,Table!A$2:F$319,2,FALSE)=Table1[[#This Row],[Data type in Oracle
VARCHAR2(n), DATE, NUMBER(m,n), TIMETSTAMP(6)]]</f>
        <v>1</v>
      </c>
      <c r="V115" s="18" t="b">
        <f>VLOOKUP(B115,Table!A$2:F$231,3,FALSE)=Table1[[#This Row],[Nullable in Table and in Oracle View
NULL, NOT NULL]]</f>
        <v>1</v>
      </c>
      <c r="W115" s="18" t="b">
        <f>VLOOKUP(B115,Table!A$2:H$228,6,FALSE)=Table1[[#This Row],[Business Definition (To go into comments and into Meta Data Hub)]]</f>
        <v>1</v>
      </c>
      <c r="X115" s="55" t="str">
        <f>VLOOKUP((UPPER(SUBSTITUTE(A115," ","_"))),'[2]Consumer View'!A$2:I$329,1,FALSE)</f>
        <v>LEGACY_CANCELLATION_COMPLIANCE_REASON_TYPE_DIMENSION_ID</v>
      </c>
      <c r="Y115" s="18" t="s">
        <v>8</v>
      </c>
      <c r="Z115" s="18" t="s">
        <v>665</v>
      </c>
      <c r="AA115" s="51" t="s">
        <v>670</v>
      </c>
      <c r="AB115" s="18"/>
      <c r="AC115" s="18"/>
      <c r="AD115" s="18" t="s">
        <v>666</v>
      </c>
      <c r="AE115" s="46" t="s">
        <v>671</v>
      </c>
      <c r="AF115" s="18"/>
      <c r="AG115" s="18"/>
      <c r="AH115" s="18" t="s">
        <v>351</v>
      </c>
    </row>
    <row r="116" spans="1:34" ht="27" hidden="1" customHeight="1">
      <c r="A116" s="51" t="s">
        <v>672</v>
      </c>
      <c r="B116" s="18" t="s">
        <v>673</v>
      </c>
      <c r="C116" s="18" t="s">
        <v>674</v>
      </c>
      <c r="D116" s="18" t="s">
        <v>109</v>
      </c>
      <c r="E116" s="18" t="s">
        <v>63</v>
      </c>
      <c r="F116" s="18" t="s">
        <v>110</v>
      </c>
      <c r="G116" s="45" t="s">
        <v>63</v>
      </c>
      <c r="H116" s="46" t="s">
        <v>675</v>
      </c>
      <c r="I116" s="18"/>
      <c r="J116" s="18" t="s">
        <v>347</v>
      </c>
      <c r="K116" s="18">
        <v>3</v>
      </c>
      <c r="L116" s="18"/>
      <c r="M116" s="18"/>
      <c r="N116" s="18"/>
      <c r="O116" s="18" t="b">
        <f>VLOOKUP(A116,[1]Model!C$2:J$559,2,FALSE)=B116</f>
        <v>1</v>
      </c>
      <c r="P116" s="18" t="b">
        <f>VLOOKUP(A116,Model!C$2:G$228,5,FALSE)=D116</f>
        <v>1</v>
      </c>
      <c r="Q116" s="18">
        <f>VLOOKUP(A116,[2]Model!C$2:L$228,8,FALSE)</f>
        <v>119</v>
      </c>
      <c r="R116" s="18" t="e">
        <f>VLOOKUP(A116,[2]Model!C$2:G$228,3,FALSE)=[3]!Table14[[#This Row],[Business Definition (To go into comments and into Meta Data Hub)]]</f>
        <v>#REF!</v>
      </c>
      <c r="S116" s="18" t="e">
        <f>IF([3]!Table14[[#This Row],[Nullable in Table and in Oracle View
NULL, NOT NULL]]="No","NOT NULL","NULL")=VLOOKUP(A116,[2]Model!C$2:I$228,6,FALSE)</f>
        <v>#REF!</v>
      </c>
      <c r="T116" s="18" t="e">
        <f>VLOOKUP(B116,[2]Table!A$2:F$415,1,FALSE)=[3]!Table14[[#This Row],[Physical Name of Attribute (Name of column in Table)
Supplied by DA Team]]</f>
        <v>#REF!</v>
      </c>
      <c r="U116" s="18" t="b">
        <f>VLOOKUP(B116,Table!A$2:F$319,2,FALSE)=Table1[[#This Row],[Data type in Oracle
VARCHAR2(n), DATE, NUMBER(m,n), TIMETSTAMP(6)]]</f>
        <v>0</v>
      </c>
      <c r="V116" s="18" t="b">
        <f>VLOOKUP(B116,Table!A$2:F$231,3,FALSE)=Table1[[#This Row],[Nullable in Table and in Oracle View
NULL, NOT NULL]]</f>
        <v>1</v>
      </c>
      <c r="W116" s="18" t="b">
        <f>VLOOKUP(B116,Table!A$2:H$228,6,FALSE)=Table1[[#This Row],[Business Definition (To go into comments and into Meta Data Hub)]]</f>
        <v>0</v>
      </c>
      <c r="X116" s="55" t="str">
        <f>VLOOKUP((UPPER(SUBSTITUTE(A116," ","_"))),'[2]Consumer View'!A$2:I$329,1,FALSE)</f>
        <v>LEGACY_CANCELLATION_COMPLIANCE_REASON_TYPE_NAME</v>
      </c>
      <c r="Y116" s="18" t="s">
        <v>8</v>
      </c>
      <c r="Z116" s="18" t="s">
        <v>665</v>
      </c>
      <c r="AA116" s="18" t="s">
        <v>673</v>
      </c>
      <c r="AB116" s="18"/>
      <c r="AC116" s="18"/>
      <c r="AD116" s="18" t="s">
        <v>666</v>
      </c>
      <c r="AE116" s="46"/>
      <c r="AF116" s="18"/>
      <c r="AG116" s="18"/>
      <c r="AH116" s="18" t="s">
        <v>71</v>
      </c>
    </row>
    <row r="117" spans="1:34" ht="27" hidden="1" customHeight="1">
      <c r="A117" s="51" t="s">
        <v>676</v>
      </c>
      <c r="B117" s="18" t="s">
        <v>677</v>
      </c>
      <c r="C117" s="18"/>
      <c r="D117" s="18" t="s">
        <v>101</v>
      </c>
      <c r="E117" s="18" t="s">
        <v>63</v>
      </c>
      <c r="F117" s="18" t="s">
        <v>133</v>
      </c>
      <c r="G117" s="45" t="s">
        <v>63</v>
      </c>
      <c r="H117" s="46" t="s">
        <v>678</v>
      </c>
      <c r="I117" s="18"/>
      <c r="J117" s="18" t="s">
        <v>67</v>
      </c>
      <c r="K117" s="18">
        <v>3</v>
      </c>
      <c r="L117" s="18"/>
      <c r="M117" s="18"/>
      <c r="N117" s="18"/>
      <c r="O117" s="18" t="b">
        <f>VLOOKUP(A117,[1]Model!C$2:J$559,2,FALSE)=B117</f>
        <v>1</v>
      </c>
      <c r="P117" s="18" t="b">
        <f>VLOOKUP(A117,Model!C$2:G$228,5,FALSE)=D117</f>
        <v>1</v>
      </c>
      <c r="Q117" s="18">
        <f>VLOOKUP(A117,[2]Model!C$2:L$228,8,FALSE)</f>
        <v>199</v>
      </c>
      <c r="R117" s="18" t="e">
        <f>VLOOKUP(A117,[2]Model!C$2:G$228,3,FALSE)=[3]!Table14[[#This Row],[Business Definition (To go into comments and into Meta Data Hub)]]</f>
        <v>#REF!</v>
      </c>
      <c r="S117" s="18" t="e">
        <f>IF([3]!Table14[[#This Row],[Nullable in Table and in Oracle View
NULL, NOT NULL]]="No","NOT NULL","NULL")=VLOOKUP(A117,[2]Model!C$2:I$228,6,FALSE)</f>
        <v>#REF!</v>
      </c>
      <c r="T117" s="18" t="e">
        <f>VLOOKUP(B117,[2]Table!A$2:F$415,1,FALSE)=[3]!Table14[[#This Row],[Physical Name of Attribute (Name of column in Table)
Supplied by DA Team]]</f>
        <v>#REF!</v>
      </c>
      <c r="U117" s="18" t="b">
        <f>VLOOKUP(B117,Table!A$2:F$319,2,FALSE)=Table1[[#This Row],[Data type in Oracle
VARCHAR2(n), DATE, NUMBER(m,n), TIMETSTAMP(6)]]</f>
        <v>1</v>
      </c>
      <c r="V117" s="18" t="b">
        <f>VLOOKUP(B117,Table!A$2:F$231,3,FALSE)=Table1[[#This Row],[Nullable in Table and in Oracle View
NULL, NOT NULL]]</f>
        <v>1</v>
      </c>
      <c r="W117" s="18" t="b">
        <f>VLOOKUP(B117,Table!A$2:H$228,6,FALSE)=Table1[[#This Row],[Business Definition (To go into comments and into Meta Data Hub)]]</f>
        <v>1</v>
      </c>
      <c r="X117" s="18" t="str">
        <f>VLOOKUP((UPPER(SUBSTITUTE(A117," ","_"))),'[2]Consumer View'!A$2:I$329,1,FALSE)</f>
        <v>LEGACY_CANCELLATION_COMPLIANCE_REASON_TYPE_ID</v>
      </c>
      <c r="Y117" s="18" t="s">
        <v>68</v>
      </c>
      <c r="Z117" s="18" t="s">
        <v>69</v>
      </c>
      <c r="AA117" s="18" t="s">
        <v>677</v>
      </c>
      <c r="AB117" s="18"/>
      <c r="AC117" s="18"/>
      <c r="AD117" s="18"/>
      <c r="AE117" s="46"/>
      <c r="AF117" s="18"/>
      <c r="AG117" s="18"/>
      <c r="AH117" s="18" t="s">
        <v>71</v>
      </c>
    </row>
    <row r="118" spans="1:34" ht="27" hidden="1" customHeight="1">
      <c r="A118" s="51" t="s">
        <v>679</v>
      </c>
      <c r="B118" s="18" t="s">
        <v>680</v>
      </c>
      <c r="C118" s="18" t="s">
        <v>681</v>
      </c>
      <c r="D118" s="18" t="s">
        <v>139</v>
      </c>
      <c r="E118" s="18" t="s">
        <v>63</v>
      </c>
      <c r="F118" s="18" t="s">
        <v>140</v>
      </c>
      <c r="G118" s="45" t="s">
        <v>63</v>
      </c>
      <c r="H118" s="46" t="s">
        <v>682</v>
      </c>
      <c r="I118" s="18"/>
      <c r="J118" s="18" t="s">
        <v>347</v>
      </c>
      <c r="K118" s="18">
        <v>3</v>
      </c>
      <c r="L118" s="18"/>
      <c r="M118" s="18"/>
      <c r="N118" s="18"/>
      <c r="O118" s="18" t="b">
        <f>VLOOKUP(A118,[1]Model!C$2:J$559,2,FALSE)=B118</f>
        <v>1</v>
      </c>
      <c r="P118" s="18" t="b">
        <f>VLOOKUP(A118,Model!C$2:G$228,5,FALSE)=D118</f>
        <v>1</v>
      </c>
      <c r="Q118" s="18">
        <f>VLOOKUP(A118,[2]Model!C$2:L$228,8,FALSE)</f>
        <v>120</v>
      </c>
      <c r="R118" s="18" t="e">
        <f>VLOOKUP(A118,[2]Model!C$2:G$228,3,FALSE)=[3]!Table14[[#This Row],[Business Definition (To go into comments and into Meta Data Hub)]]</f>
        <v>#REF!</v>
      </c>
      <c r="S118" s="18" t="e">
        <f>IF([3]!Table14[[#This Row],[Nullable in Table and in Oracle View
NULL, NOT NULL]]="No","NOT NULL","NULL")=VLOOKUP(A118,[2]Model!C$2:I$228,6,FALSE)</f>
        <v>#REF!</v>
      </c>
      <c r="T118" s="18" t="e">
        <f>VLOOKUP(B118,[2]Table!A$2:F$415,1,FALSE)=[3]!Table14[[#This Row],[Physical Name of Attribute (Name of column in Table)
Supplied by DA Team]]</f>
        <v>#REF!</v>
      </c>
      <c r="U118" s="18" t="b">
        <f>VLOOKUP(B118,Table!A$2:F$319,2,FALSE)=Table1[[#This Row],[Data type in Oracle
VARCHAR2(n), DATE, NUMBER(m,n), TIMETSTAMP(6)]]</f>
        <v>0</v>
      </c>
      <c r="V118" s="18" t="b">
        <f>VLOOKUP(B118,Table!A$2:F$231,3,FALSE)=Table1[[#This Row],[Nullable in Table and in Oracle View
NULL, NOT NULL]]</f>
        <v>1</v>
      </c>
      <c r="W118" s="18" t="b">
        <f>VLOOKUP(B118,Table!A$2:H$228,6,FALSE)=Table1[[#This Row],[Business Definition (To go into comments and into Meta Data Hub)]]</f>
        <v>1</v>
      </c>
      <c r="X118" s="55" t="str">
        <f>VLOOKUP((UPPER(SUBSTITUTE(A118," ","_"))),'[2]Consumer View'!A$2:I$329,1,FALSE)</f>
        <v>LEGACY_CANCELLATION_COMPLIANCE_SOURCE_TYPE_CODE</v>
      </c>
      <c r="Y118" s="18" t="s">
        <v>8</v>
      </c>
      <c r="Z118" s="18" t="s">
        <v>683</v>
      </c>
      <c r="AA118" s="18" t="s">
        <v>680</v>
      </c>
      <c r="AB118" s="18"/>
      <c r="AC118" s="18"/>
      <c r="AD118" s="18" t="s">
        <v>684</v>
      </c>
      <c r="AE118" s="46"/>
      <c r="AF118" s="18"/>
      <c r="AG118" s="18"/>
      <c r="AH118" s="18" t="s">
        <v>71</v>
      </c>
    </row>
    <row r="119" spans="1:34" ht="27" hidden="1" customHeight="1">
      <c r="A119" s="51" t="s">
        <v>685</v>
      </c>
      <c r="B119" s="18" t="s">
        <v>686</v>
      </c>
      <c r="C119" s="18"/>
      <c r="D119" s="18" t="s">
        <v>101</v>
      </c>
      <c r="E119" s="18" t="s">
        <v>345</v>
      </c>
      <c r="F119" s="18" t="s">
        <v>133</v>
      </c>
      <c r="G119" s="45" t="s">
        <v>63</v>
      </c>
      <c r="H119" s="18" t="s">
        <v>687</v>
      </c>
      <c r="I119" s="18"/>
      <c r="J119" s="18" t="s">
        <v>347</v>
      </c>
      <c r="K119" s="18">
        <v>3</v>
      </c>
      <c r="L119" s="18"/>
      <c r="M119" s="18"/>
      <c r="N119" s="18"/>
      <c r="O119" s="18" t="b">
        <f>VLOOKUP(A119,[1]Model!C$2:J$559,2,FALSE)=B119</f>
        <v>1</v>
      </c>
      <c r="P119" s="18" t="b">
        <f>VLOOKUP(A119,Model!C$2:G$228,5,FALSE)=D119</f>
        <v>1</v>
      </c>
      <c r="Q119" s="18">
        <f>VLOOKUP(A119,[2]Model!C$2:L$228,8,FALSE)</f>
        <v>8</v>
      </c>
      <c r="R119" s="18" t="e">
        <f>VLOOKUP(A119,[2]Model!C$2:G$228,3,FALSE)=[3]!Table14[[#This Row],[Business Definition (To go into comments and into Meta Data Hub)]]</f>
        <v>#REF!</v>
      </c>
      <c r="S119" s="18" t="e">
        <f>IF([3]!Table14[[#This Row],[Nullable in Table and in Oracle View
NULL, NOT NULL]]="No","NOT NULL","NULL")=VLOOKUP(A119,[2]Model!C$2:I$228,6,FALSE)</f>
        <v>#REF!</v>
      </c>
      <c r="T119" s="18" t="e">
        <f>VLOOKUP(B119,[2]Table!A$2:F$415,1,FALSE)=[3]!Table14[[#This Row],[Physical Name of Attribute (Name of column in Table)
Supplied by DA Team]]</f>
        <v>#REF!</v>
      </c>
      <c r="U119" s="18" t="b">
        <f>VLOOKUP(B119,Table!A$2:F$319,2,FALSE)=Table1[[#This Row],[Data type in Oracle
VARCHAR2(n), DATE, NUMBER(m,n), TIMETSTAMP(6)]]</f>
        <v>1</v>
      </c>
      <c r="V119" s="18" t="b">
        <f>VLOOKUP(B119,Table!A$2:F$231,3,FALSE)=Table1[[#This Row],[Nullable in Table and in Oracle View
NULL, NOT NULL]]</f>
        <v>1</v>
      </c>
      <c r="W119" s="18" t="b">
        <f>VLOOKUP(B119,Table!A$2:H$228,6,FALSE)=Table1[[#This Row],[Business Definition (To go into comments and into Meta Data Hub)]]</f>
        <v>1</v>
      </c>
      <c r="X119" s="55" t="str">
        <f>VLOOKUP((UPPER(SUBSTITUTE(A119," ","_"))),'[2]Consumer View'!A$2:I$329,1,FALSE)</f>
        <v>LEGACY_CANCELLATION_COMPLIANCE_SOURCE_TYPE_DIMENSION_ID</v>
      </c>
      <c r="Y119" s="18" t="s">
        <v>8</v>
      </c>
      <c r="Z119" s="18" t="s">
        <v>683</v>
      </c>
      <c r="AA119" s="18" t="s">
        <v>688</v>
      </c>
      <c r="AB119" s="18"/>
      <c r="AC119" s="18"/>
      <c r="AD119" s="18" t="s">
        <v>684</v>
      </c>
      <c r="AE119" s="46" t="s">
        <v>689</v>
      </c>
      <c r="AF119" s="18"/>
      <c r="AG119" s="18"/>
      <c r="AH119" s="18" t="s">
        <v>351</v>
      </c>
    </row>
    <row r="120" spans="1:34" ht="27" hidden="1" customHeight="1">
      <c r="A120" s="51" t="s">
        <v>690</v>
      </c>
      <c r="B120" s="18" t="s">
        <v>691</v>
      </c>
      <c r="C120" s="18" t="s">
        <v>692</v>
      </c>
      <c r="D120" s="18" t="s">
        <v>109</v>
      </c>
      <c r="E120" s="18" t="s">
        <v>63</v>
      </c>
      <c r="F120" s="18" t="s">
        <v>110</v>
      </c>
      <c r="G120" s="45" t="s">
        <v>63</v>
      </c>
      <c r="H120" s="46" t="s">
        <v>693</v>
      </c>
      <c r="I120" s="18"/>
      <c r="J120" s="18" t="s">
        <v>347</v>
      </c>
      <c r="K120" s="18">
        <v>3</v>
      </c>
      <c r="L120" s="18"/>
      <c r="M120" s="18"/>
      <c r="N120" s="18"/>
      <c r="O120" s="18" t="b">
        <f>VLOOKUP(A120,[1]Model!C$2:J$559,2,FALSE)=B120</f>
        <v>1</v>
      </c>
      <c r="P120" s="18" t="b">
        <f>VLOOKUP(A120,Model!C$2:G$228,5,FALSE)=D120</f>
        <v>1</v>
      </c>
      <c r="Q120" s="18">
        <f>VLOOKUP(A120,[2]Model!C$2:L$228,8,FALSE)</f>
        <v>121</v>
      </c>
      <c r="R120" s="18" t="e">
        <f>VLOOKUP(A120,[2]Model!C$2:G$228,3,FALSE)=[3]!Table14[[#This Row],[Business Definition (To go into comments and into Meta Data Hub)]]</f>
        <v>#REF!</v>
      </c>
      <c r="S120" s="18" t="e">
        <f>IF([3]!Table14[[#This Row],[Nullable in Table and in Oracle View
NULL, NOT NULL]]="No","NOT NULL","NULL")=VLOOKUP(A120,[2]Model!C$2:I$228,6,FALSE)</f>
        <v>#REF!</v>
      </c>
      <c r="T120" s="18" t="e">
        <f>VLOOKUP(B120,[2]Table!A$2:F$415,1,FALSE)=[3]!Table14[[#This Row],[Physical Name of Attribute (Name of column in Table)
Supplied by DA Team]]</f>
        <v>#REF!</v>
      </c>
      <c r="U120" s="18" t="b">
        <f>VLOOKUP(B120,Table!A$2:F$319,2,FALSE)=Table1[[#This Row],[Data type in Oracle
VARCHAR2(n), DATE, NUMBER(m,n), TIMETSTAMP(6)]]</f>
        <v>0</v>
      </c>
      <c r="V120" s="18" t="b">
        <f>VLOOKUP(B120,Table!A$2:F$231,3,FALSE)=Table1[[#This Row],[Nullable in Table and in Oracle View
NULL, NOT NULL]]</f>
        <v>1</v>
      </c>
      <c r="W120" s="18" t="b">
        <f>VLOOKUP(B120,Table!A$2:H$228,6,FALSE)=Table1[[#This Row],[Business Definition (To go into comments and into Meta Data Hub)]]</f>
        <v>0</v>
      </c>
      <c r="X120" s="55" t="str">
        <f>VLOOKUP((UPPER(SUBSTITUTE(A120," ","_"))),'[2]Consumer View'!A$2:I$329,1,FALSE)</f>
        <v>LEGACY_CANCELLATION_COMPLIANCE_SOURCE_TYPE_NAME</v>
      </c>
      <c r="Y120" s="18" t="s">
        <v>8</v>
      </c>
      <c r="Z120" s="18" t="s">
        <v>683</v>
      </c>
      <c r="AA120" s="18" t="s">
        <v>691</v>
      </c>
      <c r="AB120" s="18"/>
      <c r="AC120" s="18"/>
      <c r="AD120" s="18" t="s">
        <v>684</v>
      </c>
      <c r="AE120" s="46"/>
      <c r="AF120" s="18"/>
      <c r="AG120" s="18"/>
      <c r="AH120" s="18" t="s">
        <v>71</v>
      </c>
    </row>
    <row r="121" spans="1:34" ht="27" hidden="1" customHeight="1">
      <c r="A121" s="51" t="s">
        <v>694</v>
      </c>
      <c r="B121" s="18" t="s">
        <v>695</v>
      </c>
      <c r="C121" s="18"/>
      <c r="D121" s="18" t="s">
        <v>101</v>
      </c>
      <c r="E121" s="18" t="s">
        <v>63</v>
      </c>
      <c r="F121" s="18" t="s">
        <v>133</v>
      </c>
      <c r="G121" s="45" t="s">
        <v>63</v>
      </c>
      <c r="H121" s="46" t="s">
        <v>696</v>
      </c>
      <c r="I121" s="18"/>
      <c r="J121" s="18" t="s">
        <v>67</v>
      </c>
      <c r="K121" s="18">
        <v>3</v>
      </c>
      <c r="L121" s="18"/>
      <c r="M121" s="18"/>
      <c r="N121" s="18"/>
      <c r="O121" s="18" t="b">
        <f>VLOOKUP(A121,[1]Model!C$2:J$559,2,FALSE)=B121</f>
        <v>1</v>
      </c>
      <c r="P121" s="18" t="b">
        <f>VLOOKUP(A121,Model!C$2:G$228,5,FALSE)=D121</f>
        <v>1</v>
      </c>
      <c r="Q121" s="18">
        <f>VLOOKUP(A121,[2]Model!C$2:L$228,8,FALSE)</f>
        <v>198</v>
      </c>
      <c r="R121" s="18" t="e">
        <f>VLOOKUP(A121,[2]Model!C$2:G$228,3,FALSE)=[3]!Table14[[#This Row],[Business Definition (To go into comments and into Meta Data Hub)]]</f>
        <v>#REF!</v>
      </c>
      <c r="S121" s="18" t="e">
        <f>IF([3]!Table14[[#This Row],[Nullable in Table and in Oracle View
NULL, NOT NULL]]="No","NOT NULL","NULL")=VLOOKUP(A121,[2]Model!C$2:I$228,6,FALSE)</f>
        <v>#REF!</v>
      </c>
      <c r="T121" s="18" t="e">
        <f>VLOOKUP(B121,[2]Table!A$2:F$415,1,FALSE)=[3]!Table14[[#This Row],[Physical Name of Attribute (Name of column in Table)
Supplied by DA Team]]</f>
        <v>#REF!</v>
      </c>
      <c r="U121" s="18" t="b">
        <f>VLOOKUP(B121,Table!A$2:F$319,2,FALSE)=Table1[[#This Row],[Data type in Oracle
VARCHAR2(n), DATE, NUMBER(m,n), TIMETSTAMP(6)]]</f>
        <v>1</v>
      </c>
      <c r="V121" s="18" t="b">
        <f>VLOOKUP(B121,Table!A$2:F$231,3,FALSE)=Table1[[#This Row],[Nullable in Table and in Oracle View
NULL, NOT NULL]]</f>
        <v>1</v>
      </c>
      <c r="W121" s="18" t="b">
        <f>VLOOKUP(B121,Table!A$2:H$228,6,FALSE)=Table1[[#This Row],[Business Definition (To go into comments and into Meta Data Hub)]]</f>
        <v>1</v>
      </c>
      <c r="X121" s="18" t="str">
        <f>VLOOKUP((UPPER(SUBSTITUTE(A121," ","_"))),'[2]Consumer View'!A$2:I$329,1,FALSE)</f>
        <v>LEGACY_CANCELLATION_COMPLIANCE_SOURCE_TYPE_ID</v>
      </c>
      <c r="Y121" s="18" t="s">
        <v>68</v>
      </c>
      <c r="Z121" s="18" t="s">
        <v>69</v>
      </c>
      <c r="AA121" s="18" t="s">
        <v>695</v>
      </c>
      <c r="AB121" s="18"/>
      <c r="AC121" s="18"/>
      <c r="AD121" s="18"/>
      <c r="AE121" s="62"/>
      <c r="AF121" s="18"/>
      <c r="AG121" s="18"/>
      <c r="AH121" s="18" t="s">
        <v>71</v>
      </c>
    </row>
    <row r="122" spans="1:34" ht="27" hidden="1" customHeight="1">
      <c r="A122" s="51" t="s">
        <v>697</v>
      </c>
      <c r="B122" s="18" t="s">
        <v>698</v>
      </c>
      <c r="C122" s="1" t="s">
        <v>699</v>
      </c>
      <c r="D122" s="60" t="s">
        <v>139</v>
      </c>
      <c r="E122" s="18" t="s">
        <v>63</v>
      </c>
      <c r="F122" s="60" t="s">
        <v>140</v>
      </c>
      <c r="G122" s="45" t="s">
        <v>63</v>
      </c>
      <c r="H122" s="46" t="s">
        <v>700</v>
      </c>
      <c r="I122" s="18"/>
      <c r="J122" s="18" t="s">
        <v>347</v>
      </c>
      <c r="K122" s="18">
        <v>3</v>
      </c>
      <c r="L122" s="18"/>
      <c r="M122" s="18"/>
      <c r="N122" s="18"/>
      <c r="O122" s="18" t="b">
        <f>VLOOKUP(A122,[1]Model!C$2:J$559,2,FALSE)=B122</f>
        <v>1</v>
      </c>
      <c r="P122" s="18" t="b">
        <f>VLOOKUP(A122,Model!C$2:G$228,5,FALSE)=D122</f>
        <v>1</v>
      </c>
      <c r="Q122" s="18">
        <f>VLOOKUP(A122,[2]Model!C$2:L$228,8,FALSE)</f>
        <v>122</v>
      </c>
      <c r="R122" s="18" t="e">
        <f>VLOOKUP(A122,[2]Model!C$2:G$228,3,FALSE)=[3]!Table14[[#This Row],[Business Definition (To go into comments and into Meta Data Hub)]]</f>
        <v>#REF!</v>
      </c>
      <c r="S122" s="18" t="e">
        <f>IF([3]!Table14[[#This Row],[Nullable in Table and in Oracle View
NULL, NOT NULL]]="No","NOT NULL","NULL")=VLOOKUP(A122,[2]Model!C$2:I$228,6,FALSE)</f>
        <v>#REF!</v>
      </c>
      <c r="T122" s="18" t="e">
        <f>VLOOKUP(B122,[2]Table!A$2:F$415,1,FALSE)=[3]!Table14[[#This Row],[Physical Name of Attribute (Name of column in Table)
Supplied by DA Team]]</f>
        <v>#REF!</v>
      </c>
      <c r="U122" s="18" t="b">
        <f>VLOOKUP(B122,Table!A$2:F$319,2,FALSE)=Table1[[#This Row],[Data type in Oracle
VARCHAR2(n), DATE, NUMBER(m,n), TIMETSTAMP(6)]]</f>
        <v>0</v>
      </c>
      <c r="V122" s="18" t="b">
        <f>VLOOKUP(B122,Table!A$2:F$231,3,FALSE)=Table1[[#This Row],[Nullable in Table and in Oracle View
NULL, NOT NULL]]</f>
        <v>1</v>
      </c>
      <c r="W122" s="18" t="b">
        <f>VLOOKUP(B122,Table!A$2:H$228,6,FALSE)=Table1[[#This Row],[Business Definition (To go into comments and into Meta Data Hub)]]</f>
        <v>1</v>
      </c>
      <c r="X122" s="55" t="str">
        <f>VLOOKUP((UPPER(SUBSTITUTE(A122," ","_"))),'[2]Consumer View'!A$2:I$329,1,FALSE)</f>
        <v>LEGACY_MARKET_TYPE_CODE</v>
      </c>
      <c r="Y122" s="18" t="s">
        <v>8</v>
      </c>
      <c r="Z122" s="18" t="s">
        <v>701</v>
      </c>
      <c r="AA122" s="18" t="s">
        <v>698</v>
      </c>
      <c r="AB122" s="18"/>
      <c r="AC122" s="18"/>
      <c r="AD122" s="18" t="s">
        <v>702</v>
      </c>
      <c r="AE122" s="46"/>
      <c r="AF122" s="18"/>
      <c r="AG122" s="18"/>
      <c r="AH122" s="18" t="s">
        <v>71</v>
      </c>
    </row>
    <row r="123" spans="1:34" ht="27" hidden="1" customHeight="1">
      <c r="A123" s="51" t="s">
        <v>703</v>
      </c>
      <c r="B123" s="18" t="s">
        <v>704</v>
      </c>
      <c r="C123" s="18"/>
      <c r="D123" s="18" t="s">
        <v>101</v>
      </c>
      <c r="E123" s="18" t="s">
        <v>345</v>
      </c>
      <c r="F123" s="18" t="s">
        <v>133</v>
      </c>
      <c r="G123" s="45" t="s">
        <v>63</v>
      </c>
      <c r="H123" s="18" t="s">
        <v>705</v>
      </c>
      <c r="I123" s="18"/>
      <c r="J123" s="18" t="s">
        <v>347</v>
      </c>
      <c r="K123" s="18">
        <v>3</v>
      </c>
      <c r="L123" s="18"/>
      <c r="M123" s="18"/>
      <c r="N123" s="18"/>
      <c r="O123" s="18" t="b">
        <f>VLOOKUP(A123,[1]Model!C$2:J$559,2,FALSE)=B123</f>
        <v>1</v>
      </c>
      <c r="P123" s="18" t="b">
        <f>VLOOKUP(A123,Model!C$2:G$228,5,FALSE)=D123</f>
        <v>1</v>
      </c>
      <c r="Q123" s="18">
        <f>VLOOKUP(A123,[2]Model!C$2:L$228,8,FALSE)</f>
        <v>9</v>
      </c>
      <c r="R123" s="18" t="e">
        <f>VLOOKUP(A123,[2]Model!C$2:G$228,3,FALSE)=[3]!Table14[[#This Row],[Business Definition (To go into comments and into Meta Data Hub)]]</f>
        <v>#REF!</v>
      </c>
      <c r="S123" s="18" t="e">
        <f>IF([3]!Table14[[#This Row],[Nullable in Table and in Oracle View
NULL, NOT NULL]]="No","NOT NULL","NULL")=VLOOKUP(A123,[2]Model!C$2:I$228,6,FALSE)</f>
        <v>#REF!</v>
      </c>
      <c r="T123" s="18" t="e">
        <f>VLOOKUP(B123,[2]Table!A$2:F$415,1,FALSE)=[3]!Table14[[#This Row],[Physical Name of Attribute (Name of column in Table)
Supplied by DA Team]]</f>
        <v>#REF!</v>
      </c>
      <c r="U123" s="18" t="b">
        <f>VLOOKUP(B123,Table!A$2:F$319,2,FALSE)=Table1[[#This Row],[Data type in Oracle
VARCHAR2(n), DATE, NUMBER(m,n), TIMETSTAMP(6)]]</f>
        <v>1</v>
      </c>
      <c r="V123" s="18" t="b">
        <f>VLOOKUP(B123,Table!A$2:F$231,3,FALSE)=Table1[[#This Row],[Nullable in Table and in Oracle View
NULL, NOT NULL]]</f>
        <v>1</v>
      </c>
      <c r="W123" s="18" t="b">
        <f>VLOOKUP(B123,Table!A$2:H$228,6,FALSE)=Table1[[#This Row],[Business Definition (To go into comments and into Meta Data Hub)]]</f>
        <v>1</v>
      </c>
      <c r="X123" s="55" t="str">
        <f>VLOOKUP((UPPER(SUBSTITUTE(A123," ","_"))),'[2]Consumer View'!A$2:I$329,1,FALSE)</f>
        <v>LEGACY_MARKET_TYPE_DIMENSION_ID</v>
      </c>
      <c r="Y123" s="18" t="s">
        <v>8</v>
      </c>
      <c r="Z123" s="18" t="s">
        <v>701</v>
      </c>
      <c r="AA123" s="18" t="s">
        <v>704</v>
      </c>
      <c r="AB123" s="18"/>
      <c r="AC123" s="18"/>
      <c r="AD123" s="18" t="s">
        <v>702</v>
      </c>
      <c r="AE123" s="46"/>
      <c r="AF123" s="18"/>
      <c r="AG123" s="18"/>
      <c r="AH123" s="18" t="s">
        <v>351</v>
      </c>
    </row>
    <row r="124" spans="1:34" ht="27" hidden="1" customHeight="1">
      <c r="A124" s="51" t="s">
        <v>706</v>
      </c>
      <c r="B124" s="18" t="s">
        <v>707</v>
      </c>
      <c r="C124" s="18" t="s">
        <v>708</v>
      </c>
      <c r="D124" s="18" t="s">
        <v>109</v>
      </c>
      <c r="E124" s="18" t="s">
        <v>63</v>
      </c>
      <c r="F124" s="18" t="s">
        <v>110</v>
      </c>
      <c r="G124" s="45" t="s">
        <v>63</v>
      </c>
      <c r="H124" s="46" t="s">
        <v>709</v>
      </c>
      <c r="I124" s="18"/>
      <c r="J124" s="18" t="s">
        <v>347</v>
      </c>
      <c r="K124" s="18">
        <v>3</v>
      </c>
      <c r="L124" s="18"/>
      <c r="M124" s="18"/>
      <c r="N124" s="18"/>
      <c r="O124" s="18" t="b">
        <f>VLOOKUP(A124,[1]Model!C$2:J$559,2,FALSE)=B124</f>
        <v>1</v>
      </c>
      <c r="P124" s="18" t="b">
        <f>VLOOKUP(A124,Model!C$2:G$228,5,FALSE)=D124</f>
        <v>1</v>
      </c>
      <c r="Q124" s="18">
        <f>VLOOKUP(A124,[2]Model!C$2:L$228,8,FALSE)</f>
        <v>123</v>
      </c>
      <c r="R124" s="18" t="e">
        <f>VLOOKUP(A124,[2]Model!C$2:G$228,3,FALSE)=[3]!Table14[[#This Row],[Business Definition (To go into comments and into Meta Data Hub)]]</f>
        <v>#REF!</v>
      </c>
      <c r="S124" s="18" t="e">
        <f>IF([3]!Table14[[#This Row],[Nullable in Table and in Oracle View
NULL, NOT NULL]]="No","NOT NULL","NULL")=VLOOKUP(A124,[2]Model!C$2:I$228,6,FALSE)</f>
        <v>#REF!</v>
      </c>
      <c r="T124" s="18" t="e">
        <f>VLOOKUP(B124,[2]Table!A$2:F$415,1,FALSE)=[3]!Table14[[#This Row],[Physical Name of Attribute (Name of column in Table)
Supplied by DA Team]]</f>
        <v>#REF!</v>
      </c>
      <c r="U124" s="18" t="b">
        <f>VLOOKUP(B124,Table!A$2:F$319,2,FALSE)=Table1[[#This Row],[Data type in Oracle
VARCHAR2(n), DATE, NUMBER(m,n), TIMETSTAMP(6)]]</f>
        <v>0</v>
      </c>
      <c r="V124" s="18" t="b">
        <f>VLOOKUP(B124,Table!A$2:F$231,3,FALSE)=Table1[[#This Row],[Nullable in Table and in Oracle View
NULL, NOT NULL]]</f>
        <v>1</v>
      </c>
      <c r="W124" s="18" t="b">
        <f>VLOOKUP(B124,Table!A$2:H$228,6,FALSE)=Table1[[#This Row],[Business Definition (To go into comments and into Meta Data Hub)]]</f>
        <v>1</v>
      </c>
      <c r="X124" s="55" t="str">
        <f>VLOOKUP((UPPER(SUBSTITUTE(A124," ","_"))),'[2]Consumer View'!A$2:I$329,1,FALSE)</f>
        <v>LEGACY_MARKET_TYPE_NAME</v>
      </c>
      <c r="Y124" s="18" t="s">
        <v>8</v>
      </c>
      <c r="Z124" s="18" t="s">
        <v>701</v>
      </c>
      <c r="AA124" s="18" t="s">
        <v>707</v>
      </c>
      <c r="AB124" s="18"/>
      <c r="AC124" s="18"/>
      <c r="AD124" s="18" t="s">
        <v>702</v>
      </c>
      <c r="AE124" s="46"/>
      <c r="AF124" s="18"/>
      <c r="AG124" s="18"/>
      <c r="AH124" s="18" t="s">
        <v>71</v>
      </c>
    </row>
    <row r="125" spans="1:34" ht="27" hidden="1" customHeight="1">
      <c r="A125" s="51" t="s">
        <v>710</v>
      </c>
      <c r="B125" s="18" t="s">
        <v>711</v>
      </c>
      <c r="C125" s="18"/>
      <c r="D125" s="18" t="s">
        <v>101</v>
      </c>
      <c r="E125" s="18" t="s">
        <v>63</v>
      </c>
      <c r="F125" s="18" t="s">
        <v>133</v>
      </c>
      <c r="G125" s="45" t="s">
        <v>63</v>
      </c>
      <c r="H125" s="46" t="s">
        <v>712</v>
      </c>
      <c r="I125" s="18"/>
      <c r="J125" s="18" t="s">
        <v>67</v>
      </c>
      <c r="K125" s="18">
        <v>3</v>
      </c>
      <c r="L125" s="18"/>
      <c r="M125" s="18"/>
      <c r="N125" s="18"/>
      <c r="O125" s="18" t="b">
        <f>VLOOKUP(A125,[1]Model!C$2:J$559,2,FALSE)=B125</f>
        <v>1</v>
      </c>
      <c r="P125" s="18" t="b">
        <f>VLOOKUP(A125,Model!C$2:G$228,5,FALSE)=D125</f>
        <v>1</v>
      </c>
      <c r="Q125" s="18">
        <f>VLOOKUP(A125,[2]Model!C$2:L$228,8,FALSE)</f>
        <v>200</v>
      </c>
      <c r="R125" s="18" t="e">
        <f>VLOOKUP(A125,[2]Model!C$2:G$228,3,FALSE)=[3]!Table14[[#This Row],[Business Definition (To go into comments and into Meta Data Hub)]]</f>
        <v>#REF!</v>
      </c>
      <c r="S125" s="18" t="e">
        <f>IF([3]!Table14[[#This Row],[Nullable in Table and in Oracle View
NULL, NOT NULL]]="No","NOT NULL","NULL")=VLOOKUP(A125,[2]Model!C$2:I$228,6,FALSE)</f>
        <v>#REF!</v>
      </c>
      <c r="T125" s="18" t="e">
        <f>VLOOKUP(B125,[2]Table!A$2:F$415,1,FALSE)=[3]!Table14[[#This Row],[Physical Name of Attribute (Name of column in Table)
Supplied by DA Team]]</f>
        <v>#REF!</v>
      </c>
      <c r="U125" s="18" t="b">
        <f>VLOOKUP(B125,Table!A$2:F$319,2,FALSE)=Table1[[#This Row],[Data type in Oracle
VARCHAR2(n), DATE, NUMBER(m,n), TIMETSTAMP(6)]]</f>
        <v>1</v>
      </c>
      <c r="V125" s="18" t="b">
        <f>VLOOKUP(B125,Table!A$2:F$231,3,FALSE)=Table1[[#This Row],[Nullable in Table and in Oracle View
NULL, NOT NULL]]</f>
        <v>1</v>
      </c>
      <c r="W125" s="18" t="b">
        <f>VLOOKUP(B125,Table!A$2:H$228,6,FALSE)=Table1[[#This Row],[Business Definition (To go into comments and into Meta Data Hub)]]</f>
        <v>1</v>
      </c>
      <c r="X125" s="18" t="str">
        <f>VLOOKUP((UPPER(SUBSTITUTE(A125," ","_"))),'[2]Consumer View'!A$2:I$329,1,FALSE)</f>
        <v>LEGACY_MARKET_TYPE_ID</v>
      </c>
      <c r="Y125" s="18" t="s">
        <v>68</v>
      </c>
      <c r="Z125" s="18" t="s">
        <v>69</v>
      </c>
      <c r="AA125" s="18" t="s">
        <v>711</v>
      </c>
      <c r="AB125" s="18"/>
      <c r="AC125" s="18"/>
      <c r="AD125" s="18"/>
      <c r="AE125" s="46"/>
      <c r="AF125" s="18"/>
      <c r="AG125" s="18"/>
      <c r="AH125" s="18" t="s">
        <v>71</v>
      </c>
    </row>
    <row r="126" spans="1:34" ht="27" hidden="1" customHeight="1">
      <c r="A126" s="51" t="s">
        <v>713</v>
      </c>
      <c r="B126" s="18" t="s">
        <v>714</v>
      </c>
      <c r="C126" s="18" t="s">
        <v>715</v>
      </c>
      <c r="D126" s="18" t="s">
        <v>139</v>
      </c>
      <c r="E126" s="18" t="s">
        <v>63</v>
      </c>
      <c r="F126" s="18" t="s">
        <v>140</v>
      </c>
      <c r="G126" s="45" t="s">
        <v>63</v>
      </c>
      <c r="H126" s="46" t="s">
        <v>716</v>
      </c>
      <c r="I126" s="18"/>
      <c r="J126" s="18" t="s">
        <v>347</v>
      </c>
      <c r="K126" s="18">
        <v>3</v>
      </c>
      <c r="L126" s="18"/>
      <c r="M126" s="18"/>
      <c r="N126" s="18"/>
      <c r="O126" s="18" t="b">
        <f>VLOOKUP(A126,[1]Model!C$2:J$559,2,FALSE)=B126</f>
        <v>1</v>
      </c>
      <c r="P126" s="18" t="b">
        <f>VLOOKUP(A126,Model!C$2:G$228,5,FALSE)=D126</f>
        <v>1</v>
      </c>
      <c r="Q126" s="18">
        <f>VLOOKUP(A126,[2]Model!C$2:L$228,8,FALSE)</f>
        <v>124</v>
      </c>
      <c r="R126" s="18" t="e">
        <f>VLOOKUP(A126,[2]Model!C$2:G$228,3,FALSE)=[3]!Table14[[#This Row],[Business Definition (To go into comments and into Meta Data Hub)]]</f>
        <v>#REF!</v>
      </c>
      <c r="S126" s="18" t="e">
        <f>IF([3]!Table14[[#This Row],[Nullable in Table and in Oracle View
NULL, NOT NULL]]="No","NOT NULL","NULL")=VLOOKUP(A126,[2]Model!C$2:I$228,6,FALSE)</f>
        <v>#REF!</v>
      </c>
      <c r="T126" s="18" t="e">
        <f>VLOOKUP(B126,[2]Table!A$2:F$415,1,FALSE)=[3]!Table14[[#This Row],[Physical Name of Attribute (Name of column in Table)
Supplied by DA Team]]</f>
        <v>#REF!</v>
      </c>
      <c r="U126" s="18" t="b">
        <f>VLOOKUP(B126,Table!A$2:F$319,2,FALSE)=Table1[[#This Row],[Data type in Oracle
VARCHAR2(n), DATE, NUMBER(m,n), TIMETSTAMP(6)]]</f>
        <v>0</v>
      </c>
      <c r="V126" s="18" t="b">
        <f>VLOOKUP(B126,Table!A$2:F$231,3,FALSE)=Table1[[#This Row],[Nullable in Table and in Oracle View
NULL, NOT NULL]]</f>
        <v>1</v>
      </c>
      <c r="W126" s="18" t="b">
        <f>VLOOKUP(B126,Table!A$2:H$228,6,FALSE)=Table1[[#This Row],[Business Definition (To go into comments and into Meta Data Hub)]]</f>
        <v>1</v>
      </c>
      <c r="X126" s="55" t="str">
        <f>VLOOKUP((UPPER(SUBSTITUTE(A126," ","_"))),'[2]Consumer View'!A$2:I$329,1,FALSE)</f>
        <v>LEGACY_TRADE_CAPACITY_TYPE_CODE</v>
      </c>
      <c r="Y126" s="46" t="s">
        <v>717</v>
      </c>
      <c r="Z126" s="46" t="s">
        <v>718</v>
      </c>
      <c r="AA126" s="46" t="s">
        <v>719</v>
      </c>
      <c r="AB126" s="18"/>
      <c r="AC126" s="18"/>
      <c r="AD126" s="18" t="s">
        <v>720</v>
      </c>
      <c r="AE126" s="46" t="s">
        <v>721</v>
      </c>
      <c r="AF126" s="18"/>
      <c r="AG126" s="18"/>
      <c r="AH126" s="18" t="s">
        <v>71</v>
      </c>
    </row>
    <row r="127" spans="1:34" ht="27" hidden="1" customHeight="1">
      <c r="A127" s="51" t="s">
        <v>722</v>
      </c>
      <c r="B127" s="18" t="s">
        <v>723</v>
      </c>
      <c r="C127" s="18"/>
      <c r="D127" s="18" t="s">
        <v>101</v>
      </c>
      <c r="E127" s="18" t="s">
        <v>345</v>
      </c>
      <c r="F127" s="18" t="s">
        <v>133</v>
      </c>
      <c r="G127" s="45" t="s">
        <v>63</v>
      </c>
      <c r="H127" s="18" t="s">
        <v>724</v>
      </c>
      <c r="I127" s="18"/>
      <c r="J127" s="18" t="s">
        <v>347</v>
      </c>
      <c r="K127" s="18">
        <v>3</v>
      </c>
      <c r="L127" s="18"/>
      <c r="M127" s="18"/>
      <c r="N127" s="18"/>
      <c r="O127" s="18" t="b">
        <f>VLOOKUP(A127,[1]Model!C$2:J$559,2,FALSE)=B127</f>
        <v>1</v>
      </c>
      <c r="P127" s="18" t="b">
        <f>VLOOKUP(A127,Model!C$2:G$228,5,FALSE)=D127</f>
        <v>1</v>
      </c>
      <c r="Q127" s="18">
        <f>VLOOKUP(A127,[2]Model!C$2:L$228,8,FALSE)</f>
        <v>10</v>
      </c>
      <c r="R127" s="18" t="e">
        <f>VLOOKUP(A127,[2]Model!C$2:G$228,3,FALSE)=[3]!Table14[[#This Row],[Business Definition (To go into comments and into Meta Data Hub)]]</f>
        <v>#REF!</v>
      </c>
      <c r="S127" s="18" t="e">
        <f>IF([3]!Table14[[#This Row],[Nullable in Table and in Oracle View
NULL, NOT NULL]]="No","NOT NULL","NULL")=VLOOKUP(A127,[2]Model!C$2:I$228,6,FALSE)</f>
        <v>#REF!</v>
      </c>
      <c r="T127" s="18" t="e">
        <f>VLOOKUP(B127,[2]Table!A$2:F$415,1,FALSE)=[3]!Table14[[#This Row],[Physical Name of Attribute (Name of column in Table)
Supplied by DA Team]]</f>
        <v>#REF!</v>
      </c>
      <c r="U127" s="18" t="b">
        <f>VLOOKUP(B127,Table!A$2:F$319,2,FALSE)=Table1[[#This Row],[Data type in Oracle
VARCHAR2(n), DATE, NUMBER(m,n), TIMETSTAMP(6)]]</f>
        <v>1</v>
      </c>
      <c r="V127" s="18" t="b">
        <f>VLOOKUP(B127,Table!A$2:F$231,3,FALSE)=Table1[[#This Row],[Nullable in Table and in Oracle View
NULL, NOT NULL]]</f>
        <v>1</v>
      </c>
      <c r="W127" s="18" t="b">
        <f>VLOOKUP(B127,Table!A$2:H$228,6,FALSE)=Table1[[#This Row],[Business Definition (To go into comments and into Meta Data Hub)]]</f>
        <v>1</v>
      </c>
      <c r="X127" s="55" t="str">
        <f>VLOOKUP((UPPER(SUBSTITUTE(A127," ","_"))),'[2]Consumer View'!A$2:I$329,1,FALSE)</f>
        <v>LEGACY_TRADE_CAPACITY_TYPE_DIMENSION_ID</v>
      </c>
      <c r="Y127" s="18" t="s">
        <v>8</v>
      </c>
      <c r="Z127" s="18" t="s">
        <v>725</v>
      </c>
      <c r="AA127" s="18" t="s">
        <v>723</v>
      </c>
      <c r="AB127" s="18"/>
      <c r="AC127" s="18"/>
      <c r="AD127" s="18" t="s">
        <v>726</v>
      </c>
      <c r="AE127" s="46" t="s">
        <v>727</v>
      </c>
      <c r="AF127" s="18"/>
      <c r="AG127" s="18"/>
      <c r="AH127" s="18" t="s">
        <v>351</v>
      </c>
    </row>
    <row r="128" spans="1:34" ht="27" hidden="1" customHeight="1">
      <c r="A128" s="51" t="s">
        <v>728</v>
      </c>
      <c r="B128" s="18" t="s">
        <v>729</v>
      </c>
      <c r="C128" s="18" t="s">
        <v>730</v>
      </c>
      <c r="D128" s="18" t="s">
        <v>109</v>
      </c>
      <c r="E128" s="18" t="s">
        <v>63</v>
      </c>
      <c r="F128" s="18" t="s">
        <v>110</v>
      </c>
      <c r="G128" s="45" t="s">
        <v>63</v>
      </c>
      <c r="H128" s="46" t="s">
        <v>731</v>
      </c>
      <c r="I128" s="18"/>
      <c r="J128" s="18" t="s">
        <v>347</v>
      </c>
      <c r="K128" s="18">
        <v>3</v>
      </c>
      <c r="L128" s="18"/>
      <c r="M128" s="18"/>
      <c r="N128" s="18"/>
      <c r="O128" s="18" t="b">
        <f>VLOOKUP(A128,[1]Model!C$2:J$559,2,FALSE)=B128</f>
        <v>1</v>
      </c>
      <c r="P128" s="18" t="b">
        <f>VLOOKUP(A128,Model!C$2:G$228,5,FALSE)=D128</f>
        <v>1</v>
      </c>
      <c r="Q128" s="18">
        <f>VLOOKUP(A128,[2]Model!C$2:L$228,8,FALSE)</f>
        <v>125</v>
      </c>
      <c r="R128" s="18" t="e">
        <f>VLOOKUP(A128,[2]Model!C$2:G$228,3,FALSE)=[3]!Table14[[#This Row],[Business Definition (To go into comments and into Meta Data Hub)]]</f>
        <v>#REF!</v>
      </c>
      <c r="S128" s="18" t="e">
        <f>IF([3]!Table14[[#This Row],[Nullable in Table and in Oracle View
NULL, NOT NULL]]="No","NOT NULL","NULL")=VLOOKUP(A128,[2]Model!C$2:I$228,6,FALSE)</f>
        <v>#REF!</v>
      </c>
      <c r="T128" s="18" t="e">
        <f>VLOOKUP(B128,[2]Table!A$2:F$415,1,FALSE)=[3]!Table14[[#This Row],[Physical Name of Attribute (Name of column in Table)
Supplied by DA Team]]</f>
        <v>#REF!</v>
      </c>
      <c r="U128" s="18" t="b">
        <f>VLOOKUP(B128,Table!A$2:F$319,2,FALSE)=Table1[[#This Row],[Data type in Oracle
VARCHAR2(n), DATE, NUMBER(m,n), TIMETSTAMP(6)]]</f>
        <v>0</v>
      </c>
      <c r="V128" s="18" t="b">
        <f>VLOOKUP(B128,Table!A$2:F$231,3,FALSE)=Table1[[#This Row],[Nullable in Table and in Oracle View
NULL, NOT NULL]]</f>
        <v>1</v>
      </c>
      <c r="W128" s="18" t="b">
        <f>VLOOKUP(B128,Table!A$2:H$228,6,FALSE)=Table1[[#This Row],[Business Definition (To go into comments and into Meta Data Hub)]]</f>
        <v>1</v>
      </c>
      <c r="X128" s="55" t="str">
        <f>VLOOKUP((UPPER(SUBSTITUTE(A128," ","_"))),'[2]Consumer View'!A$2:I$329,1,FALSE)</f>
        <v>LEGACY_TRADE_CAPACITY_TYPE_NAME</v>
      </c>
      <c r="Y128" s="46" t="s">
        <v>717</v>
      </c>
      <c r="Z128" s="46" t="s">
        <v>718</v>
      </c>
      <c r="AA128" s="46" t="s">
        <v>732</v>
      </c>
      <c r="AB128" s="18"/>
      <c r="AC128" s="18"/>
      <c r="AD128" s="18" t="s">
        <v>720</v>
      </c>
      <c r="AE128" s="46" t="s">
        <v>721</v>
      </c>
      <c r="AF128" s="18"/>
      <c r="AG128" s="18"/>
      <c r="AH128" s="18" t="s">
        <v>71</v>
      </c>
    </row>
    <row r="129" spans="1:34" ht="27" hidden="1" customHeight="1">
      <c r="A129" s="51" t="s">
        <v>733</v>
      </c>
      <c r="B129" s="18" t="s">
        <v>734</v>
      </c>
      <c r="C129" s="18"/>
      <c r="D129" s="18" t="s">
        <v>101</v>
      </c>
      <c r="E129" s="18" t="s">
        <v>63</v>
      </c>
      <c r="F129" s="18" t="s">
        <v>133</v>
      </c>
      <c r="G129" s="45" t="s">
        <v>63</v>
      </c>
      <c r="H129" s="46" t="s">
        <v>735</v>
      </c>
      <c r="I129" s="18"/>
      <c r="J129" s="18" t="s">
        <v>67</v>
      </c>
      <c r="K129" s="18">
        <v>3</v>
      </c>
      <c r="L129" s="18"/>
      <c r="M129" s="18"/>
      <c r="N129" s="18"/>
      <c r="O129" s="18" t="b">
        <f>VLOOKUP(A129,[1]Model!C$2:J$559,2,FALSE)=B129</f>
        <v>1</v>
      </c>
      <c r="P129" s="18" t="b">
        <f>VLOOKUP(A129,Model!C$2:G$228,5,FALSE)=D129</f>
        <v>1</v>
      </c>
      <c r="Q129" s="18">
        <f>VLOOKUP(A129,[2]Model!C$2:L$228,8,FALSE)</f>
        <v>201</v>
      </c>
      <c r="R129" s="18" t="e">
        <f>VLOOKUP(A129,[2]Model!C$2:G$228,3,FALSE)=[3]!Table14[[#This Row],[Business Definition (To go into comments and into Meta Data Hub)]]</f>
        <v>#REF!</v>
      </c>
      <c r="S129" s="18" t="e">
        <f>IF([3]!Table14[[#This Row],[Nullable in Table and in Oracle View
NULL, NOT NULL]]="No","NOT NULL","NULL")=VLOOKUP(A129,[2]Model!C$2:I$228,6,FALSE)</f>
        <v>#REF!</v>
      </c>
      <c r="T129" s="18" t="e">
        <f>VLOOKUP(B129,[2]Table!A$2:F$415,1,FALSE)=[3]!Table14[[#This Row],[Physical Name of Attribute (Name of column in Table)
Supplied by DA Team]]</f>
        <v>#REF!</v>
      </c>
      <c r="U129" s="18" t="b">
        <f>VLOOKUP(B129,Table!A$2:F$319,2,FALSE)=Table1[[#This Row],[Data type in Oracle
VARCHAR2(n), DATE, NUMBER(m,n), TIMETSTAMP(6)]]</f>
        <v>1</v>
      </c>
      <c r="V129" s="18" t="b">
        <f>VLOOKUP(B129,Table!A$2:F$231,3,FALSE)=Table1[[#This Row],[Nullable in Table and in Oracle View
NULL, NOT NULL]]</f>
        <v>1</v>
      </c>
      <c r="W129" s="18" t="b">
        <f>VLOOKUP(B129,Table!A$2:H$228,6,FALSE)=Table1[[#This Row],[Business Definition (To go into comments and into Meta Data Hub)]]</f>
        <v>1</v>
      </c>
      <c r="X129" s="18" t="str">
        <f>VLOOKUP((UPPER(SUBSTITUTE(A129," ","_"))),'[2]Consumer View'!A$2:I$329,1,FALSE)</f>
        <v>LEGACY_TRADE_CAPACITY_TYPE_ID</v>
      </c>
      <c r="Y129" s="18" t="s">
        <v>68</v>
      </c>
      <c r="Z129" s="18" t="s">
        <v>69</v>
      </c>
      <c r="AA129" s="18" t="s">
        <v>734</v>
      </c>
      <c r="AB129" s="18"/>
      <c r="AC129" s="18"/>
      <c r="AD129" s="18"/>
      <c r="AE129" s="46"/>
      <c r="AF129" s="18"/>
      <c r="AG129" s="18"/>
      <c r="AH129" s="18" t="s">
        <v>71</v>
      </c>
    </row>
    <row r="130" spans="1:34" ht="27" hidden="1" customHeight="1">
      <c r="A130" s="51" t="s">
        <v>736</v>
      </c>
      <c r="B130" s="18" t="s">
        <v>737</v>
      </c>
      <c r="C130" s="18" t="s">
        <v>738</v>
      </c>
      <c r="D130" s="18" t="s">
        <v>101</v>
      </c>
      <c r="E130" s="18" t="s">
        <v>63</v>
      </c>
      <c r="F130" s="18" t="s">
        <v>133</v>
      </c>
      <c r="G130" s="45" t="s">
        <v>63</v>
      </c>
      <c r="H130" s="46" t="s">
        <v>739</v>
      </c>
      <c r="I130" s="18"/>
      <c r="J130" s="18" t="s">
        <v>347</v>
      </c>
      <c r="K130" s="18">
        <v>3</v>
      </c>
      <c r="L130" s="18"/>
      <c r="M130" s="18"/>
      <c r="N130" s="18"/>
      <c r="O130" s="18" t="b">
        <f>VLOOKUP(A130,[1]Model!C$2:J$559,2,FALSE)=B130</f>
        <v>1</v>
      </c>
      <c r="P130" s="18" t="b">
        <f>VLOOKUP(A130,Model!C$2:G$228,5,FALSE)=D130</f>
        <v>1</v>
      </c>
      <c r="Q130" s="18">
        <f>VLOOKUP(A130,[2]Model!C$2:L$228,8,FALSE)</f>
        <v>126</v>
      </c>
      <c r="R130" s="18" t="e">
        <f>VLOOKUP(A130,[2]Model!C$2:G$228,3,FALSE)=[3]!Table14[[#This Row],[Business Definition (To go into comments and into Meta Data Hub)]]</f>
        <v>#REF!</v>
      </c>
      <c r="S130" s="18" t="e">
        <f>IF([3]!Table14[[#This Row],[Nullable in Table and in Oracle View
NULL, NOT NULL]]="No","NOT NULL","NULL")=VLOOKUP(A130,[2]Model!C$2:I$228,6,FALSE)</f>
        <v>#REF!</v>
      </c>
      <c r="T130" s="18" t="e">
        <f>VLOOKUP(B130,[2]Table!A$2:F$415,1,FALSE)=[3]!Table14[[#This Row],[Physical Name of Attribute (Name of column in Table)
Supplied by DA Team]]</f>
        <v>#REF!</v>
      </c>
      <c r="U130" s="18" t="b">
        <f>VLOOKUP(B130,Table!A$2:F$319,2,FALSE)=Table1[[#This Row],[Data type in Oracle
VARCHAR2(n), DATE, NUMBER(m,n), TIMETSTAMP(6)]]</f>
        <v>1</v>
      </c>
      <c r="V130" s="18" t="b">
        <f>VLOOKUP(B130,Table!A$2:F$231,3,FALSE)=Table1[[#This Row],[Nullable in Table and in Oracle View
NULL, NOT NULL]]</f>
        <v>1</v>
      </c>
      <c r="W130" s="18" t="b">
        <f>VLOOKUP(B130,Table!A$2:H$228,6,FALSE)=Table1[[#This Row],[Business Definition (To go into comments and into Meta Data Hub)]]</f>
        <v>1</v>
      </c>
      <c r="X130" s="55" t="str">
        <f>VLOOKUP((UPPER(SUBSTITUTE(A130," ","_"))),'[2]Consumer View'!A$2:I$329,1,FALSE)</f>
        <v>OFFSET_ARRANGEMENT_ID</v>
      </c>
      <c r="Y130" s="18" t="s">
        <v>68</v>
      </c>
      <c r="Z130" s="18" t="s">
        <v>375</v>
      </c>
      <c r="AA130" s="18" t="s">
        <v>737</v>
      </c>
      <c r="AB130" s="18"/>
      <c r="AC130" s="18"/>
      <c r="AD130" s="18" t="s">
        <v>539</v>
      </c>
      <c r="AE130" s="46"/>
      <c r="AF130" s="18"/>
      <c r="AG130" s="18"/>
      <c r="AH130" s="18" t="s">
        <v>71</v>
      </c>
    </row>
    <row r="131" spans="1:34" ht="27" hidden="1" customHeight="1">
      <c r="A131" s="51" t="s">
        <v>740</v>
      </c>
      <c r="B131" s="18" t="s">
        <v>741</v>
      </c>
      <c r="C131" s="18" t="s">
        <v>742</v>
      </c>
      <c r="D131" s="55" t="s">
        <v>427</v>
      </c>
      <c r="E131" s="18" t="s">
        <v>63</v>
      </c>
      <c r="F131" s="18" t="s">
        <v>428</v>
      </c>
      <c r="G131" s="45" t="s">
        <v>63</v>
      </c>
      <c r="H131" s="46" t="s">
        <v>743</v>
      </c>
      <c r="I131" s="18"/>
      <c r="J131" s="18" t="s">
        <v>347</v>
      </c>
      <c r="K131" s="18">
        <v>3</v>
      </c>
      <c r="L131" s="18"/>
      <c r="M131" s="18"/>
      <c r="N131" s="18"/>
      <c r="O131" s="18" t="b">
        <f>VLOOKUP(A131,[1]Model!C$2:J$559,2,FALSE)=B131</f>
        <v>1</v>
      </c>
      <c r="P131" s="18" t="b">
        <f>VLOOKUP(A131,Model!C$2:G$228,5,FALSE)=D131</f>
        <v>1</v>
      </c>
      <c r="Q131" s="18">
        <f>VLOOKUP(A131,[2]Model!C$2:L$228,8,FALSE)</f>
        <v>55</v>
      </c>
      <c r="R131" s="18" t="e">
        <f>VLOOKUP(A131,[2]Model!C$2:G$228,3,FALSE)=[3]!Table14[[#This Row],[Business Definition (To go into comments and into Meta Data Hub)]]</f>
        <v>#VALUE!</v>
      </c>
      <c r="S131" s="18" t="e">
        <f>IF([3]!Table14[[#This Row],[Nullable in Table and in Oracle View
NULL, NOT NULL]]="No","NOT NULL","NULL")=VLOOKUP(A131,[2]Model!C$2:I$228,6,FALSE)</f>
        <v>#REF!</v>
      </c>
      <c r="T131" s="18" t="e">
        <f>VLOOKUP(B131,[2]Table!A$2:F$415,1,FALSE)=[3]!Table14[[#This Row],[Physical Name of Attribute (Name of column in Table)
Supplied by DA Team]]</f>
        <v>#REF!</v>
      </c>
      <c r="U131" s="18" t="b">
        <f>VLOOKUP(B131,Table!A$2:F$319,2,FALSE)=Table1[[#This Row],[Data type in Oracle
VARCHAR2(n), DATE, NUMBER(m,n), TIMETSTAMP(6)]]</f>
        <v>0</v>
      </c>
      <c r="V131" s="18" t="b">
        <f>VLOOKUP(B131,Table!A$2:F$231,3,FALSE)=Table1[[#This Row],[Nullable in Table and in Oracle View
NULL, NOT NULL]]</f>
        <v>1</v>
      </c>
      <c r="W131" s="18" t="b">
        <f>VLOOKUP(B131,Table!A$2:H$228,6,FALSE)=Table1[[#This Row],[Business Definition (To go into comments and into Meta Data Hub)]]</f>
        <v>1</v>
      </c>
      <c r="X131" s="18" t="str">
        <f>VLOOKUP((UPPER(SUBSTITUTE(A131," ","_"))),'[2]Consumer View'!A$2:I$329,1,FALSE)</f>
        <v>OPTION_CLASS_CODE</v>
      </c>
      <c r="Y131" s="18" t="s">
        <v>68</v>
      </c>
      <c r="Z131" s="18" t="s">
        <v>69</v>
      </c>
      <c r="AA131" s="18" t="s">
        <v>744</v>
      </c>
      <c r="AB131" s="18"/>
      <c r="AC131" s="18"/>
      <c r="AD131" s="18"/>
      <c r="AE131" s="46" t="s">
        <v>105</v>
      </c>
      <c r="AF131" s="18"/>
      <c r="AG131" s="18"/>
      <c r="AH131" s="18" t="s">
        <v>71</v>
      </c>
    </row>
    <row r="132" spans="1:34" ht="27" hidden="1" customHeight="1">
      <c r="A132" s="51" t="s">
        <v>745</v>
      </c>
      <c r="B132" s="18" t="s">
        <v>746</v>
      </c>
      <c r="C132" s="18" t="s">
        <v>747</v>
      </c>
      <c r="D132" s="18" t="s">
        <v>139</v>
      </c>
      <c r="E132" s="18" t="s">
        <v>63</v>
      </c>
      <c r="F132" s="18" t="s">
        <v>140</v>
      </c>
      <c r="G132" s="45" t="s">
        <v>63</v>
      </c>
      <c r="H132" s="46" t="s">
        <v>748</v>
      </c>
      <c r="I132" s="18"/>
      <c r="J132" s="18" t="s">
        <v>347</v>
      </c>
      <c r="K132" s="18">
        <v>3</v>
      </c>
      <c r="L132" s="18"/>
      <c r="M132" s="18"/>
      <c r="N132" s="18"/>
      <c r="O132" s="18" t="b">
        <f>VLOOKUP(A132,[1]Model!C$2:J$559,2,FALSE)=B132</f>
        <v>1</v>
      </c>
      <c r="P132" s="18" t="b">
        <f>VLOOKUP(A132,Model!C$2:G$228,5,FALSE)=D132</f>
        <v>1</v>
      </c>
      <c r="Q132" s="18">
        <f>VLOOKUP(A132,[2]Model!C$2:L$228,8,FALSE)</f>
        <v>97</v>
      </c>
      <c r="R132" s="18" t="e">
        <f>VLOOKUP(A132,[2]Model!C$2:G$228,3,FALSE)=[3]!Table14[[#This Row],[Business Definition (To go into comments and into Meta Data Hub)]]</f>
        <v>#REF!</v>
      </c>
      <c r="S132" s="18" t="e">
        <f>IF([3]!Table14[[#This Row],[Nullable in Table and in Oracle View
NULL, NOT NULL]]="No","NOT NULL","NULL")=VLOOKUP(A132,[2]Model!C$2:I$228,6,FALSE)</f>
        <v>#REF!</v>
      </c>
      <c r="T132" s="18" t="e">
        <f>VLOOKUP(B132,[2]Table!A$2:F$415,1,FALSE)=[3]!Table14[[#This Row],[Physical Name of Attribute (Name of column in Table)
Supplied by DA Team]]</f>
        <v>#REF!</v>
      </c>
      <c r="U132" s="18" t="b">
        <f>VLOOKUP(B132,Table!A$2:F$319,2,FALSE)=Table1[[#This Row],[Data type in Oracle
VARCHAR2(n), DATE, NUMBER(m,n), TIMETSTAMP(6)]]</f>
        <v>0</v>
      </c>
      <c r="V132" s="18" t="b">
        <f>VLOOKUP(B132,Table!A$2:F$231,3,FALSE)=Table1[[#This Row],[Nullable in Table and in Oracle View
NULL, NOT NULL]]</f>
        <v>1</v>
      </c>
      <c r="W132" s="18" t="b">
        <f>VLOOKUP(B132,Table!A$2:H$228,6,FALSE)=Table1[[#This Row],[Business Definition (To go into comments and into Meta Data Hub)]]</f>
        <v>1</v>
      </c>
      <c r="X132" s="55" t="str">
        <f>VLOOKUP((UPPER(SUBSTITUTE(A132," ","_"))),'[2]Consumer View'!A$2:I$329,1,FALSE)</f>
        <v>ORDER_MANAGEMENT_SYSTEM_EXECUTING_TYPE_CODE</v>
      </c>
      <c r="Y132" s="18" t="s">
        <v>68</v>
      </c>
      <c r="Z132" s="18" t="s">
        <v>113</v>
      </c>
      <c r="AA132" s="18" t="s">
        <v>143</v>
      </c>
      <c r="AB132" s="18"/>
      <c r="AC132" s="18"/>
      <c r="AD132" s="18" t="s">
        <v>749</v>
      </c>
      <c r="AE132" s="46"/>
      <c r="AF132" s="18"/>
      <c r="AG132" s="18"/>
      <c r="AH132" s="18" t="s">
        <v>71</v>
      </c>
    </row>
    <row r="133" spans="1:34" ht="27" hidden="1" customHeight="1">
      <c r="A133" s="51" t="s">
        <v>750</v>
      </c>
      <c r="B133" s="18" t="s">
        <v>751</v>
      </c>
      <c r="C133" s="18" t="s">
        <v>752</v>
      </c>
      <c r="D133" s="18" t="s">
        <v>485</v>
      </c>
      <c r="E133" s="18" t="s">
        <v>63</v>
      </c>
      <c r="F133" s="18" t="s">
        <v>486</v>
      </c>
      <c r="G133" s="45" t="s">
        <v>63</v>
      </c>
      <c r="H133" s="46" t="s">
        <v>753</v>
      </c>
      <c r="I133" s="18"/>
      <c r="J133" s="18" t="s">
        <v>347</v>
      </c>
      <c r="K133" s="18">
        <v>3</v>
      </c>
      <c r="L133" s="18"/>
      <c r="M133" s="18"/>
      <c r="N133" s="18"/>
      <c r="O133" s="18" t="b">
        <f>VLOOKUP(A133,[1]Model!C$2:J$559,2,FALSE)=B133</f>
        <v>1</v>
      </c>
      <c r="P133" s="18" t="b">
        <f>VLOOKUP(A133,Model!C$2:G$228,5,FALSE)=D133</f>
        <v>1</v>
      </c>
      <c r="Q133" s="18">
        <f>VLOOKUP(A133,[2]Model!C$2:L$228,8,FALSE)</f>
        <v>99</v>
      </c>
      <c r="R133" s="18" t="e">
        <f>VLOOKUP(A133,[2]Model!C$2:G$228,3,FALSE)=[3]!Table14[[#This Row],[Business Definition (To go into comments and into Meta Data Hub)]]</f>
        <v>#REF!</v>
      </c>
      <c r="S133" s="18" t="e">
        <f>IF([3]!Table14[[#This Row],[Nullable in Table and in Oracle View
NULL, NOT NULL]]="No","NOT NULL","NULL")=VLOOKUP(A133,[2]Model!C$2:I$228,6,FALSE)</f>
        <v>#REF!</v>
      </c>
      <c r="T133" s="18" t="e">
        <f>VLOOKUP(B133,[2]Table!A$2:F$415,1,FALSE)=[3]!Table14[[#This Row],[Physical Name of Attribute (Name of column in Table)
Supplied by DA Team]]</f>
        <v>#REF!</v>
      </c>
      <c r="U133" s="18" t="b">
        <f>VLOOKUP(B133,Table!A$2:F$319,2,FALSE)=Table1[[#This Row],[Data type in Oracle
VARCHAR2(n), DATE, NUMBER(m,n), TIMETSTAMP(6)]]</f>
        <v>0</v>
      </c>
      <c r="V133" s="18" t="b">
        <f>VLOOKUP(B133,Table!A$2:F$231,3,FALSE)=Table1[[#This Row],[Nullable in Table and in Oracle View
NULL, NOT NULL]]</f>
        <v>1</v>
      </c>
      <c r="W133" s="18" t="b">
        <f>VLOOKUP(B133,Table!A$2:H$228,6,FALSE)=Table1[[#This Row],[Business Definition (To go into comments and into Meta Data Hub)]]</f>
        <v>1</v>
      </c>
      <c r="X133" s="55" t="str">
        <f>VLOOKUP((UPPER(SUBSTITUTE(A133," ","_"))),'[2]Consumer View'!A$2:I$329,1,FALSE)</f>
        <v>ORDER_MANAGEMENT_SYSTEM_EXECUTING_TYPE_DESCRIPTION</v>
      </c>
      <c r="Y133" s="18" t="s">
        <v>68</v>
      </c>
      <c r="Z133" s="18" t="s">
        <v>113</v>
      </c>
      <c r="AA133" s="18" t="s">
        <v>488</v>
      </c>
      <c r="AB133" s="18"/>
      <c r="AC133" s="18"/>
      <c r="AD133" s="18" t="s">
        <v>754</v>
      </c>
      <c r="AE133" s="46"/>
      <c r="AF133" s="18"/>
      <c r="AG133" s="18"/>
      <c r="AH133" s="18" t="s">
        <v>71</v>
      </c>
    </row>
    <row r="134" spans="1:34" ht="27" hidden="1" customHeight="1">
      <c r="A134" s="51" t="s">
        <v>755</v>
      </c>
      <c r="B134" s="18" t="s">
        <v>756</v>
      </c>
      <c r="C134" s="18"/>
      <c r="D134" s="18" t="s">
        <v>101</v>
      </c>
      <c r="E134" s="18" t="s">
        <v>63</v>
      </c>
      <c r="F134" s="18" t="s">
        <v>133</v>
      </c>
      <c r="G134" s="45" t="s">
        <v>63</v>
      </c>
      <c r="H134" s="46" t="s">
        <v>757</v>
      </c>
      <c r="I134" s="18"/>
      <c r="J134" s="18" t="s">
        <v>347</v>
      </c>
      <c r="K134" s="18">
        <v>3</v>
      </c>
      <c r="L134" s="18"/>
      <c r="M134" s="18"/>
      <c r="N134" s="18"/>
      <c r="O134" s="18" t="b">
        <f>VLOOKUP(A134,[1]Model!C$2:J$559,2,FALSE)=B134</f>
        <v>1</v>
      </c>
      <c r="P134" s="18" t="b">
        <f>VLOOKUP(A134,Model!C$2:G$228,5,FALSE)=D134</f>
        <v>1</v>
      </c>
      <c r="Q134" s="18">
        <f>VLOOKUP(A134,[2]Model!C$2:L$228,8,FALSE)</f>
        <v>96</v>
      </c>
      <c r="R134" s="18" t="e">
        <f>VLOOKUP(A134,[2]Model!C$2:G$228,3,FALSE)=[3]!Table14[[#This Row],[Business Definition (To go into comments and into Meta Data Hub)]]</f>
        <v>#REF!</v>
      </c>
      <c r="S134" s="18" t="e">
        <f>IF([3]!Table14[[#This Row],[Nullable in Table and in Oracle View
NULL, NOT NULL]]="No","NOT NULL","NULL")=VLOOKUP(A134,[2]Model!C$2:I$228,6,FALSE)</f>
        <v>#REF!</v>
      </c>
      <c r="T134" s="18" t="e">
        <f>VLOOKUP(B134,[2]Table!A$2:F$415,1,FALSE)=[3]!Table14[[#This Row],[Physical Name of Attribute (Name of column in Table)
Supplied by DA Team]]</f>
        <v>#REF!</v>
      </c>
      <c r="U134" s="18" t="b">
        <f>VLOOKUP(B134,Table!A$2:F$319,2,FALSE)=Table1[[#This Row],[Data type in Oracle
VARCHAR2(n), DATE, NUMBER(m,n), TIMETSTAMP(6)]]</f>
        <v>1</v>
      </c>
      <c r="V134" s="18" t="b">
        <f>VLOOKUP(B134,Table!A$2:F$231,3,FALSE)=Table1[[#This Row],[Nullable in Table and in Oracle View
NULL, NOT NULL]]</f>
        <v>1</v>
      </c>
      <c r="W134" s="18" t="b">
        <f>VLOOKUP(B134,Table!A$2:H$228,6,FALSE)=Table1[[#This Row],[Business Definition (To go into comments and into Meta Data Hub)]]</f>
        <v>1</v>
      </c>
      <c r="X134" s="55" t="str">
        <f>VLOOKUP((UPPER(SUBSTITUTE(A134," ","_"))),'[2]Consumer View'!A$2:I$329,1,FALSE)</f>
        <v>ORDER_MANAGEMENT_SYSTEM_EXECUTING_TYPE_ID</v>
      </c>
      <c r="Y134" s="18" t="s">
        <v>68</v>
      </c>
      <c r="Z134" s="18" t="s">
        <v>69</v>
      </c>
      <c r="AA134" s="18" t="s">
        <v>756</v>
      </c>
      <c r="AB134" s="18"/>
      <c r="AC134" s="18"/>
      <c r="AD134" s="18"/>
      <c r="AE134" s="46"/>
      <c r="AF134" s="18"/>
      <c r="AG134" s="18"/>
      <c r="AH134" s="18" t="s">
        <v>71</v>
      </c>
    </row>
    <row r="135" spans="1:34" ht="27" hidden="1" customHeight="1">
      <c r="A135" s="51" t="s">
        <v>758</v>
      </c>
      <c r="B135" s="18" t="s">
        <v>759</v>
      </c>
      <c r="C135" s="18" t="s">
        <v>760</v>
      </c>
      <c r="D135" s="55" t="s">
        <v>109</v>
      </c>
      <c r="E135" s="18" t="s">
        <v>63</v>
      </c>
      <c r="F135" s="18" t="s">
        <v>110</v>
      </c>
      <c r="G135" s="45" t="s">
        <v>63</v>
      </c>
      <c r="H135" s="46" t="s">
        <v>761</v>
      </c>
      <c r="I135" s="18"/>
      <c r="J135" s="18" t="s">
        <v>347</v>
      </c>
      <c r="K135" s="18">
        <v>3</v>
      </c>
      <c r="L135" s="18"/>
      <c r="M135" s="18"/>
      <c r="N135" s="18"/>
      <c r="O135" s="18" t="b">
        <f>VLOOKUP(A135,[1]Model!C$2:J$559,2,FALSE)=B135</f>
        <v>1</v>
      </c>
      <c r="P135" s="18" t="b">
        <f>VLOOKUP(A135,Model!C$2:G$228,5,FALSE)=D135</f>
        <v>1</v>
      </c>
      <c r="Q135" s="18">
        <f>VLOOKUP(A135,[2]Model!C$2:L$228,8,FALSE)</f>
        <v>98</v>
      </c>
      <c r="R135" s="18" t="e">
        <f>VLOOKUP(A135,[2]Model!C$2:G$228,3,FALSE)=[3]!Table14[[#This Row],[Business Definition (To go into comments and into Meta Data Hub)]]</f>
        <v>#REF!</v>
      </c>
      <c r="S135" s="18" t="e">
        <f>IF([3]!Table14[[#This Row],[Nullable in Table and in Oracle View
NULL, NOT NULL]]="No","NOT NULL","NULL")=VLOOKUP(A135,[2]Model!C$2:I$228,6,FALSE)</f>
        <v>#REF!</v>
      </c>
      <c r="T135" s="18" t="e">
        <f>VLOOKUP(B135,[2]Table!A$2:F$415,1,FALSE)=[3]!Table14[[#This Row],[Physical Name of Attribute (Name of column in Table)
Supplied by DA Team]]</f>
        <v>#REF!</v>
      </c>
      <c r="U135" s="18" t="b">
        <f>VLOOKUP(B135,Table!A$2:F$319,2,FALSE)=Table1[[#This Row],[Data type in Oracle
VARCHAR2(n), DATE, NUMBER(m,n), TIMETSTAMP(6)]]</f>
        <v>0</v>
      </c>
      <c r="V135" s="18" t="b">
        <f>VLOOKUP(B135,Table!A$2:F$231,3,FALSE)=Table1[[#This Row],[Nullable in Table and in Oracle View
NULL, NOT NULL]]</f>
        <v>1</v>
      </c>
      <c r="W135" s="18" t="b">
        <f>VLOOKUP(B135,Table!A$2:H$228,6,FALSE)=Table1[[#This Row],[Business Definition (To go into comments and into Meta Data Hub)]]</f>
        <v>1</v>
      </c>
      <c r="X135" s="55" t="str">
        <f>VLOOKUP((UPPER(SUBSTITUTE(A135," ","_"))),'[2]Consumer View'!A$2:I$329,1,FALSE)</f>
        <v>ORDER_MANAGEMENT_SYSTEM_EXECUTING_TYPE_NAME</v>
      </c>
      <c r="Y135" s="18" t="s">
        <v>68</v>
      </c>
      <c r="Z135" s="18" t="s">
        <v>113</v>
      </c>
      <c r="AA135" s="18" t="s">
        <v>114</v>
      </c>
      <c r="AB135" s="18"/>
      <c r="AC135" s="18"/>
      <c r="AD135" s="18" t="s">
        <v>754</v>
      </c>
      <c r="AE135" s="46" t="s">
        <v>105</v>
      </c>
      <c r="AF135" s="18"/>
      <c r="AG135" s="18"/>
      <c r="AH135" s="18" t="s">
        <v>71</v>
      </c>
    </row>
    <row r="136" spans="1:34" ht="27" hidden="1" customHeight="1">
      <c r="A136" s="51" t="s">
        <v>762</v>
      </c>
      <c r="B136" s="18" t="s">
        <v>763</v>
      </c>
      <c r="C136" s="18" t="s">
        <v>764</v>
      </c>
      <c r="D136" s="18" t="s">
        <v>139</v>
      </c>
      <c r="E136" s="18" t="s">
        <v>63</v>
      </c>
      <c r="F136" s="18" t="s">
        <v>140</v>
      </c>
      <c r="G136" s="45" t="s">
        <v>63</v>
      </c>
      <c r="H136" s="46" t="s">
        <v>765</v>
      </c>
      <c r="I136" s="18"/>
      <c r="J136" s="18" t="s">
        <v>347</v>
      </c>
      <c r="K136" s="18">
        <v>3</v>
      </c>
      <c r="L136" s="18"/>
      <c r="M136" s="18"/>
      <c r="N136" s="18"/>
      <c r="O136" s="18" t="b">
        <f>VLOOKUP(A136,[1]Model!C$2:J$559,2,FALSE)=B136</f>
        <v>1</v>
      </c>
      <c r="P136" s="18" t="b">
        <f>VLOOKUP(A136,Model!C$2:G$228,5,FALSE)=D136</f>
        <v>1</v>
      </c>
      <c r="Q136" s="18">
        <f>VLOOKUP(A136,[2]Model!C$2:L$228,8,FALSE)</f>
        <v>127</v>
      </c>
      <c r="R136" s="18" t="e">
        <f>VLOOKUP(A136,[2]Model!C$2:G$228,3,FALSE)=[3]!Table14[[#This Row],[Business Definition (To go into comments and into Meta Data Hub)]]</f>
        <v>#REF!</v>
      </c>
      <c r="S136" s="18" t="e">
        <f>IF([3]!Table14[[#This Row],[Nullable in Table and in Oracle View
NULL, NOT NULL]]="No","NOT NULL","NULL")=VLOOKUP(A136,[2]Model!C$2:I$228,6,FALSE)</f>
        <v>#REF!</v>
      </c>
      <c r="T136" s="18" t="e">
        <f>VLOOKUP(B136,[2]Table!A$2:F$415,1,FALSE)=[3]!Table14[[#This Row],[Physical Name of Attribute (Name of column in Table)
Supplied by DA Team]]</f>
        <v>#REF!</v>
      </c>
      <c r="U136" s="18" t="b">
        <f>VLOOKUP(B136,Table!A$2:F$319,2,FALSE)=Table1[[#This Row],[Data type in Oracle
VARCHAR2(n), DATE, NUMBER(m,n), TIMETSTAMP(6)]]</f>
        <v>0</v>
      </c>
      <c r="V136" s="18" t="b">
        <f>VLOOKUP(B136,Table!A$2:F$231,3,FALSE)=Table1[[#This Row],[Nullable in Table and in Oracle View
NULL, NOT NULL]]</f>
        <v>1</v>
      </c>
      <c r="W136" s="18" t="b">
        <f>VLOOKUP(B136,Table!A$2:H$228,6,FALSE)=Table1[[#This Row],[Business Definition (To go into comments and into Meta Data Hub)]]</f>
        <v>1</v>
      </c>
      <c r="X136" s="55" t="str">
        <f>VLOOKUP((UPPER(SUBSTITUTE(A136," ","_"))),'[2]Consumer View'!A$2:I$329,1,FALSE)</f>
        <v>ORDER_MANAGEMENT_SYSTEM_ORDER_KEY</v>
      </c>
      <c r="Y136" s="18" t="s">
        <v>68</v>
      </c>
      <c r="Z136" s="18" t="s">
        <v>69</v>
      </c>
      <c r="AA136" s="18" t="s">
        <v>763</v>
      </c>
      <c r="AB136" s="18"/>
      <c r="AC136" s="18"/>
      <c r="AD136" s="18"/>
      <c r="AE136" s="46"/>
      <c r="AF136" s="18"/>
      <c r="AG136" s="18"/>
      <c r="AH136" s="18" t="s">
        <v>71</v>
      </c>
    </row>
    <row r="137" spans="1:34" ht="27" hidden="1" customHeight="1">
      <c r="A137" s="51" t="s">
        <v>766</v>
      </c>
      <c r="B137" s="18" t="s">
        <v>767</v>
      </c>
      <c r="C137" s="18" t="s">
        <v>768</v>
      </c>
      <c r="D137" s="18" t="s">
        <v>157</v>
      </c>
      <c r="E137" s="18" t="s">
        <v>63</v>
      </c>
      <c r="F137" s="18" t="s">
        <v>158</v>
      </c>
      <c r="G137" s="45" t="s">
        <v>63</v>
      </c>
      <c r="H137" s="46" t="s">
        <v>769</v>
      </c>
      <c r="I137" s="18"/>
      <c r="J137" s="18" t="s">
        <v>347</v>
      </c>
      <c r="K137" s="18">
        <v>3</v>
      </c>
      <c r="L137" s="18"/>
      <c r="M137" s="18"/>
      <c r="N137" s="18"/>
      <c r="O137" s="18" t="b">
        <f>VLOOKUP(A137,[1]Model!C$2:J$559,2,FALSE)=B137</f>
        <v>1</v>
      </c>
      <c r="P137" s="18" t="b">
        <f>VLOOKUP(A137,Model!C$2:G$228,5,FALSE)=D137</f>
        <v>1</v>
      </c>
      <c r="Q137" s="18">
        <f>VLOOKUP(A137,[2]Model!C$2:L$228,8,FALSE)</f>
        <v>22</v>
      </c>
      <c r="R137" s="18" t="e">
        <f>VLOOKUP(A137,[2]Model!C$2:G$228,3,FALSE)=[3]!Table14[[#This Row],[Business Definition (To go into comments and into Meta Data Hub)]]</f>
        <v>#REF!</v>
      </c>
      <c r="S137" s="18" t="e">
        <f>IF([3]!Table14[[#This Row],[Nullable in Table and in Oracle View
NULL, NOT NULL]]="No","NOT NULL","NULL")=VLOOKUP(A137,[2]Model!C$2:I$228,6,FALSE)</f>
        <v>#REF!</v>
      </c>
      <c r="T137" s="18" t="e">
        <f>VLOOKUP(B137,[2]Table!A$2:F$415,1,FALSE)=[3]!Table14[[#This Row],[Physical Name of Attribute (Name of column in Table)
Supplied by DA Team]]</f>
        <v>#REF!</v>
      </c>
      <c r="U137" s="18" t="b">
        <f>VLOOKUP(B137,Table!A$2:F$319,2,FALSE)=Table1[[#This Row],[Data type in Oracle
VARCHAR2(n), DATE, NUMBER(m,n), TIMETSTAMP(6)]]</f>
        <v>1</v>
      </c>
      <c r="V137" s="18" t="b">
        <f>VLOOKUP(B137,Table!A$2:F$231,3,FALSE)=Table1[[#This Row],[Nullable in Table and in Oracle View
NULL, NOT NULL]]</f>
        <v>1</v>
      </c>
      <c r="W137" s="18" t="b">
        <f>VLOOKUP(B137,Table!A$2:H$228,6,FALSE)=Table1[[#This Row],[Business Definition (To go into comments and into Meta Data Hub)]]</f>
        <v>0</v>
      </c>
      <c r="X137" s="55" t="str">
        <f>VLOOKUP((UPPER(SUBSTITUTE(A137," ","_"))),'[2]Consumer View'!A$2:I$329,1,FALSE)</f>
        <v>ORIGINAL_BOOKING_DATE</v>
      </c>
      <c r="Y137" s="18" t="s">
        <v>68</v>
      </c>
      <c r="Z137" s="18" t="s">
        <v>69</v>
      </c>
      <c r="AA137" s="18" t="s">
        <v>767</v>
      </c>
      <c r="AB137" s="18"/>
      <c r="AC137" s="18"/>
      <c r="AD137" s="18"/>
      <c r="AE137" s="46"/>
      <c r="AF137" s="18"/>
      <c r="AG137" s="18"/>
      <c r="AH137" s="18" t="s">
        <v>71</v>
      </c>
    </row>
    <row r="138" spans="1:34" ht="27" hidden="1" customHeight="1">
      <c r="A138" s="51" t="s">
        <v>770</v>
      </c>
      <c r="B138" s="18" t="s">
        <v>771</v>
      </c>
      <c r="C138" s="18" t="s">
        <v>772</v>
      </c>
      <c r="D138" s="18" t="s">
        <v>227</v>
      </c>
      <c r="E138" s="18" t="s">
        <v>63</v>
      </c>
      <c r="F138" s="18" t="s">
        <v>228</v>
      </c>
      <c r="G138" s="45" t="s">
        <v>63</v>
      </c>
      <c r="H138" s="46" t="s">
        <v>773</v>
      </c>
      <c r="I138" s="18"/>
      <c r="J138" s="18" t="s">
        <v>347</v>
      </c>
      <c r="K138" s="18">
        <v>3</v>
      </c>
      <c r="L138" s="18"/>
      <c r="M138" s="18"/>
      <c r="N138" s="18"/>
      <c r="O138" s="18" t="b">
        <f>VLOOKUP(A138,[1]Model!C$2:J$559,2,FALSE)=B138</f>
        <v>1</v>
      </c>
      <c r="P138" s="18" t="b">
        <f>VLOOKUP(A138,Model!C$2:G$228,5,FALSE)=D138</f>
        <v>1</v>
      </c>
      <c r="Q138" s="18">
        <f>VLOOKUP(A138,[2]Model!C$2:L$228,8,FALSE)</f>
        <v>26</v>
      </c>
      <c r="R138" s="18" t="e">
        <f>VLOOKUP(A138,[2]Model!C$2:G$228,3,FALSE)=[3]!Table14[[#This Row],[Business Definition (To go into comments and into Meta Data Hub)]]</f>
        <v>#REF!</v>
      </c>
      <c r="S138" s="18" t="e">
        <f>IF([3]!Table14[[#This Row],[Nullable in Table and in Oracle View
NULL, NOT NULL]]="No","NOT NULL","NULL")=VLOOKUP(A138,[2]Model!C$2:I$228,6,FALSE)</f>
        <v>#REF!</v>
      </c>
      <c r="T138" s="18" t="e">
        <f>VLOOKUP(B138,[2]Table!A$2:F$415,1,FALSE)=[3]!Table14[[#This Row],[Physical Name of Attribute (Name of column in Table)
Supplied by DA Team]]</f>
        <v>#REF!</v>
      </c>
      <c r="U138" s="18" t="b">
        <f>VLOOKUP(B138,Table!A$2:F$319,2,FALSE)=Table1[[#This Row],[Data type in Oracle
VARCHAR2(n), DATE, NUMBER(m,n), TIMETSTAMP(6)]]</f>
        <v>0</v>
      </c>
      <c r="V138" s="18" t="b">
        <f>VLOOKUP(B138,Table!A$2:F$231,3,FALSE)=Table1[[#This Row],[Nullable in Table and in Oracle View
NULL, NOT NULL]]</f>
        <v>1</v>
      </c>
      <c r="W138" s="18" t="b">
        <f>VLOOKUP(B138,Table!A$2:H$228,6,FALSE)=Table1[[#This Row],[Business Definition (To go into comments and into Meta Data Hub)]]</f>
        <v>1</v>
      </c>
      <c r="X138" s="18" t="str">
        <f>VLOOKUP((UPPER(SUBSTITUTE(A138," ","_"))),'[2]Consumer View'!A$2:I$329,1,FALSE)</f>
        <v>ORIGINAL_TRADE_NUMBER</v>
      </c>
      <c r="Y138" s="18" t="s">
        <v>68</v>
      </c>
      <c r="Z138" s="18" t="s">
        <v>69</v>
      </c>
      <c r="AA138" s="18" t="s">
        <v>771</v>
      </c>
      <c r="AB138" s="18"/>
      <c r="AC138" s="18"/>
      <c r="AD138" s="18"/>
      <c r="AE138" s="46"/>
      <c r="AF138" s="18"/>
      <c r="AG138" s="18"/>
      <c r="AH138" s="18" t="s">
        <v>71</v>
      </c>
    </row>
    <row r="139" spans="1:34" ht="27" hidden="1" customHeight="1">
      <c r="A139" s="51" t="s">
        <v>774</v>
      </c>
      <c r="B139" s="18" t="s">
        <v>775</v>
      </c>
      <c r="C139" s="18" t="s">
        <v>776</v>
      </c>
      <c r="D139" s="18" t="s">
        <v>157</v>
      </c>
      <c r="E139" s="18" t="s">
        <v>63</v>
      </c>
      <c r="F139" s="18" t="s">
        <v>158</v>
      </c>
      <c r="G139" s="45" t="s">
        <v>63</v>
      </c>
      <c r="H139" s="46" t="s">
        <v>777</v>
      </c>
      <c r="I139" s="18"/>
      <c r="J139" s="18" t="s">
        <v>347</v>
      </c>
      <c r="K139" s="18">
        <v>3</v>
      </c>
      <c r="L139" s="18"/>
      <c r="M139" s="18"/>
      <c r="N139" s="18"/>
      <c r="O139" s="18" t="b">
        <f>VLOOKUP(A139,[1]Model!C$2:J$559,2,FALSE)=B139</f>
        <v>1</v>
      </c>
      <c r="P139" s="18" t="b">
        <f>VLOOKUP(A139,Model!C$2:G$228,5,FALSE)=D139</f>
        <v>1</v>
      </c>
      <c r="Q139" s="18">
        <f>VLOOKUP(A139,[2]Model!C$2:L$228,8,FALSE)</f>
        <v>128</v>
      </c>
      <c r="R139" s="18" t="e">
        <f>VLOOKUP(A139,[2]Model!C$2:G$228,3,FALSE)=[3]!Table14[[#This Row],[Business Definition (To go into comments and into Meta Data Hub)]]</f>
        <v>#REF!</v>
      </c>
      <c r="S139" s="18" t="e">
        <f>IF([3]!Table14[[#This Row],[Nullable in Table and in Oracle View
NULL, NOT NULL]]="No","NOT NULL","NULL")=VLOOKUP(A139,[2]Model!C$2:I$228,6,FALSE)</f>
        <v>#REF!</v>
      </c>
      <c r="T139" s="18" t="e">
        <f>VLOOKUP(B139,[2]Table!A$2:F$415,1,FALSE)=[3]!Table14[[#This Row],[Physical Name of Attribute (Name of column in Table)
Supplied by DA Team]]</f>
        <v>#REF!</v>
      </c>
      <c r="U139" s="18" t="b">
        <f>VLOOKUP(B139,Table!A$2:F$319,2,FALSE)=Table1[[#This Row],[Data type in Oracle
VARCHAR2(n), DATE, NUMBER(m,n), TIMETSTAMP(6)]]</f>
        <v>1</v>
      </c>
      <c r="V139" s="18" t="b">
        <f>VLOOKUP(B139,Table!A$2:F$231,3,FALSE)=Table1[[#This Row],[Nullable in Table and in Oracle View
NULL, NOT NULL]]</f>
        <v>1</v>
      </c>
      <c r="W139" s="18" t="b">
        <f>VLOOKUP(B139,Table!A$2:H$228,6,FALSE)=Table1[[#This Row],[Business Definition (To go into comments and into Meta Data Hub)]]</f>
        <v>1</v>
      </c>
      <c r="X139" s="55" t="str">
        <f>VLOOKUP((UPPER(SUBSTITUTE(A139," ","_"))),'[2]Consumer View'!A$2:I$329,1,FALSE)</f>
        <v>ORIGNAL_TRADE_DATE</v>
      </c>
      <c r="Y139" s="18" t="s">
        <v>68</v>
      </c>
      <c r="Z139" s="18" t="s">
        <v>69</v>
      </c>
      <c r="AA139" s="18" t="s">
        <v>775</v>
      </c>
      <c r="AB139" s="18"/>
      <c r="AC139" s="18"/>
      <c r="AD139" s="18"/>
      <c r="AE139" s="46"/>
      <c r="AF139" s="18"/>
      <c r="AG139" s="18"/>
      <c r="AH139" s="18" t="s">
        <v>71</v>
      </c>
    </row>
    <row r="140" spans="1:34" ht="27" hidden="1" customHeight="1">
      <c r="A140" s="51" t="s">
        <v>778</v>
      </c>
      <c r="B140" s="18" t="s">
        <v>779</v>
      </c>
      <c r="C140" s="18"/>
      <c r="D140" s="18" t="s">
        <v>101</v>
      </c>
      <c r="E140" s="18" t="s">
        <v>345</v>
      </c>
      <c r="F140" s="18" t="s">
        <v>133</v>
      </c>
      <c r="G140" s="45" t="s">
        <v>63</v>
      </c>
      <c r="H140" s="18" t="s">
        <v>780</v>
      </c>
      <c r="I140" s="18"/>
      <c r="J140" s="18" t="s">
        <v>347</v>
      </c>
      <c r="K140" s="18">
        <v>3</v>
      </c>
      <c r="L140" s="18"/>
      <c r="M140" s="18"/>
      <c r="N140" s="18"/>
      <c r="O140" s="18" t="e">
        <f>VLOOKUP(A140,[1]Model!C$2:J$559,2,FALSE)=B140</f>
        <v>#N/A</v>
      </c>
      <c r="P140" s="18" t="e">
        <f>VLOOKUP(A140,Model!C$2:G$228,5,FALSE)=D140</f>
        <v>#N/A</v>
      </c>
      <c r="Q140" s="18" t="e">
        <f>VLOOKUP(A140,[2]Model!C$2:L$228,8,FALSE)</f>
        <v>#N/A</v>
      </c>
      <c r="R140" s="18" t="e">
        <f>VLOOKUP(A140,[2]Model!C$2:G$228,3,FALSE)=[3]!Table14[[#This Row],[Business Definition (To go into comments and into Meta Data Hub)]]</f>
        <v>#N/A</v>
      </c>
      <c r="S140" s="18" t="e">
        <f>IF([3]!Table14[[#This Row],[Nullable in Table and in Oracle View
NULL, NOT NULL]]="No","NOT NULL","NULL")=VLOOKUP(A140,[2]Model!C$2:I$228,6,FALSE)</f>
        <v>#REF!</v>
      </c>
      <c r="T140" s="18" t="e">
        <f>VLOOKUP(B140,[2]Table!A$2:F$415,1,FALSE)=[3]!Table14[[#This Row],[Physical Name of Attribute (Name of column in Table)
Supplied by DA Team]]</f>
        <v>#REF!</v>
      </c>
      <c r="U140" s="18" t="b">
        <f>VLOOKUP(B140,Table!A$2:F$319,2,FALSE)=Table1[[#This Row],[Data type in Oracle
VARCHAR2(n), DATE, NUMBER(m,n), TIMETSTAMP(6)]]</f>
        <v>1</v>
      </c>
      <c r="V140" s="18" t="b">
        <f>VLOOKUP(B140,Table!A$2:F$231,3,FALSE)=Table1[[#This Row],[Nullable in Table and in Oracle View
NULL, NOT NULL]]</f>
        <v>1</v>
      </c>
      <c r="W140" s="18" t="b">
        <f>VLOOKUP(B140,Table!A$2:H$228,6,FALSE)=Table1[[#This Row],[Business Definition (To go into comments and into Meta Data Hub)]]</f>
        <v>1</v>
      </c>
      <c r="X140" s="55" t="e">
        <f>VLOOKUP((UPPER(SUBSTITUTE(A140," ","_"))),'[2]Consumer View'!A$2:I$329,1,FALSE)</f>
        <v>#N/A</v>
      </c>
      <c r="Y140" s="18" t="s">
        <v>262</v>
      </c>
      <c r="Z140" s="18" t="s">
        <v>263</v>
      </c>
      <c r="AA140" s="18" t="s">
        <v>781</v>
      </c>
      <c r="AB140" s="18"/>
      <c r="AC140" s="18"/>
      <c r="AD140" s="18" t="s">
        <v>782</v>
      </c>
      <c r="AE140" s="46"/>
      <c r="AF140" s="18"/>
      <c r="AG140" s="18"/>
      <c r="AH140" s="18" t="s">
        <v>351</v>
      </c>
    </row>
    <row r="141" spans="1:34" ht="27" hidden="1" customHeight="1">
      <c r="A141" s="51" t="s">
        <v>783</v>
      </c>
      <c r="B141" s="18" t="s">
        <v>784</v>
      </c>
      <c r="C141" s="18"/>
      <c r="D141" s="18" t="s">
        <v>101</v>
      </c>
      <c r="E141" s="18" t="s">
        <v>63</v>
      </c>
      <c r="F141" s="18" t="s">
        <v>133</v>
      </c>
      <c r="G141" s="45" t="s">
        <v>63</v>
      </c>
      <c r="H141" s="46" t="s">
        <v>785</v>
      </c>
      <c r="I141" s="18"/>
      <c r="J141" s="18" t="s">
        <v>67</v>
      </c>
      <c r="K141" s="18">
        <v>3</v>
      </c>
      <c r="L141" s="18"/>
      <c r="M141" s="18"/>
      <c r="N141" s="18"/>
      <c r="O141" s="18" t="b">
        <f>VLOOKUP(A141,[1]Model!C$2:J$559,2,FALSE)=B141</f>
        <v>1</v>
      </c>
      <c r="P141" s="18" t="e">
        <f>VLOOKUP(A141,Model!C$2:G$228,5,FALSE)=D141</f>
        <v>#N/A</v>
      </c>
      <c r="Q141" s="18">
        <f>VLOOKUP(A141,[2]Model!C$2:L$228,8,FALSE)</f>
        <v>202</v>
      </c>
      <c r="R141" s="18" t="e">
        <f>VLOOKUP(A141,[2]Model!C$2:G$228,3,FALSE)=[3]!Table14[[#This Row],[Business Definition (To go into comments and into Meta Data Hub)]]</f>
        <v>#REF!</v>
      </c>
      <c r="S141" s="18" t="e">
        <f>IF([3]!Table14[[#This Row],[Nullable in Table and in Oracle View
NULL, NOT NULL]]="No","NOT NULL","NULL")=VLOOKUP(A141,[2]Model!C$2:I$228,6,FALSE)</f>
        <v>#REF!</v>
      </c>
      <c r="T141" s="18" t="e">
        <f>VLOOKUP(B141,[2]Table!A$2:F$415,1,FALSE)=[3]!Table14[[#This Row],[Physical Name of Attribute (Name of column in Table)
Supplied by DA Team]]</f>
        <v>#REF!</v>
      </c>
      <c r="U141" s="18" t="b">
        <f>VLOOKUP(B141,Table!A$2:F$319,2,FALSE)=Table1[[#This Row],[Data type in Oracle
VARCHAR2(n), DATE, NUMBER(m,n), TIMETSTAMP(6)]]</f>
        <v>1</v>
      </c>
      <c r="V141" s="18" t="b">
        <f>VLOOKUP(B141,Table!A$2:F$231,3,FALSE)=Table1[[#This Row],[Nullable in Table and in Oracle View
NULL, NOT NULL]]</f>
        <v>1</v>
      </c>
      <c r="W141" s="18" t="b">
        <f>VLOOKUP(B141,Table!A$2:H$228,6,FALSE)=Table1[[#This Row],[Business Definition (To go into comments and into Meta Data Hub)]]</f>
        <v>1</v>
      </c>
      <c r="X141" s="18" t="e">
        <f>VLOOKUP((UPPER(SUBSTITUTE(A141," ","_"))),'[2]Consumer View'!A$2:I$329,1,FALSE)</f>
        <v>#N/A</v>
      </c>
      <c r="Y141" s="18" t="s">
        <v>68</v>
      </c>
      <c r="Z141" s="18" t="s">
        <v>69</v>
      </c>
      <c r="AA141" s="18" t="s">
        <v>786</v>
      </c>
      <c r="AB141" s="18"/>
      <c r="AC141" s="18"/>
      <c r="AD141" s="18" t="s">
        <v>787</v>
      </c>
      <c r="AE141" s="46" t="s">
        <v>284</v>
      </c>
      <c r="AF141" s="18"/>
      <c r="AG141" s="18"/>
      <c r="AH141" s="18" t="s">
        <v>71</v>
      </c>
    </row>
    <row r="142" spans="1:34" ht="27" hidden="1" customHeight="1">
      <c r="A142" s="51" t="s">
        <v>788</v>
      </c>
      <c r="B142" s="18" t="s">
        <v>789</v>
      </c>
      <c r="C142" s="18" t="s">
        <v>790</v>
      </c>
      <c r="D142" s="18" t="s">
        <v>139</v>
      </c>
      <c r="E142" s="18" t="s">
        <v>63</v>
      </c>
      <c r="F142" s="18" t="s">
        <v>140</v>
      </c>
      <c r="G142" s="45" t="s">
        <v>63</v>
      </c>
      <c r="H142" s="46" t="s">
        <v>791</v>
      </c>
      <c r="I142" s="18"/>
      <c r="J142" s="18" t="s">
        <v>67</v>
      </c>
      <c r="K142" s="18">
        <v>3</v>
      </c>
      <c r="L142" s="18"/>
      <c r="M142" s="18"/>
      <c r="N142" s="18"/>
      <c r="O142" s="18" t="b">
        <f>VLOOKUP(A142,[1]Model!C$2:J$559,2,FALSE)=B142</f>
        <v>1</v>
      </c>
      <c r="P142" s="18" t="e">
        <f>VLOOKUP(A142,Model!C$2:G$228,5,FALSE)=D142</f>
        <v>#N/A</v>
      </c>
      <c r="Q142" s="18">
        <f>VLOOKUP(A142,[2]Model!C$2:L$228,8,FALSE)</f>
        <v>203</v>
      </c>
      <c r="R142" s="18" t="e">
        <f>VLOOKUP(A142,[2]Model!C$2:G$228,3,FALSE)=[3]!Table14[[#This Row],[Business Definition (To go into comments and into Meta Data Hub)]]</f>
        <v>#REF!</v>
      </c>
      <c r="S142" s="18" t="e">
        <f>IF([3]!Table14[[#This Row],[Nullable in Table and in Oracle View
NULL, NOT NULL]]="No","NOT NULL","NULL")=VLOOKUP(A142,[2]Model!C$2:I$228,6,FALSE)</f>
        <v>#REF!</v>
      </c>
      <c r="T142" s="18" t="e">
        <f>VLOOKUP(B142,[2]Table!A$2:F$415,1,FALSE)=[3]!Table14[[#This Row],[Physical Name of Attribute (Name of column in Table)
Supplied by DA Team]]</f>
        <v>#REF!</v>
      </c>
      <c r="U142" s="18" t="b">
        <f>VLOOKUP(B142,Table!A$2:F$319,2,FALSE)=Table1[[#This Row],[Data type in Oracle
VARCHAR2(n), DATE, NUMBER(m,n), TIMETSTAMP(6)]]</f>
        <v>0</v>
      </c>
      <c r="V142" s="18" t="b">
        <f>VLOOKUP(B142,Table!A$2:F$231,3,FALSE)=Table1[[#This Row],[Nullable in Table and in Oracle View
NULL, NOT NULL]]</f>
        <v>1</v>
      </c>
      <c r="W142" s="18" t="b">
        <f>VLOOKUP(B142,Table!A$2:H$228,6,FALSE)=Table1[[#This Row],[Business Definition (To go into comments and into Meta Data Hub)]]</f>
        <v>1</v>
      </c>
      <c r="X142" s="18" t="e">
        <f>VLOOKUP((UPPER(SUBSTITUTE(A142," ","_"))),'[2]Consumer View'!A$2:I$329,1,FALSE)</f>
        <v>#N/A</v>
      </c>
      <c r="Y142" s="18" t="s">
        <v>262</v>
      </c>
      <c r="Z142" s="18" t="s">
        <v>263</v>
      </c>
      <c r="AA142" s="18" t="s">
        <v>792</v>
      </c>
      <c r="AB142" s="18"/>
      <c r="AC142" s="18"/>
      <c r="AD142" s="18" t="s">
        <v>782</v>
      </c>
      <c r="AE142" s="46" t="s">
        <v>284</v>
      </c>
      <c r="AF142" s="18"/>
      <c r="AG142" s="18"/>
      <c r="AH142" s="18" t="s">
        <v>71</v>
      </c>
    </row>
    <row r="143" spans="1:34" ht="27" hidden="1" customHeight="1">
      <c r="A143" s="51" t="s">
        <v>793</v>
      </c>
      <c r="B143" s="18" t="s">
        <v>794</v>
      </c>
      <c r="C143" s="18"/>
      <c r="D143" s="18" t="s">
        <v>101</v>
      </c>
      <c r="E143" s="18" t="s">
        <v>63</v>
      </c>
      <c r="F143" s="18" t="s">
        <v>133</v>
      </c>
      <c r="G143" s="45" t="s">
        <v>63</v>
      </c>
      <c r="H143" s="46" t="s">
        <v>795</v>
      </c>
      <c r="I143" s="46"/>
      <c r="J143" s="18" t="s">
        <v>67</v>
      </c>
      <c r="K143" s="18">
        <v>3</v>
      </c>
      <c r="L143" s="18"/>
      <c r="M143" s="18"/>
      <c r="N143" s="18"/>
      <c r="O143" s="18" t="b">
        <f>VLOOKUP(A143,[1]Model!C$2:J$559,2,FALSE)=B143</f>
        <v>1</v>
      </c>
      <c r="P143" s="18" t="e">
        <f>VLOOKUP(A143,Model!C$2:G$228,5,FALSE)=D143</f>
        <v>#N/A</v>
      </c>
      <c r="Q143" s="18">
        <f>VLOOKUP(A143,[2]Model!C$2:L$228,8,FALSE)</f>
        <v>205</v>
      </c>
      <c r="R143" s="18" t="e">
        <f>VLOOKUP(A143,[2]Model!C$2:G$228,3,FALSE)=[3]!Table14[[#This Row],[Business Definition (To go into comments and into Meta Data Hub)]]</f>
        <v>#REF!</v>
      </c>
      <c r="S143" s="18" t="e">
        <f>IF([3]!Table14[[#This Row],[Nullable in Table and in Oracle View
NULL, NOT NULL]]="No","NOT NULL","NULL")=VLOOKUP(A143,[2]Model!C$2:I$228,6,FALSE)</f>
        <v>#REF!</v>
      </c>
      <c r="T143" s="18" t="e">
        <f>VLOOKUP(B143,[2]Table!A$2:F$415,1,FALSE)=[3]!Table14[[#This Row],[Physical Name of Attribute (Name of column in Table)
Supplied by DA Team]]</f>
        <v>#REF!</v>
      </c>
      <c r="U143" s="18" t="b">
        <f>VLOOKUP(B143,Table!A$2:F$319,2,FALSE)=Table1[[#This Row],[Data type in Oracle
VARCHAR2(n), DATE, NUMBER(m,n), TIMETSTAMP(6)]]</f>
        <v>1</v>
      </c>
      <c r="V143" s="18" t="b">
        <f>VLOOKUP(B143,Table!A$2:F$231,3,FALSE)=Table1[[#This Row],[Nullable in Table and in Oracle View
NULL, NOT NULL]]</f>
        <v>1</v>
      </c>
      <c r="W143" s="18" t="b">
        <f>VLOOKUP(B143,Table!A$2:H$228,6,FALSE)=Table1[[#This Row],[Business Definition (To go into comments and into Meta Data Hub)]]</f>
        <v>1</v>
      </c>
      <c r="X143" s="18" t="str">
        <f>VLOOKUP((UPPER(SUBSTITUTE(A143," ","_"))),'[2]Consumer View'!A$2:I$329,1,FALSE)</f>
        <v>RELATED_TRANSACTION_RELATIONSHIP_TYPE_ID</v>
      </c>
      <c r="Y143" s="18" t="s">
        <v>68</v>
      </c>
      <c r="Z143" s="18" t="s">
        <v>796</v>
      </c>
      <c r="AA143" s="18" t="s">
        <v>797</v>
      </c>
      <c r="AB143" s="18"/>
      <c r="AC143" s="18"/>
      <c r="AD143" s="18" t="s">
        <v>798</v>
      </c>
      <c r="AE143" s="46"/>
      <c r="AF143" s="18"/>
      <c r="AG143" s="18"/>
      <c r="AH143" s="18" t="s">
        <v>71</v>
      </c>
    </row>
    <row r="144" spans="1:34" ht="27" hidden="1" customHeight="1">
      <c r="A144" s="51" t="s">
        <v>799</v>
      </c>
      <c r="B144" s="18" t="s">
        <v>800</v>
      </c>
      <c r="C144" s="18" t="s">
        <v>801</v>
      </c>
      <c r="D144" s="18" t="s">
        <v>139</v>
      </c>
      <c r="E144" s="18" t="s">
        <v>63</v>
      </c>
      <c r="F144" s="18" t="s">
        <v>140</v>
      </c>
      <c r="G144" s="45" t="s">
        <v>63</v>
      </c>
      <c r="H144" s="46" t="s">
        <v>802</v>
      </c>
      <c r="I144" s="18"/>
      <c r="J144" s="18" t="s">
        <v>67</v>
      </c>
      <c r="K144" s="18">
        <v>3</v>
      </c>
      <c r="L144" s="18"/>
      <c r="M144" s="18"/>
      <c r="N144" s="18"/>
      <c r="O144" s="18" t="b">
        <f>VLOOKUP(A144,[1]Model!C$2:J$559,2,FALSE)=B144</f>
        <v>1</v>
      </c>
      <c r="P144" s="18" t="e">
        <f>VLOOKUP(A144,Model!C$2:G$228,5,FALSE)=D144</f>
        <v>#N/A</v>
      </c>
      <c r="Q144" s="18">
        <f>VLOOKUP(A144,[2]Model!C$2:L$228,8,FALSE)</f>
        <v>206</v>
      </c>
      <c r="R144" s="18" t="e">
        <f>VLOOKUP(A144,[2]Model!C$2:G$228,3,FALSE)=[3]!Table14[[#This Row],[Business Definition (To go into comments and into Meta Data Hub)]]</f>
        <v>#REF!</v>
      </c>
      <c r="S144" s="18" t="e">
        <f>IF([3]!Table14[[#This Row],[Nullable in Table and in Oracle View
NULL, NOT NULL]]="No","NOT NULL","NULL")=VLOOKUP(A144,[2]Model!C$2:I$228,6,FALSE)</f>
        <v>#REF!</v>
      </c>
      <c r="T144" s="18" t="e">
        <f>VLOOKUP(B144,[2]Table!A$2:F$415,1,FALSE)=[3]!Table14[[#This Row],[Physical Name of Attribute (Name of column in Table)
Supplied by DA Team]]</f>
        <v>#REF!</v>
      </c>
      <c r="U144" s="18" t="b">
        <f>VLOOKUP(B144,Table!A$2:F$319,2,FALSE)=Table1[[#This Row],[Data type in Oracle
VARCHAR2(n), DATE, NUMBER(m,n), TIMETSTAMP(6)]]</f>
        <v>0</v>
      </c>
      <c r="V144" s="18" t="b">
        <f>VLOOKUP(B144,Table!A$2:F$231,3,FALSE)=Table1[[#This Row],[Nullable in Table and in Oracle View
NULL, NOT NULL]]</f>
        <v>1</v>
      </c>
      <c r="W144" s="18" t="b">
        <f>VLOOKUP(B144,Table!A$2:H$228,6,FALSE)=Table1[[#This Row],[Business Definition (To go into comments and into Meta Data Hub)]]</f>
        <v>1</v>
      </c>
      <c r="X144" s="18" t="str">
        <f>VLOOKUP((UPPER(SUBSTITUTE(A144," ","_"))),'[2]Consumer View'!A$2:I$329,1,FALSE)</f>
        <v>RELATED_TRANSACTION_RELATIONSHIP_TYPE_CODE</v>
      </c>
      <c r="Y144" s="18" t="s">
        <v>68</v>
      </c>
      <c r="Z144" s="18" t="s">
        <v>113</v>
      </c>
      <c r="AA144" s="18" t="s">
        <v>143</v>
      </c>
      <c r="AB144" s="18"/>
      <c r="AC144" s="18"/>
      <c r="AD144" s="18" t="s">
        <v>803</v>
      </c>
      <c r="AE144" s="46"/>
      <c r="AF144" s="18"/>
      <c r="AG144" s="18"/>
      <c r="AH144" s="18" t="s">
        <v>71</v>
      </c>
    </row>
    <row r="145" spans="1:34" ht="27" hidden="1" customHeight="1">
      <c r="A145" s="51" t="s">
        <v>804</v>
      </c>
      <c r="B145" s="18" t="s">
        <v>805</v>
      </c>
      <c r="C145" s="18" t="s">
        <v>806</v>
      </c>
      <c r="D145" s="18" t="s">
        <v>90</v>
      </c>
      <c r="E145" s="18" t="s">
        <v>63</v>
      </c>
      <c r="F145" s="18" t="s">
        <v>91</v>
      </c>
      <c r="G145" s="45" t="s">
        <v>63</v>
      </c>
      <c r="H145" s="46" t="s">
        <v>807</v>
      </c>
      <c r="I145" s="18"/>
      <c r="J145" s="18" t="s">
        <v>67</v>
      </c>
      <c r="K145" s="18">
        <v>3</v>
      </c>
      <c r="L145" s="18"/>
      <c r="M145" s="18"/>
      <c r="N145" s="18"/>
      <c r="O145" s="18" t="b">
        <f>VLOOKUP(A145,[1]Model!C$2:J$559,2,FALSE)=B145</f>
        <v>1</v>
      </c>
      <c r="P145" s="18" t="e">
        <f>VLOOKUP(A145,Model!C$2:G$228,5,FALSE)=D145</f>
        <v>#N/A</v>
      </c>
      <c r="Q145" s="18">
        <f>VLOOKUP(A145,[2]Model!C$2:L$228,8,FALSE)</f>
        <v>207</v>
      </c>
      <c r="R145" s="18" t="e">
        <f>VLOOKUP(A145,[2]Model!C$2:G$228,3,FALSE)=[3]!Table14[[#This Row],[Business Definition (To go into comments and into Meta Data Hub)]]</f>
        <v>#REF!</v>
      </c>
      <c r="S145" s="18" t="e">
        <f>IF([3]!Table14[[#This Row],[Nullable in Table and in Oracle View
NULL, NOT NULL]]="No","NOT NULL","NULL")=VLOOKUP(A145,[2]Model!C$2:I$228,6,FALSE)</f>
        <v>#REF!</v>
      </c>
      <c r="T145" s="18" t="e">
        <f>VLOOKUP(B145,[2]Table!A$2:F$415,1,FALSE)=[3]!Table14[[#This Row],[Physical Name of Attribute (Name of column in Table)
Supplied by DA Team]]</f>
        <v>#REF!</v>
      </c>
      <c r="U145" s="18" t="b">
        <f>VLOOKUP(B145,Table!A$2:F$319,2,FALSE)=Table1[[#This Row],[Data type in Oracle
VARCHAR2(n), DATE, NUMBER(m,n), TIMETSTAMP(6)]]</f>
        <v>0</v>
      </c>
      <c r="V145" s="18" t="b">
        <f>VLOOKUP(B145,Table!A$2:F$231,3,FALSE)=Table1[[#This Row],[Nullable in Table and in Oracle View
NULL, NOT NULL]]</f>
        <v>1</v>
      </c>
      <c r="W145" s="18" t="b">
        <f>VLOOKUP(B145,Table!A$2:H$228,6,FALSE)=Table1[[#This Row],[Business Definition (To go into comments and into Meta Data Hub)]]</f>
        <v>1</v>
      </c>
      <c r="X145" s="18" t="str">
        <f>VLOOKUP((UPPER(SUBSTITUTE(A145," ","_"))),'[2]Consumer View'!A$2:I$329,1,FALSE)</f>
        <v>RELATED_TRANSACTION_RELATIONSHIP_TYPE_NAME</v>
      </c>
      <c r="Y145" s="18" t="s">
        <v>68</v>
      </c>
      <c r="Z145" s="18" t="s">
        <v>113</v>
      </c>
      <c r="AA145" s="18" t="s">
        <v>114</v>
      </c>
      <c r="AB145" s="18"/>
      <c r="AC145" s="18"/>
      <c r="AD145" s="18" t="s">
        <v>803</v>
      </c>
      <c r="AE145" s="46"/>
      <c r="AF145" s="18"/>
      <c r="AG145" s="18"/>
      <c r="AH145" s="18" t="s">
        <v>71</v>
      </c>
    </row>
    <row r="146" spans="1:34" ht="27" hidden="1" customHeight="1">
      <c r="A146" s="51" t="s">
        <v>808</v>
      </c>
      <c r="B146" s="18" t="s">
        <v>809</v>
      </c>
      <c r="C146" s="18" t="s">
        <v>810</v>
      </c>
      <c r="D146" s="18" t="s">
        <v>559</v>
      </c>
      <c r="E146" s="18" t="s">
        <v>63</v>
      </c>
      <c r="F146" s="18" t="s">
        <v>560</v>
      </c>
      <c r="G146" s="45" t="s">
        <v>63</v>
      </c>
      <c r="H146" s="46" t="s">
        <v>811</v>
      </c>
      <c r="I146" s="18"/>
      <c r="J146" s="18" t="s">
        <v>67</v>
      </c>
      <c r="K146" s="18">
        <v>3</v>
      </c>
      <c r="L146" s="18"/>
      <c r="M146" s="18"/>
      <c r="N146" s="18"/>
      <c r="O146" s="18" t="b">
        <f>VLOOKUP(A146,[1]Model!C$2:J$559,2,FALSE)=B146</f>
        <v>1</v>
      </c>
      <c r="P146" s="18" t="e">
        <f>VLOOKUP(A146,Model!C$2:G$228,5,FALSE)=D146</f>
        <v>#N/A</v>
      </c>
      <c r="Q146" s="18">
        <f>VLOOKUP(A146,[2]Model!C$2:L$228,8,FALSE)</f>
        <v>34</v>
      </c>
      <c r="R146" s="18" t="e">
        <f>VLOOKUP(A146,[2]Model!C$2:G$228,3,FALSE)=[3]!Table14[[#This Row],[Business Definition (To go into comments and into Meta Data Hub)]]</f>
        <v>#REF!</v>
      </c>
      <c r="S146" s="18" t="e">
        <f>IF([3]!Table14[[#This Row],[Nullable in Table and in Oracle View
NULL, NOT NULL]]="No","NOT NULL","NULL")=VLOOKUP(A146,[2]Model!C$2:I$228,6,FALSE)</f>
        <v>#REF!</v>
      </c>
      <c r="T146" s="18" t="e">
        <f>VLOOKUP(B146,[2]Table!A$2:F$415,1,FALSE)=[3]!Table14[[#This Row],[Physical Name of Attribute (Name of column in Table)
Supplied by DA Team]]</f>
        <v>#REF!</v>
      </c>
      <c r="U146" s="18" t="b">
        <f>VLOOKUP(B146,Table!A$2:F$319,2,FALSE)=Table1[[#This Row],[Data type in Oracle
VARCHAR2(n), DATE, NUMBER(m,n), TIMETSTAMP(6)]]</f>
        <v>1</v>
      </c>
      <c r="V146" s="18" t="b">
        <f>VLOOKUP(B146,Table!A$2:F$231,3,FALSE)=Table1[[#This Row],[Nullable in Table and in Oracle View
NULL, NOT NULL]]</f>
        <v>1</v>
      </c>
      <c r="W146" s="18" t="b">
        <f>VLOOKUP(B146,Table!A$2:H$228,6,FALSE)=Table1[[#This Row],[Business Definition (To go into comments and into Meta Data Hub)]]</f>
        <v>1</v>
      </c>
      <c r="X146" s="18" t="str">
        <f>VLOOKUP((UPPER(SUBSTITUTE(A146," ","_"))),'[2]Consumer View'!A$2:I$329,1,FALSE)</f>
        <v>SALES_CHARGE_RATE_MULTIPLIER_NUMBER</v>
      </c>
      <c r="Y146" s="18" t="s">
        <v>68</v>
      </c>
      <c r="Z146" s="18" t="s">
        <v>375</v>
      </c>
      <c r="AA146" s="18" t="s">
        <v>812</v>
      </c>
      <c r="AB146" s="18"/>
      <c r="AC146" s="18"/>
      <c r="AD146" s="46" t="s">
        <v>813</v>
      </c>
      <c r="AE146" s="46" t="s">
        <v>814</v>
      </c>
      <c r="AF146" s="18"/>
      <c r="AG146" s="18"/>
      <c r="AH146" s="18" t="s">
        <v>71</v>
      </c>
    </row>
    <row r="147" spans="1:34" ht="27" hidden="1" customHeight="1">
      <c r="A147" s="51" t="s">
        <v>815</v>
      </c>
      <c r="B147" s="18" t="s">
        <v>816</v>
      </c>
      <c r="C147" s="18" t="s">
        <v>817</v>
      </c>
      <c r="D147" s="55" t="s">
        <v>559</v>
      </c>
      <c r="E147" s="18" t="s">
        <v>63</v>
      </c>
      <c r="F147" s="18" t="s">
        <v>560</v>
      </c>
      <c r="G147" s="45" t="s">
        <v>63</v>
      </c>
      <c r="H147" s="46" t="s">
        <v>818</v>
      </c>
      <c r="I147" s="18"/>
      <c r="J147" s="18" t="s">
        <v>381</v>
      </c>
      <c r="K147" s="18">
        <v>3</v>
      </c>
      <c r="L147" s="18"/>
      <c r="M147" s="18"/>
      <c r="N147" s="18"/>
      <c r="O147" s="18" t="b">
        <f>VLOOKUP(A147,[1]Model!C$2:J$559,2,FALSE)=B147</f>
        <v>1</v>
      </c>
      <c r="P147" s="18" t="e">
        <f>VLOOKUP(A147,Model!C$2:G$228,5,FALSE)=D147</f>
        <v>#N/A</v>
      </c>
      <c r="Q147" s="18">
        <f>VLOOKUP(A147,[2]Model!C$2:L$228,8,FALSE)</f>
        <v>33</v>
      </c>
      <c r="R147" s="18" t="e">
        <f>VLOOKUP(A147,[2]Model!C$2:G$228,3,FALSE)=[3]!Table14[[#This Row],[Business Definition (To go into comments and into Meta Data Hub)]]</f>
        <v>#REF!</v>
      </c>
      <c r="S147" s="18" t="e">
        <f>IF([3]!Table14[[#This Row],[Nullable in Table and in Oracle View
NULL, NOT NULL]]="No","NOT NULL","NULL")=VLOOKUP(A147,[2]Model!C$2:I$228,6,FALSE)</f>
        <v>#REF!</v>
      </c>
      <c r="T147" s="18" t="e">
        <f>VLOOKUP(B147,[2]Table!A$2:F$415,1,FALSE)=[3]!Table14[[#This Row],[Physical Name of Attribute (Name of column in Table)
Supplied by DA Team]]</f>
        <v>#REF!</v>
      </c>
      <c r="U147" s="18" t="b">
        <f>VLOOKUP(B147,Table!A$2:F$319,2,FALSE)=Table1[[#This Row],[Data type in Oracle
VARCHAR2(n), DATE, NUMBER(m,n), TIMETSTAMP(6)]]</f>
        <v>1</v>
      </c>
      <c r="V147" s="18" t="b">
        <f>VLOOKUP(B147,Table!A$2:F$231,3,FALSE)=Table1[[#This Row],[Nullable in Table and in Oracle View
NULL, NOT NULL]]</f>
        <v>1</v>
      </c>
      <c r="W147" s="18" t="b">
        <f>VLOOKUP(B147,Table!A$2:H$228,6,FALSE)=Table1[[#This Row],[Business Definition (To go into comments and into Meta Data Hub)]]</f>
        <v>1</v>
      </c>
      <c r="X147" s="55" t="str">
        <f>VLOOKUP((UPPER(SUBSTITUTE(A147," ","_"))),'[2]Consumer View'!A$2:I$329,1,FALSE)</f>
        <v>SALES_CHARGE_RATE</v>
      </c>
      <c r="Y147" s="18" t="s">
        <v>68</v>
      </c>
      <c r="Z147" s="18" t="s">
        <v>375</v>
      </c>
      <c r="AA147" s="18" t="s">
        <v>812</v>
      </c>
      <c r="AB147" s="18"/>
      <c r="AC147" s="18"/>
      <c r="AD147" s="46" t="s">
        <v>819</v>
      </c>
      <c r="AE147" s="46" t="s">
        <v>820</v>
      </c>
      <c r="AF147" s="18"/>
      <c r="AG147" s="18"/>
      <c r="AH147" s="18" t="s">
        <v>821</v>
      </c>
    </row>
    <row r="148" spans="1:34" ht="27" hidden="1" customHeight="1">
      <c r="A148" s="51" t="s">
        <v>822</v>
      </c>
      <c r="B148" s="18" t="s">
        <v>823</v>
      </c>
      <c r="C148" s="18" t="s">
        <v>824</v>
      </c>
      <c r="D148" s="55" t="s">
        <v>139</v>
      </c>
      <c r="E148" s="18" t="s">
        <v>63</v>
      </c>
      <c r="F148" s="18" t="s">
        <v>140</v>
      </c>
      <c r="G148" s="45" t="s">
        <v>63</v>
      </c>
      <c r="H148" s="46" t="s">
        <v>825</v>
      </c>
      <c r="I148" s="18"/>
      <c r="J148" s="18" t="s">
        <v>381</v>
      </c>
      <c r="K148" s="18">
        <v>3</v>
      </c>
      <c r="L148" s="18"/>
      <c r="M148" s="18"/>
      <c r="N148" s="18"/>
      <c r="O148" s="18" t="b">
        <f>VLOOKUP(A148,[1]Model!C$2:J$559,2,FALSE)=B148</f>
        <v>1</v>
      </c>
      <c r="P148" s="18" t="e">
        <f>VLOOKUP(A148,Model!C$2:G$228,5,FALSE)=D148</f>
        <v>#N/A</v>
      </c>
      <c r="Q148" s="18">
        <f>VLOOKUP(A148,[2]Model!C$2:L$228,8,FALSE)</f>
        <v>36</v>
      </c>
      <c r="R148" s="18" t="e">
        <f>VLOOKUP(A148,[2]Model!C$2:G$228,3,FALSE)=[3]!Table14[[#This Row],[Business Definition (To go into comments and into Meta Data Hub)]]</f>
        <v>#REF!</v>
      </c>
      <c r="S148" s="18" t="e">
        <f>IF([3]!Table14[[#This Row],[Nullable in Table and in Oracle View
NULL, NOT NULL]]="No","NOT NULL","NULL")=VLOOKUP(A148,[2]Model!C$2:I$228,6,FALSE)</f>
        <v>#REF!</v>
      </c>
      <c r="T148" s="18" t="e">
        <f>VLOOKUP(B148,[2]Table!A$2:F$415,1,FALSE)=[3]!Table14[[#This Row],[Physical Name of Attribute (Name of column in Table)
Supplied by DA Team]]</f>
        <v>#REF!</v>
      </c>
      <c r="U148" s="18" t="b">
        <f>VLOOKUP(B148,Table!A$2:F$319,2,FALSE)=Table1[[#This Row],[Data type in Oracle
VARCHAR2(n), DATE, NUMBER(m,n), TIMETSTAMP(6)]]</f>
        <v>0</v>
      </c>
      <c r="V148" s="18" t="b">
        <f>VLOOKUP(B148,Table!A$2:F$231,3,FALSE)=Table1[[#This Row],[Nullable in Table and in Oracle View
NULL, NOT NULL]]</f>
        <v>1</v>
      </c>
      <c r="W148" s="18" t="b">
        <f>VLOOKUP(B148,Table!A$2:H$228,6,FALSE)=Table1[[#This Row],[Business Definition (To go into comments and into Meta Data Hub)]]</f>
        <v>1</v>
      </c>
      <c r="X148" s="55" t="str">
        <f>VLOOKUP((UPPER(SUBSTITUTE(A148," ","_"))),'[2]Consumer View'!A$2:I$329,1,FALSE)</f>
        <v>SALES_CHARGE_RATE_TYPE_CODE</v>
      </c>
      <c r="Y148" s="18" t="s">
        <v>68</v>
      </c>
      <c r="Z148" s="18" t="s">
        <v>113</v>
      </c>
      <c r="AA148" s="18" t="s">
        <v>143</v>
      </c>
      <c r="AB148" s="18"/>
      <c r="AC148" s="18"/>
      <c r="AD148" s="46" t="s">
        <v>826</v>
      </c>
      <c r="AE148" s="46" t="s">
        <v>820</v>
      </c>
      <c r="AF148" s="18"/>
      <c r="AG148" s="18"/>
      <c r="AH148" s="18" t="s">
        <v>71</v>
      </c>
    </row>
    <row r="149" spans="1:34" ht="27" hidden="1" customHeight="1">
      <c r="A149" s="51" t="s">
        <v>827</v>
      </c>
      <c r="B149" s="18" t="s">
        <v>828</v>
      </c>
      <c r="C149" s="18"/>
      <c r="D149" s="18" t="s">
        <v>101</v>
      </c>
      <c r="E149" s="18" t="s">
        <v>63</v>
      </c>
      <c r="F149" s="18" t="s">
        <v>133</v>
      </c>
      <c r="G149" s="45" t="s">
        <v>63</v>
      </c>
      <c r="H149" s="46" t="s">
        <v>829</v>
      </c>
      <c r="I149" s="18"/>
      <c r="J149" s="18" t="s">
        <v>347</v>
      </c>
      <c r="K149" s="18">
        <v>3</v>
      </c>
      <c r="L149" s="18"/>
      <c r="M149" s="18"/>
      <c r="N149" s="18"/>
      <c r="O149" s="18" t="b">
        <f>VLOOKUP(A149,[1]Model!C$2:J$559,2,FALSE)=B149</f>
        <v>1</v>
      </c>
      <c r="P149" s="18" t="e">
        <f>VLOOKUP(A149,Model!C$2:G$228,5,FALSE)=D149</f>
        <v>#N/A</v>
      </c>
      <c r="Q149" s="18">
        <f>VLOOKUP(A149,[2]Model!C$2:L$228,8,FALSE)</f>
        <v>35</v>
      </c>
      <c r="R149" s="18" t="e">
        <f>VLOOKUP(A149,[2]Model!C$2:G$228,3,FALSE)=[3]!Table14[[#This Row],[Business Definition (To go into comments and into Meta Data Hub)]]</f>
        <v>#REF!</v>
      </c>
      <c r="S149" s="18" t="e">
        <f>IF([3]!Table14[[#This Row],[Nullable in Table and in Oracle View
NULL, NOT NULL]]="No","NOT NULL","NULL")=VLOOKUP(A149,[2]Model!C$2:I$228,6,FALSE)</f>
        <v>#REF!</v>
      </c>
      <c r="T149" s="18" t="e">
        <f>VLOOKUP(B149,[2]Table!A$2:F$415,1,FALSE)=[3]!Table14[[#This Row],[Physical Name of Attribute (Name of column in Table)
Supplied by DA Team]]</f>
        <v>#REF!</v>
      </c>
      <c r="U149" s="18" t="b">
        <f>VLOOKUP(B149,Table!A$2:F$319,2,FALSE)=Table1[[#This Row],[Data type in Oracle
VARCHAR2(n), DATE, NUMBER(m,n), TIMETSTAMP(6)]]</f>
        <v>1</v>
      </c>
      <c r="V149" s="18" t="b">
        <f>VLOOKUP(B149,Table!A$2:F$231,3,FALSE)=Table1[[#This Row],[Nullable in Table and in Oracle View
NULL, NOT NULL]]</f>
        <v>1</v>
      </c>
      <c r="W149" s="18" t="b">
        <f>VLOOKUP(B149,Table!A$2:H$228,6,FALSE)=Table1[[#This Row],[Business Definition (To go into comments and into Meta Data Hub)]]</f>
        <v>1</v>
      </c>
      <c r="X149" s="55" t="str">
        <f>VLOOKUP((UPPER(SUBSTITUTE(A149," ","_"))),'[2]Consumer View'!A$2:I$329,1,FALSE)</f>
        <v>SALES_CHARGE_RATE_TYPE_ID</v>
      </c>
      <c r="Y149" s="18" t="s">
        <v>68</v>
      </c>
      <c r="Z149" s="18" t="s">
        <v>375</v>
      </c>
      <c r="AA149" s="18" t="s">
        <v>828</v>
      </c>
      <c r="AB149" s="18"/>
      <c r="AC149" s="18"/>
      <c r="AD149" s="46" t="s">
        <v>830</v>
      </c>
      <c r="AE149" s="46" t="s">
        <v>820</v>
      </c>
      <c r="AF149" s="18"/>
      <c r="AG149" s="18"/>
      <c r="AH149" s="18" t="s">
        <v>71</v>
      </c>
    </row>
    <row r="150" spans="1:34" ht="27" hidden="1" customHeight="1">
      <c r="A150" s="51" t="s">
        <v>831</v>
      </c>
      <c r="B150" s="18" t="s">
        <v>832</v>
      </c>
      <c r="C150" s="18" t="s">
        <v>833</v>
      </c>
      <c r="D150" s="18" t="s">
        <v>109</v>
      </c>
      <c r="E150" s="18" t="s">
        <v>63</v>
      </c>
      <c r="F150" s="18" t="s">
        <v>110</v>
      </c>
      <c r="G150" s="45" t="s">
        <v>63</v>
      </c>
      <c r="H150" s="46" t="s">
        <v>834</v>
      </c>
      <c r="I150" s="18"/>
      <c r="J150" s="18" t="s">
        <v>347</v>
      </c>
      <c r="K150" s="18">
        <v>3</v>
      </c>
      <c r="L150" s="18"/>
      <c r="M150" s="18"/>
      <c r="N150" s="18"/>
      <c r="O150" s="18" t="b">
        <f>VLOOKUP(A150,[1]Model!C$2:J$559,2,FALSE)=B150</f>
        <v>1</v>
      </c>
      <c r="P150" s="18" t="e">
        <f>VLOOKUP(A150,Model!C$2:G$228,5,FALSE)=D150</f>
        <v>#N/A</v>
      </c>
      <c r="Q150" s="18">
        <f>VLOOKUP(A150,[2]Model!C$2:L$228,8,FALSE)</f>
        <v>129</v>
      </c>
      <c r="R150" s="18" t="e">
        <f>VLOOKUP(A150,[2]Model!C$2:G$228,3,FALSE)=[3]!Table14[[#This Row],[Business Definition (To go into comments and into Meta Data Hub)]]</f>
        <v>#REF!</v>
      </c>
      <c r="S150" s="18" t="e">
        <f>IF([3]!Table14[[#This Row],[Nullable in Table and in Oracle View
NULL, NOT NULL]]="No","NOT NULL","NULL")=VLOOKUP(A150,[2]Model!C$2:I$228,6,FALSE)</f>
        <v>#REF!</v>
      </c>
      <c r="T150" s="18" t="e">
        <f>VLOOKUP(B150,[2]Table!A$2:F$415,1,FALSE)=[3]!Table14[[#This Row],[Physical Name of Attribute (Name of column in Table)
Supplied by DA Team]]</f>
        <v>#REF!</v>
      </c>
      <c r="U150" s="18" t="b">
        <f>VLOOKUP(B150,Table!A$2:F$319,2,FALSE)=Table1[[#This Row],[Data type in Oracle
VARCHAR2(n), DATE, NUMBER(m,n), TIMETSTAMP(6)]]</f>
        <v>0</v>
      </c>
      <c r="V150" s="18" t="b">
        <f>VLOOKUP(B150,Table!A$2:F$231,3,FALSE)=Table1[[#This Row],[Nullable in Table and in Oracle View
NULL, NOT NULL]]</f>
        <v>1</v>
      </c>
      <c r="W150" s="18" t="b">
        <f>VLOOKUP(B150,Table!A$2:H$228,6,FALSE)=Table1[[#This Row],[Business Definition (To go into comments and into Meta Data Hub)]]</f>
        <v>1</v>
      </c>
      <c r="X150" s="55" t="str">
        <f>VLOOKUP((UPPER(SUBSTITUTE(A150," ","_"))),'[2]Consumer View'!A$2:I$329,1,FALSE)</f>
        <v>SALES_CHARGE_RATE_TYPE_NAME</v>
      </c>
      <c r="Y150" s="18" t="s">
        <v>68</v>
      </c>
      <c r="Z150" s="18" t="s">
        <v>113</v>
      </c>
      <c r="AA150" s="18" t="s">
        <v>114</v>
      </c>
      <c r="AB150" s="18"/>
      <c r="AC150" s="18"/>
      <c r="AD150" s="46" t="s">
        <v>826</v>
      </c>
      <c r="AE150" s="46" t="s">
        <v>820</v>
      </c>
      <c r="AF150" s="18"/>
      <c r="AG150" s="18"/>
      <c r="AH150" s="18" t="s">
        <v>71</v>
      </c>
    </row>
    <row r="151" spans="1:34" ht="27" hidden="1" customHeight="1">
      <c r="A151" s="51" t="s">
        <v>835</v>
      </c>
      <c r="B151" s="18" t="s">
        <v>836</v>
      </c>
      <c r="C151" s="18" t="s">
        <v>837</v>
      </c>
      <c r="D151" s="55" t="s">
        <v>433</v>
      </c>
      <c r="E151" s="18" t="s">
        <v>63</v>
      </c>
      <c r="F151" s="18" t="s">
        <v>434</v>
      </c>
      <c r="G151" s="45" t="s">
        <v>63</v>
      </c>
      <c r="H151" s="46" t="s">
        <v>838</v>
      </c>
      <c r="I151" s="18"/>
      <c r="J151" s="18" t="s">
        <v>381</v>
      </c>
      <c r="K151" s="18">
        <v>3</v>
      </c>
      <c r="L151" s="18"/>
      <c r="M151" s="18"/>
      <c r="N151" s="18"/>
      <c r="O151" s="18" t="b">
        <f>VLOOKUP(A151,[1]Model!C$2:J$559,2,FALSE)=B151</f>
        <v>1</v>
      </c>
      <c r="P151" s="18" t="e">
        <f>VLOOKUP(A151,Model!C$2:G$228,5,FALSE)=D151</f>
        <v>#N/A</v>
      </c>
      <c r="Q151" s="18">
        <f>VLOOKUP(A151,[2]Model!C$2:L$228,8,FALSE)</f>
        <v>78</v>
      </c>
      <c r="R151" s="18" t="e">
        <f>VLOOKUP(A151,[2]Model!C$2:G$228,3,FALSE)=[3]!Table14[[#This Row],[Business Definition (To go into comments and into Meta Data Hub)]]</f>
        <v>#REF!</v>
      </c>
      <c r="S151" s="18" t="e">
        <f>IF([3]!Table14[[#This Row],[Nullable in Table and in Oracle View
NULL, NOT NULL]]="No","NOT NULL","NULL")=VLOOKUP(A151,[2]Model!C$2:I$228,6,FALSE)</f>
        <v>#REF!</v>
      </c>
      <c r="T151" s="18" t="e">
        <f>VLOOKUP(B151,[2]Table!A$2:F$415,1,FALSE)=[3]!Table14[[#This Row],[Physical Name of Attribute (Name of column in Table)
Supplied by DA Team]]</f>
        <v>#REF!</v>
      </c>
      <c r="U151" s="18" t="b">
        <f>VLOOKUP(B151,Table!A$2:F$319,2,FALSE)=Table1[[#This Row],[Data type in Oracle
VARCHAR2(n), DATE, NUMBER(m,n), TIMETSTAMP(6)]]</f>
        <v>0</v>
      </c>
      <c r="V151" s="18" t="b">
        <f>VLOOKUP(B151,Table!A$2:F$231,3,FALSE)=Table1[[#This Row],[Nullable in Table and in Oracle View
NULL, NOT NULL]]</f>
        <v>1</v>
      </c>
      <c r="W151" s="18" t="b">
        <f>VLOOKUP(B151,Table!A$2:H$228,6,FALSE)=Table1[[#This Row],[Business Definition (To go into comments and into Meta Data Hub)]]</f>
        <v>0</v>
      </c>
      <c r="X151" s="55" t="str">
        <f>VLOOKUP((UPPER(SUBSTITUTE(A151," ","_"))),'[2]Consumer View'!A$2:I$329,1,FALSE)</f>
        <v>SECURITY_ACTIVITY_CATEGORY</v>
      </c>
      <c r="Y151" s="18" t="s">
        <v>68</v>
      </c>
      <c r="Z151" s="18" t="s">
        <v>436</v>
      </c>
      <c r="AA151" s="18" t="s">
        <v>437</v>
      </c>
      <c r="AB151" s="18"/>
      <c r="AC151" s="18"/>
      <c r="AD151" s="18" t="s">
        <v>839</v>
      </c>
      <c r="AE151" s="46"/>
      <c r="AF151" s="18"/>
      <c r="AG151" s="18"/>
      <c r="AH151" s="18" t="s">
        <v>71</v>
      </c>
    </row>
    <row r="152" spans="1:34" ht="27" hidden="1" customHeight="1">
      <c r="A152" s="51" t="s">
        <v>840</v>
      </c>
      <c r="B152" s="18" t="s">
        <v>841</v>
      </c>
      <c r="C152" s="18" t="s">
        <v>842</v>
      </c>
      <c r="D152" s="18" t="s">
        <v>433</v>
      </c>
      <c r="E152" s="18" t="s">
        <v>63</v>
      </c>
      <c r="F152" s="18" t="s">
        <v>434</v>
      </c>
      <c r="G152" s="45" t="s">
        <v>63</v>
      </c>
      <c r="H152" s="12" t="s">
        <v>843</v>
      </c>
      <c r="I152" s="18"/>
      <c r="J152" s="18" t="s">
        <v>67</v>
      </c>
      <c r="K152" s="18">
        <v>3</v>
      </c>
      <c r="L152" s="18"/>
      <c r="M152" s="18"/>
      <c r="N152" s="18"/>
      <c r="O152" s="18" t="b">
        <f>VLOOKUP(A152,[1]Model!C$2:J$559,2,FALSE)=B152</f>
        <v>1</v>
      </c>
      <c r="P152" s="18" t="e">
        <f>VLOOKUP(A152,Model!C$2:G$228,5,FALSE)=D152</f>
        <v>#N/A</v>
      </c>
      <c r="Q152" s="18">
        <f>VLOOKUP(A152,[2]Model!C$2:L$228,8,FALSE)</f>
        <v>193</v>
      </c>
      <c r="R152" s="18" t="e">
        <f>VLOOKUP(A152,[2]Model!C$2:G$228,3,FALSE)=[3]!Table14[[#This Row],[Business Definition (To go into comments and into Meta Data Hub)]]</f>
        <v>#REF!</v>
      </c>
      <c r="S152" s="18" t="e">
        <f>IF([3]!Table14[[#This Row],[Nullable in Table and in Oracle View
NULL, NOT NULL]]="No","NOT NULL","NULL")=VLOOKUP(A152,[2]Model!C$2:I$228,6,FALSE)</f>
        <v>#REF!</v>
      </c>
      <c r="T152" s="18" t="e">
        <f>VLOOKUP(B152,[2]Table!A$2:F$415,1,FALSE)=[3]!Table14[[#This Row],[Physical Name of Attribute (Name of column in Table)
Supplied by DA Team]]</f>
        <v>#REF!</v>
      </c>
      <c r="U152" s="18" t="b">
        <f>VLOOKUP(B152,Table!A$2:F$319,2,FALSE)=Table1[[#This Row],[Data type in Oracle
VARCHAR2(n), DATE, NUMBER(m,n), TIMETSTAMP(6)]]</f>
        <v>0</v>
      </c>
      <c r="V152" s="18" t="b">
        <f>VLOOKUP(B152,Table!A$2:F$231,3,FALSE)=Table1[[#This Row],[Nullable in Table and in Oracle View
NULL, NOT NULL]]</f>
        <v>1</v>
      </c>
      <c r="W152" s="18" t="b">
        <f>VLOOKUP(B152,Table!A$2:H$228,6,FALSE)=Table1[[#This Row],[Business Definition (To go into comments and into Meta Data Hub)]]</f>
        <v>0</v>
      </c>
      <c r="X152" s="55" t="str">
        <f>VLOOKUP((UPPER(SUBSTITUTE(A152," ","_"))),'[2]Consumer View'!A$2:I$329,1,FALSE)</f>
        <v>SECURITY_SIMPLIFIED_DISPLAY_ACTIVITY_CATEGORY</v>
      </c>
      <c r="Y152" s="18" t="s">
        <v>68</v>
      </c>
      <c r="Z152" s="18" t="s">
        <v>436</v>
      </c>
      <c r="AA152" s="18" t="s">
        <v>443</v>
      </c>
      <c r="AB152" s="18"/>
      <c r="AC152" s="18"/>
      <c r="AD152" s="18" t="s">
        <v>839</v>
      </c>
      <c r="AE152" s="46"/>
      <c r="AF152" s="18"/>
      <c r="AG152" s="18"/>
      <c r="AH152" s="18" t="s">
        <v>71</v>
      </c>
    </row>
    <row r="153" spans="1:34" ht="27" hidden="1" customHeight="1">
      <c r="A153" s="51" t="s">
        <v>844</v>
      </c>
      <c r="B153" s="18" t="s">
        <v>845</v>
      </c>
      <c r="C153" s="18" t="s">
        <v>846</v>
      </c>
      <c r="D153" s="18" t="s">
        <v>101</v>
      </c>
      <c r="E153" s="18" t="s">
        <v>63</v>
      </c>
      <c r="F153" s="18" t="s">
        <v>133</v>
      </c>
      <c r="G153" s="45" t="s">
        <v>63</v>
      </c>
      <c r="H153" s="46" t="s">
        <v>847</v>
      </c>
      <c r="I153" s="18"/>
      <c r="J153" s="18" t="s">
        <v>347</v>
      </c>
      <c r="K153" s="18">
        <v>3</v>
      </c>
      <c r="L153" s="18"/>
      <c r="M153" s="18"/>
      <c r="N153" s="18"/>
      <c r="O153" s="18" t="b">
        <f>VLOOKUP(A153,[1]Model!C$2:J$559,2,FALSE)=B153</f>
        <v>1</v>
      </c>
      <c r="P153" s="18" t="e">
        <f>VLOOKUP(A153,Model!C$2:G$228,5,FALSE)=D153</f>
        <v>#N/A</v>
      </c>
      <c r="Q153" s="18">
        <f>VLOOKUP(A153,[2]Model!C$2:L$228,8,FALSE)</f>
        <v>77</v>
      </c>
      <c r="R153" s="18" t="e">
        <f>VLOOKUP(A153,[2]Model!C$2:G$228,3,FALSE)=[3]!Table14[[#This Row],[Business Definition (To go into comments and into Meta Data Hub)]]</f>
        <v>#REF!</v>
      </c>
      <c r="S153" s="18" t="e">
        <f>IF([3]!Table14[[#This Row],[Nullable in Table and in Oracle View
NULL, NOT NULL]]="No","NOT NULL","NULL")=VLOOKUP(A153,[2]Model!C$2:I$228,6,FALSE)</f>
        <v>#REF!</v>
      </c>
      <c r="T153" s="18" t="e">
        <f>VLOOKUP(B153,[2]Table!A$2:F$415,1,FALSE)=[3]!Table14[[#This Row],[Physical Name of Attribute (Name of column in Table)
Supplied by DA Team]]</f>
        <v>#REF!</v>
      </c>
      <c r="U153" s="18" t="b">
        <f>VLOOKUP(B153,Table!A$2:F$319,2,FALSE)=Table1[[#This Row],[Data type in Oracle
VARCHAR2(n), DATE, NUMBER(m,n), TIMETSTAMP(6)]]</f>
        <v>1</v>
      </c>
      <c r="V153" s="18" t="b">
        <f>VLOOKUP(B153,Table!A$2:F$231,3,FALSE)=Table1[[#This Row],[Nullable in Table and in Oracle View
NULL, NOT NULL]]</f>
        <v>1</v>
      </c>
      <c r="W153" s="18" t="b">
        <f>VLOOKUP(B153,Table!A$2:H$228,6,FALSE)=Table1[[#This Row],[Business Definition (To go into comments and into Meta Data Hub)]]</f>
        <v>0</v>
      </c>
      <c r="X153" s="55" t="str">
        <f>VLOOKUP((UPPER(SUBSTITUTE(A153," ","_"))),'[2]Consumer View'!A$2:I$329,1,FALSE)</f>
        <v>SECURITY_ACTIVITY_CLASSIFICATION_ID</v>
      </c>
      <c r="Y153" s="18" t="s">
        <v>68</v>
      </c>
      <c r="Z153" s="18" t="s">
        <v>436</v>
      </c>
      <c r="AA153" s="18" t="s">
        <v>449</v>
      </c>
      <c r="AB153" s="18"/>
      <c r="AC153" s="18"/>
      <c r="AD153" s="18" t="s">
        <v>839</v>
      </c>
      <c r="AE153" s="46"/>
      <c r="AF153" s="18"/>
      <c r="AG153" s="18"/>
      <c r="AH153" s="18" t="s">
        <v>71</v>
      </c>
    </row>
    <row r="154" spans="1:34" ht="27" hidden="1" customHeight="1">
      <c r="A154" s="51" t="s">
        <v>848</v>
      </c>
      <c r="B154" s="18" t="s">
        <v>849</v>
      </c>
      <c r="C154" s="18" t="s">
        <v>850</v>
      </c>
      <c r="D154" s="18" t="s">
        <v>90</v>
      </c>
      <c r="E154" s="18" t="s">
        <v>63</v>
      </c>
      <c r="F154" s="18" t="s">
        <v>91</v>
      </c>
      <c r="G154" s="45" t="s">
        <v>63</v>
      </c>
      <c r="H154" s="46" t="s">
        <v>851</v>
      </c>
      <c r="I154" s="18"/>
      <c r="J154" s="18" t="s">
        <v>347</v>
      </c>
      <c r="K154" s="18">
        <v>3</v>
      </c>
      <c r="L154" s="18"/>
      <c r="M154" s="18"/>
      <c r="N154" s="18"/>
      <c r="O154" s="18" t="b">
        <f>VLOOKUP(A154,[1]Model!C$2:J$559,2,FALSE)=B154</f>
        <v>1</v>
      </c>
      <c r="P154" s="18" t="e">
        <f>VLOOKUP(A154,Model!C$2:G$228,5,FALSE)=D154</f>
        <v>#N/A</v>
      </c>
      <c r="Q154" s="18">
        <f>VLOOKUP(A154,[2]Model!C$2:L$228,8,FALSE)</f>
        <v>79</v>
      </c>
      <c r="R154" s="18" t="e">
        <f>VLOOKUP(A154,[2]Model!C$2:G$228,3,FALSE)=[3]!Table14[[#This Row],[Business Definition (To go into comments and into Meta Data Hub)]]</f>
        <v>#REF!</v>
      </c>
      <c r="S154" s="18" t="e">
        <f>IF([3]!Table14[[#This Row],[Nullable in Table and in Oracle View
NULL, NOT NULL]]="No","NOT NULL","NULL")=VLOOKUP(A154,[2]Model!C$2:I$228,6,FALSE)</f>
        <v>#REF!</v>
      </c>
      <c r="T154" s="18" t="e">
        <f>VLOOKUP(B154,[2]Table!A$2:F$415,1,FALSE)=[3]!Table14[[#This Row],[Physical Name of Attribute (Name of column in Table)
Supplied by DA Team]]</f>
        <v>#REF!</v>
      </c>
      <c r="U154" s="18" t="b">
        <f>VLOOKUP(B154,Table!A$2:F$319,2,FALSE)=Table1[[#This Row],[Data type in Oracle
VARCHAR2(n), DATE, NUMBER(m,n), TIMETSTAMP(6)]]</f>
        <v>0</v>
      </c>
      <c r="V154" s="18" t="b">
        <f>VLOOKUP(B154,Table!A$2:F$231,3,FALSE)=Table1[[#This Row],[Nullable in Table and in Oracle View
NULL, NOT NULL]]</f>
        <v>1</v>
      </c>
      <c r="W154" s="18" t="b">
        <f>VLOOKUP(B154,Table!A$2:H$228,6,FALSE)=Table1[[#This Row],[Business Definition (To go into comments and into Meta Data Hub)]]</f>
        <v>0</v>
      </c>
      <c r="X154" s="55" t="str">
        <f>VLOOKUP((UPPER(SUBSTITUTE(A154," ","_"))),'[2]Consumer View'!A$2:I$329,1,FALSE)</f>
        <v>SECURITY_ACTIVITY_TYPE</v>
      </c>
      <c r="Y154" s="18" t="s">
        <v>68</v>
      </c>
      <c r="Z154" s="18" t="s">
        <v>436</v>
      </c>
      <c r="AA154" s="18" t="s">
        <v>455</v>
      </c>
      <c r="AB154" s="18"/>
      <c r="AC154" s="18"/>
      <c r="AD154" s="18" t="s">
        <v>839</v>
      </c>
      <c r="AE154" s="46"/>
      <c r="AF154" s="18"/>
      <c r="AG154" s="18"/>
      <c r="AH154" s="18" t="s">
        <v>71</v>
      </c>
    </row>
    <row r="155" spans="1:34" ht="27" hidden="1" customHeight="1">
      <c r="A155" s="51" t="s">
        <v>852</v>
      </c>
      <c r="B155" s="18" t="s">
        <v>853</v>
      </c>
      <c r="C155" s="18" t="s">
        <v>854</v>
      </c>
      <c r="D155" s="18" t="s">
        <v>90</v>
      </c>
      <c r="E155" s="18" t="s">
        <v>63</v>
      </c>
      <c r="F155" s="18" t="s">
        <v>91</v>
      </c>
      <c r="G155" s="45" t="s">
        <v>63</v>
      </c>
      <c r="H155" s="12" t="s">
        <v>855</v>
      </c>
      <c r="I155" s="18"/>
      <c r="J155" s="18" t="s">
        <v>67</v>
      </c>
      <c r="K155" s="18">
        <v>3</v>
      </c>
      <c r="L155" s="18"/>
      <c r="M155" s="18"/>
      <c r="N155" s="18"/>
      <c r="O155" s="18" t="b">
        <f>VLOOKUP(A155,[1]Model!C$2:J$559,2,FALSE)=B155</f>
        <v>1</v>
      </c>
      <c r="P155" s="18" t="e">
        <f>VLOOKUP(A155,Model!C$2:G$228,5,FALSE)=D155</f>
        <v>#N/A</v>
      </c>
      <c r="Q155" s="18">
        <f>VLOOKUP(A155,[2]Model!C$2:L$228,8,FALSE)</f>
        <v>194</v>
      </c>
      <c r="R155" s="18" t="e">
        <f>VLOOKUP(A155,[2]Model!C$2:G$228,3,FALSE)=[3]!Table14[[#This Row],[Business Definition (To go into comments and into Meta Data Hub)]]</f>
        <v>#REF!</v>
      </c>
      <c r="S155" s="18" t="e">
        <f>IF([3]!Table14[[#This Row],[Nullable in Table and in Oracle View
NULL, NOT NULL]]="No","NOT NULL","NULL")=VLOOKUP(A155,[2]Model!C$2:I$228,6,FALSE)</f>
        <v>#REF!</v>
      </c>
      <c r="T155" s="18" t="e">
        <f>VLOOKUP(B155,[2]Table!A$2:F$415,1,FALSE)=[3]!Table14[[#This Row],[Physical Name of Attribute (Name of column in Table)
Supplied by DA Team]]</f>
        <v>#REF!</v>
      </c>
      <c r="U155" s="18" t="b">
        <f>VLOOKUP(B155,Table!A$2:F$319,2,FALSE)=Table1[[#This Row],[Data type in Oracle
VARCHAR2(n), DATE, NUMBER(m,n), TIMETSTAMP(6)]]</f>
        <v>0</v>
      </c>
      <c r="V155" s="18" t="b">
        <f>VLOOKUP(B155,Table!A$2:F$231,3,FALSE)=Table1[[#This Row],[Nullable in Table and in Oracle View
NULL, NOT NULL]]</f>
        <v>1</v>
      </c>
      <c r="W155" s="18" t="b">
        <f>VLOOKUP(B155,Table!A$2:H$228,6,FALSE)=Table1[[#This Row],[Business Definition (To go into comments and into Meta Data Hub)]]</f>
        <v>0</v>
      </c>
      <c r="X155" s="55" t="str">
        <f>VLOOKUP((UPPER(SUBSTITUTE(A155," ","_"))),'[2]Consumer View'!A$2:I$329,1,FALSE)</f>
        <v>SECURITY_SIMPLIFIED_DISPLAY_ACTIVITY_TYPE</v>
      </c>
      <c r="Y155" s="18" t="s">
        <v>68</v>
      </c>
      <c r="Z155" s="18" t="s">
        <v>436</v>
      </c>
      <c r="AA155" s="18" t="s">
        <v>460</v>
      </c>
      <c r="AB155" s="18"/>
      <c r="AC155" s="18"/>
      <c r="AD155" s="18" t="s">
        <v>839</v>
      </c>
      <c r="AE155" s="46"/>
      <c r="AF155" s="18"/>
      <c r="AG155" s="18"/>
      <c r="AH155" s="18" t="s">
        <v>71</v>
      </c>
    </row>
    <row r="156" spans="1:34" ht="27" hidden="1" customHeight="1">
      <c r="A156" s="51" t="s">
        <v>856</v>
      </c>
      <c r="B156" s="18" t="s">
        <v>857</v>
      </c>
      <c r="C156" s="18" t="s">
        <v>858</v>
      </c>
      <c r="D156" s="18" t="s">
        <v>464</v>
      </c>
      <c r="E156" s="18" t="s">
        <v>63</v>
      </c>
      <c r="F156" s="18" t="s">
        <v>465</v>
      </c>
      <c r="G156" s="45" t="s">
        <v>63</v>
      </c>
      <c r="H156" s="46" t="s">
        <v>859</v>
      </c>
      <c r="I156" s="18"/>
      <c r="J156" s="18" t="s">
        <v>347</v>
      </c>
      <c r="K156" s="18">
        <v>3</v>
      </c>
      <c r="L156" s="18"/>
      <c r="M156" s="18"/>
      <c r="N156" s="18"/>
      <c r="O156" s="18" t="b">
        <f>VLOOKUP(A156,[1]Model!C$2:J$559,2,FALSE)=B156</f>
        <v>1</v>
      </c>
      <c r="P156" s="18" t="e">
        <f>VLOOKUP(A156,Model!C$2:G$228,5,FALSE)=D156</f>
        <v>#N/A</v>
      </c>
      <c r="Q156" s="18">
        <f>VLOOKUP(A156,[2]Model!C$2:L$228,8,FALSE)</f>
        <v>48</v>
      </c>
      <c r="R156" s="18" t="e">
        <f>VLOOKUP(A156,[2]Model!C$2:G$228,3,FALSE)=[3]!Table14[[#This Row],[Business Definition (To go into comments and into Meta Data Hub)]]</f>
        <v>#REF!</v>
      </c>
      <c r="S156" s="18" t="e">
        <f>IF([3]!Table14[[#This Row],[Nullable in Table and in Oracle View
NULL, NOT NULL]]="No","NOT NULL","NULL")=VLOOKUP(A156,[2]Model!C$2:I$228,6,FALSE)</f>
        <v>#REF!</v>
      </c>
      <c r="T156" s="18" t="e">
        <f>VLOOKUP(B156,[2]Table!A$2:F$415,1,FALSE)=[3]!Table14[[#This Row],[Physical Name of Attribute (Name of column in Table)
Supplied by DA Team]]</f>
        <v>#REF!</v>
      </c>
      <c r="U156" s="18" t="b">
        <f>VLOOKUP(B156,Table!A$2:F$319,2,FALSE)=Table1[[#This Row],[Data type in Oracle
VARCHAR2(n), DATE, NUMBER(m,n), TIMETSTAMP(6)]]</f>
        <v>0</v>
      </c>
      <c r="V156" s="18" t="b">
        <f>VLOOKUP(B156,Table!A$2:F$231,3,FALSE)=Table1[[#This Row],[Nullable in Table and in Oracle View
NULL, NOT NULL]]</f>
        <v>1</v>
      </c>
      <c r="W156" s="18" t="b">
        <f>VLOOKUP(B156,Table!A$2:H$228,6,FALSE)=Table1[[#This Row],[Business Definition (To go into comments and into Meta Data Hub)]]</f>
        <v>0</v>
      </c>
      <c r="X156" s="55" t="str">
        <f>VLOOKUP((UPPER(SUBSTITUTE(A156," ","_"))),'[2]Consumer View'!A$2:I$329,1,FALSE)</f>
        <v>SECURITY_ALTERNATE_DESCRIPTION_TRAILER_2</v>
      </c>
      <c r="Y156" s="18" t="s">
        <v>68</v>
      </c>
      <c r="Z156" s="18" t="s">
        <v>375</v>
      </c>
      <c r="AA156" s="18" t="s">
        <v>467</v>
      </c>
      <c r="AB156" s="18"/>
      <c r="AC156" s="18"/>
      <c r="AD156" s="18" t="s">
        <v>860</v>
      </c>
      <c r="AE156" s="46"/>
      <c r="AF156" s="18"/>
      <c r="AG156" s="18"/>
      <c r="AH156" s="18" t="s">
        <v>71</v>
      </c>
    </row>
    <row r="157" spans="1:34" ht="27" hidden="1" customHeight="1">
      <c r="A157" s="51" t="s">
        <v>861</v>
      </c>
      <c r="B157" s="18" t="s">
        <v>862</v>
      </c>
      <c r="C157" s="18" t="s">
        <v>863</v>
      </c>
      <c r="D157" s="55" t="s">
        <v>62</v>
      </c>
      <c r="E157" s="18" t="s">
        <v>63</v>
      </c>
      <c r="F157" s="18" t="s">
        <v>64</v>
      </c>
      <c r="G157" s="45" t="s">
        <v>63</v>
      </c>
      <c r="H157" s="46" t="s">
        <v>864</v>
      </c>
      <c r="I157" s="18"/>
      <c r="J157" s="18" t="s">
        <v>381</v>
      </c>
      <c r="K157" s="18">
        <v>3</v>
      </c>
      <c r="L157" s="18"/>
      <c r="M157" s="18"/>
      <c r="N157" s="18"/>
      <c r="O157" s="18" t="b">
        <f>VLOOKUP(A157,[1]Model!C$2:J$559,2,FALSE)=B157</f>
        <v>1</v>
      </c>
      <c r="P157" s="18" t="e">
        <f>VLOOKUP(A157,Model!C$2:G$228,5,FALSE)=D157</f>
        <v>#N/A</v>
      </c>
      <c r="Q157" s="18">
        <f>VLOOKUP(A157,[2]Model!C$2:L$228,8,FALSE)</f>
        <v>46</v>
      </c>
      <c r="R157" s="18" t="e">
        <f>VLOOKUP(A157,[2]Model!C$2:G$228,3,FALSE)=[3]!Table14[[#This Row],[Business Definition (To go into comments and into Meta Data Hub)]]</f>
        <v>#REF!</v>
      </c>
      <c r="S157" s="18" t="e">
        <f>IF([3]!Table14[[#This Row],[Nullable in Table and in Oracle View
NULL, NOT NULL]]="No","NOT NULL","NULL")=VLOOKUP(A157,[2]Model!C$2:I$228,6,FALSE)</f>
        <v>#REF!</v>
      </c>
      <c r="T157" s="18" t="e">
        <f>VLOOKUP(B157,[2]Table!A$2:F$415,1,FALSE)=[3]!Table14[[#This Row],[Physical Name of Attribute (Name of column in Table)
Supplied by DA Team]]</f>
        <v>#REF!</v>
      </c>
      <c r="U157" s="18" t="b">
        <f>VLOOKUP(B157,Table!A$2:F$319,2,FALSE)=Table1[[#This Row],[Data type in Oracle
VARCHAR2(n), DATE, NUMBER(m,n), TIMETSTAMP(6)]]</f>
        <v>0</v>
      </c>
      <c r="V157" s="18" t="b">
        <f>VLOOKUP(B157,Table!A$2:F$231,3,FALSE)=Table1[[#This Row],[Nullable in Table and in Oracle View
NULL, NOT NULL]]</f>
        <v>1</v>
      </c>
      <c r="W157" s="18" t="b">
        <f>VLOOKUP(B157,Table!A$2:H$228,6,FALSE)=Table1[[#This Row],[Business Definition (To go into comments and into Meta Data Hub)]]</f>
        <v>0</v>
      </c>
      <c r="X157" s="55" t="str">
        <f>VLOOKUP((UPPER(SUBSTITUTE(A157," ","_"))),'[2]Consumer View'!A$2:I$329,1,FALSE)</f>
        <v>SECURITY_ASSET_PACKAGE_EXTERNAL_QUALIFIER</v>
      </c>
      <c r="Y157" s="18" t="s">
        <v>68</v>
      </c>
      <c r="Z157" s="18" t="s">
        <v>375</v>
      </c>
      <c r="AA157" s="18" t="s">
        <v>473</v>
      </c>
      <c r="AB157" s="18"/>
      <c r="AC157" s="18"/>
      <c r="AD157" s="55" t="s">
        <v>865</v>
      </c>
      <c r="AE157" s="46"/>
      <c r="AF157" s="18"/>
      <c r="AG157" s="18"/>
      <c r="AH157" s="18" t="s">
        <v>71</v>
      </c>
    </row>
    <row r="158" spans="1:34" ht="27" hidden="1" customHeight="1">
      <c r="A158" s="51" t="s">
        <v>866</v>
      </c>
      <c r="B158" s="18" t="s">
        <v>867</v>
      </c>
      <c r="C158" s="18" t="s">
        <v>868</v>
      </c>
      <c r="D158" s="18" t="s">
        <v>101</v>
      </c>
      <c r="E158" s="18" t="s">
        <v>63</v>
      </c>
      <c r="F158" s="18" t="s">
        <v>133</v>
      </c>
      <c r="G158" s="45" t="s">
        <v>63</v>
      </c>
      <c r="H158" s="46" t="s">
        <v>869</v>
      </c>
      <c r="I158" s="18"/>
      <c r="J158" s="18" t="s">
        <v>347</v>
      </c>
      <c r="K158" s="18">
        <v>3</v>
      </c>
      <c r="L158" s="18"/>
      <c r="M158" s="18"/>
      <c r="N158" s="18"/>
      <c r="O158" s="18" t="b">
        <f>VLOOKUP(A158,[1]Model!C$2:J$559,2,FALSE)=B158</f>
        <v>1</v>
      </c>
      <c r="P158" s="18" t="e">
        <f>VLOOKUP(A158,Model!C$2:G$228,5,FALSE)=D158</f>
        <v>#N/A</v>
      </c>
      <c r="Q158" s="18">
        <f>VLOOKUP(A158,[2]Model!C$2:L$228,8,FALSE)</f>
        <v>176</v>
      </c>
      <c r="R158" s="18" t="e">
        <f>VLOOKUP(A158,[2]Model!C$2:G$228,3,FALSE)=[3]!Table14[[#This Row],[Business Definition (To go into comments and into Meta Data Hub)]]</f>
        <v>#REF!</v>
      </c>
      <c r="S158" s="18" t="e">
        <f>IF([3]!Table14[[#This Row],[Nullable in Table and in Oracle View
NULL, NOT NULL]]="No","NOT NULL","NULL")=VLOOKUP(A158,[2]Model!C$2:I$228,6,FALSE)</f>
        <v>#REF!</v>
      </c>
      <c r="T158" s="18" t="e">
        <f>VLOOKUP(B158,[2]Table!A$2:F$415,1,FALSE)=[3]!Table14[[#This Row],[Physical Name of Attribute (Name of column in Table)
Supplied by DA Team]]</f>
        <v>#REF!</v>
      </c>
      <c r="U158" s="18" t="b">
        <f>VLOOKUP(B158,Table!A$2:F$319,2,FALSE)=Table1[[#This Row],[Data type in Oracle
VARCHAR2(n), DATE, NUMBER(m,n), TIMETSTAMP(6)]]</f>
        <v>1</v>
      </c>
      <c r="V158" s="18" t="b">
        <f>VLOOKUP(B158,Table!A$2:F$231,3,FALSE)=Table1[[#This Row],[Nullable in Table and in Oracle View
NULL, NOT NULL]]</f>
        <v>1</v>
      </c>
      <c r="W158" s="18" t="b">
        <f>VLOOKUP(B158,Table!A$2:H$228,6,FALSE)=Table1[[#This Row],[Business Definition (To go into comments and into Meta Data Hub)]]</f>
        <v>0</v>
      </c>
      <c r="X158" s="55" t="str">
        <f>VLOOKUP((UPPER(SUBSTITUTE(A158," ","_"))),'[2]Consumer View'!A$2:I$329,1,FALSE)</f>
        <v>SECURITY_ASSET_PACKAGE_ID</v>
      </c>
      <c r="Y158" s="18" t="s">
        <v>68</v>
      </c>
      <c r="Z158" s="18" t="s">
        <v>375</v>
      </c>
      <c r="AA158" s="18" t="s">
        <v>477</v>
      </c>
      <c r="AB158" s="18"/>
      <c r="AC158" s="18"/>
      <c r="AD158" s="18" t="s">
        <v>860</v>
      </c>
      <c r="AE158" s="46"/>
      <c r="AF158" s="18"/>
      <c r="AG158" s="18"/>
      <c r="AH158" s="18" t="s">
        <v>71</v>
      </c>
    </row>
    <row r="159" spans="1:34" ht="27" hidden="1" customHeight="1">
      <c r="A159" s="51" t="s">
        <v>870</v>
      </c>
      <c r="B159" s="18" t="s">
        <v>871</v>
      </c>
      <c r="C159" s="18" t="s">
        <v>872</v>
      </c>
      <c r="D159" s="18" t="s">
        <v>139</v>
      </c>
      <c r="E159" s="18" t="s">
        <v>63</v>
      </c>
      <c r="F159" s="18" t="s">
        <v>140</v>
      </c>
      <c r="G159" s="45" t="s">
        <v>63</v>
      </c>
      <c r="H159" s="46" t="s">
        <v>873</v>
      </c>
      <c r="I159" s="18"/>
      <c r="J159" s="18" t="s">
        <v>347</v>
      </c>
      <c r="K159" s="18">
        <v>3</v>
      </c>
      <c r="L159" s="18"/>
      <c r="M159" s="18"/>
      <c r="N159" s="18"/>
      <c r="O159" s="18" t="b">
        <f>VLOOKUP(A159,[1]Model!C$2:J$559,2,FALSE)=B159</f>
        <v>1</v>
      </c>
      <c r="P159" s="18" t="e">
        <f>VLOOKUP(A159,Model!C$2:G$228,5,FALSE)=D159</f>
        <v>#N/A</v>
      </c>
      <c r="Q159" s="18">
        <f>VLOOKUP(A159,[2]Model!C$2:L$228,8,FALSE)</f>
        <v>74</v>
      </c>
      <c r="R159" s="18" t="e">
        <f>VLOOKUP(A159,[2]Model!C$2:G$228,3,FALSE)=[3]!Table14[[#This Row],[Business Definition (To go into comments and into Meta Data Hub)]]</f>
        <v>#REF!</v>
      </c>
      <c r="S159" s="18" t="e">
        <f>IF([3]!Table14[[#This Row],[Nullable in Table and in Oracle View
NULL, NOT NULL]]="No","NOT NULL","NULL")=VLOOKUP(A159,[2]Model!C$2:I$228,6,FALSE)</f>
        <v>#REF!</v>
      </c>
      <c r="T159" s="18" t="e">
        <f>VLOOKUP(B159,[2]Table!A$2:F$415,1,FALSE)=[3]!Table14[[#This Row],[Physical Name of Attribute (Name of column in Table)
Supplied by DA Team]]</f>
        <v>#REF!</v>
      </c>
      <c r="U159" s="18" t="b">
        <f>VLOOKUP(B159,Table!A$2:F$319,2,FALSE)=Table1[[#This Row],[Data type in Oracle
VARCHAR2(n), DATE, NUMBER(m,n), TIMETSTAMP(6)]]</f>
        <v>0</v>
      </c>
      <c r="V159" s="18" t="b">
        <f>VLOOKUP(B159,Table!A$2:F$231,3,FALSE)=Table1[[#This Row],[Nullable in Table and in Oracle View
NULL, NOT NULL]]</f>
        <v>1</v>
      </c>
      <c r="W159" s="18" t="b">
        <f>VLOOKUP(B159,Table!A$2:H$228,6,FALSE)=Table1[[#This Row],[Business Definition (To go into comments and into Meta Data Hub)]]</f>
        <v>0</v>
      </c>
      <c r="X159" s="55" t="str">
        <f>VLOOKUP((UPPER(SUBSTITUTE(A159," ","_"))),'[2]Consumer View'!A$2:I$329,1,FALSE)</f>
        <v>SECURITY_ASSET_PACKAGE_TYPE_CODE</v>
      </c>
      <c r="Y159" s="18" t="s">
        <v>68</v>
      </c>
      <c r="Z159" s="18" t="s">
        <v>113</v>
      </c>
      <c r="AA159" s="18" t="s">
        <v>143</v>
      </c>
      <c r="AB159" s="18"/>
      <c r="AC159" s="18"/>
      <c r="AD159" s="18" t="s">
        <v>860</v>
      </c>
      <c r="AE159" s="46"/>
      <c r="AF159" s="18"/>
      <c r="AG159" s="18"/>
      <c r="AH159" s="18" t="s">
        <v>71</v>
      </c>
    </row>
    <row r="160" spans="1:34" ht="27" hidden="1" customHeight="1">
      <c r="A160" s="51" t="s">
        <v>874</v>
      </c>
      <c r="B160" s="18" t="s">
        <v>875</v>
      </c>
      <c r="C160" s="18" t="s">
        <v>876</v>
      </c>
      <c r="D160" s="18" t="s">
        <v>485</v>
      </c>
      <c r="E160" s="18" t="s">
        <v>63</v>
      </c>
      <c r="F160" s="18" t="s">
        <v>486</v>
      </c>
      <c r="G160" s="45" t="s">
        <v>63</v>
      </c>
      <c r="H160" s="46" t="s">
        <v>877</v>
      </c>
      <c r="I160" s="18"/>
      <c r="J160" s="18" t="s">
        <v>347</v>
      </c>
      <c r="K160" s="18">
        <v>3</v>
      </c>
      <c r="L160" s="18"/>
      <c r="M160" s="18"/>
      <c r="N160" s="18"/>
      <c r="O160" s="18" t="b">
        <f>VLOOKUP(A160,[1]Model!C$2:J$559,2,FALSE)=B160</f>
        <v>1</v>
      </c>
      <c r="P160" s="18" t="e">
        <f>VLOOKUP(A160,Model!C$2:G$228,5,FALSE)=D160</f>
        <v>#N/A</v>
      </c>
      <c r="Q160" s="18">
        <f>VLOOKUP(A160,[2]Model!C$2:L$228,8,FALSE)</f>
        <v>76</v>
      </c>
      <c r="R160" s="18" t="e">
        <f>VLOOKUP(A160,[2]Model!C$2:G$228,3,FALSE)=[3]!Table14[[#This Row],[Business Definition (To go into comments and into Meta Data Hub)]]</f>
        <v>#REF!</v>
      </c>
      <c r="S160" s="18" t="e">
        <f>IF([3]!Table14[[#This Row],[Nullable in Table and in Oracle View
NULL, NOT NULL]]="No","NOT NULL","NULL")=VLOOKUP(A160,[2]Model!C$2:I$228,6,FALSE)</f>
        <v>#REF!</v>
      </c>
      <c r="T160" s="18" t="e">
        <f>VLOOKUP(B160,[2]Table!A$2:F$415,1,FALSE)=[3]!Table14[[#This Row],[Physical Name of Attribute (Name of column in Table)
Supplied by DA Team]]</f>
        <v>#REF!</v>
      </c>
      <c r="U160" s="18" t="b">
        <f>VLOOKUP(B160,Table!A$2:F$319,2,FALSE)=Table1[[#This Row],[Data type in Oracle
VARCHAR2(n), DATE, NUMBER(m,n), TIMETSTAMP(6)]]</f>
        <v>0</v>
      </c>
      <c r="V160" s="18" t="b">
        <f>VLOOKUP(B160,Table!A$2:F$231,3,FALSE)=Table1[[#This Row],[Nullable in Table and in Oracle View
NULL, NOT NULL]]</f>
        <v>1</v>
      </c>
      <c r="W160" s="18" t="b">
        <f>VLOOKUP(B160,Table!A$2:H$228,6,FALSE)=Table1[[#This Row],[Business Definition (To go into comments and into Meta Data Hub)]]</f>
        <v>0</v>
      </c>
      <c r="X160" s="55" t="str">
        <f>VLOOKUP((UPPER(SUBSTITUTE(A160," ","_"))),'[2]Consumer View'!A$2:I$329,1,FALSE)</f>
        <v>SECURITY_ASSET_PACKAGE_TYPE_DESCRIPTION</v>
      </c>
      <c r="Y160" s="18" t="s">
        <v>68</v>
      </c>
      <c r="Z160" s="18" t="s">
        <v>113</v>
      </c>
      <c r="AA160" s="18" t="s">
        <v>488</v>
      </c>
      <c r="AB160" s="18"/>
      <c r="AC160" s="18"/>
      <c r="AD160" s="18" t="s">
        <v>860</v>
      </c>
      <c r="AE160" s="46"/>
      <c r="AF160" s="18"/>
      <c r="AG160" s="18"/>
      <c r="AH160" s="18" t="s">
        <v>71</v>
      </c>
    </row>
    <row r="161" spans="1:34" ht="27" hidden="1" customHeight="1">
      <c r="A161" s="51" t="s">
        <v>878</v>
      </c>
      <c r="B161" s="18" t="s">
        <v>879</v>
      </c>
      <c r="C161" s="18"/>
      <c r="D161" s="18" t="s">
        <v>101</v>
      </c>
      <c r="E161" s="18" t="s">
        <v>63</v>
      </c>
      <c r="F161" s="18" t="s">
        <v>133</v>
      </c>
      <c r="G161" s="45" t="s">
        <v>63</v>
      </c>
      <c r="H161" s="46" t="s">
        <v>880</v>
      </c>
      <c r="I161" s="18"/>
      <c r="J161" s="18" t="s">
        <v>347</v>
      </c>
      <c r="K161" s="18">
        <v>3</v>
      </c>
      <c r="L161" s="18"/>
      <c r="M161" s="18"/>
      <c r="N161" s="18"/>
      <c r="O161" s="18" t="b">
        <f>VLOOKUP(A161,[1]Model!C$2:J$559,2,FALSE)=B161</f>
        <v>1</v>
      </c>
      <c r="P161" s="18" t="e">
        <f>VLOOKUP(A161,Model!C$2:G$228,5,FALSE)=D161</f>
        <v>#N/A</v>
      </c>
      <c r="Q161" s="18">
        <f>VLOOKUP(A161,[2]Model!C$2:L$228,8,FALSE)</f>
        <v>73</v>
      </c>
      <c r="R161" s="18" t="e">
        <f>VLOOKUP(A161,[2]Model!C$2:G$228,3,FALSE)=[3]!Table14[[#This Row],[Business Definition (To go into comments and into Meta Data Hub)]]</f>
        <v>#REF!</v>
      </c>
      <c r="S161" s="18" t="e">
        <f>IF([3]!Table14[[#This Row],[Nullable in Table and in Oracle View
NULL, NOT NULL]]="No","NOT NULL","NULL")=VLOOKUP(A161,[2]Model!C$2:I$228,6,FALSE)</f>
        <v>#REF!</v>
      </c>
      <c r="T161" s="18" t="e">
        <f>VLOOKUP(B161,[2]Table!A$2:F$415,1,FALSE)=[3]!Table14[[#This Row],[Physical Name of Attribute (Name of column in Table)
Supplied by DA Team]]</f>
        <v>#REF!</v>
      </c>
      <c r="U161" s="18" t="b">
        <f>VLOOKUP(B161,Table!A$2:F$319,2,FALSE)=Table1[[#This Row],[Data type in Oracle
VARCHAR2(n), DATE, NUMBER(m,n), TIMETSTAMP(6)]]</f>
        <v>1</v>
      </c>
      <c r="V161" s="18" t="b">
        <f>VLOOKUP(B161,Table!A$2:F$231,3,FALSE)=Table1[[#This Row],[Nullable in Table and in Oracle View
NULL, NOT NULL]]</f>
        <v>1</v>
      </c>
      <c r="W161" s="18" t="b">
        <f>VLOOKUP(B161,Table!A$2:H$228,6,FALSE)=Table1[[#This Row],[Business Definition (To go into comments and into Meta Data Hub)]]</f>
        <v>0</v>
      </c>
      <c r="X161" s="55" t="str">
        <f>VLOOKUP((UPPER(SUBSTITUTE(A161," ","_"))),'[2]Consumer View'!A$2:I$329,1,FALSE)</f>
        <v>SECURITY_ASSET_PACKAGE_TYPE_ID</v>
      </c>
      <c r="Y161" s="18" t="s">
        <v>68</v>
      </c>
      <c r="Z161" s="18" t="s">
        <v>375</v>
      </c>
      <c r="AA161" s="18" t="s">
        <v>492</v>
      </c>
      <c r="AB161" s="18"/>
      <c r="AC161" s="18"/>
      <c r="AD161" s="18" t="s">
        <v>860</v>
      </c>
      <c r="AE161" s="46"/>
      <c r="AF161" s="18"/>
      <c r="AG161" s="18"/>
      <c r="AH161" s="18" t="s">
        <v>71</v>
      </c>
    </row>
    <row r="162" spans="1:34" ht="27" hidden="1" customHeight="1">
      <c r="A162" s="51" t="s">
        <v>881</v>
      </c>
      <c r="B162" s="18" t="s">
        <v>882</v>
      </c>
      <c r="C162" s="18" t="s">
        <v>883</v>
      </c>
      <c r="D162" s="55" t="s">
        <v>109</v>
      </c>
      <c r="E162" s="18" t="s">
        <v>63</v>
      </c>
      <c r="F162" s="18" t="s">
        <v>110</v>
      </c>
      <c r="G162" s="45" t="s">
        <v>63</v>
      </c>
      <c r="H162" s="46" t="s">
        <v>884</v>
      </c>
      <c r="I162" s="18"/>
      <c r="J162" s="18" t="s">
        <v>381</v>
      </c>
      <c r="K162" s="18">
        <v>3</v>
      </c>
      <c r="L162" s="18"/>
      <c r="M162" s="18"/>
      <c r="N162" s="18"/>
      <c r="O162" s="18" t="b">
        <f>VLOOKUP(A162,[1]Model!C$2:J$559,2,FALSE)=B162</f>
        <v>1</v>
      </c>
      <c r="P162" s="18" t="e">
        <f>VLOOKUP(A162,Model!C$2:G$228,5,FALSE)=D162</f>
        <v>#N/A</v>
      </c>
      <c r="Q162" s="18">
        <f>VLOOKUP(A162,[2]Model!C$2:L$228,8,FALSE)</f>
        <v>75</v>
      </c>
      <c r="R162" s="18" t="e">
        <f>VLOOKUP(A162,[2]Model!C$2:G$228,3,FALSE)=[3]!Table14[[#This Row],[Business Definition (To go into comments and into Meta Data Hub)]]</f>
        <v>#REF!</v>
      </c>
      <c r="S162" s="18" t="e">
        <f>IF([3]!Table14[[#This Row],[Nullable in Table and in Oracle View
NULL, NOT NULL]]="No","NOT NULL","NULL")=VLOOKUP(A162,[2]Model!C$2:I$228,6,FALSE)</f>
        <v>#REF!</v>
      </c>
      <c r="T162" s="18" t="e">
        <f>VLOOKUP(B162,[2]Table!A$2:F$415,1,FALSE)=[3]!Table14[[#This Row],[Physical Name of Attribute (Name of column in Table)
Supplied by DA Team]]</f>
        <v>#REF!</v>
      </c>
      <c r="U162" s="18" t="b">
        <f>VLOOKUP(B162,Table!A$2:F$319,2,FALSE)=Table1[[#This Row],[Data type in Oracle
VARCHAR2(n), DATE, NUMBER(m,n), TIMETSTAMP(6)]]</f>
        <v>0</v>
      </c>
      <c r="V162" s="18" t="b">
        <f>VLOOKUP(B162,Table!A$2:F$231,3,FALSE)=Table1[[#This Row],[Nullable in Table and in Oracle View
NULL, NOT NULL]]</f>
        <v>1</v>
      </c>
      <c r="W162" s="18" t="b">
        <f>VLOOKUP(B162,Table!A$2:H$228,6,FALSE)=Table1[[#This Row],[Business Definition (To go into comments and into Meta Data Hub)]]</f>
        <v>0</v>
      </c>
      <c r="X162" s="55" t="str">
        <f>VLOOKUP((UPPER(SUBSTITUTE(A162," ","_"))),'[2]Consumer View'!A$2:I$329,1,FALSE)</f>
        <v>SECURITY_ASSET_PACKAGE_TYPE_NAME</v>
      </c>
      <c r="Y162" s="18" t="s">
        <v>68</v>
      </c>
      <c r="Z162" s="18" t="s">
        <v>113</v>
      </c>
      <c r="AA162" s="18" t="s">
        <v>114</v>
      </c>
      <c r="AB162" s="18"/>
      <c r="AC162" s="18"/>
      <c r="AD162" s="18" t="s">
        <v>860</v>
      </c>
      <c r="AE162" s="46" t="s">
        <v>105</v>
      </c>
      <c r="AF162" s="18"/>
      <c r="AG162" s="18"/>
      <c r="AH162" s="18" t="s">
        <v>71</v>
      </c>
    </row>
    <row r="163" spans="1:34" ht="27" hidden="1" customHeight="1">
      <c r="A163" s="51" t="s">
        <v>885</v>
      </c>
      <c r="B163" s="18" t="s">
        <v>886</v>
      </c>
      <c r="C163" s="18" t="s">
        <v>887</v>
      </c>
      <c r="D163" s="18" t="s">
        <v>101</v>
      </c>
      <c r="E163" s="18" t="s">
        <v>63</v>
      </c>
      <c r="F163" s="18" t="s">
        <v>133</v>
      </c>
      <c r="G163" s="45" t="s">
        <v>63</v>
      </c>
      <c r="H163" s="46" t="s">
        <v>888</v>
      </c>
      <c r="I163" s="18"/>
      <c r="J163" s="18" t="s">
        <v>347</v>
      </c>
      <c r="K163" s="18">
        <v>3</v>
      </c>
      <c r="L163" s="18"/>
      <c r="M163" s="18"/>
      <c r="N163" s="18"/>
      <c r="O163" s="18" t="b">
        <f>VLOOKUP(A163,[1]Model!C$2:J$559,2,FALSE)=B163</f>
        <v>1</v>
      </c>
      <c r="P163" s="18" t="e">
        <f>VLOOKUP(A163,Model!C$2:G$228,5,FALSE)=D163</f>
        <v>#N/A</v>
      </c>
      <c r="Q163" s="18">
        <f>VLOOKUP(A163,[2]Model!C$2:L$228,8,FALSE)</f>
        <v>131</v>
      </c>
      <c r="R163" s="18" t="e">
        <f>VLOOKUP(A163,[2]Model!C$2:G$228,3,FALSE)=[3]!Table14[[#This Row],[Business Definition (To go into comments and into Meta Data Hub)]]</f>
        <v>#REF!</v>
      </c>
      <c r="S163" s="18" t="e">
        <f>IF([3]!Table14[[#This Row],[Nullable in Table and in Oracle View
NULL, NOT NULL]]="No","NOT NULL","NULL")=VLOOKUP(A163,[2]Model!C$2:I$228,6,FALSE)</f>
        <v>#REF!</v>
      </c>
      <c r="T163" s="18" t="e">
        <f>VLOOKUP(B163,[2]Table!A$2:F$415,1,FALSE)=[3]!Table14[[#This Row],[Physical Name of Attribute (Name of column in Table)
Supplied by DA Team]]</f>
        <v>#REF!</v>
      </c>
      <c r="U163" s="18" t="b">
        <f>VLOOKUP(B163,Table!A$2:F$319,2,FALSE)=Table1[[#This Row],[Data type in Oracle
VARCHAR2(n), DATE, NUMBER(m,n), TIMETSTAMP(6)]]</f>
        <v>1</v>
      </c>
      <c r="V163" s="18" t="b">
        <f>VLOOKUP(B163,Table!A$2:F$231,3,FALSE)=Table1[[#This Row],[Nullable in Table and in Oracle View
NULL, NOT NULL]]</f>
        <v>1</v>
      </c>
      <c r="W163" s="18" t="b">
        <f>VLOOKUP(B163,Table!A$2:H$228,6,FALSE)=Table1[[#This Row],[Business Definition (To go into comments and into Meta Data Hub)]]</f>
        <v>0</v>
      </c>
      <c r="X163" s="55" t="str">
        <f>VLOOKUP((UPPER(SUBSTITUTE(A163," ","_"))),'[2]Consumer View'!A$2:I$329,1,FALSE)</f>
        <v>SECURITY_CIRD_PRODUCT_ID</v>
      </c>
      <c r="Y163" s="18" t="s">
        <v>68</v>
      </c>
      <c r="Z163" s="18" t="s">
        <v>889</v>
      </c>
      <c r="AA163" s="18" t="s">
        <v>502</v>
      </c>
      <c r="AB163" s="18"/>
      <c r="AC163" s="18"/>
      <c r="AD163" s="46" t="s">
        <v>890</v>
      </c>
      <c r="AE163" s="46"/>
      <c r="AF163" s="18"/>
      <c r="AG163" s="18"/>
      <c r="AH163" s="106" t="s">
        <v>178</v>
      </c>
    </row>
    <row r="164" spans="1:34" ht="27" hidden="1" customHeight="1">
      <c r="A164" s="51" t="s">
        <v>891</v>
      </c>
      <c r="B164" s="18" t="s">
        <v>892</v>
      </c>
      <c r="C164" s="18"/>
      <c r="D164" s="55" t="s">
        <v>139</v>
      </c>
      <c r="E164" s="18" t="s">
        <v>63</v>
      </c>
      <c r="F164" s="18" t="s">
        <v>140</v>
      </c>
      <c r="G164" s="45" t="s">
        <v>63</v>
      </c>
      <c r="H164" s="46" t="s">
        <v>893</v>
      </c>
      <c r="I164" s="18"/>
      <c r="J164" s="18" t="s">
        <v>381</v>
      </c>
      <c r="K164" s="18">
        <v>3</v>
      </c>
      <c r="L164" s="18"/>
      <c r="M164" s="18"/>
      <c r="N164" s="18"/>
      <c r="O164" s="18" t="b">
        <f>VLOOKUP(A164,[1]Model!C$2:J$559,2,FALSE)=B164</f>
        <v>1</v>
      </c>
      <c r="P164" s="18" t="e">
        <f>VLOOKUP(A164,Model!C$2:G$228,5,FALSE)=D164</f>
        <v>#N/A</v>
      </c>
      <c r="Q164" s="18">
        <f>VLOOKUP(A164,[2]Model!C$2:L$228,8,FALSE)</f>
        <v>132</v>
      </c>
      <c r="R164" s="18" t="e">
        <f>VLOOKUP(A164,[2]Model!C$2:G$228,3,FALSE)=[3]!Table14[[#This Row],[Business Definition (To go into comments and into Meta Data Hub)]]</f>
        <v>#REF!</v>
      </c>
      <c r="S164" s="18" t="e">
        <f>IF([3]!Table14[[#This Row],[Nullable in Table and in Oracle View
NULL, NOT NULL]]="No","NOT NULL","NULL")=VLOOKUP(A164,[2]Model!C$2:I$228,6,FALSE)</f>
        <v>#REF!</v>
      </c>
      <c r="T164" s="18" t="e">
        <f>VLOOKUP(B164,[2]Table!A$2:F$415,1,FALSE)=[3]!Table14[[#This Row],[Physical Name of Attribute (Name of column in Table)
Supplied by DA Team]]</f>
        <v>#REF!</v>
      </c>
      <c r="U164" s="18" t="b">
        <f>VLOOKUP(B164,Table!A$2:F$319,2,FALSE)=Table1[[#This Row],[Data type in Oracle
VARCHAR2(n), DATE, NUMBER(m,n), TIMETSTAMP(6)]]</f>
        <v>0</v>
      </c>
      <c r="V164" s="18" t="b">
        <f>VLOOKUP(B164,Table!A$2:F$231,3,FALSE)=Table1[[#This Row],[Nullable in Table and in Oracle View
NULL, NOT NULL]]</f>
        <v>1</v>
      </c>
      <c r="W164" s="18" t="b">
        <f>VLOOKUP(B164,Table!A$2:H$228,6,FALSE)=Table1[[#This Row],[Business Definition (To go into comments and into Meta Data Hub)]]</f>
        <v>0</v>
      </c>
      <c r="X164" s="55" t="str">
        <f>VLOOKUP((UPPER(SUBSTITUTE(A164," ","_"))),'[2]Consumer View'!A$2:I$329,1,FALSE)</f>
        <v>SECURITY_DEBIT_CREDIT_CODE</v>
      </c>
      <c r="Y164" s="18" t="s">
        <v>68</v>
      </c>
      <c r="Z164" s="18" t="s">
        <v>113</v>
      </c>
      <c r="AA164" s="18" t="s">
        <v>143</v>
      </c>
      <c r="AB164" s="18"/>
      <c r="AC164" s="18"/>
      <c r="AD164" s="18" t="s">
        <v>894</v>
      </c>
      <c r="AE164" s="46"/>
      <c r="AF164" s="18"/>
      <c r="AG164" s="18"/>
      <c r="AH164" s="18" t="s">
        <v>71</v>
      </c>
    </row>
    <row r="165" spans="1:34" ht="27" hidden="1" customHeight="1">
      <c r="A165" s="51" t="s">
        <v>895</v>
      </c>
      <c r="B165" s="18" t="s">
        <v>896</v>
      </c>
      <c r="C165" s="18" t="s">
        <v>897</v>
      </c>
      <c r="D165" s="55" t="s">
        <v>90</v>
      </c>
      <c r="E165" s="18" t="s">
        <v>63</v>
      </c>
      <c r="F165" s="18" t="s">
        <v>91</v>
      </c>
      <c r="G165" s="45" t="s">
        <v>63</v>
      </c>
      <c r="H165" s="46" t="s">
        <v>898</v>
      </c>
      <c r="I165" s="18"/>
      <c r="J165" s="18" t="s">
        <v>381</v>
      </c>
      <c r="K165" s="18">
        <v>3</v>
      </c>
      <c r="L165" s="18"/>
      <c r="M165" s="18"/>
      <c r="N165" s="18"/>
      <c r="O165" s="18" t="b">
        <f>VLOOKUP(A165,[1]Model!C$2:J$559,2,FALSE)=B165</f>
        <v>1</v>
      </c>
      <c r="P165" s="18" t="e">
        <f>VLOOKUP(A165,Model!C$2:G$228,5,FALSE)=D165</f>
        <v>#N/A</v>
      </c>
      <c r="Q165" s="18">
        <f>VLOOKUP(A165,[2]Model!C$2:L$228,8,FALSE)</f>
        <v>133</v>
      </c>
      <c r="R165" s="18" t="e">
        <f>VLOOKUP(A165,[2]Model!C$2:G$228,3,FALSE)=[3]!Table14[[#This Row],[Business Definition (To go into comments and into Meta Data Hub)]]</f>
        <v>#REF!</v>
      </c>
      <c r="S165" s="18" t="e">
        <f>IF([3]!Table14[[#This Row],[Nullable in Table and in Oracle View
NULL, NOT NULL]]="No","NOT NULL","NULL")=VLOOKUP(A165,[2]Model!C$2:I$228,6,FALSE)</f>
        <v>#REF!</v>
      </c>
      <c r="T165" s="18" t="e">
        <f>VLOOKUP(B165,[2]Table!A$2:F$415,1,FALSE)=[3]!Table14[[#This Row],[Physical Name of Attribute (Name of column in Table)
Supplied by DA Team]]</f>
        <v>#REF!</v>
      </c>
      <c r="U165" s="18" t="b">
        <f>VLOOKUP(B165,Table!A$2:F$319,2,FALSE)=Table1[[#This Row],[Data type in Oracle
VARCHAR2(n), DATE, NUMBER(m,n), TIMETSTAMP(6)]]</f>
        <v>0</v>
      </c>
      <c r="V165" s="18" t="b">
        <f>VLOOKUP(B165,Table!A$2:F$231,3,FALSE)=Table1[[#This Row],[Nullable in Table and in Oracle View
NULL, NOT NULL]]</f>
        <v>1</v>
      </c>
      <c r="W165" s="18" t="b">
        <f>VLOOKUP(B165,Table!A$2:H$228,6,FALSE)=Table1[[#This Row],[Business Definition (To go into comments and into Meta Data Hub)]]</f>
        <v>0</v>
      </c>
      <c r="X165" s="55" t="str">
        <f>VLOOKUP((UPPER(SUBSTITUTE(A165," ","_"))),'[2]Consumer View'!A$2:I$329,1,FALSE)</f>
        <v>SECURITY_DEBIT_CREDIT_NAME</v>
      </c>
      <c r="Y165" s="18" t="s">
        <v>68</v>
      </c>
      <c r="Z165" s="18" t="s">
        <v>113</v>
      </c>
      <c r="AA165" s="18" t="s">
        <v>114</v>
      </c>
      <c r="AB165" s="18"/>
      <c r="AC165" s="18"/>
      <c r="AD165" s="18" t="s">
        <v>894</v>
      </c>
      <c r="AE165" s="46"/>
      <c r="AF165" s="18"/>
      <c r="AG165" s="18"/>
      <c r="AH165" s="18" t="s">
        <v>71</v>
      </c>
    </row>
    <row r="166" spans="1:34" ht="27" hidden="1" customHeight="1">
      <c r="A166" s="51" t="s">
        <v>899</v>
      </c>
      <c r="B166" s="18" t="s">
        <v>900</v>
      </c>
      <c r="C166" s="18" t="s">
        <v>901</v>
      </c>
      <c r="D166" s="18" t="s">
        <v>464</v>
      </c>
      <c r="E166" s="18" t="s">
        <v>63</v>
      </c>
      <c r="F166" s="18" t="s">
        <v>465</v>
      </c>
      <c r="G166" s="45" t="s">
        <v>63</v>
      </c>
      <c r="H166" s="46" t="s">
        <v>902</v>
      </c>
      <c r="I166" s="18"/>
      <c r="J166" s="18" t="s">
        <v>347</v>
      </c>
      <c r="K166" s="18">
        <v>3</v>
      </c>
      <c r="L166" s="18"/>
      <c r="M166" s="18"/>
      <c r="N166" s="18"/>
      <c r="O166" s="18" t="b">
        <f>VLOOKUP(A166,[1]Model!C$2:J$559,2,FALSE)=B166</f>
        <v>1</v>
      </c>
      <c r="P166" s="18" t="e">
        <f>VLOOKUP(A166,Model!C$2:G$228,5,FALSE)=D166</f>
        <v>#N/A</v>
      </c>
      <c r="Q166" s="18">
        <f>VLOOKUP(A166,[2]Model!C$2:L$228,8,FALSE)</f>
        <v>47</v>
      </c>
      <c r="R166" s="18" t="e">
        <f>VLOOKUP(A166,[2]Model!C$2:G$228,3,FALSE)=[3]!Table14[[#This Row],[Business Definition (To go into comments and into Meta Data Hub)]]</f>
        <v>#REF!</v>
      </c>
      <c r="S166" s="18" t="e">
        <f>IF([3]!Table14[[#This Row],[Nullable in Table and in Oracle View
NULL, NOT NULL]]="No","NOT NULL","NULL")=VLOOKUP(A166,[2]Model!C$2:I$228,6,FALSE)</f>
        <v>#REF!</v>
      </c>
      <c r="T166" s="18" t="e">
        <f>VLOOKUP(B166,[2]Table!A$2:F$415,1,FALSE)=[3]!Table14[[#This Row],[Physical Name of Attribute (Name of column in Table)
Supplied by DA Team]]</f>
        <v>#REF!</v>
      </c>
      <c r="U166" s="18" t="b">
        <f>VLOOKUP(B166,Table!A$2:F$319,2,FALSE)=Table1[[#This Row],[Data type in Oracle
VARCHAR2(n), DATE, NUMBER(m,n), TIMETSTAMP(6)]]</f>
        <v>0</v>
      </c>
      <c r="V166" s="18" t="b">
        <f>VLOOKUP(B166,Table!A$2:F$231,3,FALSE)=Table1[[#This Row],[Nullable in Table and in Oracle View
NULL, NOT NULL]]</f>
        <v>1</v>
      </c>
      <c r="W166" s="18" t="b">
        <f>VLOOKUP(B166,Table!A$2:H$228,6,FALSE)=Table1[[#This Row],[Business Definition (To go into comments and into Meta Data Hub)]]</f>
        <v>0</v>
      </c>
      <c r="X166" s="55" t="str">
        <f>VLOOKUP((UPPER(SUBSTITUTE(A166," ","_"))),'[2]Consumer View'!A$2:I$329,1,FALSE)</f>
        <v>SECURITY_DESCRIPTION_TRAILER_1</v>
      </c>
      <c r="Y166" s="18" t="s">
        <v>68</v>
      </c>
      <c r="Z166" s="18" t="s">
        <v>375</v>
      </c>
      <c r="AA166" s="18" t="s">
        <v>516</v>
      </c>
      <c r="AB166" s="18"/>
      <c r="AC166" s="18"/>
      <c r="AD166" s="18" t="s">
        <v>860</v>
      </c>
      <c r="AE166" s="46"/>
      <c r="AF166" s="18"/>
      <c r="AG166" s="18"/>
      <c r="AH166" s="18" t="s">
        <v>71</v>
      </c>
    </row>
    <row r="167" spans="1:34" ht="27" hidden="1" customHeight="1">
      <c r="A167" s="51" t="s">
        <v>903</v>
      </c>
      <c r="B167" s="18" t="s">
        <v>904</v>
      </c>
      <c r="C167" s="18" t="s">
        <v>905</v>
      </c>
      <c r="D167" s="55" t="s">
        <v>559</v>
      </c>
      <c r="E167" s="18" t="s">
        <v>63</v>
      </c>
      <c r="F167" s="18" t="s">
        <v>560</v>
      </c>
      <c r="G167" s="45" t="s">
        <v>63</v>
      </c>
      <c r="H167" s="46" t="s">
        <v>906</v>
      </c>
      <c r="I167" s="18"/>
      <c r="J167" s="18" t="s">
        <v>381</v>
      </c>
      <c r="K167" s="18">
        <v>3</v>
      </c>
      <c r="L167" s="18"/>
      <c r="M167" s="18"/>
      <c r="N167" s="18"/>
      <c r="O167" s="18" t="b">
        <f>VLOOKUP(A167,[1]Model!C$2:J$559,2,FALSE)=B167</f>
        <v>1</v>
      </c>
      <c r="P167" s="18" t="e">
        <f>VLOOKUP(A167,Model!C$2:G$228,5,FALSE)=D167</f>
        <v>#N/A</v>
      </c>
      <c r="Q167" s="18">
        <f>VLOOKUP(A167,[2]Model!C$2:L$228,8,FALSE)</f>
        <v>31</v>
      </c>
      <c r="R167" s="18" t="e">
        <f>VLOOKUP(A167,[2]Model!C$2:G$228,3,FALSE)=[3]!Table14[[#This Row],[Business Definition (To go into comments and into Meta Data Hub)]]</f>
        <v>#REF!</v>
      </c>
      <c r="S167" s="18" t="e">
        <f>IF([3]!Table14[[#This Row],[Nullable in Table and in Oracle View
NULL, NOT NULL]]="No","NOT NULL","NULL")=VLOOKUP(A167,[2]Model!C$2:I$228,6,FALSE)</f>
        <v>#REF!</v>
      </c>
      <c r="T167" s="18" t="e">
        <f>VLOOKUP(B167,[2]Table!A$2:F$415,1,FALSE)=[3]!Table14[[#This Row],[Physical Name of Attribute (Name of column in Table)
Supplied by DA Team]]</f>
        <v>#REF!</v>
      </c>
      <c r="U167" s="18" t="b">
        <f>VLOOKUP(B167,Table!A$2:F$319,2,FALSE)=Table1[[#This Row],[Data type in Oracle
VARCHAR2(n), DATE, NUMBER(m,n), TIMETSTAMP(6)]]</f>
        <v>1</v>
      </c>
      <c r="V167" s="18" t="b">
        <f>VLOOKUP(B167,Table!A$2:F$231,3,FALSE)=Table1[[#This Row],[Nullable in Table and in Oracle View
NULL, NOT NULL]]</f>
        <v>1</v>
      </c>
      <c r="W167" s="18" t="b">
        <f>VLOOKUP(B167,Table!A$2:H$228,6,FALSE)=Table1[[#This Row],[Business Definition (To go into comments and into Meta Data Hub)]]</f>
        <v>0</v>
      </c>
      <c r="X167" s="55" t="str">
        <f>VLOOKUP((UPPER(SUBSTITUTE(A167," ","_"))),'[2]Consumer View'!A$2:I$329,1,FALSE)</f>
        <v>SECURITY_ORIGINAL_QUANTITY</v>
      </c>
      <c r="Y167" s="18" t="s">
        <v>68</v>
      </c>
      <c r="Z167" s="18" t="s">
        <v>375</v>
      </c>
      <c r="AA167" s="18" t="s">
        <v>907</v>
      </c>
      <c r="AB167" s="18"/>
      <c r="AC167" s="18"/>
      <c r="AD167" s="18" t="s">
        <v>860</v>
      </c>
      <c r="AE167" s="46"/>
      <c r="AF167" s="18"/>
      <c r="AG167" s="18"/>
      <c r="AH167" s="18" t="s">
        <v>71</v>
      </c>
    </row>
    <row r="168" spans="1:34" ht="27" hidden="1" customHeight="1">
      <c r="A168" s="51" t="s">
        <v>908</v>
      </c>
      <c r="B168" s="18" t="s">
        <v>909</v>
      </c>
      <c r="C168" s="18" t="s">
        <v>910</v>
      </c>
      <c r="D168" s="18" t="s">
        <v>139</v>
      </c>
      <c r="E168" s="18" t="s">
        <v>63</v>
      </c>
      <c r="F168" s="18" t="s">
        <v>140</v>
      </c>
      <c r="G168" s="45" t="s">
        <v>63</v>
      </c>
      <c r="H168" s="12" t="s">
        <v>911</v>
      </c>
      <c r="I168" s="18"/>
      <c r="J168" s="18" t="s">
        <v>347</v>
      </c>
      <c r="K168" s="18">
        <v>3</v>
      </c>
      <c r="L168" s="18"/>
      <c r="M168" s="18"/>
      <c r="N168" s="18"/>
      <c r="O168" s="18" t="b">
        <f>VLOOKUP(A168,[1]Model!C$2:J$559,2,FALSE)=B168</f>
        <v>1</v>
      </c>
      <c r="P168" s="18" t="e">
        <f>VLOOKUP(A168,Model!C$2:G$228,5,FALSE)=D168</f>
        <v>#N/A</v>
      </c>
      <c r="Q168" s="18">
        <f>VLOOKUP(A168,[2]Model!C$2:L$228,8,FALSE)</f>
        <v>56</v>
      </c>
      <c r="R168" s="18" t="e">
        <f>VLOOKUP(A168,[2]Model!C$2:G$228,3,FALSE)=[3]!Table14[[#This Row],[Business Definition (To go into comments and into Meta Data Hub)]]</f>
        <v>#REF!</v>
      </c>
      <c r="S168" s="18" t="e">
        <f>IF([3]!Table14[[#This Row],[Nullable in Table and in Oracle View
NULL, NOT NULL]]="No","NOT NULL","NULL")=VLOOKUP(A168,[2]Model!C$2:I$228,6,FALSE)</f>
        <v>#REF!</v>
      </c>
      <c r="T168" s="18" t="e">
        <f>VLOOKUP(B168,[2]Table!A$2:F$415,1,FALSE)=[3]!Table14[[#This Row],[Physical Name of Attribute (Name of column in Table)
Supplied by DA Team]]</f>
        <v>#REF!</v>
      </c>
      <c r="U168" s="18" t="b">
        <f>VLOOKUP(B168,Table!A$2:F$319,2,FALSE)=Table1[[#This Row],[Data type in Oracle
VARCHAR2(n), DATE, NUMBER(m,n), TIMETSTAMP(6)]]</f>
        <v>0</v>
      </c>
      <c r="V168" s="18" t="b">
        <f>VLOOKUP(B168,Table!A$2:F$231,3,FALSE)=Table1[[#This Row],[Nullable in Table and in Oracle View
NULL, NOT NULL]]</f>
        <v>1</v>
      </c>
      <c r="W168" s="18" t="b">
        <f>VLOOKUP(B168,Table!A$2:H$228,6,FALSE)=Table1[[#This Row],[Business Definition (To go into comments and into Meta Data Hub)]]</f>
        <v>0</v>
      </c>
      <c r="X168" s="55" t="str">
        <f>VLOOKUP((UPPER(SUBSTITUTE(A168," ","_"))),'[2]Consumer View'!A$2:I$329,1,FALSE)</f>
        <v>SECURITY_SOURCE_CUSIP</v>
      </c>
      <c r="Y168" s="18" t="s">
        <v>68</v>
      </c>
      <c r="Z168" s="18" t="s">
        <v>375</v>
      </c>
      <c r="AA168" s="18" t="s">
        <v>912</v>
      </c>
      <c r="AB168" s="18"/>
      <c r="AC168" s="18"/>
      <c r="AD168" s="46" t="s">
        <v>913</v>
      </c>
      <c r="AE168" s="59" t="s">
        <v>914</v>
      </c>
      <c r="AF168" s="18"/>
      <c r="AG168" s="18"/>
      <c r="AH168" s="18" t="s">
        <v>71</v>
      </c>
    </row>
    <row r="169" spans="1:34" ht="27" hidden="1" customHeight="1">
      <c r="A169" s="51" t="s">
        <v>915</v>
      </c>
      <c r="B169" s="18" t="s">
        <v>916</v>
      </c>
      <c r="C169" s="18" t="s">
        <v>917</v>
      </c>
      <c r="D169" s="18" t="s">
        <v>101</v>
      </c>
      <c r="E169" s="18" t="s">
        <v>63</v>
      </c>
      <c r="F169" s="18" t="s">
        <v>133</v>
      </c>
      <c r="G169" s="45" t="s">
        <v>63</v>
      </c>
      <c r="H169" s="46" t="s">
        <v>918</v>
      </c>
      <c r="I169" s="18"/>
      <c r="J169" s="18" t="s">
        <v>347</v>
      </c>
      <c r="K169" s="18">
        <v>3</v>
      </c>
      <c r="L169" s="18"/>
      <c r="M169" s="18"/>
      <c r="N169" s="18"/>
      <c r="O169" s="18" t="b">
        <f>VLOOKUP(A169,[1]Model!C$2:J$559,2,FALSE)=B169</f>
        <v>1</v>
      </c>
      <c r="P169" s="18" t="e">
        <f>VLOOKUP(A169,Model!C$2:G$228,5,FALSE)=D169</f>
        <v>#N/A</v>
      </c>
      <c r="Q169" s="18">
        <f>VLOOKUP(A169,[2]Model!C$2:L$228,8,FALSE)</f>
        <v>143</v>
      </c>
      <c r="R169" s="18" t="e">
        <f>VLOOKUP(A169,[2]Model!C$2:G$228,3,FALSE)=[3]!Table14[[#This Row],[Business Definition (To go into comments and into Meta Data Hub)]]</f>
        <v>#REF!</v>
      </c>
      <c r="S169" s="18" t="e">
        <f>IF([3]!Table14[[#This Row],[Nullable in Table and in Oracle View
NULL, NOT NULL]]="No","NOT NULL","NULL")=VLOOKUP(A169,[2]Model!C$2:I$228,6,FALSE)</f>
        <v>#REF!</v>
      </c>
      <c r="T169" s="18" t="e">
        <f>VLOOKUP(B169,[2]Table!A$2:F$415,1,FALSE)=[3]!Table14[[#This Row],[Physical Name of Attribute (Name of column in Table)
Supplied by DA Team]]</f>
        <v>#REF!</v>
      </c>
      <c r="U169" s="18" t="b">
        <f>VLOOKUP(B169,Table!A$2:F$319,2,FALSE)=Table1[[#This Row],[Data type in Oracle
VARCHAR2(n), DATE, NUMBER(m,n), TIMETSTAMP(6)]]</f>
        <v>1</v>
      </c>
      <c r="V169" s="18" t="b">
        <f>VLOOKUP(B169,Table!A$2:F$231,3,FALSE)=Table1[[#This Row],[Nullable in Table and in Oracle View
NULL, NOT NULL]]</f>
        <v>1</v>
      </c>
      <c r="W169" s="18" t="b">
        <f>VLOOKUP(B169,Table!A$2:H$228,6,FALSE)=Table1[[#This Row],[Business Definition (To go into comments and into Meta Data Hub)]]</f>
        <v>1</v>
      </c>
      <c r="X169" s="55" t="str">
        <f>VLOOKUP((UPPER(SUBSTITUTE(A169," ","_"))),'[2]Consumer View'!A$2:I$329,1,FALSE)</f>
        <v>SECURITY_PRODUCT_ID</v>
      </c>
      <c r="Y169" s="18" t="s">
        <v>68</v>
      </c>
      <c r="Z169" s="18" t="s">
        <v>375</v>
      </c>
      <c r="AA169" s="18" t="s">
        <v>544</v>
      </c>
      <c r="AB169" s="18"/>
      <c r="AC169" s="18"/>
      <c r="AD169" s="46" t="s">
        <v>913</v>
      </c>
      <c r="AE169" s="46"/>
      <c r="AF169" s="18"/>
      <c r="AG169" s="18"/>
      <c r="AH169" s="18" t="s">
        <v>919</v>
      </c>
    </row>
    <row r="170" spans="1:34" ht="27" hidden="1" customHeight="1">
      <c r="A170" s="51" t="s">
        <v>920</v>
      </c>
      <c r="B170" s="18" t="s">
        <v>921</v>
      </c>
      <c r="C170" s="18"/>
      <c r="D170" s="18" t="s">
        <v>101</v>
      </c>
      <c r="E170" s="18" t="s">
        <v>345</v>
      </c>
      <c r="F170" s="18" t="s">
        <v>133</v>
      </c>
      <c r="G170" s="45" t="s">
        <v>63</v>
      </c>
      <c r="H170" s="46" t="s">
        <v>922</v>
      </c>
      <c r="I170" s="18"/>
      <c r="J170" s="18" t="s">
        <v>347</v>
      </c>
      <c r="K170" s="18">
        <v>3</v>
      </c>
      <c r="L170" s="18"/>
      <c r="M170" s="18"/>
      <c r="N170" s="18"/>
      <c r="O170" s="18" t="b">
        <f>VLOOKUP(A170,[1]Model!C$2:J$559,2,FALSE)=B170</f>
        <v>1</v>
      </c>
      <c r="P170" s="18" t="e">
        <f>VLOOKUP(A170,Model!C$2:G$228,5,FALSE)=D170</f>
        <v>#N/A</v>
      </c>
      <c r="Q170" s="18">
        <f>VLOOKUP(A170,[2]Model!C$2:L$228,8,FALSE)</f>
        <v>1</v>
      </c>
      <c r="R170" s="18" t="e">
        <f>VLOOKUP(A170,[2]Model!C$2:G$228,3,FALSE)=[3]!Table14[[#This Row],[Business Definition (To go into comments and into Meta Data Hub)]]</f>
        <v>#REF!</v>
      </c>
      <c r="S170" s="18" t="e">
        <f>IF([3]!Table14[[#This Row],[Nullable in Table and in Oracle View
NULL, NOT NULL]]="No","NOT NULL","NULL")=VLOOKUP(A170,[2]Model!C$2:I$228,6,FALSE)</f>
        <v>#REF!</v>
      </c>
      <c r="T170" s="18" t="e">
        <f>VLOOKUP(B170,[2]Table!A$2:F$415,1,FALSE)=[3]!Table14[[#This Row],[Physical Name of Attribute (Name of column in Table)
Supplied by DA Team]]</f>
        <v>#REF!</v>
      </c>
      <c r="U170" s="18" t="b">
        <f>VLOOKUP(B170,Table!A$2:F$319,2,FALSE)=Table1[[#This Row],[Data type in Oracle
VARCHAR2(n), DATE, NUMBER(m,n), TIMETSTAMP(6)]]</f>
        <v>1</v>
      </c>
      <c r="V170" s="18" t="b">
        <f>VLOOKUP(B170,Table!A$2:F$231,3,FALSE)=Table1[[#This Row],[Nullable in Table and in Oracle View
NULL, NOT NULL]]</f>
        <v>1</v>
      </c>
      <c r="W170" s="18" t="b">
        <f>VLOOKUP(B170,Table!A$2:H$228,6,FALSE)=Table1[[#This Row],[Business Definition (To go into comments and into Meta Data Hub)]]</f>
        <v>0</v>
      </c>
      <c r="X170" s="55" t="e">
        <f>VLOOKUP((UPPER(SUBSTITUTE(A170," ","_"))),'[2]Consumer View'!A$2:I$329,1,FALSE)</f>
        <v>#N/A</v>
      </c>
      <c r="Y170" s="18" t="s">
        <v>355</v>
      </c>
      <c r="Z170" s="18" t="s">
        <v>548</v>
      </c>
      <c r="AA170" s="18" t="s">
        <v>549</v>
      </c>
      <c r="AB170" s="18"/>
      <c r="AC170" s="18"/>
      <c r="AD170" s="18" t="s">
        <v>923</v>
      </c>
      <c r="AE170" s="46" t="s">
        <v>313</v>
      </c>
      <c r="AF170" s="18"/>
      <c r="AG170" s="18"/>
      <c r="AH170" s="18" t="s">
        <v>351</v>
      </c>
    </row>
    <row r="171" spans="1:34" ht="27" hidden="1" customHeight="1">
      <c r="A171" s="51" t="s">
        <v>924</v>
      </c>
      <c r="B171" s="18" t="s">
        <v>925</v>
      </c>
      <c r="C171" s="18" t="s">
        <v>926</v>
      </c>
      <c r="D171" s="55" t="s">
        <v>927</v>
      </c>
      <c r="E171" s="18" t="s">
        <v>63</v>
      </c>
      <c r="F171" s="18" t="s">
        <v>928</v>
      </c>
      <c r="G171" s="45" t="s">
        <v>63</v>
      </c>
      <c r="H171" s="14" t="s">
        <v>929</v>
      </c>
      <c r="I171" s="18"/>
      <c r="J171" s="18" t="s">
        <v>381</v>
      </c>
      <c r="K171" s="18">
        <v>3</v>
      </c>
      <c r="L171" s="18"/>
      <c r="M171" s="18"/>
      <c r="N171" s="18"/>
      <c r="O171" s="18" t="b">
        <f>VLOOKUP(A171,[1]Model!C$2:J$559,2,FALSE)=B171</f>
        <v>1</v>
      </c>
      <c r="P171" s="18" t="e">
        <f>VLOOKUP(A171,Model!C$2:G$228,5,FALSE)=D171</f>
        <v>#N/A</v>
      </c>
      <c r="Q171" s="18">
        <f>VLOOKUP(A171,[2]Model!C$2:L$228,8,FALSE)</f>
        <v>28</v>
      </c>
      <c r="R171" s="18" t="e">
        <f>VLOOKUP(A171,[2]Model!C$2:G$228,3,FALSE)=[3]!Table14[[#This Row],[Business Definition (To go into comments and into Meta Data Hub)]]</f>
        <v>#REF!</v>
      </c>
      <c r="S171" s="18" t="e">
        <f>IF([3]!Table14[[#This Row],[Nullable in Table and in Oracle View
NULL, NOT NULL]]="No","NOT NULL","NULL")=VLOOKUP(A171,[2]Model!C$2:I$228,6,FALSE)</f>
        <v>#REF!</v>
      </c>
      <c r="T171" s="18" t="e">
        <f>VLOOKUP(B171,[2]Table!A$2:F$415,1,FALSE)=[3]!Table14[[#This Row],[Physical Name of Attribute (Name of column in Table)
Supplied by DA Team]]</f>
        <v>#REF!</v>
      </c>
      <c r="U171" s="18" t="b">
        <f>VLOOKUP(B171,Table!A$2:F$319,2,FALSE)=Table1[[#This Row],[Data type in Oracle
VARCHAR2(n), DATE, NUMBER(m,n), TIMETSTAMP(6)]]</f>
        <v>1</v>
      </c>
      <c r="V171" s="18" t="b">
        <f>VLOOKUP(B171,Table!A$2:F$231,3,FALSE)=Table1[[#This Row],[Nullable in Table and in Oracle View
NULL, NOT NULL]]</f>
        <v>1</v>
      </c>
      <c r="W171" s="18" t="b">
        <f>VLOOKUP(B171,Table!A$2:H$228,6,FALSE)=Table1[[#This Row],[Business Definition (To go into comments and into Meta Data Hub)]]</f>
        <v>1</v>
      </c>
      <c r="X171" s="18" t="str">
        <f>VLOOKUP((UPPER(SUBSTITUTE(A171," ","_"))),'[2]Consumer View'!A$2:I$329,1,FALSE)</f>
        <v>SECURITY_PRICE_IN_TRANSACTION_CURRENCY</v>
      </c>
      <c r="Y171" s="18" t="s">
        <v>68</v>
      </c>
      <c r="Z171" s="18" t="s">
        <v>375</v>
      </c>
      <c r="AA171" s="18" t="s">
        <v>930</v>
      </c>
      <c r="AB171" s="18"/>
      <c r="AC171" s="18"/>
      <c r="AD171" s="18" t="s">
        <v>860</v>
      </c>
      <c r="AE171" s="46"/>
      <c r="AF171" s="18"/>
      <c r="AG171" s="18"/>
      <c r="AH171" s="18" t="s">
        <v>71</v>
      </c>
    </row>
    <row r="172" spans="1:34" ht="27" hidden="1" customHeight="1">
      <c r="A172" s="51" t="s">
        <v>931</v>
      </c>
      <c r="B172" s="18" t="s">
        <v>932</v>
      </c>
      <c r="C172" s="18" t="s">
        <v>933</v>
      </c>
      <c r="D172" s="55" t="s">
        <v>927</v>
      </c>
      <c r="E172" s="18" t="s">
        <v>63</v>
      </c>
      <c r="F172" s="18" t="s">
        <v>928</v>
      </c>
      <c r="G172" s="45" t="s">
        <v>63</v>
      </c>
      <c r="H172" s="14" t="s">
        <v>934</v>
      </c>
      <c r="I172" s="18"/>
      <c r="J172" s="18" t="s">
        <v>381</v>
      </c>
      <c r="K172" s="18">
        <v>3</v>
      </c>
      <c r="L172" s="18"/>
      <c r="M172" s="18"/>
      <c r="N172" s="18"/>
      <c r="O172" s="18" t="b">
        <f>VLOOKUP(A172,[1]Model!C$2:J$559,2,FALSE)=B172</f>
        <v>1</v>
      </c>
      <c r="P172" s="18" t="e">
        <f>VLOOKUP(A172,Model!C$2:G$228,5,FALSE)=D172</f>
        <v>#N/A</v>
      </c>
      <c r="Q172" s="18">
        <f>VLOOKUP(A172,[2]Model!C$2:L$228,8,FALSE)</f>
        <v>32</v>
      </c>
      <c r="R172" s="18" t="e">
        <f>VLOOKUP(A172,[2]Model!C$2:G$228,3,FALSE)=[3]!Table14[[#This Row],[Business Definition (To go into comments and into Meta Data Hub)]]</f>
        <v>#REF!</v>
      </c>
      <c r="S172" s="18" t="e">
        <f>IF([3]!Table14[[#This Row],[Nullable in Table and in Oracle View
NULL, NOT NULL]]="No","NOT NULL","NULL")=VLOOKUP(A172,[2]Model!C$2:I$228,6,FALSE)</f>
        <v>#REF!</v>
      </c>
      <c r="T172" s="18" t="e">
        <f>VLOOKUP(B172,[2]Table!A$2:F$415,1,FALSE)=[3]!Table14[[#This Row],[Physical Name of Attribute (Name of column in Table)
Supplied by DA Team]]</f>
        <v>#REF!</v>
      </c>
      <c r="U172" s="18" t="b">
        <f>VLOOKUP(B172,Table!A$2:F$319,2,FALSE)=Table1[[#This Row],[Data type in Oracle
VARCHAR2(n), DATE, NUMBER(m,n), TIMETSTAMP(6)]]</f>
        <v>1</v>
      </c>
      <c r="V172" s="18" t="b">
        <f>VLOOKUP(B172,Table!A$2:F$231,3,FALSE)=Table1[[#This Row],[Nullable in Table and in Oracle View
NULL, NOT NULL]]</f>
        <v>1</v>
      </c>
      <c r="W172" s="18" t="b">
        <f>VLOOKUP(B172,Table!A$2:H$228,6,FALSE)=Table1[[#This Row],[Business Definition (To go into comments and into Meta Data Hub)]]</f>
        <v>0</v>
      </c>
      <c r="X172" s="55" t="str">
        <f>VLOOKUP((UPPER(SUBSTITUTE(A172," ","_"))),'[2]Consumer View'!A$2:I$329,1,FALSE)</f>
        <v>SECURITY_SOURCE_PRICE_IN_SYSTEM_BASE_CURRENCY</v>
      </c>
      <c r="Y172" s="18" t="s">
        <v>68</v>
      </c>
      <c r="Z172" s="18" t="s">
        <v>375</v>
      </c>
      <c r="AA172" s="18" t="s">
        <v>935</v>
      </c>
      <c r="AB172" s="18"/>
      <c r="AC172" s="18"/>
      <c r="AD172" s="18" t="s">
        <v>860</v>
      </c>
      <c r="AE172" s="46"/>
      <c r="AF172" s="18"/>
      <c r="AG172" s="18"/>
      <c r="AH172" s="18" t="s">
        <v>71</v>
      </c>
    </row>
    <row r="173" spans="1:34" ht="27" hidden="1" customHeight="1">
      <c r="A173" s="51" t="s">
        <v>936</v>
      </c>
      <c r="B173" s="18" t="s">
        <v>937</v>
      </c>
      <c r="C173" s="18" t="s">
        <v>938</v>
      </c>
      <c r="D173" s="55" t="s">
        <v>101</v>
      </c>
      <c r="E173" s="18" t="s">
        <v>63</v>
      </c>
      <c r="F173" s="18" t="s">
        <v>133</v>
      </c>
      <c r="G173" s="45" t="s">
        <v>63</v>
      </c>
      <c r="H173" s="46" t="s">
        <v>939</v>
      </c>
      <c r="I173" s="18"/>
      <c r="J173" s="18" t="s">
        <v>381</v>
      </c>
      <c r="K173" s="18">
        <v>3</v>
      </c>
      <c r="L173" s="18"/>
      <c r="M173" s="18"/>
      <c r="N173" s="18"/>
      <c r="O173" s="18" t="b">
        <f>VLOOKUP(A173,[1]Model!C$2:J$559,2,FALSE)=B173</f>
        <v>1</v>
      </c>
      <c r="P173" s="18" t="e">
        <f>VLOOKUP(A173,Model!C$2:G$228,5,FALSE)=D173</f>
        <v>#N/A</v>
      </c>
      <c r="Q173" s="18">
        <f>VLOOKUP(A173,[2]Model!C$2:L$228,8,FALSE)</f>
        <v>44</v>
      </c>
      <c r="R173" s="18" t="e">
        <f>VLOOKUP(A173,[2]Model!C$2:G$228,3,FALSE)=[3]!Table14[[#This Row],[Business Definition (To go into comments and into Meta Data Hub)]]</f>
        <v>#REF!</v>
      </c>
      <c r="S173" s="18" t="e">
        <f>IF([3]!Table14[[#This Row],[Nullable in Table and in Oracle View
NULL, NOT NULL]]="No","NOT NULL","NULL")=VLOOKUP(A173,[2]Model!C$2:I$228,6,FALSE)</f>
        <v>#REF!</v>
      </c>
      <c r="T173" s="18" t="e">
        <f>VLOOKUP(B173,[2]Table!A$2:F$415,1,FALSE)=[3]!Table14[[#This Row],[Physical Name of Attribute (Name of column in Table)
Supplied by DA Team]]</f>
        <v>#REF!</v>
      </c>
      <c r="U173" s="18" t="b">
        <f>VLOOKUP(B173,Table!A$2:F$319,2,FALSE)=Table1[[#This Row],[Data type in Oracle
VARCHAR2(n), DATE, NUMBER(m,n), TIMETSTAMP(6)]]</f>
        <v>1</v>
      </c>
      <c r="V173" s="18" t="b">
        <f>VLOOKUP(B173,Table!A$2:F$231,3,FALSE)=Table1[[#This Row],[Nullable in Table and in Oracle View
NULL, NOT NULL]]</f>
        <v>1</v>
      </c>
      <c r="W173" s="18" t="b">
        <f>VLOOKUP(B173,Table!A$2:H$228,6,FALSE)=Table1[[#This Row],[Business Definition (To go into comments and into Meta Data Hub)]]</f>
        <v>0</v>
      </c>
      <c r="X173" s="55" t="str">
        <f>VLOOKUP((UPPER(SUBSTITUTE(A173," ","_"))),'[2]Consumer View'!A$2:I$329,1,FALSE)</f>
        <v>SECURITY_SOURCE_SEQUENCE_NUMBER</v>
      </c>
      <c r="Y173" s="18" t="s">
        <v>68</v>
      </c>
      <c r="Z173" s="18" t="s">
        <v>375</v>
      </c>
      <c r="AA173" s="18" t="s">
        <v>555</v>
      </c>
      <c r="AB173" s="18"/>
      <c r="AC173" s="18"/>
      <c r="AD173" s="18" t="s">
        <v>860</v>
      </c>
      <c r="AE173" s="46"/>
      <c r="AF173" s="18"/>
      <c r="AG173" s="18"/>
      <c r="AH173" s="18" t="s">
        <v>71</v>
      </c>
    </row>
    <row r="174" spans="1:34" ht="27" hidden="1" customHeight="1">
      <c r="A174" s="51" t="s">
        <v>940</v>
      </c>
      <c r="B174" s="18" t="s">
        <v>941</v>
      </c>
      <c r="C174" s="18" t="s">
        <v>942</v>
      </c>
      <c r="D174" s="55" t="s">
        <v>559</v>
      </c>
      <c r="E174" s="18" t="s">
        <v>63</v>
      </c>
      <c r="F174" s="18" t="s">
        <v>560</v>
      </c>
      <c r="G174" s="45" t="s">
        <v>63</v>
      </c>
      <c r="H174" s="46" t="s">
        <v>943</v>
      </c>
      <c r="I174" s="18"/>
      <c r="J174" s="18" t="s">
        <v>381</v>
      </c>
      <c r="K174" s="18">
        <v>3</v>
      </c>
      <c r="L174" s="18"/>
      <c r="M174" s="18"/>
      <c r="N174" s="18"/>
      <c r="O174" s="18" t="b">
        <f>VLOOKUP(A174,[1]Model!C$2:J$559,2,FALSE)=B174</f>
        <v>1</v>
      </c>
      <c r="P174" s="18" t="e">
        <f>VLOOKUP(A174,Model!C$2:G$228,5,FALSE)=D174</f>
        <v>#N/A</v>
      </c>
      <c r="Q174" s="18">
        <f>VLOOKUP(A174,[2]Model!C$2:L$228,8,FALSE)</f>
        <v>39</v>
      </c>
      <c r="R174" s="18" t="e">
        <f>VLOOKUP(A174,[2]Model!C$2:G$228,3,FALSE)=[3]!Table14[[#This Row],[Business Definition (To go into comments and into Meta Data Hub)]]</f>
        <v>#REF!</v>
      </c>
      <c r="S174" s="18" t="e">
        <f>IF([3]!Table14[[#This Row],[Nullable in Table and in Oracle View
NULL, NOT NULL]]="No","NOT NULL","NULL")=VLOOKUP(A174,[2]Model!C$2:I$228,6,FALSE)</f>
        <v>#REF!</v>
      </c>
      <c r="T174" s="18" t="e">
        <f>VLOOKUP(B174,[2]Table!A$2:F$415,1,FALSE)=[3]!Table14[[#This Row],[Physical Name of Attribute (Name of column in Table)
Supplied by DA Team]]</f>
        <v>#REF!</v>
      </c>
      <c r="U174" s="18" t="b">
        <f>VLOOKUP(B174,Table!A$2:F$319,2,FALSE)=Table1[[#This Row],[Data type in Oracle
VARCHAR2(n), DATE, NUMBER(m,n), TIMETSTAMP(6)]]</f>
        <v>1</v>
      </c>
      <c r="V174" s="18" t="b">
        <f>VLOOKUP(B174,Table!A$2:F$231,3,FALSE)=Table1[[#This Row],[Nullable in Table and in Oracle View
NULL, NOT NULL]]</f>
        <v>1</v>
      </c>
      <c r="W174" s="18" t="b">
        <f>VLOOKUP(B174,Table!A$2:H$228,6,FALSE)=Table1[[#This Row],[Business Definition (To go into comments and into Meta Data Hub)]]</f>
        <v>0</v>
      </c>
      <c r="X174" s="55" t="str">
        <f>VLOOKUP((UPPER(SUBSTITUTE(A174," ","_"))),'[2]Consumer View'!A$2:I$329,1,FALSE)</f>
        <v>SECURITY_SYSTEM_BASE_CURRENCY_AMOUNT</v>
      </c>
      <c r="Y174" s="18" t="s">
        <v>68</v>
      </c>
      <c r="Z174" s="18" t="s">
        <v>375</v>
      </c>
      <c r="AA174" s="18" t="s">
        <v>562</v>
      </c>
      <c r="AB174" s="18"/>
      <c r="AC174" s="18"/>
      <c r="AD174" s="18" t="s">
        <v>860</v>
      </c>
      <c r="AE174" s="46"/>
      <c r="AF174" s="18"/>
      <c r="AG174" s="18"/>
      <c r="AH174" s="18" t="s">
        <v>71</v>
      </c>
    </row>
    <row r="175" spans="1:34" ht="27" hidden="1" customHeight="1">
      <c r="A175" s="51" t="s">
        <v>944</v>
      </c>
      <c r="B175" s="18" t="s">
        <v>945</v>
      </c>
      <c r="C175" s="18" t="s">
        <v>946</v>
      </c>
      <c r="D175" s="55" t="s">
        <v>559</v>
      </c>
      <c r="E175" s="18" t="s">
        <v>63</v>
      </c>
      <c r="F175" s="18" t="s">
        <v>560</v>
      </c>
      <c r="G175" s="45" t="s">
        <v>63</v>
      </c>
      <c r="H175" s="46" t="s">
        <v>947</v>
      </c>
      <c r="I175" s="18"/>
      <c r="J175" s="18" t="s">
        <v>381</v>
      </c>
      <c r="K175" s="18">
        <v>3</v>
      </c>
      <c r="L175" s="18"/>
      <c r="M175" s="18"/>
      <c r="N175" s="18"/>
      <c r="O175" s="18" t="b">
        <f>VLOOKUP(A175,[1]Model!C$2:J$559,2,FALSE)=B175</f>
        <v>1</v>
      </c>
      <c r="P175" s="18" t="e">
        <f>VLOOKUP(A175,Model!C$2:G$228,5,FALSE)=D175</f>
        <v>#N/A</v>
      </c>
      <c r="Q175" s="18">
        <f>VLOOKUP(A175,[2]Model!C$2:L$228,8,FALSE)</f>
        <v>29</v>
      </c>
      <c r="R175" s="18" t="e">
        <f>VLOOKUP(A175,[2]Model!C$2:G$228,3,FALSE)=[3]!Table14[[#This Row],[Business Definition (To go into comments and into Meta Data Hub)]]</f>
        <v>#REF!</v>
      </c>
      <c r="S175" s="18" t="e">
        <f>IF([3]!Table14[[#This Row],[Nullable in Table and in Oracle View
NULL, NOT NULL]]="No","NOT NULL","NULL")=VLOOKUP(A175,[2]Model!C$2:I$228,6,FALSE)</f>
        <v>#REF!</v>
      </c>
      <c r="T175" s="18" t="e">
        <f>VLOOKUP(B175,[2]Table!A$2:F$415,1,FALSE)=[3]!Table14[[#This Row],[Physical Name of Attribute (Name of column in Table)
Supplied by DA Team]]</f>
        <v>#REF!</v>
      </c>
      <c r="U175" s="18" t="b">
        <f>VLOOKUP(B175,Table!A$2:F$319,2,FALSE)=Table1[[#This Row],[Data type in Oracle
VARCHAR2(n), DATE, NUMBER(m,n), TIMETSTAMP(6)]]</f>
        <v>1</v>
      </c>
      <c r="V175" s="18" t="b">
        <f>VLOOKUP(B175,Table!A$2:F$231,3,FALSE)=Table1[[#This Row],[Nullable in Table and in Oracle View
NULL, NOT NULL]]</f>
        <v>1</v>
      </c>
      <c r="W175" s="18" t="b">
        <f>VLOOKUP(B175,Table!A$2:H$228,6,FALSE)=Table1[[#This Row],[Business Definition (To go into comments and into Meta Data Hub)]]</f>
        <v>0</v>
      </c>
      <c r="X175" s="55" t="str">
        <f>VLOOKUP((UPPER(SUBSTITUTE(A175," ","_"))),'[2]Consumer View'!A$2:I$329,1,FALSE)</f>
        <v>SECURITY_TRANSACTION_AMOUNT</v>
      </c>
      <c r="Y175" s="18" t="s">
        <v>68</v>
      </c>
      <c r="Z175" s="18" t="s">
        <v>375</v>
      </c>
      <c r="AA175" s="18" t="s">
        <v>568</v>
      </c>
      <c r="AB175" s="18"/>
      <c r="AC175" s="18"/>
      <c r="AD175" s="18" t="s">
        <v>860</v>
      </c>
      <c r="AE175" s="46"/>
      <c r="AF175" s="18"/>
      <c r="AG175" s="18"/>
      <c r="AH175" s="18" t="s">
        <v>71</v>
      </c>
    </row>
    <row r="176" spans="1:34" ht="27" hidden="1" customHeight="1">
      <c r="A176" s="51" t="s">
        <v>948</v>
      </c>
      <c r="B176" s="18" t="s">
        <v>949</v>
      </c>
      <c r="C176" s="18" t="s">
        <v>950</v>
      </c>
      <c r="D176" s="18" t="s">
        <v>157</v>
      </c>
      <c r="E176" s="18" t="s">
        <v>63</v>
      </c>
      <c r="F176" s="18" t="s">
        <v>158</v>
      </c>
      <c r="G176" s="45" t="s">
        <v>63</v>
      </c>
      <c r="H176" s="46" t="s">
        <v>951</v>
      </c>
      <c r="I176" s="18"/>
      <c r="J176" s="18" t="s">
        <v>347</v>
      </c>
      <c r="K176" s="18">
        <v>3</v>
      </c>
      <c r="L176" s="18"/>
      <c r="M176" s="18"/>
      <c r="N176" s="18"/>
      <c r="O176" s="18" t="b">
        <f>VLOOKUP(A176,[1]Model!C$2:J$559,2,FALSE)=B176</f>
        <v>1</v>
      </c>
      <c r="P176" s="18" t="e">
        <f>VLOOKUP(A176,Model!C$2:G$228,5,FALSE)=D176</f>
        <v>#N/A</v>
      </c>
      <c r="Q176" s="18">
        <f>VLOOKUP(A176,[2]Model!C$2:L$228,8,FALSE)</f>
        <v>20</v>
      </c>
      <c r="R176" s="18" t="e">
        <f>VLOOKUP(A176,[2]Model!C$2:G$228,3,FALSE)=[3]!Table14[[#This Row],[Business Definition (To go into comments and into Meta Data Hub)]]</f>
        <v>#REF!</v>
      </c>
      <c r="S176" s="18" t="e">
        <f>IF([3]!Table14[[#This Row],[Nullable in Table and in Oracle View
NULL, NOT NULL]]="No","NOT NULL","NULL")=VLOOKUP(A176,[2]Model!C$2:I$228,6,FALSE)</f>
        <v>#REF!</v>
      </c>
      <c r="T176" s="18" t="e">
        <f>VLOOKUP(B176,[2]Table!A$2:F$415,1,FALSE)=[3]!Table14[[#This Row],[Physical Name of Attribute (Name of column in Table)
Supplied by DA Team]]</f>
        <v>#REF!</v>
      </c>
      <c r="U176" s="18" t="b">
        <f>VLOOKUP(B176,Table!A$2:F$319,2,FALSE)=Table1[[#This Row],[Data type in Oracle
VARCHAR2(n), DATE, NUMBER(m,n), TIMETSTAMP(6)]]</f>
        <v>1</v>
      </c>
      <c r="V176" s="18" t="b">
        <f>VLOOKUP(B176,Table!A$2:F$231,3,FALSE)=Table1[[#This Row],[Nullable in Table and in Oracle View
NULL, NOT NULL]]</f>
        <v>1</v>
      </c>
      <c r="W176" s="18" t="b">
        <f>VLOOKUP(B176,Table!A$2:H$228,6,FALSE)=Table1[[#This Row],[Business Definition (To go into comments and into Meta Data Hub)]]</f>
        <v>1</v>
      </c>
      <c r="X176" s="55" t="str">
        <f>VLOOKUP((UPPER(SUBSTITUTE(A176," ","_"))),'[2]Consumer View'!A$2:I$329,1,FALSE)</f>
        <v>SETTLEMENT_DATE</v>
      </c>
      <c r="Y176" s="18" t="s">
        <v>68</v>
      </c>
      <c r="Z176" s="18" t="s">
        <v>69</v>
      </c>
      <c r="AA176" s="18" t="s">
        <v>949</v>
      </c>
      <c r="AB176" s="18"/>
      <c r="AC176" s="18"/>
      <c r="AD176" s="18"/>
      <c r="AE176" s="46"/>
      <c r="AF176" s="18"/>
      <c r="AG176" s="18"/>
      <c r="AH176" s="18" t="s">
        <v>71</v>
      </c>
    </row>
    <row r="177" spans="1:34" ht="27" hidden="1" customHeight="1">
      <c r="A177" s="51" t="s">
        <v>952</v>
      </c>
      <c r="B177" s="18" t="s">
        <v>953</v>
      </c>
      <c r="C177" s="18"/>
      <c r="D177" s="18" t="s">
        <v>101</v>
      </c>
      <c r="E177" s="18" t="s">
        <v>345</v>
      </c>
      <c r="F177" s="18" t="s">
        <v>133</v>
      </c>
      <c r="G177" s="45" t="s">
        <v>63</v>
      </c>
      <c r="H177" s="46" t="s">
        <v>954</v>
      </c>
      <c r="I177" s="18"/>
      <c r="J177" s="18" t="s">
        <v>347</v>
      </c>
      <c r="K177" s="18">
        <v>3</v>
      </c>
      <c r="L177" s="18"/>
      <c r="M177" s="18"/>
      <c r="N177" s="18"/>
      <c r="O177" s="18" t="b">
        <f>VLOOKUP(A177,[1]Model!C$2:J$559,2,FALSE)=B177</f>
        <v>1</v>
      </c>
      <c r="P177" s="18" t="e">
        <f>VLOOKUP(A177,Model!C$2:G$228,5,FALSE)=D177</f>
        <v>#N/A</v>
      </c>
      <c r="Q177" s="18">
        <f>VLOOKUP(A177,[2]Model!C$2:L$228,8,FALSE)</f>
        <v>17</v>
      </c>
      <c r="R177" s="18" t="e">
        <f>VLOOKUP(A177,[2]Model!C$2:G$228,3,FALSE)=[3]!Table14[[#This Row],[Business Definition (To go into comments and into Meta Data Hub)]]</f>
        <v>#REF!</v>
      </c>
      <c r="S177" s="18" t="e">
        <f>IF([3]!Table14[[#This Row],[Nullable in Table and in Oracle View
NULL, NOT NULL]]="No","NOT NULL","NULL")=VLOOKUP(A177,[2]Model!C$2:I$228,6,FALSE)</f>
        <v>#REF!</v>
      </c>
      <c r="T177" s="18" t="e">
        <f>VLOOKUP(B177,[2]Table!A$2:F$415,1,FALSE)=[3]!Table14[[#This Row],[Physical Name of Attribute (Name of column in Table)
Supplied by DA Team]]</f>
        <v>#REF!</v>
      </c>
      <c r="U177" s="18" t="b">
        <f>VLOOKUP(B177,Table!A$2:F$319,2,FALSE)=Table1[[#This Row],[Data type in Oracle
VARCHAR2(n), DATE, NUMBER(m,n), TIMETSTAMP(6)]]</f>
        <v>1</v>
      </c>
      <c r="V177" s="18" t="b">
        <f>VLOOKUP(B177,Table!A$2:F$231,3,FALSE)=Table1[[#This Row],[Nullable in Table and in Oracle View
NULL, NOT NULL]]</f>
        <v>1</v>
      </c>
      <c r="W177" s="18" t="b">
        <f>VLOOKUP(B177,Table!A$2:H$228,6,FALSE)=Table1[[#This Row],[Business Definition (To go into comments and into Meta Data Hub)]]</f>
        <v>1</v>
      </c>
      <c r="X177" s="55" t="str">
        <f>VLOOKUP((UPPER(SUBSTITUTE(A177," ","_"))),'[2]Consumer View'!A$2:I$329,1,FALSE)</f>
        <v>SETTLEMENT_DATE_DIMENSION_ID</v>
      </c>
      <c r="Y177" s="18" t="s">
        <v>262</v>
      </c>
      <c r="Z177" s="18" t="s">
        <v>348</v>
      </c>
      <c r="AA177" s="18" t="s">
        <v>349</v>
      </c>
      <c r="AB177" s="18"/>
      <c r="AC177" s="18"/>
      <c r="AD177" s="18" t="s">
        <v>955</v>
      </c>
      <c r="AE177" s="46"/>
      <c r="AF177" s="18"/>
      <c r="AG177" s="18"/>
      <c r="AH177" s="18" t="s">
        <v>351</v>
      </c>
    </row>
    <row r="178" spans="1:34" ht="27" hidden="1" customHeight="1">
      <c r="A178" s="51" t="s">
        <v>956</v>
      </c>
      <c r="B178" s="18" t="s">
        <v>957</v>
      </c>
      <c r="C178" s="18" t="s">
        <v>958</v>
      </c>
      <c r="D178" s="18" t="s">
        <v>62</v>
      </c>
      <c r="E178" s="18" t="s">
        <v>63</v>
      </c>
      <c r="F178" s="18" t="s">
        <v>64</v>
      </c>
      <c r="G178" s="45" t="s">
        <v>63</v>
      </c>
      <c r="H178" s="46" t="s">
        <v>959</v>
      </c>
      <c r="I178" s="18"/>
      <c r="J178" s="18" t="s">
        <v>347</v>
      </c>
      <c r="K178" s="18">
        <v>3</v>
      </c>
      <c r="L178" s="18"/>
      <c r="M178" s="18"/>
      <c r="N178" s="18"/>
      <c r="O178" s="18" t="b">
        <f>VLOOKUP(A178,[1]Model!C$2:J$559,2,FALSE)=B178</f>
        <v>1</v>
      </c>
      <c r="P178" s="18" t="e">
        <f>VLOOKUP(A178,Model!C$2:G$228,5,FALSE)=D178</f>
        <v>#N/A</v>
      </c>
      <c r="Q178" s="18">
        <f>VLOOKUP(A178,[2]Model!C$2:L$228,8,FALSE)</f>
        <v>134</v>
      </c>
      <c r="R178" s="18" t="e">
        <f>VLOOKUP(A178,[2]Model!C$2:G$228,3,FALSE)=[3]!Table14[[#This Row],[Business Definition (To go into comments and into Meta Data Hub)]]</f>
        <v>#REF!</v>
      </c>
      <c r="S178" s="18" t="e">
        <f>IF([3]!Table14[[#This Row],[Nullable in Table and in Oracle View
NULL, NOT NULL]]="No","NOT NULL","NULL")=VLOOKUP(A178,[2]Model!C$2:I$228,6,FALSE)</f>
        <v>#REF!</v>
      </c>
      <c r="T178" s="18" t="e">
        <f>VLOOKUP(B178,[2]Table!A$2:F$415,1,FALSE)=[3]!Table14[[#This Row],[Physical Name of Attribute (Name of column in Table)
Supplied by DA Team]]</f>
        <v>#REF!</v>
      </c>
      <c r="U178" s="18" t="b">
        <f>VLOOKUP(B178,Table!A$2:F$319,2,FALSE)=Table1[[#This Row],[Data type in Oracle
VARCHAR2(n), DATE, NUMBER(m,n), TIMETSTAMP(6)]]</f>
        <v>0</v>
      </c>
      <c r="V178" s="18" t="b">
        <f>VLOOKUP(B178,Table!A$2:F$231,3,FALSE)=Table1[[#This Row],[Nullable in Table and in Oracle View
NULL, NOT NULL]]</f>
        <v>1</v>
      </c>
      <c r="W178" s="18" t="b">
        <f>VLOOKUP(B178,Table!A$2:H$228,6,FALSE)=Table1[[#This Row],[Business Definition (To go into comments and into Meta Data Hub)]]</f>
        <v>1</v>
      </c>
      <c r="X178" s="55" t="str">
        <f>VLOOKUP((UPPER(SUBSTITUTE(A178," ","_"))),'[2]Consumer View'!A$2:I$329,1,FALSE)</f>
        <v>SOURCE_CREATE_USER_NAME</v>
      </c>
      <c r="Y178" s="18" t="s">
        <v>68</v>
      </c>
      <c r="Z178" s="18" t="s">
        <v>69</v>
      </c>
      <c r="AA178" s="18" t="s">
        <v>957</v>
      </c>
      <c r="AB178" s="18"/>
      <c r="AC178" s="18"/>
      <c r="AD178" s="18"/>
      <c r="AE178" s="46"/>
      <c r="AF178" s="18"/>
      <c r="AG178" s="18"/>
      <c r="AH178" s="18" t="s">
        <v>71</v>
      </c>
    </row>
    <row r="179" spans="1:34" ht="27" hidden="1" customHeight="1">
      <c r="A179" s="51" t="s">
        <v>960</v>
      </c>
      <c r="B179" s="18" t="s">
        <v>961</v>
      </c>
      <c r="C179" s="18" t="s">
        <v>962</v>
      </c>
      <c r="D179" s="18" t="s">
        <v>157</v>
      </c>
      <c r="E179" s="18" t="s">
        <v>63</v>
      </c>
      <c r="F179" s="18" t="s">
        <v>158</v>
      </c>
      <c r="G179" s="45" t="s">
        <v>63</v>
      </c>
      <c r="H179" s="46" t="s">
        <v>963</v>
      </c>
      <c r="I179" s="18"/>
      <c r="J179" s="18" t="s">
        <v>347</v>
      </c>
      <c r="K179" s="18">
        <v>3</v>
      </c>
      <c r="L179" s="18"/>
      <c r="M179" s="18"/>
      <c r="N179" s="18"/>
      <c r="O179" s="18" t="b">
        <f>VLOOKUP(A179,[1]Model!C$2:J$559,2,FALSE)=B179</f>
        <v>1</v>
      </c>
      <c r="P179" s="18" t="e">
        <f>VLOOKUP(A179,Model!C$2:G$228,5,FALSE)=D179</f>
        <v>#N/A</v>
      </c>
      <c r="Q179" s="18">
        <f>VLOOKUP(A179,[2]Model!C$2:L$228,8,FALSE)</f>
        <v>135</v>
      </c>
      <c r="R179" s="18" t="e">
        <f>VLOOKUP(A179,[2]Model!C$2:G$228,3,FALSE)=[3]!Table14[[#This Row],[Business Definition (To go into comments and into Meta Data Hub)]]</f>
        <v>#REF!</v>
      </c>
      <c r="S179" s="18" t="e">
        <f>IF([3]!Table14[[#This Row],[Nullable in Table and in Oracle View
NULL, NOT NULL]]="No","NOT NULL","NULL")=VLOOKUP(A179,[2]Model!C$2:I$228,6,FALSE)</f>
        <v>#REF!</v>
      </c>
      <c r="T179" s="18" t="e">
        <f>VLOOKUP(B179,[2]Table!A$2:F$415,1,FALSE)=[3]!Table14[[#This Row],[Physical Name of Attribute (Name of column in Table)
Supplied by DA Team]]</f>
        <v>#REF!</v>
      </c>
      <c r="U179" s="18" t="b">
        <f>VLOOKUP(B179,Table!A$2:F$319,2,FALSE)=Table1[[#This Row],[Data type in Oracle
VARCHAR2(n), DATE, NUMBER(m,n), TIMETSTAMP(6)]]</f>
        <v>1</v>
      </c>
      <c r="V179" s="18" t="b">
        <f>VLOOKUP(B179,Table!A$2:F$231,3,FALSE)=Table1[[#This Row],[Nullable in Table and in Oracle View
NULL, NOT NULL]]</f>
        <v>1</v>
      </c>
      <c r="W179" s="18" t="b">
        <f>VLOOKUP(B179,Table!A$2:H$228,6,FALSE)=Table1[[#This Row],[Business Definition (To go into comments and into Meta Data Hub)]]</f>
        <v>1</v>
      </c>
      <c r="X179" s="55" t="str">
        <f>VLOOKUP((UPPER(SUBSTITUTE(A179," ","_"))),'[2]Consumer View'!A$2:I$329,1,FALSE)</f>
        <v>SOURCE_EFFECTIVE_DATE</v>
      </c>
      <c r="Y179" s="18" t="s">
        <v>68</v>
      </c>
      <c r="Z179" s="18" t="s">
        <v>375</v>
      </c>
      <c r="AA179" s="18" t="s">
        <v>961</v>
      </c>
      <c r="AB179" s="18"/>
      <c r="AC179" s="18"/>
      <c r="AD179" s="46" t="s">
        <v>964</v>
      </c>
      <c r="AE179" s="46"/>
      <c r="AF179" s="18"/>
      <c r="AG179" s="18"/>
      <c r="AH179" s="18" t="s">
        <v>71</v>
      </c>
    </row>
    <row r="180" spans="1:34" ht="27" hidden="1" customHeight="1">
      <c r="A180" s="51" t="s">
        <v>965</v>
      </c>
      <c r="B180" s="18" t="s">
        <v>966</v>
      </c>
      <c r="C180" s="18" t="s">
        <v>967</v>
      </c>
      <c r="D180" s="18" t="s">
        <v>139</v>
      </c>
      <c r="E180" s="18" t="s">
        <v>63</v>
      </c>
      <c r="F180" s="18" t="s">
        <v>140</v>
      </c>
      <c r="G180" s="45" t="s">
        <v>63</v>
      </c>
      <c r="H180" s="46" t="s">
        <v>968</v>
      </c>
      <c r="I180" s="18"/>
      <c r="J180" s="18" t="s">
        <v>347</v>
      </c>
      <c r="K180" s="18">
        <v>3</v>
      </c>
      <c r="L180" s="18"/>
      <c r="M180" s="18"/>
      <c r="N180" s="18"/>
      <c r="O180" s="18" t="b">
        <f>VLOOKUP(A180,[1]Model!C$2:J$559,2,FALSE)=B180</f>
        <v>1</v>
      </c>
      <c r="P180" s="18" t="e">
        <f>VLOOKUP(A180,Model!C$2:G$228,5,FALSE)=D180</f>
        <v>#N/A</v>
      </c>
      <c r="Q180" s="18">
        <f>VLOOKUP(A180,[2]Model!C$2:L$228,8,FALSE)</f>
        <v>136</v>
      </c>
      <c r="R180" s="18" t="e">
        <f>VLOOKUP(A180,[2]Model!C$2:G$228,3,FALSE)=[3]!Table14[[#This Row],[Business Definition (To go into comments and into Meta Data Hub)]]</f>
        <v>#VALUE!</v>
      </c>
      <c r="S180" s="18" t="e">
        <f>IF([3]!Table14[[#This Row],[Nullable in Table and in Oracle View
NULL, NOT NULL]]="No","NOT NULL","NULL")=VLOOKUP(A180,[2]Model!C$2:I$228,6,FALSE)</f>
        <v>#REF!</v>
      </c>
      <c r="T180" s="18" t="e">
        <f>VLOOKUP(B180,[2]Table!A$2:F$415,1,FALSE)=[3]!Table14[[#This Row],[Physical Name of Attribute (Name of column in Table)
Supplied by DA Team]]</f>
        <v>#REF!</v>
      </c>
      <c r="U180" s="18" t="b">
        <f>VLOOKUP(B180,Table!A$2:F$319,2,FALSE)=Table1[[#This Row],[Data type in Oracle
VARCHAR2(n), DATE, NUMBER(m,n), TIMETSTAMP(6)]]</f>
        <v>0</v>
      </c>
      <c r="V180" s="18" t="b">
        <f>VLOOKUP(B180,Table!A$2:F$231,3,FALSE)=Table1[[#This Row],[Nullable in Table and in Oracle View
NULL, NOT NULL]]</f>
        <v>1</v>
      </c>
      <c r="W180" s="18" t="b">
        <f>VLOOKUP(B180,Table!A$2:H$228,6,FALSE)=Table1[[#This Row],[Business Definition (To go into comments and into Meta Data Hub)]]</f>
        <v>1</v>
      </c>
      <c r="X180" s="55" t="str">
        <f>VLOOKUP((UPPER(SUBSTITUTE(A180," ","_"))),'[2]Consumer View'!A$2:I$329,1,FALSE)</f>
        <v>SOURCE_ENTRY_CHANNEL_TYPE_CODE</v>
      </c>
      <c r="Y180" s="18" t="s">
        <v>8</v>
      </c>
      <c r="Z180" s="18" t="s">
        <v>969</v>
      </c>
      <c r="AA180" s="18" t="s">
        <v>966</v>
      </c>
      <c r="AB180" s="18"/>
      <c r="AC180" s="18"/>
      <c r="AD180" s="18" t="s">
        <v>970</v>
      </c>
      <c r="AE180" s="46"/>
      <c r="AF180" s="18"/>
      <c r="AG180" s="18"/>
      <c r="AH180" s="18" t="s">
        <v>971</v>
      </c>
    </row>
    <row r="181" spans="1:34" ht="27" hidden="1" customHeight="1">
      <c r="A181" s="51" t="s">
        <v>972</v>
      </c>
      <c r="B181" s="18" t="s">
        <v>973</v>
      </c>
      <c r="C181" s="18"/>
      <c r="D181" s="18" t="s">
        <v>101</v>
      </c>
      <c r="E181" s="18" t="s">
        <v>345</v>
      </c>
      <c r="F181" s="18" t="s">
        <v>133</v>
      </c>
      <c r="G181" s="45" t="s">
        <v>63</v>
      </c>
      <c r="H181" s="46" t="s">
        <v>974</v>
      </c>
      <c r="I181" s="18"/>
      <c r="J181" s="18" t="s">
        <v>347</v>
      </c>
      <c r="K181" s="18">
        <v>3</v>
      </c>
      <c r="L181" s="18"/>
      <c r="M181" s="18"/>
      <c r="N181" s="18"/>
      <c r="O181" s="18" t="b">
        <f>VLOOKUP(A181,[1]Model!C$2:J$559,2,FALSE)=B181</f>
        <v>1</v>
      </c>
      <c r="P181" s="18" t="e">
        <f>VLOOKUP(A181,Model!C$2:G$228,5,FALSE)=D181</f>
        <v>#N/A</v>
      </c>
      <c r="Q181" s="18">
        <f>VLOOKUP(A181,[2]Model!C$2:L$228,8,FALSE)</f>
        <v>12</v>
      </c>
      <c r="R181" s="18" t="e">
        <f>VLOOKUP(A181,[2]Model!C$2:G$228,3,FALSE)=[3]!Table14[[#This Row],[Business Definition (To go into comments and into Meta Data Hub)]]</f>
        <v>#REF!</v>
      </c>
      <c r="S181" s="18" t="e">
        <f>IF([3]!Table14[[#This Row],[Nullable in Table and in Oracle View
NULL, NOT NULL]]="No","NOT NULL","NULL")=VLOOKUP(A181,[2]Model!C$2:I$228,6,FALSE)</f>
        <v>#REF!</v>
      </c>
      <c r="T181" s="18" t="e">
        <f>VLOOKUP(B181,[2]Table!A$2:F$415,1,FALSE)=[3]!Table14[[#This Row],[Physical Name of Attribute (Name of column in Table)
Supplied by DA Team]]</f>
        <v>#REF!</v>
      </c>
      <c r="U181" s="18" t="b">
        <f>VLOOKUP(B181,Table!A$2:F$319,2,FALSE)=Table1[[#This Row],[Data type in Oracle
VARCHAR2(n), DATE, NUMBER(m,n), TIMETSTAMP(6)]]</f>
        <v>1</v>
      </c>
      <c r="V181" s="18" t="b">
        <f>VLOOKUP(B181,Table!A$2:F$231,3,FALSE)=Table1[[#This Row],[Nullable in Table and in Oracle View
NULL, NOT NULL]]</f>
        <v>1</v>
      </c>
      <c r="W181" s="18" t="b">
        <f>VLOOKUP(B181,Table!A$2:H$228,6,FALSE)=Table1[[#This Row],[Business Definition (To go into comments and into Meta Data Hub)]]</f>
        <v>1</v>
      </c>
      <c r="X181" s="18" t="str">
        <f>VLOOKUP((UPPER(SUBSTITUTE(A181," ","_"))),'[2]Consumer View'!A$2:I$329,1,FALSE)</f>
        <v>SOURCE_ENTRY_CHANNEL_TYPE_DIMENSION_ID</v>
      </c>
      <c r="Y181" s="18" t="s">
        <v>8</v>
      </c>
      <c r="Z181" s="18" t="s">
        <v>969</v>
      </c>
      <c r="AA181" s="18" t="s">
        <v>973</v>
      </c>
      <c r="AB181" s="18"/>
      <c r="AC181" s="18"/>
      <c r="AD181" s="18" t="s">
        <v>970</v>
      </c>
      <c r="AE181" s="46"/>
      <c r="AF181" s="18"/>
      <c r="AG181" s="18"/>
      <c r="AH181" s="18" t="s">
        <v>351</v>
      </c>
    </row>
    <row r="182" spans="1:34" ht="27" hidden="1" customHeight="1">
      <c r="A182" s="51" t="s">
        <v>975</v>
      </c>
      <c r="B182" s="18" t="s">
        <v>976</v>
      </c>
      <c r="C182" s="18" t="s">
        <v>977</v>
      </c>
      <c r="D182" s="18" t="s">
        <v>109</v>
      </c>
      <c r="E182" s="18" t="s">
        <v>63</v>
      </c>
      <c r="F182" s="18" t="s">
        <v>110</v>
      </c>
      <c r="G182" s="45" t="s">
        <v>63</v>
      </c>
      <c r="H182" s="46" t="s">
        <v>978</v>
      </c>
      <c r="I182" s="18"/>
      <c r="J182" s="18" t="s">
        <v>347</v>
      </c>
      <c r="K182" s="18">
        <v>3</v>
      </c>
      <c r="L182" s="18"/>
      <c r="M182" s="18"/>
      <c r="N182" s="18"/>
      <c r="O182" s="18" t="b">
        <f>VLOOKUP(A182,[1]Model!C$2:J$559,2,FALSE)=B182</f>
        <v>1</v>
      </c>
      <c r="P182" s="18" t="e">
        <f>VLOOKUP(A182,Model!C$2:G$228,5,FALSE)=D182</f>
        <v>#N/A</v>
      </c>
      <c r="Q182" s="18">
        <f>VLOOKUP(A182,[2]Model!C$2:L$228,8,FALSE)</f>
        <v>137</v>
      </c>
      <c r="R182" s="18" t="e">
        <f>VLOOKUP(A182,[2]Model!C$2:G$228,3,FALSE)=[3]!Table14[[#This Row],[Business Definition (To go into comments and into Meta Data Hub)]]</f>
        <v>#VALUE!</v>
      </c>
      <c r="S182" s="18" t="e">
        <f>IF([3]!Table14[[#This Row],[Nullable in Table and in Oracle View
NULL, NOT NULL]]="No","NOT NULL","NULL")=VLOOKUP(A182,[2]Model!C$2:I$228,6,FALSE)</f>
        <v>#REF!</v>
      </c>
      <c r="T182" s="18" t="e">
        <f>VLOOKUP(B182,[2]Table!A$2:F$415,1,FALSE)=[3]!Table14[[#This Row],[Physical Name of Attribute (Name of column in Table)
Supplied by DA Team]]</f>
        <v>#REF!</v>
      </c>
      <c r="U182" s="18" t="b">
        <f>VLOOKUP(B182,Table!A$2:F$319,2,FALSE)=Table1[[#This Row],[Data type in Oracle
VARCHAR2(n), DATE, NUMBER(m,n), TIMETSTAMP(6)]]</f>
        <v>0</v>
      </c>
      <c r="V182" s="18" t="b">
        <f>VLOOKUP(B182,Table!A$2:F$231,3,FALSE)=Table1[[#This Row],[Nullable in Table and in Oracle View
NULL, NOT NULL]]</f>
        <v>1</v>
      </c>
      <c r="W182" s="18" t="b">
        <f>VLOOKUP(B182,Table!A$2:H$228,6,FALSE)=Table1[[#This Row],[Business Definition (To go into comments and into Meta Data Hub)]]</f>
        <v>1</v>
      </c>
      <c r="X182" s="55" t="str">
        <f>VLOOKUP((UPPER(SUBSTITUTE(A182," ","_"))),'[2]Consumer View'!A$2:I$329,1,FALSE)</f>
        <v>SOURCE_ENTRY_CHANNEL_TYPE_NAME</v>
      </c>
      <c r="Y182" s="18" t="s">
        <v>8</v>
      </c>
      <c r="Z182" s="18" t="s">
        <v>969</v>
      </c>
      <c r="AA182" s="18" t="s">
        <v>976</v>
      </c>
      <c r="AB182" s="18"/>
      <c r="AC182" s="18"/>
      <c r="AD182" s="18" t="s">
        <v>970</v>
      </c>
      <c r="AE182" s="46"/>
      <c r="AF182" s="18"/>
      <c r="AG182" s="18"/>
      <c r="AH182" s="18" t="s">
        <v>971</v>
      </c>
    </row>
    <row r="183" spans="1:34" ht="27" hidden="1" customHeight="1">
      <c r="A183" s="51" t="s">
        <v>979</v>
      </c>
      <c r="B183" s="18" t="s">
        <v>980</v>
      </c>
      <c r="C183" s="18"/>
      <c r="D183" s="18" t="s">
        <v>101</v>
      </c>
      <c r="E183" s="18" t="s">
        <v>63</v>
      </c>
      <c r="F183" s="18" t="s">
        <v>133</v>
      </c>
      <c r="G183" s="45" t="s">
        <v>63</v>
      </c>
      <c r="H183" s="46" t="s">
        <v>981</v>
      </c>
      <c r="I183" s="18"/>
      <c r="J183" s="18" t="s">
        <v>67</v>
      </c>
      <c r="K183" s="18">
        <v>3</v>
      </c>
      <c r="L183" s="18"/>
      <c r="M183" s="18"/>
      <c r="N183" s="18"/>
      <c r="O183" s="18" t="b">
        <f>VLOOKUP(A183,[1]Model!C$2:J$559,2,FALSE)=B183</f>
        <v>1</v>
      </c>
      <c r="P183" s="18" t="e">
        <f>VLOOKUP(A183,Model!C$2:G$228,5,FALSE)=D183</f>
        <v>#N/A</v>
      </c>
      <c r="Q183" s="18">
        <f>VLOOKUP(A183,[2]Model!C$2:L$228,8,FALSE)</f>
        <v>208</v>
      </c>
      <c r="R183" s="18" t="e">
        <f>VLOOKUP(A183,[2]Model!C$2:G$228,3,FALSE)=[3]!Table14[[#This Row],[Business Definition (To go into comments and into Meta Data Hub)]]</f>
        <v>#REF!</v>
      </c>
      <c r="S183" s="18" t="e">
        <f>IF([3]!Table14[[#This Row],[Nullable in Table and in Oracle View
NULL, NOT NULL]]="No","NOT NULL","NULL")=VLOOKUP(A183,[2]Model!C$2:I$228,6,FALSE)</f>
        <v>#REF!</v>
      </c>
      <c r="T183" s="18" t="e">
        <f>VLOOKUP(B183,[2]Table!A$2:F$415,1,FALSE)=[3]!Table14[[#This Row],[Physical Name of Attribute (Name of column in Table)
Supplied by DA Team]]</f>
        <v>#REF!</v>
      </c>
      <c r="U183" s="18" t="b">
        <f>VLOOKUP(B183,Table!A$2:F$319,2,FALSE)=Table1[[#This Row],[Data type in Oracle
VARCHAR2(n), DATE, NUMBER(m,n), TIMETSTAMP(6)]]</f>
        <v>1</v>
      </c>
      <c r="V183" s="18" t="b">
        <f>VLOOKUP(B183,Table!A$2:F$231,3,FALSE)=Table1[[#This Row],[Nullable in Table and in Oracle View
NULL, NOT NULL]]</f>
        <v>1</v>
      </c>
      <c r="W183" s="18" t="b">
        <f>VLOOKUP(B183,Table!A$2:H$228,6,FALSE)=Table1[[#This Row],[Business Definition (To go into comments and into Meta Data Hub)]]</f>
        <v>1</v>
      </c>
      <c r="X183" s="18" t="str">
        <f>VLOOKUP((UPPER(SUBSTITUTE(A183," ","_"))),'[2]Consumer View'!A$2:I$329,1,FALSE)</f>
        <v>SOURCE_ENTRY_CHANNEL_TYPE_ID</v>
      </c>
      <c r="Y183" s="18" t="s">
        <v>68</v>
      </c>
      <c r="Z183" s="18" t="s">
        <v>69</v>
      </c>
      <c r="AA183" s="18" t="s">
        <v>980</v>
      </c>
      <c r="AB183" s="18"/>
      <c r="AC183" s="18"/>
      <c r="AD183" s="18"/>
      <c r="AE183" s="46"/>
      <c r="AF183" s="18"/>
      <c r="AG183" s="18"/>
      <c r="AH183" s="18" t="s">
        <v>71</v>
      </c>
    </row>
    <row r="184" spans="1:34" ht="27" hidden="1" customHeight="1">
      <c r="A184" s="51" t="s">
        <v>982</v>
      </c>
      <c r="B184" s="18" t="s">
        <v>983</v>
      </c>
      <c r="C184" s="18" t="s">
        <v>984</v>
      </c>
      <c r="D184" s="18" t="s">
        <v>624</v>
      </c>
      <c r="E184" s="18" t="s">
        <v>63</v>
      </c>
      <c r="F184" s="18" t="s">
        <v>624</v>
      </c>
      <c r="G184" s="45" t="s">
        <v>63</v>
      </c>
      <c r="H184" s="46" t="s">
        <v>985</v>
      </c>
      <c r="I184" s="18"/>
      <c r="J184" s="18" t="s">
        <v>347</v>
      </c>
      <c r="K184" s="18">
        <v>3</v>
      </c>
      <c r="L184" s="18"/>
      <c r="M184" s="18"/>
      <c r="N184" s="18"/>
      <c r="O184" s="18" t="b">
        <f>VLOOKUP(A184,[1]Model!C$2:J$559,2,FALSE)=B184</f>
        <v>1</v>
      </c>
      <c r="P184" s="18" t="e">
        <f>VLOOKUP(A184,Model!C$2:G$228,5,FALSE)=D184</f>
        <v>#N/A</v>
      </c>
      <c r="Q184" s="18">
        <f>VLOOKUP(A184,[2]Model!C$2:L$228,8,FALSE)</f>
        <v>138</v>
      </c>
      <c r="R184" s="18" t="e">
        <f>VLOOKUP(A184,[2]Model!C$2:G$228,3,FALSE)=[3]!Table14[[#This Row],[Business Definition (To go into comments and into Meta Data Hub)]]</f>
        <v>#REF!</v>
      </c>
      <c r="S184" s="18" t="e">
        <f>IF([3]!Table14[[#This Row],[Nullable in Table and in Oracle View
NULL, NOT NULL]]="No","NOT NULL","NULL")=VLOOKUP(A184,[2]Model!C$2:I$228,6,FALSE)</f>
        <v>#REF!</v>
      </c>
      <c r="T184" s="18" t="e">
        <f>VLOOKUP(B184,[2]Table!A$2:F$415,1,FALSE)=[3]!Table14[[#This Row],[Physical Name of Attribute (Name of column in Table)
Supplied by DA Team]]</f>
        <v>#REF!</v>
      </c>
      <c r="U184" s="18" t="b">
        <f>VLOOKUP(B184,Table!A$2:F$319,2,FALSE)=Table1[[#This Row],[Data type in Oracle
VARCHAR2(n), DATE, NUMBER(m,n), TIMETSTAMP(6)]]</f>
        <v>1</v>
      </c>
      <c r="V184" s="18" t="b">
        <f>VLOOKUP(B184,Table!A$2:F$231,3,FALSE)=Table1[[#This Row],[Nullable in Table and in Oracle View
NULL, NOT NULL]]</f>
        <v>1</v>
      </c>
      <c r="W184" s="18" t="b">
        <f>VLOOKUP(B184,Table!A$2:H$228,6,FALSE)=Table1[[#This Row],[Business Definition (To go into comments and into Meta Data Hub)]]</f>
        <v>1</v>
      </c>
      <c r="X184" s="18" t="str">
        <f>VLOOKUP((UPPER(SUBSTITUTE(A184," ","_"))),'[2]Consumer View'!A$2:I$329,1,FALSE)</f>
        <v>SOURCE_ENTRY_DATETIME</v>
      </c>
      <c r="Y184" s="18" t="s">
        <v>68</v>
      </c>
      <c r="Z184" s="18" t="s">
        <v>69</v>
      </c>
      <c r="AA184" s="18" t="s">
        <v>983</v>
      </c>
      <c r="AB184" s="18"/>
      <c r="AC184" s="18"/>
      <c r="AD184" s="18"/>
      <c r="AE184" s="46"/>
      <c r="AF184" s="18"/>
      <c r="AG184" s="18"/>
      <c r="AH184" s="18" t="s">
        <v>71</v>
      </c>
    </row>
    <row r="185" spans="1:34" ht="27" hidden="1" customHeight="1">
      <c r="A185" s="51" t="s">
        <v>986</v>
      </c>
      <c r="B185" s="18" t="s">
        <v>987</v>
      </c>
      <c r="C185" s="18"/>
      <c r="D185" s="18" t="s">
        <v>101</v>
      </c>
      <c r="E185" s="18" t="s">
        <v>345</v>
      </c>
      <c r="F185" s="18" t="s">
        <v>133</v>
      </c>
      <c r="G185" s="45" t="s">
        <v>63</v>
      </c>
      <c r="H185" s="18" t="s">
        <v>988</v>
      </c>
      <c r="I185" s="18"/>
      <c r="J185" s="18" t="s">
        <v>347</v>
      </c>
      <c r="K185" s="18">
        <v>3</v>
      </c>
      <c r="L185" s="18"/>
      <c r="M185" s="18"/>
      <c r="N185" s="18"/>
      <c r="O185" s="18" t="b">
        <f>VLOOKUP(A185,[1]Model!C$2:J$559,2,FALSE)=B185</f>
        <v>1</v>
      </c>
      <c r="P185" s="18" t="e">
        <f>VLOOKUP(A185,Model!C$2:G$228,5,FALSE)=D185</f>
        <v>#N/A</v>
      </c>
      <c r="Q185" s="18">
        <f>VLOOKUP(A185,[2]Model!C$2:L$228,8,FALSE)</f>
        <v>11</v>
      </c>
      <c r="R185" s="18" t="e">
        <f>VLOOKUP(A185,[2]Model!C$2:G$228,3,FALSE)=[3]!Table14[[#This Row],[Business Definition (To go into comments and into Meta Data Hub)]]</f>
        <v>#REF!</v>
      </c>
      <c r="S185" s="18" t="e">
        <f>IF([3]!Table14[[#This Row],[Nullable in Table and in Oracle View
NULL, NOT NULL]]="No","NOT NULL","NULL")=VLOOKUP(A185,[2]Model!C$2:I$228,6,FALSE)</f>
        <v>#REF!</v>
      </c>
      <c r="T185" s="18" t="e">
        <f>VLOOKUP(B185,[2]Table!A$2:F$415,1,FALSE)=[3]!Table14[[#This Row],[Physical Name of Attribute (Name of column in Table)
Supplied by DA Team]]</f>
        <v>#REF!</v>
      </c>
      <c r="U185" s="18" t="b">
        <f>VLOOKUP(B185,Table!A$2:F$319,2,FALSE)=Table1[[#This Row],[Data type in Oracle
VARCHAR2(n), DATE, NUMBER(m,n), TIMETSTAMP(6)]]</f>
        <v>1</v>
      </c>
      <c r="V185" s="18" t="b">
        <f>VLOOKUP(B185,Table!A$2:F$231,3,FALSE)=Table1[[#This Row],[Nullable in Table and in Oracle View
NULL, NOT NULL]]</f>
        <v>1</v>
      </c>
      <c r="W185" s="18" t="b">
        <f>VLOOKUP(B185,Table!A$2:H$228,6,FALSE)=Table1[[#This Row],[Business Definition (To go into comments and into Meta Data Hub)]]</f>
        <v>1</v>
      </c>
      <c r="X185" s="55" t="str">
        <f>VLOOKUP((UPPER(SUBSTITUTE(A185," ","_"))),'[2]Consumer View'!A$2:I$329,1,FALSE)</f>
        <v>SOURCE_PROCESSING_TYPE_DIMENSION_ID</v>
      </c>
      <c r="Y185" s="18" t="s">
        <v>8</v>
      </c>
      <c r="Z185" s="18" t="s">
        <v>989</v>
      </c>
      <c r="AA185" s="18" t="s">
        <v>987</v>
      </c>
      <c r="AB185" s="18"/>
      <c r="AC185" s="18"/>
      <c r="AD185" s="18" t="s">
        <v>990</v>
      </c>
      <c r="AE185" s="46"/>
      <c r="AF185" s="18"/>
      <c r="AG185" s="18"/>
      <c r="AH185" s="18" t="s">
        <v>351</v>
      </c>
    </row>
    <row r="186" spans="1:34" ht="27" hidden="1" customHeight="1">
      <c r="A186" s="51" t="s">
        <v>991</v>
      </c>
      <c r="B186" s="18" t="s">
        <v>992</v>
      </c>
      <c r="C186" s="18"/>
      <c r="D186" s="18" t="s">
        <v>101</v>
      </c>
      <c r="E186" s="18" t="s">
        <v>63</v>
      </c>
      <c r="F186" s="18" t="s">
        <v>133</v>
      </c>
      <c r="G186" s="45" t="s">
        <v>63</v>
      </c>
      <c r="H186" s="46" t="s">
        <v>993</v>
      </c>
      <c r="I186" s="18"/>
      <c r="J186" s="18" t="s">
        <v>67</v>
      </c>
      <c r="K186" s="18">
        <v>3</v>
      </c>
      <c r="L186" s="18"/>
      <c r="M186" s="18"/>
      <c r="N186" s="18"/>
      <c r="O186" s="18" t="b">
        <f>VLOOKUP(A186,[1]Model!C$2:J$559,2,FALSE)=B186</f>
        <v>1</v>
      </c>
      <c r="P186" s="18" t="e">
        <f>VLOOKUP(A186,Model!C$2:G$228,5,FALSE)=D186</f>
        <v>#N/A</v>
      </c>
      <c r="Q186" s="18">
        <f>VLOOKUP(A186,[2]Model!C$2:L$228,8,FALSE)</f>
        <v>209</v>
      </c>
      <c r="R186" s="18" t="e">
        <f>VLOOKUP(A186,[2]Model!C$2:G$228,3,FALSE)=[3]!Table14[[#This Row],[Business Definition (To go into comments and into Meta Data Hub)]]</f>
        <v>#REF!</v>
      </c>
      <c r="S186" s="18" t="e">
        <f>IF([3]!Table14[[#This Row],[Nullable in Table and in Oracle View
NULL, NOT NULL]]="No","NOT NULL","NULL")=VLOOKUP(A186,[2]Model!C$2:I$228,6,FALSE)</f>
        <v>#REF!</v>
      </c>
      <c r="T186" s="18" t="e">
        <f>VLOOKUP(B186,[2]Table!A$2:F$415,1,FALSE)=[3]!Table14[[#This Row],[Physical Name of Attribute (Name of column in Table)
Supplied by DA Team]]</f>
        <v>#REF!</v>
      </c>
      <c r="U186" s="18" t="b">
        <f>VLOOKUP(B186,Table!A$2:F$319,2,FALSE)=Table1[[#This Row],[Data type in Oracle
VARCHAR2(n), DATE, NUMBER(m,n), TIMETSTAMP(6)]]</f>
        <v>1</v>
      </c>
      <c r="V186" s="18" t="b">
        <f>VLOOKUP(B186,Table!A$2:F$231,3,FALSE)=Table1[[#This Row],[Nullable in Table and in Oracle View
NULL, NOT NULL]]</f>
        <v>1</v>
      </c>
      <c r="W186" s="18" t="b">
        <f>VLOOKUP(B186,Table!A$2:H$228,6,FALSE)=Table1[[#This Row],[Business Definition (To go into comments and into Meta Data Hub)]]</f>
        <v>1</v>
      </c>
      <c r="X186" s="18" t="str">
        <f>VLOOKUP((UPPER(SUBSTITUTE(A186," ","_"))),'[2]Consumer View'!A$2:I$329,1,FALSE)</f>
        <v>SOURCE_PROCESSING_TYPE_ID</v>
      </c>
      <c r="Y186" s="18" t="s">
        <v>68</v>
      </c>
      <c r="Z186" s="18" t="s">
        <v>69</v>
      </c>
      <c r="AA186" s="18" t="s">
        <v>992</v>
      </c>
      <c r="AB186" s="18"/>
      <c r="AC186" s="18"/>
      <c r="AD186" s="18" t="s">
        <v>990</v>
      </c>
      <c r="AE186" s="46"/>
      <c r="AF186" s="18"/>
      <c r="AG186" s="18"/>
      <c r="AH186" s="18" t="s">
        <v>71</v>
      </c>
    </row>
    <row r="187" spans="1:34" ht="27" hidden="1" customHeight="1">
      <c r="A187" s="51" t="s">
        <v>994</v>
      </c>
      <c r="B187" s="18" t="s">
        <v>995</v>
      </c>
      <c r="C187" s="18" t="s">
        <v>996</v>
      </c>
      <c r="D187" s="18" t="s">
        <v>139</v>
      </c>
      <c r="E187" s="18" t="s">
        <v>63</v>
      </c>
      <c r="F187" s="18" t="s">
        <v>140</v>
      </c>
      <c r="G187" s="45" t="s">
        <v>63</v>
      </c>
      <c r="H187" s="46" t="s">
        <v>997</v>
      </c>
      <c r="I187" s="18"/>
      <c r="J187" s="18" t="s">
        <v>347</v>
      </c>
      <c r="K187" s="18">
        <v>3</v>
      </c>
      <c r="L187" s="18"/>
      <c r="M187" s="18"/>
      <c r="N187" s="18"/>
      <c r="O187" s="18" t="b">
        <f>VLOOKUP(A187,[1]Model!C$2:J$559,2,FALSE)=B187</f>
        <v>1</v>
      </c>
      <c r="P187" s="18" t="e">
        <f>VLOOKUP(A187,Model!C$2:G$228,5,FALSE)=D187</f>
        <v>#N/A</v>
      </c>
      <c r="Q187" s="18">
        <f>VLOOKUP(A187,[2]Model!C$2:L$228,8,FALSE)</f>
        <v>139</v>
      </c>
      <c r="R187" s="18" t="e">
        <f>VLOOKUP(A187,[2]Model!C$2:G$228,3,FALSE)=[3]!Table14[[#This Row],[Business Definition (To go into comments and into Meta Data Hub)]]</f>
        <v>#REF!</v>
      </c>
      <c r="S187" s="18" t="e">
        <f>IF([3]!Table14[[#This Row],[Nullable in Table and in Oracle View
NULL, NOT NULL]]="No","NOT NULL","NULL")=VLOOKUP(A187,[2]Model!C$2:I$228,6,FALSE)</f>
        <v>#REF!</v>
      </c>
      <c r="T187" s="18" t="e">
        <f>VLOOKUP(B187,[2]Table!A$2:F$415,1,FALSE)=[3]!Table14[[#This Row],[Physical Name of Attribute (Name of column in Table)
Supplied by DA Team]]</f>
        <v>#REF!</v>
      </c>
      <c r="U187" s="18" t="b">
        <f>VLOOKUP(B187,Table!A$2:F$319,2,FALSE)=Table1[[#This Row],[Data type in Oracle
VARCHAR2(n), DATE, NUMBER(m,n), TIMETSTAMP(6)]]</f>
        <v>0</v>
      </c>
      <c r="V187" s="18" t="b">
        <f>VLOOKUP(B187,Table!A$2:F$231,3,FALSE)=Table1[[#This Row],[Nullable in Table and in Oracle View
NULL, NOT NULL]]</f>
        <v>1</v>
      </c>
      <c r="W187" s="18" t="b">
        <f>VLOOKUP(B187,Table!A$2:H$228,6,FALSE)=Table1[[#This Row],[Business Definition (To go into comments and into Meta Data Hub)]]</f>
        <v>1</v>
      </c>
      <c r="X187" s="55" t="str">
        <f>VLOOKUP((UPPER(SUBSTITUTE(A187," ","_"))),'[2]Consumer View'!A$2:I$329,1,FALSE)</f>
        <v>SOURCE_PROCESSING_TYPE_CODE</v>
      </c>
      <c r="Y187" s="18" t="s">
        <v>8</v>
      </c>
      <c r="Z187" s="18" t="s">
        <v>989</v>
      </c>
      <c r="AA187" s="18" t="s">
        <v>995</v>
      </c>
      <c r="AB187" s="18"/>
      <c r="AC187" s="18"/>
      <c r="AD187" s="18" t="s">
        <v>990</v>
      </c>
      <c r="AE187" s="46"/>
      <c r="AF187" s="18"/>
      <c r="AG187" s="18"/>
      <c r="AH187" s="18" t="s">
        <v>71</v>
      </c>
    </row>
    <row r="188" spans="1:34" ht="27" hidden="1" customHeight="1">
      <c r="A188" s="51" t="s">
        <v>998</v>
      </c>
      <c r="B188" s="18" t="s">
        <v>999</v>
      </c>
      <c r="C188" s="18" t="s">
        <v>1000</v>
      </c>
      <c r="D188" s="18" t="s">
        <v>109</v>
      </c>
      <c r="E188" s="18" t="s">
        <v>63</v>
      </c>
      <c r="F188" s="18" t="s">
        <v>110</v>
      </c>
      <c r="G188" s="45" t="s">
        <v>63</v>
      </c>
      <c r="H188" s="46" t="s">
        <v>1001</v>
      </c>
      <c r="I188" s="18"/>
      <c r="J188" s="18" t="s">
        <v>347</v>
      </c>
      <c r="K188" s="18">
        <v>3</v>
      </c>
      <c r="L188" s="18"/>
      <c r="M188" s="18"/>
      <c r="N188" s="18"/>
      <c r="O188" s="18" t="b">
        <f>VLOOKUP(A188,[1]Model!C$2:J$559,2,FALSE)=B188</f>
        <v>1</v>
      </c>
      <c r="P188" s="18" t="e">
        <f>VLOOKUP(A188,Model!C$2:G$228,5,FALSE)=D188</f>
        <v>#N/A</v>
      </c>
      <c r="Q188" s="18">
        <f>VLOOKUP(A188,[2]Model!C$2:L$228,8,FALSE)</f>
        <v>140</v>
      </c>
      <c r="R188" s="18" t="e">
        <f>VLOOKUP(A188,[2]Model!C$2:G$228,3,FALSE)=[3]!Table14[[#This Row],[Business Definition (To go into comments and into Meta Data Hub)]]</f>
        <v>#REF!</v>
      </c>
      <c r="S188" s="18" t="e">
        <f>IF([3]!Table14[[#This Row],[Nullable in Table and in Oracle View
NULL, NOT NULL]]="No","NOT NULL","NULL")=VLOOKUP(A188,[2]Model!C$2:I$228,6,FALSE)</f>
        <v>#REF!</v>
      </c>
      <c r="T188" s="18" t="e">
        <f>VLOOKUP(B188,[2]Table!A$2:F$415,1,FALSE)=[3]!Table14[[#This Row],[Physical Name of Attribute (Name of column in Table)
Supplied by DA Team]]</f>
        <v>#REF!</v>
      </c>
      <c r="U188" s="18" t="b">
        <f>VLOOKUP(B188,Table!A$2:F$319,2,FALSE)=Table1[[#This Row],[Data type in Oracle
VARCHAR2(n), DATE, NUMBER(m,n), TIMETSTAMP(6)]]</f>
        <v>0</v>
      </c>
      <c r="V188" s="18" t="b">
        <f>VLOOKUP(B188,Table!A$2:F$231,3,FALSE)=Table1[[#This Row],[Nullable in Table and in Oracle View
NULL, NOT NULL]]</f>
        <v>1</v>
      </c>
      <c r="W188" s="18" t="b">
        <f>VLOOKUP(B188,Table!A$2:H$228,6,FALSE)=Table1[[#This Row],[Business Definition (To go into comments and into Meta Data Hub)]]</f>
        <v>1</v>
      </c>
      <c r="X188" s="55" t="str">
        <f>VLOOKUP((UPPER(SUBSTITUTE(A188," ","_"))),'[2]Consumer View'!A$2:I$329,1,FALSE)</f>
        <v>SOURCE_PROCESSING_TYPE_NAME</v>
      </c>
      <c r="Y188" s="18" t="s">
        <v>8</v>
      </c>
      <c r="Z188" s="18" t="s">
        <v>989</v>
      </c>
      <c r="AA188" s="18" t="s">
        <v>999</v>
      </c>
      <c r="AB188" s="18"/>
      <c r="AC188" s="18"/>
      <c r="AD188" s="18" t="s">
        <v>990</v>
      </c>
      <c r="AE188" s="46"/>
      <c r="AF188" s="18"/>
      <c r="AG188" s="18"/>
      <c r="AH188" s="18" t="s">
        <v>71</v>
      </c>
    </row>
    <row r="189" spans="1:34" ht="27" hidden="1" customHeight="1">
      <c r="A189" s="51" t="s">
        <v>1002</v>
      </c>
      <c r="B189" s="18" t="s">
        <v>792</v>
      </c>
      <c r="C189" s="18" t="s">
        <v>1003</v>
      </c>
      <c r="D189" s="18" t="s">
        <v>139</v>
      </c>
      <c r="E189" s="18" t="s">
        <v>63</v>
      </c>
      <c r="F189" s="18" t="s">
        <v>140</v>
      </c>
      <c r="G189" s="45" t="s">
        <v>63</v>
      </c>
      <c r="H189" s="46" t="s">
        <v>1004</v>
      </c>
      <c r="I189" s="18"/>
      <c r="J189" s="18" t="s">
        <v>347</v>
      </c>
      <c r="K189" s="18">
        <v>3</v>
      </c>
      <c r="L189" s="18"/>
      <c r="M189" s="18"/>
      <c r="N189" s="18"/>
      <c r="O189" s="18" t="b">
        <f>VLOOKUP(A189,[1]Model!C$2:J$559,2,FALSE)=B189</f>
        <v>1</v>
      </c>
      <c r="P189" s="18" t="e">
        <f>VLOOKUP(A189,Model!C$2:G$228,5,FALSE)=D189</f>
        <v>#N/A</v>
      </c>
      <c r="Q189" s="18">
        <f>VLOOKUP(A189,[2]Model!C$2:L$228,8,FALSE)</f>
        <v>164</v>
      </c>
      <c r="R189" s="18" t="e">
        <f>VLOOKUP(A189,[2]Model!C$2:G$228,3,FALSE)=[3]!Table14[[#This Row],[Business Definition (To go into comments and into Meta Data Hub)]]</f>
        <v>#REF!</v>
      </c>
      <c r="S189" s="18" t="e">
        <f>IF([3]!Table14[[#This Row],[Nullable in Table and in Oracle View
NULL, NOT NULL]]="No","NOT NULL","NULL")=VLOOKUP(A189,[2]Model!C$2:I$228,6,FALSE)</f>
        <v>#REF!</v>
      </c>
      <c r="T189" s="18" t="e">
        <f>VLOOKUP(B189,[2]Table!A$2:F$415,1,FALSE)=[3]!Table14[[#This Row],[Physical Name of Attribute (Name of column in Table)
Supplied by DA Team]]</f>
        <v>#REF!</v>
      </c>
      <c r="U189" s="18" t="b">
        <f>VLOOKUP(B189,Table!A$2:F$319,2,FALSE)=Table1[[#This Row],[Data type in Oracle
VARCHAR2(n), DATE, NUMBER(m,n), TIMETSTAMP(6)]]</f>
        <v>0</v>
      </c>
      <c r="V189" s="18" t="b">
        <f>VLOOKUP(B189,Table!A$2:F$231,3,FALSE)=Table1[[#This Row],[Nullable in Table and in Oracle View
NULL, NOT NULL]]</f>
        <v>1</v>
      </c>
      <c r="W189" s="18" t="b">
        <f>VLOOKUP(B189,Table!A$2:H$228,6,FALSE)=Table1[[#This Row],[Business Definition (To go into comments and into Meta Data Hub)]]</f>
        <v>1</v>
      </c>
      <c r="X189" s="55" t="str">
        <f>VLOOKUP((UPPER(SUBSTITUTE(A189," ","_"))),'[2]Consumer View'!A$2:I$329,1,FALSE)</f>
        <v>SOURCE_SYSTEM_CODE</v>
      </c>
      <c r="Y189" s="18" t="s">
        <v>262</v>
      </c>
      <c r="Z189" s="18" t="s">
        <v>263</v>
      </c>
      <c r="AA189" s="18" t="s">
        <v>792</v>
      </c>
      <c r="AB189" s="18"/>
      <c r="AC189" s="18"/>
      <c r="AD189" s="18" t="s">
        <v>1005</v>
      </c>
      <c r="AE189" s="46"/>
      <c r="AF189" s="18"/>
      <c r="AG189" s="18"/>
      <c r="AH189" s="18" t="s">
        <v>71</v>
      </c>
    </row>
    <row r="190" spans="1:34" ht="27" hidden="1" customHeight="1">
      <c r="A190" s="51" t="s">
        <v>1006</v>
      </c>
      <c r="B190" s="18" t="s">
        <v>1007</v>
      </c>
      <c r="C190" s="18"/>
      <c r="D190" s="18" t="s">
        <v>101</v>
      </c>
      <c r="E190" s="18" t="s">
        <v>345</v>
      </c>
      <c r="F190" s="18" t="s">
        <v>133</v>
      </c>
      <c r="G190" s="45" t="s">
        <v>63</v>
      </c>
      <c r="H190" s="46" t="s">
        <v>1008</v>
      </c>
      <c r="I190" s="18"/>
      <c r="J190" s="18" t="s">
        <v>347</v>
      </c>
      <c r="K190" s="18">
        <v>3</v>
      </c>
      <c r="L190" s="18"/>
      <c r="M190" s="18"/>
      <c r="N190" s="18"/>
      <c r="O190" s="18" t="b">
        <f>VLOOKUP(A190,[1]Model!C$2:J$559,2,FALSE)=B190</f>
        <v>1</v>
      </c>
      <c r="P190" s="18" t="e">
        <f>VLOOKUP(A190,Model!C$2:G$228,5,FALSE)=D190</f>
        <v>#N/A</v>
      </c>
      <c r="Q190" s="18">
        <f>VLOOKUP(A190,[2]Model!C$2:L$228,8,FALSE)</f>
        <v>14</v>
      </c>
      <c r="R190" s="18" t="e">
        <f>VLOOKUP(A190,[2]Model!C$2:G$228,3,FALSE)=[3]!Table14[[#This Row],[Business Definition (To go into comments and into Meta Data Hub)]]</f>
        <v>#REF!</v>
      </c>
      <c r="S190" s="18" t="e">
        <f>IF([3]!Table14[[#This Row],[Nullable in Table and in Oracle View
NULL, NOT NULL]]="No","NOT NULL","NULL")=VLOOKUP(A190,[2]Model!C$2:I$228,6,FALSE)</f>
        <v>#REF!</v>
      </c>
      <c r="T190" s="18" t="e">
        <f>VLOOKUP(B190,[2]Table!A$2:F$415,1,FALSE)=[3]!Table14[[#This Row],[Physical Name of Attribute (Name of column in Table)
Supplied by DA Team]]</f>
        <v>#REF!</v>
      </c>
      <c r="U190" s="18" t="b">
        <f>VLOOKUP(B190,Table!A$2:F$319,2,FALSE)=Table1[[#This Row],[Data type in Oracle
VARCHAR2(n), DATE, NUMBER(m,n), TIMETSTAMP(6)]]</f>
        <v>1</v>
      </c>
      <c r="V190" s="18" t="b">
        <f>VLOOKUP(B190,Table!A$2:F$231,3,FALSE)=Table1[[#This Row],[Nullable in Table and in Oracle View
NULL, NOT NULL]]</f>
        <v>1</v>
      </c>
      <c r="W190" s="18" t="b">
        <f>VLOOKUP(B190,Table!A$2:H$228,6,FALSE)=Table1[[#This Row],[Business Definition (To go into comments and into Meta Data Hub)]]</f>
        <v>1</v>
      </c>
      <c r="X190" s="55" t="str">
        <f>VLOOKUP((UPPER(SUBSTITUTE(A190," ","_"))),'[2]Consumer View'!A$2:I$329,1,FALSE)</f>
        <v>TRANSACTION_SOURCE_SYSTEM_DIMENSION_ID</v>
      </c>
      <c r="Y190" s="18" t="s">
        <v>262</v>
      </c>
      <c r="Z190" s="18" t="s">
        <v>263</v>
      </c>
      <c r="AA190" s="18" t="s">
        <v>781</v>
      </c>
      <c r="AB190" s="18"/>
      <c r="AC190" s="18"/>
      <c r="AD190" s="18" t="s">
        <v>1005</v>
      </c>
      <c r="AE190" s="46"/>
      <c r="AF190" s="18"/>
      <c r="AG190" s="18"/>
      <c r="AH190" s="18" t="s">
        <v>351</v>
      </c>
    </row>
    <row r="191" spans="1:34" ht="27" hidden="1" customHeight="1">
      <c r="A191" s="51" t="s">
        <v>1009</v>
      </c>
      <c r="B191" s="18" t="s">
        <v>1010</v>
      </c>
      <c r="C191" s="18" t="s">
        <v>1011</v>
      </c>
      <c r="D191" s="18" t="s">
        <v>101</v>
      </c>
      <c r="E191" s="18" t="s">
        <v>63</v>
      </c>
      <c r="F191" s="18" t="s">
        <v>133</v>
      </c>
      <c r="G191" s="45" t="s">
        <v>63</v>
      </c>
      <c r="H191" s="46" t="s">
        <v>1012</v>
      </c>
      <c r="I191" s="18"/>
      <c r="J191" s="18" t="s">
        <v>347</v>
      </c>
      <c r="K191" s="18">
        <v>3</v>
      </c>
      <c r="L191" s="18"/>
      <c r="M191" s="18"/>
      <c r="N191" s="18"/>
      <c r="O191" s="18" t="b">
        <f>VLOOKUP(A191,[1]Model!C$2:J$559,2,FALSE)=B191</f>
        <v>1</v>
      </c>
      <c r="P191" s="18" t="e">
        <f>VLOOKUP(A191,Model!C$2:G$228,5,FALSE)=D191</f>
        <v>#N/A</v>
      </c>
      <c r="Q191" s="18">
        <f>VLOOKUP(A191,[2]Model!C$2:L$228,8,FALSE)</f>
        <v>94</v>
      </c>
      <c r="R191" s="18" t="e">
        <f>VLOOKUP(A191,[2]Model!C$2:G$228,3,FALSE)=[3]!Table14[[#This Row],[Business Definition (To go into comments and into Meta Data Hub)]]</f>
        <v>#REF!</v>
      </c>
      <c r="S191" s="18" t="e">
        <f>IF([3]!Table14[[#This Row],[Nullable in Table and in Oracle View
NULL, NOT NULL]]="No","NOT NULL","NULL")=VLOOKUP(A191,[2]Model!C$2:I$228,6,FALSE)</f>
        <v>#REF!</v>
      </c>
      <c r="T191" s="18" t="e">
        <f>VLOOKUP(B191,[2]Table!A$2:F$415,1,FALSE)=[3]!Table14[[#This Row],[Physical Name of Attribute (Name of column in Table)
Supplied by DA Team]]</f>
        <v>#REF!</v>
      </c>
      <c r="U191" s="18" t="b">
        <f>VLOOKUP(B191,Table!A$2:F$319,2,FALSE)=Table1[[#This Row],[Data type in Oracle
VARCHAR2(n), DATE, NUMBER(m,n), TIMETSTAMP(6)]]</f>
        <v>1</v>
      </c>
      <c r="V191" s="18" t="b">
        <f>VLOOKUP(B191,Table!A$2:F$231,3,FALSE)=Table1[[#This Row],[Nullable in Table and in Oracle View
NULL, NOT NULL]]</f>
        <v>1</v>
      </c>
      <c r="W191" s="18" t="b">
        <f>VLOOKUP(B191,Table!A$2:H$228,6,FALSE)=Table1[[#This Row],[Business Definition (To go into comments and into Meta Data Hub)]]</f>
        <v>1</v>
      </c>
      <c r="X191" s="55" t="str">
        <f>VLOOKUP((UPPER(SUBSTITUTE(A191," ","_"))),'[2]Consumer View'!A$2:I$329,1,FALSE)</f>
        <v>SOURCE_TRANSACTION_CODE</v>
      </c>
      <c r="Y191" s="18" t="s">
        <v>68</v>
      </c>
      <c r="Z191" s="18" t="s">
        <v>69</v>
      </c>
      <c r="AA191" s="18" t="s">
        <v>1010</v>
      </c>
      <c r="AB191" s="18"/>
      <c r="AC191" s="18"/>
      <c r="AD191" s="18" t="s">
        <v>1013</v>
      </c>
      <c r="AE191" s="46"/>
      <c r="AF191" s="18"/>
      <c r="AG191" s="18"/>
      <c r="AH191" s="18" t="s">
        <v>71</v>
      </c>
    </row>
    <row r="192" spans="1:34" ht="27" hidden="1" customHeight="1">
      <c r="A192" s="51" t="s">
        <v>1014</v>
      </c>
      <c r="B192" s="18" t="s">
        <v>1015</v>
      </c>
      <c r="C192" s="18" t="s">
        <v>1016</v>
      </c>
      <c r="D192" s="18" t="s">
        <v>157</v>
      </c>
      <c r="E192" s="18" t="s">
        <v>63</v>
      </c>
      <c r="F192" s="18" t="s">
        <v>158</v>
      </c>
      <c r="G192" s="45" t="s">
        <v>63</v>
      </c>
      <c r="H192" s="46" t="s">
        <v>1017</v>
      </c>
      <c r="I192" s="18"/>
      <c r="J192" s="18" t="s">
        <v>347</v>
      </c>
      <c r="K192" s="18">
        <v>3</v>
      </c>
      <c r="L192" s="18"/>
      <c r="M192" s="18"/>
      <c r="N192" s="18"/>
      <c r="O192" s="18" t="b">
        <f>VLOOKUP(A192,[1]Model!C$2:J$559,2,FALSE)=B192</f>
        <v>1</v>
      </c>
      <c r="P192" s="18" t="e">
        <f>VLOOKUP(A192,Model!C$2:G$228,5,FALSE)=D192</f>
        <v>#N/A</v>
      </c>
      <c r="Q192" s="18">
        <f>VLOOKUP(A192,[2]Model!C$2:L$228,8,FALSE)</f>
        <v>42</v>
      </c>
      <c r="R192" s="18" t="e">
        <f>VLOOKUP(A192,[2]Model!C$2:G$228,3,FALSE)=[3]!Table14[[#This Row],[Business Definition (To go into comments and into Meta Data Hub)]]</f>
        <v>#REF!</v>
      </c>
      <c r="S192" s="18" t="e">
        <f>IF([3]!Table14[[#This Row],[Nullable in Table and in Oracle View
NULL, NOT NULL]]="No","NOT NULL","NULL")=VLOOKUP(A192,[2]Model!C$2:I$228,6,FALSE)</f>
        <v>#REF!</v>
      </c>
      <c r="T192" s="18" t="e">
        <f>VLOOKUP(B192,[2]Table!A$2:F$415,1,FALSE)=[3]!Table14[[#This Row],[Physical Name of Attribute (Name of column in Table)
Supplied by DA Team]]</f>
        <v>#REF!</v>
      </c>
      <c r="U192" s="18" t="b">
        <f>VLOOKUP(B192,Table!A$2:F$319,2,FALSE)=Table1[[#This Row],[Data type in Oracle
VARCHAR2(n), DATE, NUMBER(m,n), TIMETSTAMP(6)]]</f>
        <v>1</v>
      </c>
      <c r="V192" s="18" t="b">
        <f>VLOOKUP(B192,Table!A$2:F$231,3,FALSE)=Table1[[#This Row],[Nullable in Table and in Oracle View
NULL, NOT NULL]]</f>
        <v>1</v>
      </c>
      <c r="W192" s="18" t="b">
        <f>VLOOKUP(B192,Table!A$2:H$228,6,FALSE)=Table1[[#This Row],[Business Definition (To go into comments and into Meta Data Hub)]]</f>
        <v>1</v>
      </c>
      <c r="X192" s="55" t="str">
        <f>VLOOKUP((UPPER(SUBSTITUTE(A192," ","_"))),'[2]Consumer View'!A$2:I$329,1,FALSE)</f>
        <v>SYSTEM_BASE_CURRENCY_CALCULATION_DATE</v>
      </c>
      <c r="Y192" s="18" t="s">
        <v>68</v>
      </c>
      <c r="Z192" s="18" t="s">
        <v>375</v>
      </c>
      <c r="AA192" s="18" t="s">
        <v>1018</v>
      </c>
      <c r="AB192" s="18"/>
      <c r="AC192" s="18"/>
      <c r="AD192" s="18" t="s">
        <v>539</v>
      </c>
      <c r="AE192" s="46"/>
      <c r="AF192" s="18"/>
      <c r="AG192" s="18"/>
      <c r="AH192" s="18" t="s">
        <v>71</v>
      </c>
    </row>
    <row r="193" spans="1:34" ht="27" hidden="1" customHeight="1">
      <c r="A193" s="51" t="s">
        <v>1019</v>
      </c>
      <c r="B193" s="18" t="s">
        <v>1020</v>
      </c>
      <c r="C193" s="18" t="s">
        <v>1021</v>
      </c>
      <c r="D193" s="18" t="s">
        <v>268</v>
      </c>
      <c r="E193" s="18" t="s">
        <v>63</v>
      </c>
      <c r="F193" s="18" t="s">
        <v>269</v>
      </c>
      <c r="G193" s="45" t="s">
        <v>63</v>
      </c>
      <c r="H193" s="46" t="s">
        <v>1022</v>
      </c>
      <c r="I193" s="18"/>
      <c r="J193" s="18" t="s">
        <v>347</v>
      </c>
      <c r="K193" s="18">
        <v>3</v>
      </c>
      <c r="L193" s="18"/>
      <c r="M193" s="18"/>
      <c r="N193" s="18"/>
      <c r="O193" s="18" t="b">
        <f>VLOOKUP(A193,[1]Model!C$2:J$559,2,FALSE)=B193</f>
        <v>1</v>
      </c>
      <c r="P193" s="18" t="e">
        <f>VLOOKUP(A193,Model!C$2:G$228,5,FALSE)=D193</f>
        <v>#N/A</v>
      </c>
      <c r="Q193" s="18">
        <f>VLOOKUP(A193,[2]Model!C$2:L$228,8,FALSE)</f>
        <v>130</v>
      </c>
      <c r="R193" s="18" t="e">
        <f>VLOOKUP(A193,[2]Model!C$2:G$228,3,FALSE)=[3]!Table14[[#This Row],[Business Definition (To go into comments and into Meta Data Hub)]]</f>
        <v>#REF!</v>
      </c>
      <c r="S193" s="18" t="e">
        <f>IF([3]!Table14[[#This Row],[Nullable in Table and in Oracle View
NULL, NOT NULL]]="No","NOT NULL","NULL")=VLOOKUP(A193,[2]Model!C$2:I$228,6,FALSE)</f>
        <v>#REF!</v>
      </c>
      <c r="T193" s="18" t="e">
        <f>VLOOKUP(B193,[2]Table!A$2:F$415,1,FALSE)=[3]!Table14[[#This Row],[Physical Name of Attribute (Name of column in Table)
Supplied by DA Team]]</f>
        <v>#REF!</v>
      </c>
      <c r="U193" s="18" t="b">
        <f>VLOOKUP(B193,Table!A$2:F$319,2,FALSE)=Table1[[#This Row],[Data type in Oracle
VARCHAR2(n), DATE, NUMBER(m,n), TIMETSTAMP(6)]]</f>
        <v>0</v>
      </c>
      <c r="V193" s="18" t="b">
        <f>VLOOKUP(B193,Table!A$2:F$231,3,FALSE)=Table1[[#This Row],[Nullable in Table and in Oracle View
NULL, NOT NULL]]</f>
        <v>1</v>
      </c>
      <c r="W193" s="18" t="b">
        <f>VLOOKUP(B193,Table!A$2:H$228,6,FALSE)=Table1[[#This Row],[Business Definition (To go into comments and into Meta Data Hub)]]</f>
        <v>1</v>
      </c>
      <c r="X193" s="55" t="str">
        <f>VLOOKUP((UPPER(SUBSTITUTE(A193," ","_"))),'[2]Consumer View'!A$2:I$329,1,FALSE)</f>
        <v>SYSTEM_BASE_CURRENCY_CODE</v>
      </c>
      <c r="Y193" s="18" t="s">
        <v>68</v>
      </c>
      <c r="Z193" s="18" t="s">
        <v>375</v>
      </c>
      <c r="AA193" s="18" t="s">
        <v>1023</v>
      </c>
      <c r="AB193" s="18"/>
      <c r="AC193" s="18"/>
      <c r="AD193" s="18" t="s">
        <v>539</v>
      </c>
      <c r="AE193" s="46"/>
      <c r="AF193" s="18"/>
      <c r="AG193" s="18"/>
      <c r="AH193" s="18" t="s">
        <v>71</v>
      </c>
    </row>
    <row r="194" spans="1:34" ht="27" hidden="1" customHeight="1">
      <c r="A194" s="51" t="s">
        <v>1024</v>
      </c>
      <c r="B194" s="18" t="s">
        <v>1025</v>
      </c>
      <c r="C194" s="18"/>
      <c r="D194" s="18" t="s">
        <v>101</v>
      </c>
      <c r="E194" s="18" t="s">
        <v>345</v>
      </c>
      <c r="F194" s="18" t="s">
        <v>133</v>
      </c>
      <c r="G194" s="45" t="s">
        <v>63</v>
      </c>
      <c r="H194" s="46" t="s">
        <v>1026</v>
      </c>
      <c r="I194" s="18"/>
      <c r="J194" s="18" t="s">
        <v>347</v>
      </c>
      <c r="K194" s="18">
        <v>3</v>
      </c>
      <c r="L194" s="18"/>
      <c r="M194" s="18"/>
      <c r="N194" s="18"/>
      <c r="O194" s="18" t="b">
        <f>VLOOKUP(A194,[1]Model!C$2:J$559,2,FALSE)=B194</f>
        <v>1</v>
      </c>
      <c r="P194" s="18" t="e">
        <f>VLOOKUP(A194,Model!C$2:G$228,5,FALSE)=D194</f>
        <v>#N/A</v>
      </c>
      <c r="Q194" s="18">
        <f>VLOOKUP(A194,[2]Model!C$2:L$228,8,FALSE)</f>
        <v>16</v>
      </c>
      <c r="R194" s="18" t="e">
        <f>VLOOKUP(A194,[2]Model!C$2:G$228,3,FALSE)=[3]!Table14[[#This Row],[Business Definition (To go into comments and into Meta Data Hub)]]</f>
        <v>#REF!</v>
      </c>
      <c r="S194" s="18" t="e">
        <f>IF([3]!Table14[[#This Row],[Nullable in Table and in Oracle View
NULL, NOT NULL]]="No","NOT NULL","NULL")=VLOOKUP(A194,[2]Model!C$2:I$228,6,FALSE)</f>
        <v>#REF!</v>
      </c>
      <c r="T194" s="18" t="e">
        <f>VLOOKUP(B194,[2]Table!A$2:F$415,1,FALSE)=[3]!Table14[[#This Row],[Physical Name of Attribute (Name of column in Table)
Supplied by DA Team]]</f>
        <v>#REF!</v>
      </c>
      <c r="U194" s="18" t="b">
        <f>VLOOKUP(B194,Table!A$2:F$319,2,FALSE)=Table1[[#This Row],[Data type in Oracle
VARCHAR2(n), DATE, NUMBER(m,n), TIMETSTAMP(6)]]</f>
        <v>1</v>
      </c>
      <c r="V194" s="18" t="b">
        <f>VLOOKUP(B194,Table!A$2:F$231,3,FALSE)=Table1[[#This Row],[Nullable in Table and in Oracle View
NULL, NOT NULL]]</f>
        <v>1</v>
      </c>
      <c r="W194" s="18" t="b">
        <f>VLOOKUP(B194,Table!A$2:H$228,6,FALSE)=Table1[[#This Row],[Business Definition (To go into comments and into Meta Data Hub)]]</f>
        <v>1</v>
      </c>
      <c r="X194" s="55" t="str">
        <f>VLOOKUP((UPPER(SUBSTITUTE(A194," ","_"))),'[2]Consumer View'!A$2:I$329,1,FALSE)</f>
        <v>SYSTEM_BASE_CURRENCY_DIMENSION_ID</v>
      </c>
      <c r="Y194" s="18" t="s">
        <v>355</v>
      </c>
      <c r="Z194" s="18" t="s">
        <v>592</v>
      </c>
      <c r="AA194" s="15" t="s">
        <v>590</v>
      </c>
      <c r="AB194" s="18"/>
      <c r="AC194" s="18"/>
      <c r="AD194" s="18" t="s">
        <v>1027</v>
      </c>
      <c r="AE194" s="46"/>
      <c r="AF194" s="18"/>
      <c r="AG194" s="18"/>
      <c r="AH194" s="18" t="s">
        <v>351</v>
      </c>
    </row>
    <row r="195" spans="1:34" ht="27" hidden="1" customHeight="1">
      <c r="A195" s="51" t="s">
        <v>1028</v>
      </c>
      <c r="B195" s="18" t="s">
        <v>1029</v>
      </c>
      <c r="C195" s="18" t="s">
        <v>1030</v>
      </c>
      <c r="D195" s="55" t="s">
        <v>559</v>
      </c>
      <c r="E195" s="18" t="s">
        <v>63</v>
      </c>
      <c r="F195" s="18" t="s">
        <v>560</v>
      </c>
      <c r="G195" s="45" t="s">
        <v>63</v>
      </c>
      <c r="H195" s="46" t="s">
        <v>1031</v>
      </c>
      <c r="I195" s="18"/>
      <c r="J195" s="18" t="s">
        <v>381</v>
      </c>
      <c r="K195" s="18">
        <v>3</v>
      </c>
      <c r="L195" s="18"/>
      <c r="M195" s="18"/>
      <c r="N195" s="18"/>
      <c r="O195" s="18" t="b">
        <f>VLOOKUP(A195,[1]Model!C$2:J$559,2,FALSE)=B195</f>
        <v>1</v>
      </c>
      <c r="P195" s="18" t="e">
        <f>VLOOKUP(A195,Model!C$2:G$228,5,FALSE)=D195</f>
        <v>#N/A</v>
      </c>
      <c r="Q195" s="18">
        <f>VLOOKUP(A195,[2]Model!C$2:L$228,8,FALSE)</f>
        <v>43</v>
      </c>
      <c r="R195" s="18" t="e">
        <f>VLOOKUP(A195,[2]Model!C$2:G$228,3,FALSE)=[3]!Table14[[#This Row],[Business Definition (To go into comments and into Meta Data Hub)]]</f>
        <v>#REF!</v>
      </c>
      <c r="S195" s="18" t="e">
        <f>IF([3]!Table14[[#This Row],[Nullable in Table and in Oracle View
NULL, NOT NULL]]="No","NOT NULL","NULL")=VLOOKUP(A195,[2]Model!C$2:I$228,6,FALSE)</f>
        <v>#REF!</v>
      </c>
      <c r="T195" s="18" t="e">
        <f>VLOOKUP(B195,[2]Table!A$2:F$415,1,FALSE)=[3]!Table14[[#This Row],[Physical Name of Attribute (Name of column in Table)
Supplied by DA Team]]</f>
        <v>#REF!</v>
      </c>
      <c r="U195" s="18" t="b">
        <f>VLOOKUP(B195,Table!A$2:F$319,2,FALSE)=Table1[[#This Row],[Data type in Oracle
VARCHAR2(n), DATE, NUMBER(m,n), TIMETSTAMP(6)]]</f>
        <v>1</v>
      </c>
      <c r="V195" s="18" t="b">
        <f>VLOOKUP(B195,Table!A$2:F$231,3,FALSE)=Table1[[#This Row],[Nullable in Table and in Oracle View
NULL, NOT NULL]]</f>
        <v>1</v>
      </c>
      <c r="W195" s="18" t="b">
        <f>VLOOKUP(B195,Table!A$2:H$228,6,FALSE)=Table1[[#This Row],[Business Definition (To go into comments and into Meta Data Hub)]]</f>
        <v>1</v>
      </c>
      <c r="X195" s="55" t="str">
        <f>VLOOKUP((UPPER(SUBSTITUTE(A195," ","_"))),'[2]Consumer View'!A$2:I$329,1,FALSE)</f>
        <v>SYSTEM_BASE_CURRENCY_EXCHANGE_RATE</v>
      </c>
      <c r="Y195" s="18" t="s">
        <v>68</v>
      </c>
      <c r="Z195" s="18" t="s">
        <v>375</v>
      </c>
      <c r="AA195" s="18" t="s">
        <v>1032</v>
      </c>
      <c r="AB195" s="18"/>
      <c r="AC195" s="18"/>
      <c r="AD195" s="18" t="s">
        <v>539</v>
      </c>
      <c r="AE195" s="46"/>
      <c r="AF195" s="18"/>
      <c r="AG195" s="18"/>
      <c r="AH195" s="18" t="s">
        <v>71</v>
      </c>
    </row>
    <row r="196" spans="1:34" ht="27" hidden="1" customHeight="1">
      <c r="A196" s="52" t="s">
        <v>1033</v>
      </c>
      <c r="B196" s="18" t="s">
        <v>1034</v>
      </c>
      <c r="C196" s="18" t="s">
        <v>1035</v>
      </c>
      <c r="D196" s="18" t="s">
        <v>101</v>
      </c>
      <c r="E196" s="18" t="s">
        <v>63</v>
      </c>
      <c r="F196" s="18" t="s">
        <v>133</v>
      </c>
      <c r="G196" s="45" t="s">
        <v>63</v>
      </c>
      <c r="H196" s="46" t="s">
        <v>1036</v>
      </c>
      <c r="I196" s="18"/>
      <c r="J196" s="18" t="s">
        <v>381</v>
      </c>
      <c r="K196" s="18">
        <v>3</v>
      </c>
      <c r="L196" s="18"/>
      <c r="M196" s="18"/>
      <c r="N196" s="18"/>
      <c r="O196" s="18" t="b">
        <f>VLOOKUP(A196,[1]Model!C$2:J$559,2,FALSE)=B196</f>
        <v>1</v>
      </c>
      <c r="P196" s="18" t="e">
        <f>VLOOKUP(A196,Model!C$2:G$228,5,FALSE)=D196</f>
        <v>#N/A</v>
      </c>
      <c r="Q196" s="18">
        <f>VLOOKUP(A196,[2]Model!C$2:L$228,8,FALSE)</f>
        <v>204</v>
      </c>
      <c r="R196" s="18" t="e">
        <f>VLOOKUP(A196,[2]Model!C$2:G$228,3,FALSE)=[3]!Table14[[#This Row],[Business Definition (To go into comments and into Meta Data Hub)]]</f>
        <v>#REF!</v>
      </c>
      <c r="S196" s="18" t="e">
        <f>IF([3]!Table14[[#This Row],[Nullable in Table and in Oracle View
NULL, NOT NULL]]="No","NOT NULL","NULL")=VLOOKUP(A196,[2]Model!C$2:I$228,6,FALSE)</f>
        <v>#REF!</v>
      </c>
      <c r="T196" s="18" t="e">
        <f>VLOOKUP(B196,[2]Table!A$2:F$415,1,FALSE)=[3]!Table14[[#This Row],[Physical Name of Attribute (Name of column in Table)
Supplied by DA Team]]</f>
        <v>#REF!</v>
      </c>
      <c r="U196" s="18" t="b">
        <f>VLOOKUP(B196,Table!A$2:F$319,2,FALSE)=Table1[[#This Row],[Data type in Oracle
VARCHAR2(n), DATE, NUMBER(m,n), TIMETSTAMP(6)]]</f>
        <v>1</v>
      </c>
      <c r="V196" s="18" t="b">
        <f>VLOOKUP(B196,Table!A$2:F$231,3,FALSE)=Table1[[#This Row],[Nullable in Table and in Oracle View
NULL, NOT NULL]]</f>
        <v>1</v>
      </c>
      <c r="W196" s="18" t="b">
        <f>VLOOKUP(B196,Table!A$2:H$228,6,FALSE)=Table1[[#This Row],[Business Definition (To go into comments and into Meta Data Hub)]]</f>
        <v>1</v>
      </c>
      <c r="X196" s="55" t="str">
        <f>VLOOKUP((UPPER(SUBSTITUTE(A196," ","_"))),'[2]Consumer View'!A$2:I$329,1,FALSE)</f>
        <v>TARGET_TRANSACTION_ID</v>
      </c>
      <c r="Y196" s="18" t="s">
        <v>68</v>
      </c>
      <c r="Z196" s="18" t="s">
        <v>796</v>
      </c>
      <c r="AA196" s="18" t="s">
        <v>1037</v>
      </c>
      <c r="AB196" s="18"/>
      <c r="AC196" s="18"/>
      <c r="AD196" s="18" t="s">
        <v>1038</v>
      </c>
      <c r="AE196" s="57" t="s">
        <v>1039</v>
      </c>
      <c r="AF196" s="18"/>
      <c r="AG196" s="18"/>
      <c r="AH196" s="18" t="s">
        <v>71</v>
      </c>
    </row>
    <row r="197" spans="1:34" ht="27" hidden="1" customHeight="1">
      <c r="A197" s="51" t="s">
        <v>1040</v>
      </c>
      <c r="B197" s="18" t="s">
        <v>1041</v>
      </c>
      <c r="C197" s="18" t="s">
        <v>1042</v>
      </c>
      <c r="D197" s="18" t="s">
        <v>157</v>
      </c>
      <c r="E197" s="78" t="s">
        <v>345</v>
      </c>
      <c r="F197" s="18" t="s">
        <v>158</v>
      </c>
      <c r="G197" s="45" t="s">
        <v>63</v>
      </c>
      <c r="H197" s="46" t="s">
        <v>1043</v>
      </c>
      <c r="I197" s="18"/>
      <c r="J197" s="18" t="s">
        <v>381</v>
      </c>
      <c r="K197" s="18">
        <v>3</v>
      </c>
      <c r="L197" s="18"/>
      <c r="M197" s="18"/>
      <c r="N197" s="18"/>
      <c r="O197" s="18" t="b">
        <f>VLOOKUP(A197,[1]Model!C$2:J$559,2,FALSE)=B197</f>
        <v>1</v>
      </c>
      <c r="P197" s="18" t="e">
        <f>VLOOKUP(A197,Model!C$2:G$228,5,FALSE)=D197</f>
        <v>#N/A</v>
      </c>
      <c r="Q197" s="18">
        <f>VLOOKUP(A197,[2]Model!C$2:L$228,8,FALSE)</f>
        <v>19</v>
      </c>
      <c r="R197" s="18" t="e">
        <f>VLOOKUP(A197,[2]Model!C$2:G$228,3,FALSE)=[3]!Table14[[#This Row],[Business Definition (To go into comments and into Meta Data Hub)]]</f>
        <v>#REF!</v>
      </c>
      <c r="S197" s="18" t="e">
        <f>IF([3]!Table14[[#This Row],[Nullable in Table and in Oracle View
NULL, NOT NULL]]="No","NOT NULL","NULL")=VLOOKUP(A197,[2]Model!C$2:I$228,6,FALSE)</f>
        <v>#REF!</v>
      </c>
      <c r="T197" s="18" t="e">
        <f>VLOOKUP(B197,[2]Table!A$2:F$415,1,FALSE)=[3]!Table14[[#This Row],[Physical Name of Attribute (Name of column in Table)
Supplied by DA Team]]</f>
        <v>#REF!</v>
      </c>
      <c r="U197" s="18" t="b">
        <f>VLOOKUP(B197,Table!A$2:F$319,2,FALSE)=Table1[[#This Row],[Data type in Oracle
VARCHAR2(n), DATE, NUMBER(m,n), TIMETSTAMP(6)]]</f>
        <v>1</v>
      </c>
      <c r="V197" s="18" t="b">
        <f>VLOOKUP(B197,Table!A$2:F$231,3,FALSE)=Table1[[#This Row],[Nullable in Table and in Oracle View
NULL, NOT NULL]]</f>
        <v>1</v>
      </c>
      <c r="W197" s="18" t="b">
        <f>VLOOKUP(B197,Table!A$2:H$228,6,FALSE)=Table1[[#This Row],[Business Definition (To go into comments and into Meta Data Hub)]]</f>
        <v>1</v>
      </c>
      <c r="X197" s="55" t="str">
        <f>VLOOKUP((UPPER(SUBSTITUTE(A197," ","_"))),'[2]Consumer View'!A$2:I$329,1,FALSE)</f>
        <v>TRADE_DATE</v>
      </c>
      <c r="Y197" s="18" t="s">
        <v>68</v>
      </c>
      <c r="Z197" s="18" t="s">
        <v>69</v>
      </c>
      <c r="AA197" s="18" t="s">
        <v>1041</v>
      </c>
      <c r="AB197" s="18"/>
      <c r="AC197" s="18"/>
      <c r="AD197" s="18"/>
      <c r="AE197" s="46"/>
      <c r="AF197" s="18"/>
      <c r="AG197" s="18"/>
      <c r="AH197" s="18" t="s">
        <v>71</v>
      </c>
    </row>
    <row r="198" spans="1:34" ht="27" hidden="1" customHeight="1">
      <c r="A198" s="51" t="s">
        <v>1044</v>
      </c>
      <c r="B198" s="18" t="s">
        <v>1045</v>
      </c>
      <c r="C198" s="18" t="s">
        <v>1046</v>
      </c>
      <c r="D198" s="18" t="s">
        <v>139</v>
      </c>
      <c r="E198" s="18" t="s">
        <v>63</v>
      </c>
      <c r="F198" s="18" t="s">
        <v>228</v>
      </c>
      <c r="G198" s="45" t="s">
        <v>63</v>
      </c>
      <c r="H198" s="46" t="s">
        <v>1047</v>
      </c>
      <c r="I198" s="18"/>
      <c r="J198" s="18" t="s">
        <v>347</v>
      </c>
      <c r="K198" s="18">
        <v>3</v>
      </c>
      <c r="L198" s="18"/>
      <c r="M198" s="18"/>
      <c r="N198" s="18"/>
      <c r="O198" s="18" t="b">
        <f>VLOOKUP(A198,[1]Model!C$2:J$559,2,FALSE)=B198</f>
        <v>1</v>
      </c>
      <c r="P198" s="18" t="e">
        <f>VLOOKUP(A198,Model!C$2:G$228,5,FALSE)=D198</f>
        <v>#N/A</v>
      </c>
      <c r="Q198" s="18">
        <f>VLOOKUP(A198,[2]Model!C$2:L$228,8,FALSE)</f>
        <v>25</v>
      </c>
      <c r="R198" s="18" t="e">
        <f>VLOOKUP(A198,[2]Model!C$2:G$228,3,FALSE)=[3]!Table14[[#This Row],[Business Definition (To go into comments and into Meta Data Hub)]]</f>
        <v>#REF!</v>
      </c>
      <c r="S198" s="18" t="e">
        <f>IF([3]!Table14[[#This Row],[Nullable in Table and in Oracle View
NULL, NOT NULL]]="No","NOT NULL","NULL")=VLOOKUP(A198,[2]Model!C$2:I$228,6,FALSE)</f>
        <v>#REF!</v>
      </c>
      <c r="T198" s="18" t="e">
        <f>VLOOKUP(B198,[2]Table!A$2:F$415,1,FALSE)=[3]!Table14[[#This Row],[Physical Name of Attribute (Name of column in Table)
Supplied by DA Team]]</f>
        <v>#REF!</v>
      </c>
      <c r="U198" s="18" t="b">
        <f>VLOOKUP(B198,Table!A$2:F$319,2,FALSE)=Table1[[#This Row],[Data type in Oracle
VARCHAR2(n), DATE, NUMBER(m,n), TIMETSTAMP(6)]]</f>
        <v>0</v>
      </c>
      <c r="V198" s="18" t="b">
        <f>VLOOKUP(B198,Table!A$2:F$231,3,FALSE)=Table1[[#This Row],[Nullable in Table and in Oracle View
NULL, NOT NULL]]</f>
        <v>1</v>
      </c>
      <c r="W198" s="18" t="b">
        <f>VLOOKUP(B198,Table!A$2:H$228,6,FALSE)=Table1[[#This Row],[Business Definition (To go into comments and into Meta Data Hub)]]</f>
        <v>1</v>
      </c>
      <c r="X198" s="18" t="str">
        <f>VLOOKUP((UPPER(SUBSTITUTE(A198," ","_"))),'[2]Consumer View'!A$2:I$329,1,FALSE)</f>
        <v>TRADE_NUMBER</v>
      </c>
      <c r="Y198" s="18" t="s">
        <v>68</v>
      </c>
      <c r="Z198" s="18" t="s">
        <v>69</v>
      </c>
      <c r="AA198" s="18" t="s">
        <v>1045</v>
      </c>
      <c r="AB198" s="18"/>
      <c r="AC198" s="18"/>
      <c r="AD198" s="18"/>
      <c r="AE198" s="46"/>
      <c r="AF198" s="18"/>
      <c r="AG198" s="18"/>
      <c r="AH198" s="18" t="s">
        <v>71</v>
      </c>
    </row>
    <row r="199" spans="1:34" ht="27" hidden="1" customHeight="1">
      <c r="A199" s="51" t="s">
        <v>1048</v>
      </c>
      <c r="B199" s="18" t="s">
        <v>1049</v>
      </c>
      <c r="C199" s="18"/>
      <c r="D199" s="18" t="s">
        <v>101</v>
      </c>
      <c r="E199" s="18" t="s">
        <v>345</v>
      </c>
      <c r="F199" s="18" t="s">
        <v>133</v>
      </c>
      <c r="G199" s="45" t="s">
        <v>63</v>
      </c>
      <c r="H199" s="46" t="s">
        <v>1050</v>
      </c>
      <c r="I199" s="18"/>
      <c r="J199" s="18" t="s">
        <v>347</v>
      </c>
      <c r="K199" s="18">
        <v>3</v>
      </c>
      <c r="L199" s="18"/>
      <c r="M199" s="18"/>
      <c r="N199" s="18"/>
      <c r="O199" s="18" t="b">
        <f>VLOOKUP(A199,[1]Model!C$2:J$559,2,FALSE)=B199</f>
        <v>1</v>
      </c>
      <c r="P199" s="18" t="e">
        <f>VLOOKUP(A199,Model!C$2:G$228,5,FALSE)=D199</f>
        <v>#N/A</v>
      </c>
      <c r="Q199" s="18">
        <f>VLOOKUP(A199,[2]Model!C$2:L$228,8,FALSE)</f>
        <v>13</v>
      </c>
      <c r="R199" s="18" t="e">
        <f>VLOOKUP(A199,[2]Model!C$2:G$228,3,FALSE)=[3]!Table14[[#This Row],[Business Definition (To go into comments and into Meta Data Hub)]]</f>
        <v>#REF!</v>
      </c>
      <c r="S199" s="18" t="e">
        <f>IF([3]!Table14[[#This Row],[Nullable in Table and in Oracle View
NULL, NOT NULL]]="No","NOT NULL","NULL")=VLOOKUP(A199,[2]Model!C$2:I$228,6,FALSE)</f>
        <v>#REF!</v>
      </c>
      <c r="T199" s="18" t="e">
        <f>VLOOKUP(B199,[2]Table!A$2:F$415,1,FALSE)=[3]!Table14[[#This Row],[Physical Name of Attribute (Name of column in Table)
Supplied by DA Team]]</f>
        <v>#REF!</v>
      </c>
      <c r="U199" s="18" t="b">
        <f>VLOOKUP(B199,Table!A$2:F$319,2,FALSE)=Table1[[#This Row],[Data type in Oracle
VARCHAR2(n), DATE, NUMBER(m,n), TIMETSTAMP(6)]]</f>
        <v>1</v>
      </c>
      <c r="V199" s="18" t="b">
        <f>VLOOKUP(B199,Table!A$2:F$231,3,FALSE)=Table1[[#This Row],[Nullable in Table and in Oracle View
NULL, NOT NULL]]</f>
        <v>1</v>
      </c>
      <c r="W199" s="18" t="b">
        <f>VLOOKUP(B199,Table!A$2:H$228,6,FALSE)=Table1[[#This Row],[Business Definition (To go into comments and into Meta Data Hub)]]</f>
        <v>1</v>
      </c>
      <c r="X199" s="18" t="str">
        <f>VLOOKUP((UPPER(SUBSTITUTE(A199," ","_"))),'[2]Consumer View'!A$2:I$329,1,FALSE)</f>
        <v>TRADE_SOLICITATION_TYPE_DIMENSION_ID</v>
      </c>
      <c r="Y199" s="18" t="s">
        <v>8</v>
      </c>
      <c r="Z199" s="18" t="s">
        <v>1051</v>
      </c>
      <c r="AA199" s="18" t="s">
        <v>1049</v>
      </c>
      <c r="AB199" s="18"/>
      <c r="AC199" s="18"/>
      <c r="AD199" s="18" t="s">
        <v>1052</v>
      </c>
      <c r="AE199" s="46" t="s">
        <v>1053</v>
      </c>
      <c r="AF199" s="18"/>
      <c r="AG199" s="18"/>
      <c r="AH199" s="18" t="s">
        <v>351</v>
      </c>
    </row>
    <row r="200" spans="1:34" ht="27" hidden="1" customHeight="1">
      <c r="A200" s="51" t="s">
        <v>1054</v>
      </c>
      <c r="B200" s="18" t="s">
        <v>1055</v>
      </c>
      <c r="C200" s="18"/>
      <c r="D200" s="18" t="s">
        <v>101</v>
      </c>
      <c r="E200" s="18" t="s">
        <v>63</v>
      </c>
      <c r="F200" s="18" t="s">
        <v>133</v>
      </c>
      <c r="G200" s="45" t="s">
        <v>63</v>
      </c>
      <c r="H200" s="46" t="s">
        <v>1056</v>
      </c>
      <c r="I200" s="18"/>
      <c r="J200" s="18" t="s">
        <v>67</v>
      </c>
      <c r="K200" s="18">
        <v>3</v>
      </c>
      <c r="L200" s="18"/>
      <c r="M200" s="18"/>
      <c r="N200" s="18"/>
      <c r="O200" s="18" t="b">
        <f>VLOOKUP(A200,[1]Model!C$2:J$559,2,FALSE)=B200</f>
        <v>1</v>
      </c>
      <c r="P200" s="18" t="e">
        <f>VLOOKUP(A200,Model!C$2:G$228,5,FALSE)=D200</f>
        <v>#N/A</v>
      </c>
      <c r="Q200" s="18">
        <f>VLOOKUP(A200,[2]Model!C$2:L$228,8,FALSE)</f>
        <v>210</v>
      </c>
      <c r="R200" s="18" t="e">
        <f>VLOOKUP(A200,[2]Model!C$2:G$228,3,FALSE)=[3]!Table14[[#This Row],[Business Definition (To go into comments and into Meta Data Hub)]]</f>
        <v>#REF!</v>
      </c>
      <c r="S200" s="18" t="e">
        <f>IF([3]!Table14[[#This Row],[Nullable in Table and in Oracle View
NULL, NOT NULL]]="No","NOT NULL","NULL")=VLOOKUP(A200,[2]Model!C$2:I$228,6,FALSE)</f>
        <v>#REF!</v>
      </c>
      <c r="T200" s="18" t="e">
        <f>VLOOKUP(B200,[2]Table!A$2:F$415,1,FALSE)=[3]!Table14[[#This Row],[Physical Name of Attribute (Name of column in Table)
Supplied by DA Team]]</f>
        <v>#REF!</v>
      </c>
      <c r="U200" s="18" t="b">
        <f>VLOOKUP(B200,Table!A$2:F$319,2,FALSE)=Table1[[#This Row],[Data type in Oracle
VARCHAR2(n), DATE, NUMBER(m,n), TIMETSTAMP(6)]]</f>
        <v>1</v>
      </c>
      <c r="V200" s="18" t="b">
        <f>VLOOKUP(B200,Table!A$2:F$231,3,FALSE)=Table1[[#This Row],[Nullable in Table and in Oracle View
NULL, NOT NULL]]</f>
        <v>1</v>
      </c>
      <c r="W200" s="18" t="b">
        <f>VLOOKUP(B200,Table!A$2:H$228,6,FALSE)=Table1[[#This Row],[Business Definition (To go into comments and into Meta Data Hub)]]</f>
        <v>1</v>
      </c>
      <c r="X200" s="18" t="str">
        <f>VLOOKUP((UPPER(SUBSTITUTE(A200," ","_"))),'[2]Consumer View'!A$2:I$329,1,FALSE)</f>
        <v>TRADE_SOLICITATION_TYPE_ID</v>
      </c>
      <c r="Y200" s="18" t="s">
        <v>68</v>
      </c>
      <c r="Z200" s="18" t="s">
        <v>69</v>
      </c>
      <c r="AA200" s="18" t="s">
        <v>1055</v>
      </c>
      <c r="AB200" s="18"/>
      <c r="AC200" s="18"/>
      <c r="AD200" s="18"/>
      <c r="AE200" s="46" t="s">
        <v>1053</v>
      </c>
      <c r="AF200" s="18"/>
      <c r="AG200" s="18"/>
      <c r="AH200" s="18" t="s">
        <v>71</v>
      </c>
    </row>
    <row r="201" spans="1:34" ht="27" hidden="1" customHeight="1">
      <c r="A201" s="51" t="s">
        <v>1057</v>
      </c>
      <c r="B201" s="18" t="s">
        <v>1058</v>
      </c>
      <c r="C201" s="18" t="s">
        <v>1059</v>
      </c>
      <c r="D201" s="18" t="s">
        <v>139</v>
      </c>
      <c r="E201" s="18" t="s">
        <v>63</v>
      </c>
      <c r="F201" s="18" t="s">
        <v>140</v>
      </c>
      <c r="G201" s="45" t="s">
        <v>63</v>
      </c>
      <c r="H201" s="46" t="s">
        <v>1060</v>
      </c>
      <c r="I201" s="18"/>
      <c r="J201" s="18" t="s">
        <v>347</v>
      </c>
      <c r="K201" s="18">
        <v>3</v>
      </c>
      <c r="L201" s="18"/>
      <c r="M201" s="18"/>
      <c r="N201" s="18"/>
      <c r="O201" s="18" t="b">
        <f>VLOOKUP(A201,[1]Model!C$2:J$559,2,FALSE)=B201</f>
        <v>1</v>
      </c>
      <c r="P201" s="18" t="e">
        <f>VLOOKUP(A201,Model!C$2:G$228,5,FALSE)=D201</f>
        <v>#N/A</v>
      </c>
      <c r="Q201" s="18">
        <f>VLOOKUP(A201,[2]Model!C$2:L$228,8,FALSE)</f>
        <v>141</v>
      </c>
      <c r="R201" s="18" t="e">
        <f>VLOOKUP(A201,[2]Model!C$2:G$228,3,FALSE)=[3]!Table14[[#This Row],[Business Definition (To go into comments and into Meta Data Hub)]]</f>
        <v>#REF!</v>
      </c>
      <c r="S201" s="18" t="e">
        <f>IF([3]!Table14[[#This Row],[Nullable in Table and in Oracle View
NULL, NOT NULL]]="No","NOT NULL","NULL")=VLOOKUP(A201,[2]Model!C$2:I$228,6,FALSE)</f>
        <v>#REF!</v>
      </c>
      <c r="T201" s="18" t="e">
        <f>VLOOKUP(B201,[2]Table!A$2:F$415,1,FALSE)=[3]!Table14[[#This Row],[Physical Name of Attribute (Name of column in Table)
Supplied by DA Team]]</f>
        <v>#REF!</v>
      </c>
      <c r="U201" s="18" t="b">
        <f>VLOOKUP(B201,Table!A$2:F$319,2,FALSE)=Table1[[#This Row],[Data type in Oracle
VARCHAR2(n), DATE, NUMBER(m,n), TIMETSTAMP(6)]]</f>
        <v>0</v>
      </c>
      <c r="V201" s="18" t="b">
        <f>VLOOKUP(B201,Table!A$2:F$231,3,FALSE)=Table1[[#This Row],[Nullable in Table and in Oracle View
NULL, NOT NULL]]</f>
        <v>1</v>
      </c>
      <c r="W201" s="18" t="b">
        <f>VLOOKUP(B201,Table!A$2:H$228,6,FALSE)=Table1[[#This Row],[Business Definition (To go into comments and into Meta Data Hub)]]</f>
        <v>1</v>
      </c>
      <c r="X201" s="55" t="str">
        <f>VLOOKUP((UPPER(SUBSTITUTE(A201," ","_"))),'[2]Consumer View'!A$2:I$329,1,FALSE)</f>
        <v>TRADE_SOLICITATION_TYPE_CODE</v>
      </c>
      <c r="Y201" s="18" t="s">
        <v>8</v>
      </c>
      <c r="Z201" s="18" t="s">
        <v>1051</v>
      </c>
      <c r="AA201" s="18" t="s">
        <v>1058</v>
      </c>
      <c r="AB201" s="18"/>
      <c r="AC201" s="18"/>
      <c r="AD201" s="18" t="s">
        <v>1052</v>
      </c>
      <c r="AE201" s="46" t="s">
        <v>1053</v>
      </c>
      <c r="AF201" s="18"/>
      <c r="AG201" s="18"/>
      <c r="AH201" s="18" t="s">
        <v>71</v>
      </c>
    </row>
    <row r="202" spans="1:34" ht="27" hidden="1" customHeight="1">
      <c r="A202" s="51" t="s">
        <v>1061</v>
      </c>
      <c r="B202" s="18" t="s">
        <v>1062</v>
      </c>
      <c r="C202" s="18" t="s">
        <v>1063</v>
      </c>
      <c r="D202" s="18" t="s">
        <v>109</v>
      </c>
      <c r="E202" s="18" t="s">
        <v>63</v>
      </c>
      <c r="F202" s="18" t="s">
        <v>110</v>
      </c>
      <c r="G202" s="45" t="s">
        <v>63</v>
      </c>
      <c r="H202" s="46" t="s">
        <v>1064</v>
      </c>
      <c r="I202" s="18"/>
      <c r="J202" s="18" t="s">
        <v>347</v>
      </c>
      <c r="K202" s="18">
        <v>3</v>
      </c>
      <c r="L202" s="18"/>
      <c r="M202" s="18"/>
      <c r="N202" s="18"/>
      <c r="O202" s="18" t="b">
        <f>VLOOKUP(A202,[1]Model!C$2:J$559,2,FALSE)=B202</f>
        <v>1</v>
      </c>
      <c r="P202" s="18" t="e">
        <f>VLOOKUP(A202,Model!C$2:G$228,5,FALSE)=D202</f>
        <v>#N/A</v>
      </c>
      <c r="Q202" s="18">
        <f>VLOOKUP(A202,[2]Model!C$2:L$228,8,FALSE)</f>
        <v>142</v>
      </c>
      <c r="R202" s="18" t="e">
        <f>VLOOKUP(A202,[2]Model!C$2:G$228,3,FALSE)=[3]!Table14[[#This Row],[Business Definition (To go into comments and into Meta Data Hub)]]</f>
        <v>#REF!</v>
      </c>
      <c r="S202" s="18" t="e">
        <f>IF([3]!Table14[[#This Row],[Nullable in Table and in Oracle View
NULL, NOT NULL]]="No","NOT NULL","NULL")=VLOOKUP(A202,[2]Model!C$2:I$228,6,FALSE)</f>
        <v>#REF!</v>
      </c>
      <c r="T202" s="18" t="e">
        <f>VLOOKUP(B202,[2]Table!A$2:F$415,1,FALSE)=[3]!Table14[[#This Row],[Physical Name of Attribute (Name of column in Table)
Supplied by DA Team]]</f>
        <v>#REF!</v>
      </c>
      <c r="U202" s="18" t="b">
        <f>VLOOKUP(B202,Table!A$2:F$319,2,FALSE)=Table1[[#This Row],[Data type in Oracle
VARCHAR2(n), DATE, NUMBER(m,n), TIMETSTAMP(6)]]</f>
        <v>0</v>
      </c>
      <c r="V202" s="18" t="b">
        <f>VLOOKUP(B202,Table!A$2:F$231,3,FALSE)=Table1[[#This Row],[Nullable in Table and in Oracle View
NULL, NOT NULL]]</f>
        <v>1</v>
      </c>
      <c r="W202" s="18" t="b">
        <f>VLOOKUP(B202,Table!A$2:H$228,6,FALSE)=Table1[[#This Row],[Business Definition (To go into comments and into Meta Data Hub)]]</f>
        <v>1</v>
      </c>
      <c r="X202" s="55" t="str">
        <f>VLOOKUP((UPPER(SUBSTITUTE(A202," ","_"))),'[2]Consumer View'!A$2:I$329,1,FALSE)</f>
        <v>TRADE_SOLICITATION_TYPE_NAME</v>
      </c>
      <c r="Y202" s="18" t="s">
        <v>8</v>
      </c>
      <c r="Z202" s="18" t="s">
        <v>1051</v>
      </c>
      <c r="AA202" s="18" t="s">
        <v>1062</v>
      </c>
      <c r="AB202" s="18"/>
      <c r="AC202" s="18"/>
      <c r="AD202" s="18" t="s">
        <v>1052</v>
      </c>
      <c r="AE202" s="46"/>
      <c r="AF202" s="18"/>
      <c r="AG202" s="18"/>
      <c r="AH202" s="18" t="s">
        <v>71</v>
      </c>
    </row>
    <row r="203" spans="1:34" ht="27" hidden="1" customHeight="1">
      <c r="A203" s="51" t="s">
        <v>1065</v>
      </c>
      <c r="B203" s="18" t="s">
        <v>1066</v>
      </c>
      <c r="C203" s="18" t="s">
        <v>1067</v>
      </c>
      <c r="D203" s="18" t="s">
        <v>519</v>
      </c>
      <c r="E203" s="18" t="s">
        <v>63</v>
      </c>
      <c r="F203" s="18" t="s">
        <v>520</v>
      </c>
      <c r="G203" s="45" t="s">
        <v>63</v>
      </c>
      <c r="H203" s="46" t="s">
        <v>1065</v>
      </c>
      <c r="I203" s="18"/>
      <c r="J203" s="18" t="s">
        <v>347</v>
      </c>
      <c r="K203" s="18">
        <v>3</v>
      </c>
      <c r="L203" s="18"/>
      <c r="M203" s="18"/>
      <c r="N203" s="18"/>
      <c r="O203" s="18" t="b">
        <f>VLOOKUP(A203,[1]Model!C$2:J$559,2,FALSE)=B203</f>
        <v>1</v>
      </c>
      <c r="P203" s="18" t="e">
        <f>VLOOKUP(A203,Model!C$2:G$228,5,FALSE)=D203</f>
        <v>#N/A</v>
      </c>
      <c r="Q203" s="18">
        <f>VLOOKUP(A203,[2]Model!C$2:L$228,8,FALSE)</f>
        <v>54</v>
      </c>
      <c r="R203" s="18" t="e">
        <f>VLOOKUP(A203,[2]Model!C$2:G$228,3,FALSE)=[3]!Table14[[#This Row],[Business Definition (To go into comments and into Meta Data Hub)]]</f>
        <v>#REF!</v>
      </c>
      <c r="S203" s="18" t="e">
        <f>IF([3]!Table14[[#This Row],[Nullable in Table and in Oracle View
NULL, NOT NULL]]="No","NOT NULL","NULL")=VLOOKUP(A203,[2]Model!C$2:I$228,6,FALSE)</f>
        <v>#REF!</v>
      </c>
      <c r="T203" s="18" t="e">
        <f>VLOOKUP(B203,[2]Table!A$2:F$415,1,FALSE)=[3]!Table14[[#This Row],[Physical Name of Attribute (Name of column in Table)
Supplied by DA Team]]</f>
        <v>#REF!</v>
      </c>
      <c r="U203" s="18" t="b">
        <f>VLOOKUP(B203,Table!A$2:F$319,2,FALSE)=Table1[[#This Row],[Data type in Oracle
VARCHAR2(n), DATE, NUMBER(m,n), TIMETSTAMP(6)]]</f>
        <v>0</v>
      </c>
      <c r="V203" s="18" t="b">
        <f>VLOOKUP(B203,Table!A$2:F$231,3,FALSE)=Table1[[#This Row],[Nullable in Table and in Oracle View
NULL, NOT NULL]]</f>
        <v>1</v>
      </c>
      <c r="W203" s="18" t="b">
        <f>VLOOKUP(B203,Table!A$2:H$228,6,FALSE)=Table1[[#This Row],[Business Definition (To go into comments and into Meta Data Hub)]]</f>
        <v>1</v>
      </c>
      <c r="X203" s="18" t="str">
        <f>VLOOKUP((UPPER(SUBSTITUTE(A203," ","_"))),'[2]Consumer View'!A$2:I$329,1,FALSE)</f>
        <v>TRANSACTION_CLASSIFICATION_FLAG</v>
      </c>
      <c r="Y203" s="18" t="s">
        <v>68</v>
      </c>
      <c r="Z203" s="18" t="s">
        <v>69</v>
      </c>
      <c r="AA203" s="18" t="s">
        <v>1066</v>
      </c>
      <c r="AB203" s="18"/>
      <c r="AC203" s="18"/>
      <c r="AD203" s="18"/>
      <c r="AE203" s="46"/>
      <c r="AF203" s="18"/>
      <c r="AG203" s="18"/>
      <c r="AH203" s="18" t="s">
        <v>71</v>
      </c>
    </row>
    <row r="204" spans="1:34" ht="27" hidden="1" customHeight="1">
      <c r="A204" s="51" t="s">
        <v>1068</v>
      </c>
      <c r="B204" s="18" t="s">
        <v>1069</v>
      </c>
      <c r="C204" s="18" t="s">
        <v>1070</v>
      </c>
      <c r="D204" s="18" t="s">
        <v>101</v>
      </c>
      <c r="E204" s="18" t="s">
        <v>345</v>
      </c>
      <c r="F204" s="18" t="s">
        <v>133</v>
      </c>
      <c r="G204" s="45" t="s">
        <v>63</v>
      </c>
      <c r="H204" s="46" t="s">
        <v>1071</v>
      </c>
      <c r="I204" s="18"/>
      <c r="J204" s="18" t="s">
        <v>347</v>
      </c>
      <c r="K204" s="18">
        <v>3</v>
      </c>
      <c r="L204" s="18"/>
      <c r="M204" s="18"/>
      <c r="N204" s="18"/>
      <c r="O204" s="18" t="b">
        <f>VLOOKUP(A204,[1]Model!C$2:J$559,2,FALSE)=B204</f>
        <v>1</v>
      </c>
      <c r="P204" s="18" t="e">
        <f>VLOOKUP(A204,Model!C$2:G$228,5,FALSE)=D204</f>
        <v>#N/A</v>
      </c>
      <c r="Q204" s="18">
        <f>VLOOKUP(A204,[2]Model!C$2:L$228,8,FALSE)</f>
        <v>23</v>
      </c>
      <c r="R204" s="18" t="e">
        <f>VLOOKUP(A204,[2]Model!C$2:G$228,3,FALSE)=[3]!Table14[[#This Row],[Business Definition (To go into comments and into Meta Data Hub)]]</f>
        <v>#REF!</v>
      </c>
      <c r="S204" s="18" t="e">
        <f>IF([3]!Table14[[#This Row],[Nullable in Table and in Oracle View
NULL, NOT NULL]]="No","NOT NULL","NULL")=VLOOKUP(A204,[2]Model!C$2:I$228,6,FALSE)</f>
        <v>#REF!</v>
      </c>
      <c r="T204" s="18" t="e">
        <f>VLOOKUP(B204,[2]Table!A$2:F$415,1,FALSE)=[3]!Table14[[#This Row],[Physical Name of Attribute (Name of column in Table)
Supplied by DA Team]]</f>
        <v>#REF!</v>
      </c>
      <c r="U204" s="18" t="b">
        <f>VLOOKUP(B204,Table!A$2:F$319,2,FALSE)=Table1[[#This Row],[Data type in Oracle
VARCHAR2(n), DATE, NUMBER(m,n), TIMETSTAMP(6)]]</f>
        <v>1</v>
      </c>
      <c r="V204" s="18" t="b">
        <f>VLOOKUP(B204,Table!A$2:F$231,3,FALSE)=Table1[[#This Row],[Nullable in Table and in Oracle View
NULL, NOT NULL]]</f>
        <v>1</v>
      </c>
      <c r="W204" s="18" t="b">
        <f>VLOOKUP(B204,Table!A$2:H$228,6,FALSE)=Table1[[#This Row],[Business Definition (To go into comments and into Meta Data Hub)]]</f>
        <v>1</v>
      </c>
      <c r="X204" s="18" t="str">
        <f>VLOOKUP((UPPER(SUBSTITUTE(A204," ","_"))),'[2]Consumer View'!A$2:I$329,1,FALSE)</f>
        <v>TRANSACTION_ID</v>
      </c>
      <c r="Y204" s="18" t="s">
        <v>68</v>
      </c>
      <c r="Z204" s="18" t="s">
        <v>69</v>
      </c>
      <c r="AA204" s="18" t="s">
        <v>1069</v>
      </c>
      <c r="AB204" s="18"/>
      <c r="AC204" s="18"/>
      <c r="AD204" s="18"/>
      <c r="AE204" s="46"/>
      <c r="AF204" s="18"/>
      <c r="AG204" s="18"/>
      <c r="AH204" s="18" t="s">
        <v>71</v>
      </c>
    </row>
    <row r="205" spans="1:34" ht="27" hidden="1" customHeight="1">
      <c r="A205" s="51" t="s">
        <v>1072</v>
      </c>
      <c r="B205" s="18" t="s">
        <v>1073</v>
      </c>
      <c r="C205" s="18" t="s">
        <v>1074</v>
      </c>
      <c r="D205" s="18" t="s">
        <v>109</v>
      </c>
      <c r="E205" s="18" t="s">
        <v>63</v>
      </c>
      <c r="F205" s="18" t="s">
        <v>110</v>
      </c>
      <c r="G205" s="45" t="s">
        <v>63</v>
      </c>
      <c r="H205" s="46" t="s">
        <v>1075</v>
      </c>
      <c r="I205" s="18"/>
      <c r="J205" s="18" t="s">
        <v>347</v>
      </c>
      <c r="K205" s="18">
        <v>3</v>
      </c>
      <c r="L205" s="18"/>
      <c r="M205" s="18"/>
      <c r="N205" s="18"/>
      <c r="O205" s="18" t="b">
        <f>VLOOKUP(A205,[1]Model!C$2:J$559,2,FALSE)=B205</f>
        <v>1</v>
      </c>
      <c r="P205" s="18" t="e">
        <f>VLOOKUP(A205,Model!C$2:G$228,5,FALSE)=D205</f>
        <v>#N/A</v>
      </c>
      <c r="Q205" s="18">
        <f>VLOOKUP(A205,[2]Model!C$2:L$228,8,FALSE)</f>
        <v>27</v>
      </c>
      <c r="R205" s="18" t="e">
        <f>VLOOKUP(A205,[2]Model!C$2:G$228,3,FALSE)=[3]!Table14[[#This Row],[Business Definition (To go into comments and into Meta Data Hub)]]</f>
        <v>#REF!</v>
      </c>
      <c r="S205" s="18" t="e">
        <f>IF([3]!Table14[[#This Row],[Nullable in Table and in Oracle View
NULL, NOT NULL]]="No","NOT NULL","NULL")=VLOOKUP(A205,[2]Model!C$2:I$228,6,FALSE)</f>
        <v>#REF!</v>
      </c>
      <c r="T205" s="18" t="e">
        <f>VLOOKUP(B205,[2]Table!A$2:F$415,1,FALSE)=[3]!Table14[[#This Row],[Physical Name of Attribute (Name of column in Table)
Supplied by DA Team]]</f>
        <v>#REF!</v>
      </c>
      <c r="U205" s="18" t="b">
        <f>VLOOKUP(B205,Table!A$2:F$319,2,FALSE)=Table1[[#This Row],[Data type in Oracle
VARCHAR2(n), DATE, NUMBER(m,n), TIMETSTAMP(6)]]</f>
        <v>0</v>
      </c>
      <c r="V205" s="18" t="b">
        <f>VLOOKUP(B205,Table!A$2:F$231,3,FALSE)=Table1[[#This Row],[Nullable in Table and in Oracle View
NULL, NOT NULL]]</f>
        <v>1</v>
      </c>
      <c r="W205" s="18" t="b">
        <f>VLOOKUP(B205,Table!A$2:H$228,6,FALSE)=Table1[[#This Row],[Business Definition (To go into comments and into Meta Data Hub)]]</f>
        <v>1</v>
      </c>
      <c r="X205" s="55" t="str">
        <f>VLOOKUP((UPPER(SUBSTITUTE(A205," ","_"))),'[2]Consumer View'!A$2:I$329,1,FALSE)</f>
        <v>TRANSACTION_SOURCE_KEY</v>
      </c>
      <c r="Y205" s="18" t="s">
        <v>68</v>
      </c>
      <c r="Z205" s="18" t="s">
        <v>69</v>
      </c>
      <c r="AA205" s="18" t="s">
        <v>1073</v>
      </c>
      <c r="AB205" s="18"/>
      <c r="AC205" s="18"/>
      <c r="AD205" s="18"/>
      <c r="AE205" s="46"/>
      <c r="AF205" s="18"/>
      <c r="AG205" s="18"/>
      <c r="AH205" s="18" t="s">
        <v>71</v>
      </c>
    </row>
    <row r="206" spans="1:34" ht="27" hidden="1" customHeight="1">
      <c r="A206" s="51" t="s">
        <v>1076</v>
      </c>
      <c r="B206" s="18" t="s">
        <v>1077</v>
      </c>
      <c r="C206" s="18" t="s">
        <v>1078</v>
      </c>
      <c r="D206" s="18" t="s">
        <v>139</v>
      </c>
      <c r="E206" s="18" t="s">
        <v>63</v>
      </c>
      <c r="F206" s="18" t="s">
        <v>140</v>
      </c>
      <c r="G206" s="45" t="s">
        <v>63</v>
      </c>
      <c r="H206" s="46" t="s">
        <v>1079</v>
      </c>
      <c r="I206" s="18"/>
      <c r="J206" s="18" t="s">
        <v>347</v>
      </c>
      <c r="K206" s="18">
        <v>3</v>
      </c>
      <c r="L206" s="18"/>
      <c r="M206" s="18"/>
      <c r="N206" s="18"/>
      <c r="O206" s="18" t="b">
        <f>VLOOKUP(A206,[1]Model!C$2:J$559,2,FALSE)=B206</f>
        <v>1</v>
      </c>
      <c r="P206" s="18" t="e">
        <f>VLOOKUP(A206,Model!C$2:G$228,5,FALSE)=D206</f>
        <v>#N/A</v>
      </c>
      <c r="Q206" s="18">
        <f>VLOOKUP(A206,[2]Model!C$2:L$228,8,FALSE)</f>
        <v>62</v>
      </c>
      <c r="R206" s="18" t="e">
        <f>VLOOKUP(A206,[2]Model!C$2:G$228,3,FALSE)=[3]!Table14[[#This Row],[Business Definition (To go into comments and into Meta Data Hub)]]</f>
        <v>#VALUE!</v>
      </c>
      <c r="S206" s="18" t="e">
        <f>IF([3]!Table14[[#This Row],[Nullable in Table and in Oracle View
NULL, NOT NULL]]="No","NOT NULL","NULL")=VLOOKUP(A206,[2]Model!C$2:I$228,6,FALSE)</f>
        <v>#REF!</v>
      </c>
      <c r="T206" s="18" t="e">
        <f>VLOOKUP(B206,[2]Table!A$2:F$415,1,FALSE)=[3]!Table14[[#This Row],[Physical Name of Attribute (Name of column in Table)
Supplied by DA Team]]</f>
        <v>#REF!</v>
      </c>
      <c r="U206" s="18" t="b">
        <f>VLOOKUP(B206,Table!A$2:F$319,2,FALSE)=Table1[[#This Row],[Data type in Oracle
VARCHAR2(n), DATE, NUMBER(m,n), TIMETSTAMP(6)]]</f>
        <v>0</v>
      </c>
      <c r="V206" s="18" t="b">
        <f>VLOOKUP(B206,Table!A$2:F$231,3,FALSE)=Table1[[#This Row],[Nullable in Table and in Oracle View
NULL, NOT NULL]]</f>
        <v>1</v>
      </c>
      <c r="W206" s="18" t="b">
        <f>VLOOKUP(B206,Table!A$2:H$228,6,FALSE)=Table1[[#This Row],[Business Definition (To go into comments and into Meta Data Hub)]]</f>
        <v>1</v>
      </c>
      <c r="X206" s="55" t="str">
        <f>VLOOKUP((UPPER(SUBSTITUTE(A206," ","_"))),'[2]Consumer View'!A$2:I$329,1,FALSE)</f>
        <v>TRANSACTION_SUBTYPE_CODE</v>
      </c>
      <c r="Y206" s="18" t="s">
        <v>68</v>
      </c>
      <c r="Z206" s="18" t="s">
        <v>113</v>
      </c>
      <c r="AA206" s="18" t="s">
        <v>143</v>
      </c>
      <c r="AB206" s="18"/>
      <c r="AC206" s="18"/>
      <c r="AD206" s="18" t="s">
        <v>1080</v>
      </c>
      <c r="AE206" s="46"/>
      <c r="AF206" s="18"/>
      <c r="AG206" s="18"/>
      <c r="AH206" s="18" t="s">
        <v>71</v>
      </c>
    </row>
    <row r="207" spans="1:34" ht="27" hidden="1" customHeight="1">
      <c r="A207" s="51" t="s">
        <v>1081</v>
      </c>
      <c r="B207" s="18" t="s">
        <v>1082</v>
      </c>
      <c r="C207" s="18" t="s">
        <v>1083</v>
      </c>
      <c r="D207" s="18" t="s">
        <v>485</v>
      </c>
      <c r="E207" s="18" t="s">
        <v>63</v>
      </c>
      <c r="F207" s="18" t="s">
        <v>486</v>
      </c>
      <c r="G207" s="45" t="s">
        <v>63</v>
      </c>
      <c r="H207" s="46" t="s">
        <v>1084</v>
      </c>
      <c r="I207" s="18"/>
      <c r="J207" s="18" t="s">
        <v>347</v>
      </c>
      <c r="K207" s="18">
        <v>3</v>
      </c>
      <c r="L207" s="18"/>
      <c r="M207" s="18"/>
      <c r="N207" s="18"/>
      <c r="O207" s="18" t="b">
        <f>VLOOKUP(A207,[1]Model!C$2:J$559,2,FALSE)=B207</f>
        <v>1</v>
      </c>
      <c r="P207" s="18" t="e">
        <f>VLOOKUP(A207,Model!C$2:G$228,5,FALSE)=D207</f>
        <v>#N/A</v>
      </c>
      <c r="Q207" s="18">
        <f>VLOOKUP(A207,[2]Model!C$2:L$228,8,FALSE)</f>
        <v>64</v>
      </c>
      <c r="R207" s="18" t="e">
        <f>VLOOKUP(A207,[2]Model!C$2:G$228,3,FALSE)=[3]!Table14[[#This Row],[Business Definition (To go into comments and into Meta Data Hub)]]</f>
        <v>#REF!</v>
      </c>
      <c r="S207" s="18" t="e">
        <f>IF([3]!Table14[[#This Row],[Nullable in Table and in Oracle View
NULL, NOT NULL]]="No","NOT NULL","NULL")=VLOOKUP(A207,[2]Model!C$2:I$228,6,FALSE)</f>
        <v>#REF!</v>
      </c>
      <c r="T207" s="18" t="e">
        <f>VLOOKUP(B207,[2]Table!A$2:F$415,1,FALSE)=[3]!Table14[[#This Row],[Physical Name of Attribute (Name of column in Table)
Supplied by DA Team]]</f>
        <v>#REF!</v>
      </c>
      <c r="U207" s="18" t="b">
        <f>VLOOKUP(B207,Table!A$2:F$319,2,FALSE)=Table1[[#This Row],[Data type in Oracle
VARCHAR2(n), DATE, NUMBER(m,n), TIMETSTAMP(6)]]</f>
        <v>0</v>
      </c>
      <c r="V207" s="18" t="b">
        <f>VLOOKUP(B207,Table!A$2:F$231,3,FALSE)=Table1[[#This Row],[Nullable in Table and in Oracle View
NULL, NOT NULL]]</f>
        <v>1</v>
      </c>
      <c r="W207" s="18" t="b">
        <f>VLOOKUP(B207,Table!A$2:H$228,6,FALSE)=Table1[[#This Row],[Business Definition (To go into comments and into Meta Data Hub)]]</f>
        <v>1</v>
      </c>
      <c r="X207" s="55" t="str">
        <f>VLOOKUP((UPPER(SUBSTITUTE(A207," ","_"))),'[2]Consumer View'!A$2:I$329,1,FALSE)</f>
        <v>TRANSACTION_SUBTYPE_DESCRIPTION</v>
      </c>
      <c r="Y207" s="18" t="s">
        <v>68</v>
      </c>
      <c r="Z207" s="18" t="s">
        <v>113</v>
      </c>
      <c r="AA207" s="18" t="s">
        <v>488</v>
      </c>
      <c r="AB207" s="18"/>
      <c r="AC207" s="18"/>
      <c r="AD207" s="18" t="s">
        <v>1085</v>
      </c>
      <c r="AE207" s="46"/>
      <c r="AF207" s="18"/>
      <c r="AG207" s="18"/>
      <c r="AH207" s="18" t="s">
        <v>71</v>
      </c>
    </row>
    <row r="208" spans="1:34" ht="27" hidden="1" customHeight="1">
      <c r="A208" s="51" t="s">
        <v>1086</v>
      </c>
      <c r="B208" s="18" t="s">
        <v>1087</v>
      </c>
      <c r="C208" s="18"/>
      <c r="D208" s="18" t="s">
        <v>101</v>
      </c>
      <c r="E208" s="18" t="s">
        <v>63</v>
      </c>
      <c r="F208" s="18" t="s">
        <v>133</v>
      </c>
      <c r="G208" s="45" t="s">
        <v>63</v>
      </c>
      <c r="H208" s="46" t="s">
        <v>1088</v>
      </c>
      <c r="I208" s="18"/>
      <c r="J208" s="18" t="s">
        <v>347</v>
      </c>
      <c r="K208" s="18">
        <v>3</v>
      </c>
      <c r="L208" s="18"/>
      <c r="M208" s="18"/>
      <c r="N208" s="18"/>
      <c r="O208" s="18" t="b">
        <f>VLOOKUP(A208,[1]Model!C$2:J$559,2,FALSE)=B208</f>
        <v>1</v>
      </c>
      <c r="P208" s="18" t="e">
        <f>VLOOKUP(A208,Model!C$2:G$228,5,FALSE)=D208</f>
        <v>#N/A</v>
      </c>
      <c r="Q208" s="18">
        <f>VLOOKUP(A208,[2]Model!C$2:L$228,8,FALSE)</f>
        <v>61</v>
      </c>
      <c r="R208" s="18" t="e">
        <f>VLOOKUP(A208,[2]Model!C$2:G$228,3,FALSE)=[3]!Table14[[#This Row],[Business Definition (To go into comments and into Meta Data Hub)]]</f>
        <v>#REF!</v>
      </c>
      <c r="S208" s="18" t="e">
        <f>IF([3]!Table14[[#This Row],[Nullable in Table and in Oracle View
NULL, NOT NULL]]="No","NOT NULL","NULL")=VLOOKUP(A208,[2]Model!C$2:I$228,6,FALSE)</f>
        <v>#REF!</v>
      </c>
      <c r="T208" s="18" t="e">
        <f>VLOOKUP(B208,[2]Table!A$2:F$415,1,FALSE)=[3]!Table14[[#This Row],[Physical Name of Attribute (Name of column in Table)
Supplied by DA Team]]</f>
        <v>#REF!</v>
      </c>
      <c r="U208" s="18" t="b">
        <f>VLOOKUP(B208,Table!A$2:F$319,2,FALSE)=Table1[[#This Row],[Data type in Oracle
VARCHAR2(n), DATE, NUMBER(m,n), TIMETSTAMP(6)]]</f>
        <v>1</v>
      </c>
      <c r="V208" s="18" t="b">
        <f>VLOOKUP(B208,Table!A$2:F$231,3,FALSE)=Table1[[#This Row],[Nullable in Table and in Oracle View
NULL, NOT NULL]]</f>
        <v>1</v>
      </c>
      <c r="W208" s="18" t="b">
        <f>VLOOKUP(B208,Table!A$2:H$228,6,FALSE)=Table1[[#This Row],[Business Definition (To go into comments and into Meta Data Hub)]]</f>
        <v>1</v>
      </c>
      <c r="X208" s="18" t="str">
        <f>VLOOKUP((UPPER(SUBSTITUTE(A208," ","_"))),'[2]Consumer View'!A$2:I$329,1,FALSE)</f>
        <v>TRANSACTION_SUBTYPE_ID</v>
      </c>
      <c r="Y208" s="18" t="s">
        <v>68</v>
      </c>
      <c r="Z208" s="18" t="s">
        <v>69</v>
      </c>
      <c r="AA208" s="18" t="s">
        <v>1087</v>
      </c>
      <c r="AB208" s="18"/>
      <c r="AC208" s="18"/>
      <c r="AD208" s="18"/>
      <c r="AE208" s="46"/>
      <c r="AF208" s="18"/>
      <c r="AG208" s="18"/>
      <c r="AH208" s="18" t="s">
        <v>71</v>
      </c>
    </row>
    <row r="209" spans="1:34" ht="27" hidden="1" customHeight="1">
      <c r="A209" s="51" t="s">
        <v>1089</v>
      </c>
      <c r="B209" s="18" t="s">
        <v>1090</v>
      </c>
      <c r="C209" s="18" t="s">
        <v>1091</v>
      </c>
      <c r="D209" s="18" t="s">
        <v>109</v>
      </c>
      <c r="E209" s="18" t="s">
        <v>63</v>
      </c>
      <c r="F209" s="18" t="s">
        <v>110</v>
      </c>
      <c r="G209" s="45" t="s">
        <v>63</v>
      </c>
      <c r="H209" s="46" t="s">
        <v>1092</v>
      </c>
      <c r="I209" s="18"/>
      <c r="J209" s="18" t="s">
        <v>347</v>
      </c>
      <c r="K209" s="18">
        <v>3</v>
      </c>
      <c r="L209" s="18"/>
      <c r="M209" s="18"/>
      <c r="N209" s="18"/>
      <c r="O209" s="18" t="b">
        <f>VLOOKUP(A209,[1]Model!C$2:J$559,2,FALSE)=B209</f>
        <v>1</v>
      </c>
      <c r="P209" s="18" t="e">
        <f>VLOOKUP(A209,Model!C$2:G$228,5,FALSE)=D209</f>
        <v>#N/A</v>
      </c>
      <c r="Q209" s="18">
        <f>VLOOKUP(A209,[2]Model!C$2:L$228,8,FALSE)</f>
        <v>63</v>
      </c>
      <c r="R209" s="18" t="e">
        <f>VLOOKUP(A209,[2]Model!C$2:G$228,3,FALSE)=[3]!Table14[[#This Row],[Business Definition (To go into comments and into Meta Data Hub)]]</f>
        <v>#VALUE!</v>
      </c>
      <c r="S209" s="18" t="e">
        <f>IF([3]!Table14[[#This Row],[Nullable in Table and in Oracle View
NULL, NOT NULL]]="No","NOT NULL","NULL")=VLOOKUP(A209,[2]Model!C$2:I$228,6,FALSE)</f>
        <v>#REF!</v>
      </c>
      <c r="T209" s="18" t="e">
        <f>VLOOKUP(B209,[2]Table!A$2:F$415,1,FALSE)=[3]!Table14[[#This Row],[Physical Name of Attribute (Name of column in Table)
Supplied by DA Team]]</f>
        <v>#REF!</v>
      </c>
      <c r="U209" s="18" t="b">
        <f>VLOOKUP(B209,Table!A$2:F$319,2,FALSE)=Table1[[#This Row],[Data type in Oracle
VARCHAR2(n), DATE, NUMBER(m,n), TIMETSTAMP(6)]]</f>
        <v>0</v>
      </c>
      <c r="V209" s="18" t="b">
        <f>VLOOKUP(B209,Table!A$2:F$231,3,FALSE)=Table1[[#This Row],[Nullable in Table and in Oracle View
NULL, NOT NULL]]</f>
        <v>1</v>
      </c>
      <c r="W209" s="18" t="b">
        <f>VLOOKUP(B209,Table!A$2:H$228,6,FALSE)=Table1[[#This Row],[Business Definition (To go into comments and into Meta Data Hub)]]</f>
        <v>1</v>
      </c>
      <c r="X209" s="55" t="str">
        <f>VLOOKUP((UPPER(SUBSTITUTE(A209," ","_"))),'[2]Consumer View'!A$2:I$329,1,FALSE)</f>
        <v>TRANSACTION_SUBTYPE_NAME</v>
      </c>
      <c r="Y209" s="18" t="s">
        <v>68</v>
      </c>
      <c r="Z209" s="18" t="s">
        <v>113</v>
      </c>
      <c r="AA209" s="18" t="s">
        <v>114</v>
      </c>
      <c r="AB209" s="18"/>
      <c r="AC209" s="18"/>
      <c r="AD209" s="18" t="s">
        <v>1085</v>
      </c>
      <c r="AE209" s="46"/>
      <c r="AF209" s="18"/>
      <c r="AG209" s="18"/>
      <c r="AH209" s="18" t="s">
        <v>71</v>
      </c>
    </row>
    <row r="210" spans="1:34" ht="27" hidden="1" customHeight="1">
      <c r="A210" s="51" t="s">
        <v>1093</v>
      </c>
      <c r="B210" s="18" t="s">
        <v>1094</v>
      </c>
      <c r="C210" s="18" t="s">
        <v>1095</v>
      </c>
      <c r="D210" s="18" t="s">
        <v>139</v>
      </c>
      <c r="E210" s="18" t="s">
        <v>63</v>
      </c>
      <c r="F210" s="18" t="s">
        <v>140</v>
      </c>
      <c r="G210" s="45" t="s">
        <v>63</v>
      </c>
      <c r="H210" s="46" t="s">
        <v>1096</v>
      </c>
      <c r="I210" s="18"/>
      <c r="J210" s="18" t="s">
        <v>347</v>
      </c>
      <c r="K210" s="18">
        <v>3</v>
      </c>
      <c r="L210" s="18"/>
      <c r="M210" s="18"/>
      <c r="N210" s="18"/>
      <c r="O210" s="18" t="b">
        <f>VLOOKUP(A210,[1]Model!C$2:J$559,2,FALSE)=B210</f>
        <v>1</v>
      </c>
      <c r="P210" s="18" t="e">
        <f>VLOOKUP(A210,Model!C$2:G$228,5,FALSE)=D210</f>
        <v>#N/A</v>
      </c>
      <c r="Q210" s="18">
        <f>VLOOKUP(A210,[2]Model!C$2:L$228,8,FALSE)</f>
        <v>58</v>
      </c>
      <c r="R210" s="18" t="e">
        <f>VLOOKUP(A210,[2]Model!C$2:G$228,3,FALSE)=[3]!Table14[[#This Row],[Business Definition (To go into comments and into Meta Data Hub)]]</f>
        <v>#VALUE!</v>
      </c>
      <c r="S210" s="18" t="e">
        <f>IF([3]!Table14[[#This Row],[Nullable in Table and in Oracle View
NULL, NOT NULL]]="No","NOT NULL","NULL")=VLOOKUP(A210,[2]Model!C$2:I$228,6,FALSE)</f>
        <v>#REF!</v>
      </c>
      <c r="T210" s="18" t="e">
        <f>VLOOKUP(B210,[2]Table!A$2:F$415,1,FALSE)=[3]!Table14[[#This Row],[Physical Name of Attribute (Name of column in Table)
Supplied by DA Team]]</f>
        <v>#REF!</v>
      </c>
      <c r="U210" s="18" t="b">
        <f>VLOOKUP(B210,Table!A$2:F$319,2,FALSE)=Table1[[#This Row],[Data type in Oracle
VARCHAR2(n), DATE, NUMBER(m,n), TIMETSTAMP(6)]]</f>
        <v>0</v>
      </c>
      <c r="V210" s="18" t="b">
        <f>VLOOKUP(B210,Table!A$2:F$231,3,FALSE)=Table1[[#This Row],[Nullable in Table and in Oracle View
NULL, NOT NULL]]</f>
        <v>1</v>
      </c>
      <c r="W210" s="18" t="b">
        <f>VLOOKUP(B210,Table!A$2:H$228,6,FALSE)=Table1[[#This Row],[Business Definition (To go into comments and into Meta Data Hub)]]</f>
        <v>0</v>
      </c>
      <c r="X210" s="55" t="str">
        <f>VLOOKUP((UPPER(SUBSTITUTE(A210," ","_"))),'[2]Consumer View'!A$2:I$329,1,FALSE)</f>
        <v>TRANSACTION_TYPE_CODE</v>
      </c>
      <c r="Y210" s="18" t="s">
        <v>68</v>
      </c>
      <c r="Z210" s="18" t="s">
        <v>113</v>
      </c>
      <c r="AA210" s="18" t="s">
        <v>143</v>
      </c>
      <c r="AB210" s="18"/>
      <c r="AC210" s="18"/>
      <c r="AD210" s="18" t="s">
        <v>1097</v>
      </c>
      <c r="AE210" s="46"/>
      <c r="AF210" s="18"/>
      <c r="AG210" s="18"/>
      <c r="AH210" s="18" t="s">
        <v>71</v>
      </c>
    </row>
    <row r="211" spans="1:34" ht="27" hidden="1" customHeight="1">
      <c r="A211" s="51" t="s">
        <v>1098</v>
      </c>
      <c r="B211" s="18" t="s">
        <v>1099</v>
      </c>
      <c r="C211" s="18" t="s">
        <v>1100</v>
      </c>
      <c r="D211" s="18" t="s">
        <v>485</v>
      </c>
      <c r="E211" s="18" t="s">
        <v>63</v>
      </c>
      <c r="F211" s="18" t="s">
        <v>486</v>
      </c>
      <c r="G211" s="45" t="s">
        <v>63</v>
      </c>
      <c r="H211" s="46" t="s">
        <v>1101</v>
      </c>
      <c r="I211" s="18"/>
      <c r="J211" s="18" t="s">
        <v>347</v>
      </c>
      <c r="K211" s="18">
        <v>3</v>
      </c>
      <c r="L211" s="18"/>
      <c r="M211" s="18"/>
      <c r="N211" s="18"/>
      <c r="O211" s="18" t="b">
        <f>VLOOKUP(A211,[1]Model!C$2:J$559,2,FALSE)=B211</f>
        <v>1</v>
      </c>
      <c r="P211" s="18" t="e">
        <f>VLOOKUP(A211,Model!C$2:G$228,5,FALSE)=D211</f>
        <v>#N/A</v>
      </c>
      <c r="Q211" s="18">
        <f>VLOOKUP(A211,[2]Model!C$2:L$228,8,FALSE)</f>
        <v>60</v>
      </c>
      <c r="R211" s="18" t="e">
        <f>VLOOKUP(A211,[2]Model!C$2:G$228,3,FALSE)=[3]!Table14[[#This Row],[Business Definition (To go into comments and into Meta Data Hub)]]</f>
        <v>#REF!</v>
      </c>
      <c r="S211" s="18" t="e">
        <f>IF([3]!Table14[[#This Row],[Nullable in Table and in Oracle View
NULL, NOT NULL]]="No","NOT NULL","NULL")=VLOOKUP(A211,[2]Model!C$2:I$228,6,FALSE)</f>
        <v>#REF!</v>
      </c>
      <c r="T211" s="18" t="e">
        <f>VLOOKUP(B211,[2]Table!A$2:F$415,1,FALSE)=[3]!Table14[[#This Row],[Physical Name of Attribute (Name of column in Table)
Supplied by DA Team]]</f>
        <v>#REF!</v>
      </c>
      <c r="U211" s="18" t="b">
        <f>VLOOKUP(B211,Table!A$2:F$319,2,FALSE)=Table1[[#This Row],[Data type in Oracle
VARCHAR2(n), DATE, NUMBER(m,n), TIMETSTAMP(6)]]</f>
        <v>0</v>
      </c>
      <c r="V211" s="18" t="b">
        <f>VLOOKUP(B211,Table!A$2:F$231,3,FALSE)=Table1[[#This Row],[Nullable in Table and in Oracle View
NULL, NOT NULL]]</f>
        <v>1</v>
      </c>
      <c r="W211" s="18" t="b">
        <f>VLOOKUP(B211,Table!A$2:H$228,6,FALSE)=Table1[[#This Row],[Business Definition (To go into comments and into Meta Data Hub)]]</f>
        <v>1</v>
      </c>
      <c r="X211" s="55" t="str">
        <f>VLOOKUP((UPPER(SUBSTITUTE(A211," ","_"))),'[2]Consumer View'!A$2:I$329,1,FALSE)</f>
        <v>TRANSACTION_TYPE_DESCRIPTION</v>
      </c>
      <c r="Y211" s="18" t="s">
        <v>68</v>
      </c>
      <c r="Z211" s="18" t="s">
        <v>113</v>
      </c>
      <c r="AA211" s="18" t="s">
        <v>488</v>
      </c>
      <c r="AB211" s="18"/>
      <c r="AC211" s="18"/>
      <c r="AD211" s="18" t="s">
        <v>1102</v>
      </c>
      <c r="AE211" s="46"/>
      <c r="AF211" s="18"/>
      <c r="AG211" s="18"/>
      <c r="AH211" s="18" t="s">
        <v>71</v>
      </c>
    </row>
    <row r="212" spans="1:34" ht="27" hidden="1" customHeight="1">
      <c r="A212" s="51" t="s">
        <v>1103</v>
      </c>
      <c r="B212" s="18" t="s">
        <v>1104</v>
      </c>
      <c r="C212" s="18"/>
      <c r="D212" s="18" t="s">
        <v>101</v>
      </c>
      <c r="E212" s="18" t="s">
        <v>63</v>
      </c>
      <c r="F212" s="18" t="s">
        <v>133</v>
      </c>
      <c r="G212" s="45" t="s">
        <v>63</v>
      </c>
      <c r="H212" s="46" t="s">
        <v>1105</v>
      </c>
      <c r="I212" s="18"/>
      <c r="J212" s="18" t="s">
        <v>347</v>
      </c>
      <c r="K212" s="18">
        <v>3</v>
      </c>
      <c r="L212" s="18"/>
      <c r="M212" s="18"/>
      <c r="N212" s="18"/>
      <c r="O212" s="18" t="b">
        <f>VLOOKUP(A212,[1]Model!C$2:J$559,2,FALSE)=B212</f>
        <v>1</v>
      </c>
      <c r="P212" s="18" t="e">
        <f>VLOOKUP(A212,Model!C$2:G$228,5,FALSE)=D212</f>
        <v>#N/A</v>
      </c>
      <c r="Q212" s="18">
        <f>VLOOKUP(A212,[2]Model!C$2:L$228,8,FALSE)</f>
        <v>57</v>
      </c>
      <c r="R212" s="18" t="e">
        <f>VLOOKUP(A212,[2]Model!C$2:G$228,3,FALSE)=[3]!Table14[[#This Row],[Business Definition (To go into comments and into Meta Data Hub)]]</f>
        <v>#REF!</v>
      </c>
      <c r="S212" s="18" t="e">
        <f>IF([3]!Table14[[#This Row],[Nullable in Table and in Oracle View
NULL, NOT NULL]]="No","NOT NULL","NULL")=VLOOKUP(A212,[2]Model!C$2:I$228,6,FALSE)</f>
        <v>#REF!</v>
      </c>
      <c r="T212" s="18" t="e">
        <f>VLOOKUP(B212,[2]Table!A$2:F$415,1,FALSE)=[3]!Table14[[#This Row],[Physical Name of Attribute (Name of column in Table)
Supplied by DA Team]]</f>
        <v>#REF!</v>
      </c>
      <c r="U212" s="18" t="b">
        <f>VLOOKUP(B212,Table!A$2:F$319,2,FALSE)=Table1[[#This Row],[Data type in Oracle
VARCHAR2(n), DATE, NUMBER(m,n), TIMETSTAMP(6)]]</f>
        <v>1</v>
      </c>
      <c r="V212" s="18" t="b">
        <f>VLOOKUP(B212,Table!A$2:F$231,3,FALSE)=Table1[[#This Row],[Nullable in Table and in Oracle View
NULL, NOT NULL]]</f>
        <v>1</v>
      </c>
      <c r="W212" s="18" t="b">
        <f>VLOOKUP(B212,Table!A$2:H$228,6,FALSE)=Table1[[#This Row],[Business Definition (To go into comments and into Meta Data Hub)]]</f>
        <v>1</v>
      </c>
      <c r="X212" s="55" t="str">
        <f>VLOOKUP((UPPER(SUBSTITUTE(A212," ","_"))),'[2]Consumer View'!A$2:I$329,1,FALSE)</f>
        <v>TRANSACTION_TYPE_ID</v>
      </c>
      <c r="Y212" s="18" t="s">
        <v>68</v>
      </c>
      <c r="Z212" s="18" t="s">
        <v>69</v>
      </c>
      <c r="AA212" s="18" t="s">
        <v>1104</v>
      </c>
      <c r="AB212" s="18"/>
      <c r="AC212" s="18"/>
      <c r="AD212" s="18"/>
      <c r="AE212" s="46"/>
      <c r="AF212" s="18"/>
      <c r="AG212" s="18"/>
      <c r="AH212" s="18" t="s">
        <v>71</v>
      </c>
    </row>
    <row r="213" spans="1:34" ht="27" hidden="1" customHeight="1">
      <c r="A213" s="51" t="s">
        <v>1106</v>
      </c>
      <c r="B213" s="18" t="s">
        <v>1107</v>
      </c>
      <c r="C213" s="18" t="s">
        <v>1108</v>
      </c>
      <c r="D213" s="18" t="s">
        <v>109</v>
      </c>
      <c r="E213" s="18" t="s">
        <v>63</v>
      </c>
      <c r="F213" s="18" t="s">
        <v>110</v>
      </c>
      <c r="G213" s="45" t="s">
        <v>63</v>
      </c>
      <c r="H213" s="46" t="s">
        <v>1109</v>
      </c>
      <c r="I213" s="18"/>
      <c r="J213" s="18" t="s">
        <v>347</v>
      </c>
      <c r="K213" s="18">
        <v>3</v>
      </c>
      <c r="L213" s="18"/>
      <c r="M213" s="18"/>
      <c r="N213" s="18"/>
      <c r="O213" s="18" t="b">
        <f>VLOOKUP(A213,[1]Model!C$2:J$559,2,FALSE)=B213</f>
        <v>1</v>
      </c>
      <c r="P213" s="18" t="e">
        <f>VLOOKUP(A213,Model!C$2:G$228,5,FALSE)=D213</f>
        <v>#N/A</v>
      </c>
      <c r="Q213" s="18">
        <f>VLOOKUP(A213,[2]Model!C$2:L$228,8,FALSE)</f>
        <v>59</v>
      </c>
      <c r="R213" s="18" t="e">
        <f>VLOOKUP(A213,[2]Model!C$2:G$228,3,FALSE)=[3]!Table14[[#This Row],[Business Definition (To go into comments and into Meta Data Hub)]]</f>
        <v>#REF!</v>
      </c>
      <c r="S213" s="18" t="e">
        <f>IF([3]!Table14[[#This Row],[Nullable in Table and in Oracle View
NULL, NOT NULL]]="No","NOT NULL","NULL")=VLOOKUP(A213,[2]Model!C$2:I$228,6,FALSE)</f>
        <v>#REF!</v>
      </c>
      <c r="T213" s="18" t="e">
        <f>VLOOKUP(B213,[2]Table!A$2:F$415,1,FALSE)=[3]!Table14[[#This Row],[Physical Name of Attribute (Name of column in Table)
Supplied by DA Team]]</f>
        <v>#REF!</v>
      </c>
      <c r="U213" s="18" t="b">
        <f>VLOOKUP(B213,Table!A$2:F$319,2,FALSE)=Table1[[#This Row],[Data type in Oracle
VARCHAR2(n), DATE, NUMBER(m,n), TIMETSTAMP(6)]]</f>
        <v>0</v>
      </c>
      <c r="V213" s="18" t="b">
        <f>VLOOKUP(B213,Table!A$2:F$231,3,FALSE)=Table1[[#This Row],[Nullable in Table and in Oracle View
NULL, NOT NULL]]</f>
        <v>1</v>
      </c>
      <c r="W213" s="18" t="b">
        <f>VLOOKUP(B213,Table!A$2:H$228,6,FALSE)=Table1[[#This Row],[Business Definition (To go into comments and into Meta Data Hub)]]</f>
        <v>1</v>
      </c>
      <c r="X213" s="55" t="str">
        <f>VLOOKUP((UPPER(SUBSTITUTE(A213," ","_"))),'[2]Consumer View'!A$2:I$329,1,FALSE)</f>
        <v>TRANSACTION_TYPE_NAME</v>
      </c>
      <c r="Y213" s="18" t="s">
        <v>68</v>
      </c>
      <c r="Z213" s="18" t="s">
        <v>113</v>
      </c>
      <c r="AA213" s="18" t="s">
        <v>114</v>
      </c>
      <c r="AB213" s="18"/>
      <c r="AC213" s="18"/>
      <c r="AD213" s="18" t="s">
        <v>1097</v>
      </c>
      <c r="AE213" s="46"/>
      <c r="AF213" s="18"/>
      <c r="AG213" s="18"/>
      <c r="AH213" s="18" t="s">
        <v>71</v>
      </c>
    </row>
    <row r="214" spans="1:34" ht="27" hidden="1" customHeight="1">
      <c r="A214" s="51" t="s">
        <v>1110</v>
      </c>
      <c r="B214" s="18" t="s">
        <v>1111</v>
      </c>
      <c r="C214" s="18"/>
      <c r="D214" s="18" t="s">
        <v>101</v>
      </c>
      <c r="E214" s="18" t="s">
        <v>63</v>
      </c>
      <c r="F214" s="18" t="s">
        <v>133</v>
      </c>
      <c r="G214" s="45" t="s">
        <v>63</v>
      </c>
      <c r="H214" s="46" t="s">
        <v>1112</v>
      </c>
      <c r="I214" s="18"/>
      <c r="J214" s="18" t="s">
        <v>347</v>
      </c>
      <c r="K214" s="18">
        <v>3</v>
      </c>
      <c r="L214" s="18"/>
      <c r="M214" s="18"/>
      <c r="N214" s="18"/>
      <c r="O214" s="18" t="b">
        <f>VLOOKUP(A214,[1]Model!C$2:J$559,2,FALSE)=B214</f>
        <v>1</v>
      </c>
      <c r="P214" s="18" t="b">
        <f>VLOOKUP(A214,Model!C$2:G$228,5,FALSE)=D214</f>
        <v>1</v>
      </c>
      <c r="Q214" s="18">
        <f>VLOOKUP(A214,[2]Model!C$2:L$228,8,FALSE)</f>
        <v>170</v>
      </c>
      <c r="R214" s="18" t="e">
        <f>VLOOKUP(A214,[2]Model!C$2:G$228,3,FALSE)=[3]!Table14[[#This Row],[Business Definition (To go into comments and into Meta Data Hub)]]</f>
        <v>#REF!</v>
      </c>
      <c r="S214" s="18" t="e">
        <f>IF([3]!Table14[[#This Row],[Nullable in Table and in Oracle View
NULL, NOT NULL]]="No","NOT NULL","NULL")=VLOOKUP(A214,[2]Model!C$2:I$228,6,FALSE)</f>
        <v>#REF!</v>
      </c>
      <c r="T214" s="18" t="e">
        <f>VLOOKUP(B214,[2]Table!A$2:F$415,1,FALSE)=[3]!Table14[[#This Row],[Physical Name of Attribute (Name of column in Table)
Supplied by DA Team]]</f>
        <v>#REF!</v>
      </c>
      <c r="U214" s="18" t="b">
        <f>VLOOKUP(B214,Table!A$2:F$319,2,FALSE)=Table1[[#This Row],[Data type in Oracle
VARCHAR2(n), DATE, NUMBER(m,n), TIMETSTAMP(6)]]</f>
        <v>1</v>
      </c>
      <c r="V214" s="18" t="b">
        <f>VLOOKUP(B214,Table!A$2:F$231,3,FALSE)=Table1[[#This Row],[Nullable in Table and in Oracle View
NULL, NOT NULL]]</f>
        <v>1</v>
      </c>
      <c r="W214" s="18" t="b">
        <f>VLOOKUP(B214,Table!A$2:H$228,6,FALSE)=Table1[[#This Row],[Business Definition (To go into comments and into Meta Data Hub)]]</f>
        <v>1</v>
      </c>
      <c r="X214" s="55" t="str">
        <f>VLOOKUP((UPPER(SUBSTITUTE(A214," ","_"))),'[2]Consumer View'!A$2:I$329,1,FALSE)</f>
        <v>ORIGINAL_SOURCE_SYSTEM_ID</v>
      </c>
      <c r="Y214" s="18" t="s">
        <v>68</v>
      </c>
      <c r="Z214" s="18" t="s">
        <v>69</v>
      </c>
      <c r="AA214" s="18" t="s">
        <v>1111</v>
      </c>
      <c r="AB214" s="18"/>
      <c r="AC214" s="18"/>
      <c r="AD214" s="18"/>
      <c r="AE214" s="46"/>
      <c r="AF214" s="18"/>
      <c r="AG214" s="18"/>
      <c r="AH214" s="18" t="s">
        <v>919</v>
      </c>
    </row>
    <row r="215" spans="1:34" ht="27" hidden="1" customHeight="1">
      <c r="A215" s="51" t="s">
        <v>1113</v>
      </c>
      <c r="B215" s="18" t="s">
        <v>249</v>
      </c>
      <c r="C215" s="18" t="s">
        <v>1114</v>
      </c>
      <c r="D215" s="55" t="s">
        <v>427</v>
      </c>
      <c r="E215" s="18" t="s">
        <v>63</v>
      </c>
      <c r="F215" s="18" t="s">
        <v>428</v>
      </c>
      <c r="G215" s="45" t="s">
        <v>63</v>
      </c>
      <c r="H215" s="46" t="s">
        <v>1115</v>
      </c>
      <c r="I215" s="18"/>
      <c r="J215" s="18" t="s">
        <v>347</v>
      </c>
      <c r="K215" s="18">
        <v>3</v>
      </c>
      <c r="L215" s="18"/>
      <c r="M215" s="18"/>
      <c r="N215" s="18"/>
      <c r="O215" s="18" t="b">
        <f>VLOOKUP(A215,[1]Model!C$2:J$559,2,FALSE)=B215</f>
        <v>1</v>
      </c>
      <c r="P215" s="18" t="b">
        <f>VLOOKUP(A215,Model!C$2:G$228,5,FALSE)=D215</f>
        <v>1</v>
      </c>
      <c r="Q215" s="18">
        <f>VLOOKUP(A215,[2]Model!C$2:L$228,8,FALSE)</f>
        <v>169</v>
      </c>
      <c r="R215" s="18" t="e">
        <f>VLOOKUP(A215,[2]Model!C$2:G$228,3,FALSE)=[3]!Table14[[#This Row],[Business Definition (To go into comments and into Meta Data Hub)]]</f>
        <v>#REF!</v>
      </c>
      <c r="S215" s="18" t="e">
        <f>IF([3]!Table14[[#This Row],[Nullable in Table and in Oracle View
NULL, NOT NULL]]="No","NOT NULL","NULL")=VLOOKUP(A215,[2]Model!C$2:I$228,6,FALSE)</f>
        <v>#REF!</v>
      </c>
      <c r="T215" s="18" t="e">
        <f>VLOOKUP(B215,[2]Table!A$2:F$415,1,FALSE)=[3]!Table14[[#This Row],[Physical Name of Attribute (Name of column in Table)
Supplied by DA Team]]</f>
        <v>#REF!</v>
      </c>
      <c r="U215" s="18" t="b">
        <f>VLOOKUP(B215,Table!A$2:F$319,2,FALSE)=Table1[[#This Row],[Data type in Oracle
VARCHAR2(n), DATE, NUMBER(m,n), TIMETSTAMP(6)]]</f>
        <v>0</v>
      </c>
      <c r="V215" s="18" t="b">
        <f>VLOOKUP(B215,Table!A$2:F$231,3,FALSE)=Table1[[#This Row],[Nullable in Table and in Oracle View
NULL, NOT NULL]]</f>
        <v>1</v>
      </c>
      <c r="W215" s="18" t="b">
        <f>VLOOKUP(B215,Table!A$2:H$228,6,FALSE)=Table1[[#This Row],[Business Definition (To go into comments and into Meta Data Hub)]]</f>
        <v>1</v>
      </c>
      <c r="X215" s="55" t="str">
        <f>VLOOKUP((UPPER(SUBSTITUTE(A215," ","_"))),'[2]Consumer View'!A$2:I$329,1,FALSE)</f>
        <v>ORIGINAL_SOURCE_SYSTEM_CODE</v>
      </c>
      <c r="Y215" s="18" t="s">
        <v>68</v>
      </c>
      <c r="Z215" s="18" t="s">
        <v>69</v>
      </c>
      <c r="AA215" s="18" t="s">
        <v>215</v>
      </c>
      <c r="AB215" s="18"/>
      <c r="AC215" s="18"/>
      <c r="AD215" s="18"/>
      <c r="AE215" s="46" t="s">
        <v>1116</v>
      </c>
      <c r="AF215" s="18"/>
      <c r="AG215" s="18"/>
      <c r="AH215" s="18" t="s">
        <v>919</v>
      </c>
    </row>
    <row r="216" spans="1:34" ht="27" hidden="1" customHeight="1">
      <c r="A216" s="51" t="s">
        <v>1117</v>
      </c>
      <c r="B216" s="18" t="s">
        <v>1118</v>
      </c>
      <c r="C216" s="18"/>
      <c r="D216" s="18" t="s">
        <v>101</v>
      </c>
      <c r="E216" s="18" t="s">
        <v>345</v>
      </c>
      <c r="F216" s="18" t="s">
        <v>133</v>
      </c>
      <c r="G216" s="45" t="s">
        <v>63</v>
      </c>
      <c r="H216" s="46" t="s">
        <v>1119</v>
      </c>
      <c r="I216" s="18"/>
      <c r="J216" s="18" t="s">
        <v>347</v>
      </c>
      <c r="K216" s="18">
        <v>3</v>
      </c>
      <c r="L216" s="18"/>
      <c r="M216" s="18"/>
      <c r="N216" s="18"/>
      <c r="O216" s="18" t="b">
        <f>VLOOKUP(A216,[1]Model!C$2:J$559,2,FALSE)=B216</f>
        <v>1</v>
      </c>
      <c r="P216" s="18" t="b">
        <f>VLOOKUP(A216,Model!C$2:G$228,5,FALSE)=D216</f>
        <v>1</v>
      </c>
      <c r="Q216" s="18">
        <f>VLOOKUP(A216,[2]Model!C$2:L$228,8,FALSE)</f>
        <v>4</v>
      </c>
      <c r="R216" s="18" t="e">
        <f>VLOOKUP(A216,[2]Model!C$2:G$228,3,FALSE)=[3]!Table14[[#This Row],[Business Definition (To go into comments and into Meta Data Hub)]]</f>
        <v>#REF!</v>
      </c>
      <c r="S216" s="18" t="e">
        <f>IF([3]!Table14[[#This Row],[Nullable in Table and in Oracle View
NULL, NOT NULL]]="No","NOT NULL","NULL")=VLOOKUP(A216,[2]Model!C$2:I$228,6,FALSE)</f>
        <v>#REF!</v>
      </c>
      <c r="T216" s="18" t="e">
        <f>VLOOKUP(B216,[2]Table!A$2:F$415,1,FALSE)=[3]!Table14[[#This Row],[Physical Name of Attribute (Name of column in Table)
Supplied by DA Team]]</f>
        <v>#REF!</v>
      </c>
      <c r="U216" s="18" t="b">
        <f>VLOOKUP(B216,Table!A$2:F$319,2,FALSE)=Table1[[#This Row],[Data type in Oracle
VARCHAR2(n), DATE, NUMBER(m,n), TIMETSTAMP(6)]]</f>
        <v>1</v>
      </c>
      <c r="V216" s="18" t="b">
        <f>VLOOKUP(B216,Table!A$2:F$231,3,FALSE)=Table1[[#This Row],[Nullable in Table and in Oracle View
NULL, NOT NULL]]</f>
        <v>1</v>
      </c>
      <c r="W216" s="18" t="b">
        <f>VLOOKUP(B216,Table!A$2:H$228,6,FALSE)=Table1[[#This Row],[Business Definition (To go into comments and into Meta Data Hub)]]</f>
        <v>1</v>
      </c>
      <c r="X216" s="55" t="e">
        <f>VLOOKUP((UPPER(SUBSTITUTE(A216," ","_"))),'[2]Consumer View'!A$2:I$329,1,FALSE)</f>
        <v>#N/A</v>
      </c>
      <c r="Y216" s="18" t="s">
        <v>173</v>
      </c>
      <c r="Z216" s="18" t="s">
        <v>248</v>
      </c>
      <c r="AA216" s="18" t="s">
        <v>1120</v>
      </c>
      <c r="AB216" s="18"/>
      <c r="AC216" s="18"/>
      <c r="AD216" s="18" t="s">
        <v>1121</v>
      </c>
      <c r="AE216" s="46" t="s">
        <v>1122</v>
      </c>
      <c r="AF216" s="18"/>
      <c r="AG216" s="18"/>
      <c r="AH216" s="18" t="s">
        <v>351</v>
      </c>
    </row>
    <row r="217" spans="1:34" ht="27" hidden="1" customHeight="1">
      <c r="A217" s="51" t="s">
        <v>1123</v>
      </c>
      <c r="B217" s="18" t="s">
        <v>1124</v>
      </c>
      <c r="C217" s="18"/>
      <c r="D217" s="18" t="s">
        <v>101</v>
      </c>
      <c r="E217" s="18" t="s">
        <v>345</v>
      </c>
      <c r="F217" s="18" t="s">
        <v>133</v>
      </c>
      <c r="G217" s="45" t="s">
        <v>63</v>
      </c>
      <c r="H217" s="46" t="s">
        <v>1125</v>
      </c>
      <c r="I217" s="18"/>
      <c r="J217" s="18" t="s">
        <v>347</v>
      </c>
      <c r="K217" s="18">
        <v>3</v>
      </c>
      <c r="L217" s="18"/>
      <c r="M217" s="18"/>
      <c r="N217" s="18"/>
      <c r="O217" s="18" t="e">
        <f>VLOOKUP(A217,[1]Model!C$2:J$559,2,FALSE)=B217</f>
        <v>#N/A</v>
      </c>
      <c r="P217" s="18" t="e">
        <f>VLOOKUP(A217,Model!C$2:G$228,5,FALSE)=D217</f>
        <v>#N/A</v>
      </c>
      <c r="Q217" s="18" t="e">
        <f>VLOOKUP(A217,[2]Model!C$2:L$228,8,FALSE)</f>
        <v>#N/A</v>
      </c>
      <c r="R217" s="18" t="e">
        <f>VLOOKUP(A217,[2]Model!C$2:G$228,3,FALSE)=[3]!Table14[[#This Row],[Business Definition (To go into comments and into Meta Data Hub)]]</f>
        <v>#N/A</v>
      </c>
      <c r="S217" s="18" t="e">
        <f>IF([3]!Table14[[#This Row],[Nullable in Table and in Oracle View
NULL, NOT NULL]]="No","NOT NULL","NULL")=VLOOKUP(A217,[2]Model!C$2:I$228,6,FALSE)</f>
        <v>#REF!</v>
      </c>
      <c r="T217" s="18" t="e">
        <f>VLOOKUP(B217,[2]Table!A$2:F$415,1,FALSE)=[3]!Table14[[#This Row],[Physical Name of Attribute (Name of column in Table)
Supplied by DA Team]]</f>
        <v>#REF!</v>
      </c>
      <c r="U217" s="18" t="b">
        <f>VLOOKUP(B217,Table!A$2:F$319,2,FALSE)=Table1[[#This Row],[Data type in Oracle
VARCHAR2(n), DATE, NUMBER(m,n), TIMETSTAMP(6)]]</f>
        <v>1</v>
      </c>
      <c r="V217" s="18" t="b">
        <f>VLOOKUP(B217,Table!A$2:F$231,3,FALSE)=Table1[[#This Row],[Nullable in Table and in Oracle View
NULL, NOT NULL]]</f>
        <v>1</v>
      </c>
      <c r="W217" s="18" t="b">
        <f>VLOOKUP(B217,Table!A$2:H$228,6,FALSE)=Table1[[#This Row],[Business Definition (To go into comments and into Meta Data Hub)]]</f>
        <v>1</v>
      </c>
      <c r="X217" s="55" t="e">
        <f>VLOOKUP((UPPER(SUBSTITUTE(A217," ","_"))),'[2]Consumer View'!A$2:I$329,1,FALSE)</f>
        <v>#N/A</v>
      </c>
      <c r="Y217" s="18" t="s">
        <v>173</v>
      </c>
      <c r="Z217" s="18" t="s">
        <v>248</v>
      </c>
      <c r="AA217" s="18" t="s">
        <v>1120</v>
      </c>
      <c r="AB217" s="18"/>
      <c r="AC217" s="18"/>
      <c r="AD217" s="18" t="s">
        <v>1126</v>
      </c>
      <c r="AE217" s="46" t="s">
        <v>313</v>
      </c>
      <c r="AF217" s="18"/>
      <c r="AG217" s="18"/>
      <c r="AH217" s="18" t="s">
        <v>351</v>
      </c>
    </row>
    <row r="218" spans="1:34" ht="27" hidden="1" customHeight="1">
      <c r="A218" s="51" t="s">
        <v>1127</v>
      </c>
      <c r="B218" s="18" t="s">
        <v>1120</v>
      </c>
      <c r="C218" s="18"/>
      <c r="D218" s="18" t="s">
        <v>101</v>
      </c>
      <c r="E218" s="18" t="s">
        <v>345</v>
      </c>
      <c r="F218" s="18" t="s">
        <v>133</v>
      </c>
      <c r="G218" s="45" t="s">
        <v>63</v>
      </c>
      <c r="H218" s="46" t="s">
        <v>1128</v>
      </c>
      <c r="I218" s="18"/>
      <c r="J218" s="18" t="s">
        <v>347</v>
      </c>
      <c r="K218" s="18">
        <v>3</v>
      </c>
      <c r="L218" s="18"/>
      <c r="M218" s="18"/>
      <c r="N218" s="18"/>
      <c r="O218" s="18" t="b">
        <f>VLOOKUP(A218,[1]Model!C$2:J$559,2,FALSE)=B218</f>
        <v>1</v>
      </c>
      <c r="P218" s="18" t="b">
        <f>VLOOKUP(A218,Model!C$2:G$228,5,FALSE)=D218</f>
        <v>1</v>
      </c>
      <c r="Q218" s="18">
        <f>VLOOKUP(A218,[2]Model!C$2:L$228,8,FALSE)</f>
        <v>3</v>
      </c>
      <c r="R218" s="18" t="e">
        <f>VLOOKUP(A218,[2]Model!C$2:G$228,3,FALSE)=[3]!Table14[[#This Row],[Business Definition (To go into comments and into Meta Data Hub)]]</f>
        <v>#REF!</v>
      </c>
      <c r="S218" s="18" t="e">
        <f>IF([3]!Table14[[#This Row],[Nullable in Table and in Oracle View
NULL, NOT NULL]]="No","NOT NULL","NULL")=VLOOKUP(A218,[2]Model!C$2:I$228,6,FALSE)</f>
        <v>#REF!</v>
      </c>
      <c r="T218" s="18" t="e">
        <f>VLOOKUP(B218,[2]Table!A$2:F$415,1,FALSE)=[3]!Table14[[#This Row],[Physical Name of Attribute (Name of column in Table)
Supplied by DA Team]]</f>
        <v>#REF!</v>
      </c>
      <c r="U218" s="18" t="b">
        <f>VLOOKUP(B218,Table!A$2:F$319,2,FALSE)=Table1[[#This Row],[Data type in Oracle
VARCHAR2(n), DATE, NUMBER(m,n), TIMETSTAMP(6)]]</f>
        <v>1</v>
      </c>
      <c r="V218" s="18" t="b">
        <f>VLOOKUP(B218,Table!A$2:F$231,3,FALSE)=Table1[[#This Row],[Nullable in Table and in Oracle View
NULL, NOT NULL]]</f>
        <v>1</v>
      </c>
      <c r="W218" s="18" t="b">
        <f>VLOOKUP(B218,Table!A$2:H$228,6,FALSE)=Table1[[#This Row],[Business Definition (To go into comments and into Meta Data Hub)]]</f>
        <v>1</v>
      </c>
      <c r="X218" s="55" t="e">
        <f>VLOOKUP((UPPER(SUBSTITUTE(A218," ","_"))),'[2]Consumer View'!A$2:I$329,1,FALSE)</f>
        <v>#N/A</v>
      </c>
      <c r="Y218" s="18" t="s">
        <v>173</v>
      </c>
      <c r="Z218" s="18" t="s">
        <v>248</v>
      </c>
      <c r="AA218" s="18" t="s">
        <v>1120</v>
      </c>
      <c r="AB218" s="18"/>
      <c r="AC218" s="18"/>
      <c r="AD218" s="18" t="s">
        <v>306</v>
      </c>
      <c r="AE218" s="46" t="s">
        <v>1129</v>
      </c>
      <c r="AF218" s="18"/>
      <c r="AG218" s="18"/>
      <c r="AH218" s="18" t="s">
        <v>351</v>
      </c>
    </row>
    <row r="219" spans="1:34" ht="27" hidden="1" customHeight="1">
      <c r="A219" s="51" t="s">
        <v>1130</v>
      </c>
      <c r="B219" s="18" t="s">
        <v>1131</v>
      </c>
      <c r="C219" s="18" t="s">
        <v>1132</v>
      </c>
      <c r="D219" s="18" t="s">
        <v>464</v>
      </c>
      <c r="E219" s="78" t="s">
        <v>345</v>
      </c>
      <c r="F219" s="18" t="s">
        <v>465</v>
      </c>
      <c r="G219" s="45" t="s">
        <v>63</v>
      </c>
      <c r="H219" s="46" t="s">
        <v>1133</v>
      </c>
      <c r="I219" s="18"/>
      <c r="J219" s="18" t="s">
        <v>67</v>
      </c>
      <c r="K219" s="18">
        <v>3</v>
      </c>
      <c r="L219" s="18"/>
      <c r="M219" s="18"/>
      <c r="N219" s="18"/>
      <c r="O219" s="18" t="b">
        <f>VLOOKUP(A219,[1]Model!C$2:J$559,2,FALSE)=B219</f>
        <v>1</v>
      </c>
      <c r="P219" s="18" t="b">
        <f>VLOOKUP(A219,Model!C$2:G$228,5,FALSE)=D219</f>
        <v>1</v>
      </c>
      <c r="Q219" s="18">
        <f>VLOOKUP(A219,[2]Model!C$2:L$228,8,FALSE)</f>
        <v>211</v>
      </c>
      <c r="R219" s="18" t="e">
        <f>VLOOKUP(A219,[2]Model!C$2:G$228,3,FALSE)=[3]!Table14[[#This Row],[Business Definition (To go into comments and into Meta Data Hub)]]</f>
        <v>#REF!</v>
      </c>
      <c r="S219" s="18" t="e">
        <f>IF([3]!Table14[[#This Row],[Nullable in Table and in Oracle View
NULL, NOT NULL]]="No","NOT NULL","NULL")=VLOOKUP(A219,[2]Model!C$2:I$228,6,FALSE)</f>
        <v>#REF!</v>
      </c>
      <c r="T219" s="18" t="e">
        <f>VLOOKUP(B219,[2]Table!A$2:F$415,1,FALSE)=[3]!Table14[[#This Row],[Physical Name of Attribute (Name of column in Table)
Supplied by DA Team]]</f>
        <v>#REF!</v>
      </c>
      <c r="U219" s="18" t="b">
        <f>VLOOKUP(B219,Table!A$2:F$319,2,FALSE)=Table1[[#This Row],[Data type in Oracle
VARCHAR2(n), DATE, NUMBER(m,n), TIMETSTAMP(6)]]</f>
        <v>0</v>
      </c>
      <c r="V219" s="18" t="b">
        <f>VLOOKUP(B219,Table!A$2:F$231,3,FALSE)=Table1[[#This Row],[Nullable in Table and in Oracle View
NULL, NOT NULL]]</f>
        <v>1</v>
      </c>
      <c r="W219" s="18" t="b">
        <f>VLOOKUP(B219,Table!A$2:H$228,6,FALSE)=Table1[[#This Row],[Business Definition (To go into comments and into Meta Data Hub)]]</f>
        <v>1</v>
      </c>
      <c r="X219" s="18" t="str">
        <f>VLOOKUP((UPPER(SUBSTITUTE(A219," ","_"))),'[2]Consumer View'!A$2:I$329,1,FALSE)</f>
        <v>LAST_UPDATE_USER_NAME</v>
      </c>
      <c r="Y219" s="18"/>
      <c r="Z219" s="18"/>
      <c r="AA219" s="18"/>
      <c r="AB219" s="18"/>
      <c r="AC219" s="18"/>
      <c r="AD219" s="18" t="s">
        <v>1134</v>
      </c>
      <c r="AE219" s="46"/>
      <c r="AF219" s="18"/>
      <c r="AG219" s="18"/>
      <c r="AH219" s="78" t="s">
        <v>71</v>
      </c>
    </row>
    <row r="220" spans="1:34" ht="27" hidden="1" customHeight="1">
      <c r="A220" s="51" t="s">
        <v>1135</v>
      </c>
      <c r="B220" s="18" t="s">
        <v>1136</v>
      </c>
      <c r="C220" s="18" t="s">
        <v>1137</v>
      </c>
      <c r="D220" s="18" t="s">
        <v>157</v>
      </c>
      <c r="E220" s="78" t="s">
        <v>345</v>
      </c>
      <c r="F220" s="18" t="s">
        <v>158</v>
      </c>
      <c r="G220" s="45" t="s">
        <v>63</v>
      </c>
      <c r="H220" s="46" t="s">
        <v>1138</v>
      </c>
      <c r="I220" s="18"/>
      <c r="J220" s="18" t="s">
        <v>67</v>
      </c>
      <c r="K220" s="18">
        <v>3</v>
      </c>
      <c r="L220" s="18"/>
      <c r="M220" s="18"/>
      <c r="N220" s="18"/>
      <c r="O220" s="18" t="b">
        <f>VLOOKUP(A220,[1]Model!C$2:J$559,2,FALSE)=B220</f>
        <v>1</v>
      </c>
      <c r="P220" s="18" t="b">
        <f>VLOOKUP(A220,Model!C$2:G$228,5,FALSE)=D220</f>
        <v>1</v>
      </c>
      <c r="Q220" s="18">
        <f>VLOOKUP(A220,[2]Model!C$2:L$228,8,FALSE)</f>
        <v>212</v>
      </c>
      <c r="R220" s="18" t="e">
        <f>VLOOKUP(A220,[2]Model!C$2:G$228,3,FALSE)=[3]!Table14[[#This Row],[Business Definition (To go into comments and into Meta Data Hub)]]</f>
        <v>#REF!</v>
      </c>
      <c r="S220" s="18" t="e">
        <f>IF([3]!Table14[[#This Row],[Nullable in Table and in Oracle View
NULL, NOT NULL]]="No","NOT NULL","NULL")=VLOOKUP(A220,[2]Model!C$2:I$228,6,FALSE)</f>
        <v>#REF!</v>
      </c>
      <c r="T220" s="18" t="e">
        <f>VLOOKUP(B220,[2]Table!A$2:F$415,1,FALSE)=[3]!Table14[[#This Row],[Physical Name of Attribute (Name of column in Table)
Supplied by DA Team]]</f>
        <v>#REF!</v>
      </c>
      <c r="U220" s="18" t="b">
        <f>VLOOKUP(B220,Table!A$2:F$319,2,FALSE)=Table1[[#This Row],[Data type in Oracle
VARCHAR2(n), DATE, NUMBER(m,n), TIMETSTAMP(6)]]</f>
        <v>1</v>
      </c>
      <c r="V220" s="18" t="b">
        <f>VLOOKUP(B220,Table!A$2:F$231,3,FALSE)=Table1[[#This Row],[Nullable in Table and in Oracle View
NULL, NOT NULL]]</f>
        <v>1</v>
      </c>
      <c r="W220" s="18" t="b">
        <f>VLOOKUP(B220,Table!A$2:H$228,6,FALSE)=Table1[[#This Row],[Business Definition (To go into comments and into Meta Data Hub)]]</f>
        <v>1</v>
      </c>
      <c r="X220" s="18" t="str">
        <f>VLOOKUP((UPPER(SUBSTITUTE(A220," ","_"))),'[2]Consumer View'!A$2:I$329,1,FALSE)</f>
        <v>LAST_UPDATE_DATETIME</v>
      </c>
      <c r="Y220" s="18"/>
      <c r="Z220" s="18"/>
      <c r="AA220" s="18"/>
      <c r="AB220" s="18"/>
      <c r="AC220" s="18"/>
      <c r="AD220" s="18" t="s">
        <v>1139</v>
      </c>
      <c r="AE220" s="46"/>
      <c r="AF220" s="18"/>
      <c r="AG220" s="18"/>
      <c r="AH220" s="78" t="s">
        <v>71</v>
      </c>
    </row>
    <row r="221" spans="1:34" ht="27" hidden="1" customHeight="1">
      <c r="A221" s="93" t="s">
        <v>1140</v>
      </c>
      <c r="B221" s="58" t="s">
        <v>1141</v>
      </c>
      <c r="C221" s="58"/>
      <c r="D221" s="58" t="s">
        <v>101</v>
      </c>
      <c r="E221" s="58" t="s">
        <v>63</v>
      </c>
      <c r="F221" s="58" t="s">
        <v>133</v>
      </c>
      <c r="G221" s="70" t="s">
        <v>63</v>
      </c>
      <c r="H221" s="59"/>
      <c r="I221" s="58"/>
      <c r="J221" s="58" t="s">
        <v>1142</v>
      </c>
      <c r="K221" s="58">
        <v>3</v>
      </c>
      <c r="L221" s="58"/>
      <c r="M221" s="58"/>
      <c r="N221" s="58"/>
      <c r="O221" s="18" t="e">
        <f>VLOOKUP(A221,[1]Model!C$2:J$559,2,FALSE)=B221</f>
        <v>#N/A</v>
      </c>
      <c r="P221" s="18" t="e">
        <f>VLOOKUP(A221,Model!C$2:G$228,5,FALSE)=D221</f>
        <v>#N/A</v>
      </c>
      <c r="Q221" s="58" t="e">
        <f>VLOOKUP(A221,[2]Model!C$2:L$228,8,FALSE)</f>
        <v>#N/A</v>
      </c>
      <c r="R221" s="58" t="e">
        <f>VLOOKUP(A221,[2]Model!C$2:G$228,3,FALSE)=[3]!Table14[[#This Row],[Business Definition (To go into comments and into Meta Data Hub)]]</f>
        <v>#N/A</v>
      </c>
      <c r="S221" s="58" t="e">
        <f>IF([3]!Table14[[#This Row],[Nullable in Table and in Oracle View
NULL, NOT NULL]]="No","NOT NULL","NULL")=VLOOKUP(A221,[2]Model!C$2:I$228,6,FALSE)</f>
        <v>#REF!</v>
      </c>
      <c r="T221" s="18" t="e">
        <f>VLOOKUP(B221,[2]Table!A$2:F$415,1,FALSE)=[3]!Table14[[#This Row],[Physical Name of Attribute (Name of column in Table)
Supplied by DA Team]]</f>
        <v>#N/A</v>
      </c>
      <c r="U221" s="58" t="e">
        <f>VLOOKUP(B221,Table!A$2:F$319,2,FALSE)=Table1[[#This Row],[Data type in Oracle
VARCHAR2(n), DATE, NUMBER(m,n), TIMETSTAMP(6)]]</f>
        <v>#N/A</v>
      </c>
      <c r="V221" s="58" t="e">
        <f>VLOOKUP(B221,Table!A$2:F$231,3,FALSE)=Table1[[#This Row],[Nullable in Table and in Oracle View
NULL, NOT NULL]]</f>
        <v>#N/A</v>
      </c>
      <c r="W221" s="58" t="e">
        <f>VLOOKUP(B221,Table!A$2:H$228,6,FALSE)=Table1[[#This Row],[Business Definition (To go into comments and into Meta Data Hub)]]</f>
        <v>#N/A</v>
      </c>
      <c r="X221" s="58" t="e">
        <f>VLOOKUP((UPPER(SUBSTITUTE(A221," ","_"))),'[2]Consumer View'!A$2:I$329,1,FALSE)</f>
        <v>#N/A</v>
      </c>
      <c r="Y221" s="58"/>
      <c r="Z221" s="58"/>
      <c r="AA221" s="58"/>
      <c r="AB221" s="58"/>
      <c r="AC221" s="58"/>
      <c r="AD221" s="18"/>
      <c r="AE221" s="46" t="s">
        <v>1143</v>
      </c>
      <c r="AF221" s="18"/>
      <c r="AG221" s="18"/>
      <c r="AH221" s="58" t="s">
        <v>1144</v>
      </c>
    </row>
    <row r="222" spans="1:34" ht="27" hidden="1" customHeight="1">
      <c r="A222" s="93" t="s">
        <v>1145</v>
      </c>
      <c r="B222" s="58" t="s">
        <v>1146</v>
      </c>
      <c r="C222" s="58"/>
      <c r="D222" s="58" t="s">
        <v>101</v>
      </c>
      <c r="E222" s="58" t="s">
        <v>63</v>
      </c>
      <c r="F222" s="58" t="s">
        <v>133</v>
      </c>
      <c r="G222" s="70" t="s">
        <v>63</v>
      </c>
      <c r="H222" s="59"/>
      <c r="I222" s="58"/>
      <c r="J222" s="58" t="s">
        <v>1142</v>
      </c>
      <c r="K222" s="58">
        <v>3</v>
      </c>
      <c r="L222" s="58"/>
      <c r="M222" s="58"/>
      <c r="N222" s="58"/>
      <c r="O222" s="18" t="e">
        <f>VLOOKUP(A222,[1]Model!C$2:J$559,2,FALSE)=B222</f>
        <v>#N/A</v>
      </c>
      <c r="P222" s="18" t="e">
        <f>VLOOKUP(A222,Model!C$2:G$228,5,FALSE)=D222</f>
        <v>#N/A</v>
      </c>
      <c r="Q222" s="58" t="e">
        <f>VLOOKUP(A222,[2]Model!C$2:L$228,8,FALSE)</f>
        <v>#N/A</v>
      </c>
      <c r="R222" s="58" t="e">
        <f>VLOOKUP(A222,[2]Model!C$2:G$228,3,FALSE)=[3]!Table14[[#This Row],[Business Definition (To go into comments and into Meta Data Hub)]]</f>
        <v>#N/A</v>
      </c>
      <c r="S222" s="58" t="e">
        <f>IF([3]!Table14[[#This Row],[Nullable in Table and in Oracle View
NULL, NOT NULL]]="No","NOT NULL","NULL")=VLOOKUP(A222,[2]Model!C$2:I$228,6,FALSE)</f>
        <v>#REF!</v>
      </c>
      <c r="T222" s="18" t="e">
        <f>VLOOKUP(B222,[2]Table!A$2:F$415,1,FALSE)=[3]!Table14[[#This Row],[Physical Name of Attribute (Name of column in Table)
Supplied by DA Team]]</f>
        <v>#N/A</v>
      </c>
      <c r="U222" s="58" t="e">
        <f>VLOOKUP(B222,Table!A$2:F$319,2,FALSE)=Table1[[#This Row],[Data type in Oracle
VARCHAR2(n), DATE, NUMBER(m,n), TIMETSTAMP(6)]]</f>
        <v>#N/A</v>
      </c>
      <c r="V222" s="58" t="e">
        <f>VLOOKUP(B222,Table!A$2:F$231,3,FALSE)=Table1[[#This Row],[Nullable in Table and in Oracle View
NULL, NOT NULL]]</f>
        <v>#N/A</v>
      </c>
      <c r="W222" s="58" t="e">
        <f>VLOOKUP(B222,Table!A$2:H$228,6,FALSE)=Table1[[#This Row],[Business Definition (To go into comments and into Meta Data Hub)]]</f>
        <v>#N/A</v>
      </c>
      <c r="X222" s="58" t="e">
        <f>VLOOKUP((UPPER(SUBSTITUTE(A222," ","_"))),'[2]Consumer View'!A$2:I$329,1,FALSE)</f>
        <v>#N/A</v>
      </c>
      <c r="Y222" s="58"/>
      <c r="Z222" s="58"/>
      <c r="AA222" s="58"/>
      <c r="AB222" s="58"/>
      <c r="AC222" s="58"/>
      <c r="AD222" s="18"/>
      <c r="AE222" s="46" t="s">
        <v>1143</v>
      </c>
      <c r="AF222" s="18"/>
      <c r="AG222" s="18"/>
      <c r="AH222" s="58" t="s">
        <v>1144</v>
      </c>
    </row>
    <row r="223" spans="1:34" ht="27" hidden="1" customHeight="1">
      <c r="A223" s="93" t="s">
        <v>1147</v>
      </c>
      <c r="B223" s="58" t="s">
        <v>1148</v>
      </c>
      <c r="C223" s="58"/>
      <c r="D223" s="58" t="s">
        <v>101</v>
      </c>
      <c r="E223" s="58" t="s">
        <v>63</v>
      </c>
      <c r="F223" s="58" t="s">
        <v>133</v>
      </c>
      <c r="G223" s="70" t="s">
        <v>63</v>
      </c>
      <c r="H223" s="59"/>
      <c r="I223" s="58"/>
      <c r="J223" s="58" t="s">
        <v>1142</v>
      </c>
      <c r="K223" s="58">
        <v>3</v>
      </c>
      <c r="L223" s="58"/>
      <c r="M223" s="58"/>
      <c r="N223" s="58"/>
      <c r="O223" s="18" t="e">
        <f>VLOOKUP(A223,[1]Model!C$2:J$559,2,FALSE)=B223</f>
        <v>#N/A</v>
      </c>
      <c r="P223" s="18" t="e">
        <f>VLOOKUP(A223,Model!C$2:G$228,5,FALSE)=D223</f>
        <v>#N/A</v>
      </c>
      <c r="Q223" s="58" t="e">
        <f>VLOOKUP(A223,[2]Model!C$2:L$228,8,FALSE)</f>
        <v>#N/A</v>
      </c>
      <c r="R223" s="58" t="e">
        <f>VLOOKUP(A223,[2]Model!C$2:G$228,3,FALSE)=[3]!Table14[[#This Row],[Business Definition (To go into comments and into Meta Data Hub)]]</f>
        <v>#N/A</v>
      </c>
      <c r="S223" s="58" t="e">
        <f>IF([3]!Table14[[#This Row],[Nullable in Table and in Oracle View
NULL, NOT NULL]]="No","NOT NULL","NULL")=VLOOKUP(A223,[2]Model!C$2:I$228,6,FALSE)</f>
        <v>#REF!</v>
      </c>
      <c r="T223" s="18" t="e">
        <f>VLOOKUP(B223,[2]Table!A$2:F$415,1,FALSE)=[3]!Table14[[#This Row],[Physical Name of Attribute (Name of column in Table)
Supplied by DA Team]]</f>
        <v>#N/A</v>
      </c>
      <c r="U223" s="58" t="e">
        <f>VLOOKUP(B223,Table!A$2:F$319,2,FALSE)=Table1[[#This Row],[Data type in Oracle
VARCHAR2(n), DATE, NUMBER(m,n), TIMETSTAMP(6)]]</f>
        <v>#N/A</v>
      </c>
      <c r="V223" s="58" t="e">
        <f>VLOOKUP(B223,Table!A$2:F$231,3,FALSE)=Table1[[#This Row],[Nullable in Table and in Oracle View
NULL, NOT NULL]]</f>
        <v>#N/A</v>
      </c>
      <c r="W223" s="58" t="e">
        <f>VLOOKUP(B223,Table!A$2:H$228,6,FALSE)=Table1[[#This Row],[Business Definition (To go into comments and into Meta Data Hub)]]</f>
        <v>#N/A</v>
      </c>
      <c r="X223" s="58" t="e">
        <f>VLOOKUP((UPPER(SUBSTITUTE(A223," ","_"))),'[2]Consumer View'!A$2:I$329,1,FALSE)</f>
        <v>#N/A</v>
      </c>
      <c r="Y223" s="58"/>
      <c r="Z223" s="58"/>
      <c r="AA223" s="58"/>
      <c r="AB223" s="58"/>
      <c r="AC223" s="58"/>
      <c r="AD223" s="18"/>
      <c r="AE223" s="46" t="s">
        <v>1143</v>
      </c>
      <c r="AF223" s="18"/>
      <c r="AG223" s="18"/>
      <c r="AH223" s="58" t="s">
        <v>1144</v>
      </c>
    </row>
    <row r="224" spans="1:34" ht="27" hidden="1" customHeight="1">
      <c r="A224" s="93" t="s">
        <v>1149</v>
      </c>
      <c r="B224" s="58" t="s">
        <v>1150</v>
      </c>
      <c r="C224" s="58"/>
      <c r="D224" s="58" t="s">
        <v>101</v>
      </c>
      <c r="E224" s="58" t="s">
        <v>63</v>
      </c>
      <c r="F224" s="58" t="s">
        <v>133</v>
      </c>
      <c r="G224" s="70" t="s">
        <v>63</v>
      </c>
      <c r="H224" s="59"/>
      <c r="I224" s="58"/>
      <c r="J224" s="58" t="s">
        <v>1142</v>
      </c>
      <c r="K224" s="58">
        <v>3</v>
      </c>
      <c r="L224" s="58"/>
      <c r="M224" s="58"/>
      <c r="N224" s="58"/>
      <c r="O224" s="18" t="e">
        <f>VLOOKUP(A224,[1]Model!C$2:J$559,2,FALSE)=B224</f>
        <v>#N/A</v>
      </c>
      <c r="P224" s="18" t="e">
        <f>VLOOKUP(A224,Model!C$2:G$228,5,FALSE)=D224</f>
        <v>#N/A</v>
      </c>
      <c r="Q224" s="58" t="e">
        <f>VLOOKUP(A224,[2]Model!C$2:L$228,8,FALSE)</f>
        <v>#N/A</v>
      </c>
      <c r="R224" s="58" t="e">
        <f>VLOOKUP(A224,[2]Model!C$2:G$228,3,FALSE)=[3]!Table14[[#This Row],[Business Definition (To go into comments and into Meta Data Hub)]]</f>
        <v>#N/A</v>
      </c>
      <c r="S224" s="58" t="e">
        <f>IF([3]!Table14[[#This Row],[Nullable in Table and in Oracle View
NULL, NOT NULL]]="No","NOT NULL","NULL")=VLOOKUP(A224,[2]Model!C$2:I$228,6,FALSE)</f>
        <v>#REF!</v>
      </c>
      <c r="T224" s="18" t="e">
        <f>VLOOKUP(B224,[2]Table!A$2:F$415,1,FALSE)=[3]!Table14[[#This Row],[Physical Name of Attribute (Name of column in Table)
Supplied by DA Team]]</f>
        <v>#N/A</v>
      </c>
      <c r="U224" s="58" t="e">
        <f>VLOOKUP(B224,Table!A$2:F$319,2,FALSE)=Table1[[#This Row],[Data type in Oracle
VARCHAR2(n), DATE, NUMBER(m,n), TIMETSTAMP(6)]]</f>
        <v>#N/A</v>
      </c>
      <c r="V224" s="58" t="e">
        <f>VLOOKUP(B224,Table!A$2:F$231,3,FALSE)=Table1[[#This Row],[Nullable in Table and in Oracle View
NULL, NOT NULL]]</f>
        <v>#N/A</v>
      </c>
      <c r="W224" s="58" t="e">
        <f>VLOOKUP(B224,Table!A$2:H$228,6,FALSE)=Table1[[#This Row],[Business Definition (To go into comments and into Meta Data Hub)]]</f>
        <v>#N/A</v>
      </c>
      <c r="X224" s="58" t="e">
        <f>VLOOKUP((UPPER(SUBSTITUTE(A224," ","_"))),'[2]Consumer View'!A$2:I$329,1,FALSE)</f>
        <v>#N/A</v>
      </c>
      <c r="Y224" s="58"/>
      <c r="Z224" s="58"/>
      <c r="AA224" s="58"/>
      <c r="AB224" s="58"/>
      <c r="AC224" s="58"/>
      <c r="AD224" s="18"/>
      <c r="AE224" s="46" t="s">
        <v>1143</v>
      </c>
      <c r="AF224" s="18"/>
      <c r="AG224" s="18"/>
      <c r="AH224" s="58" t="s">
        <v>1144</v>
      </c>
    </row>
    <row r="225" spans="1:34" ht="27" hidden="1" customHeight="1">
      <c r="A225" s="93" t="s">
        <v>1151</v>
      </c>
      <c r="B225" s="58" t="s">
        <v>1152</v>
      </c>
      <c r="C225" s="58"/>
      <c r="D225" s="58" t="s">
        <v>101</v>
      </c>
      <c r="E225" s="58" t="s">
        <v>63</v>
      </c>
      <c r="F225" s="58" t="s">
        <v>133</v>
      </c>
      <c r="G225" s="70" t="s">
        <v>63</v>
      </c>
      <c r="H225" s="59"/>
      <c r="I225" s="58"/>
      <c r="J225" s="58" t="s">
        <v>1142</v>
      </c>
      <c r="K225" s="58">
        <v>3</v>
      </c>
      <c r="L225" s="58"/>
      <c r="M225" s="58"/>
      <c r="N225" s="58"/>
      <c r="O225" s="18" t="e">
        <f>VLOOKUP(A225,[1]Model!C$2:J$559,2,FALSE)=B225</f>
        <v>#N/A</v>
      </c>
      <c r="P225" s="18" t="e">
        <f>VLOOKUP(A225,Model!C$2:G$228,5,FALSE)=D225</f>
        <v>#N/A</v>
      </c>
      <c r="Q225" s="58" t="e">
        <f>VLOOKUP(A225,[2]Model!C$2:L$228,8,FALSE)</f>
        <v>#N/A</v>
      </c>
      <c r="R225" s="58" t="e">
        <f>VLOOKUP(A225,[2]Model!C$2:G$228,3,FALSE)=[3]!Table14[[#This Row],[Business Definition (To go into comments and into Meta Data Hub)]]</f>
        <v>#N/A</v>
      </c>
      <c r="S225" s="58" t="e">
        <f>IF([3]!Table14[[#This Row],[Nullable in Table and in Oracle View
NULL, NOT NULL]]="No","NOT NULL","NULL")=VLOOKUP(A225,[2]Model!C$2:I$228,6,FALSE)</f>
        <v>#REF!</v>
      </c>
      <c r="T225" s="18" t="e">
        <f>VLOOKUP(B225,[2]Table!A$2:F$415,1,FALSE)=[3]!Table14[[#This Row],[Physical Name of Attribute (Name of column in Table)
Supplied by DA Team]]</f>
        <v>#N/A</v>
      </c>
      <c r="U225" s="58" t="e">
        <f>VLOOKUP(B225,Table!A$2:F$319,2,FALSE)=Table1[[#This Row],[Data type in Oracle
VARCHAR2(n), DATE, NUMBER(m,n), TIMETSTAMP(6)]]</f>
        <v>#N/A</v>
      </c>
      <c r="V225" s="58" t="e">
        <f>VLOOKUP(B225,Table!A$2:F$231,3,FALSE)=Table1[[#This Row],[Nullable in Table and in Oracle View
NULL, NOT NULL]]</f>
        <v>#N/A</v>
      </c>
      <c r="W225" s="58" t="e">
        <f>VLOOKUP(B225,Table!A$2:H$228,6,FALSE)=Table1[[#This Row],[Business Definition (To go into comments and into Meta Data Hub)]]</f>
        <v>#N/A</v>
      </c>
      <c r="X225" s="58" t="e">
        <f>VLOOKUP((UPPER(SUBSTITUTE(A225," ","_"))),'[2]Consumer View'!A$2:I$329,1,FALSE)</f>
        <v>#N/A</v>
      </c>
      <c r="Y225" s="58"/>
      <c r="Z225" s="58"/>
      <c r="AA225" s="58"/>
      <c r="AB225" s="58"/>
      <c r="AC225" s="58"/>
      <c r="AD225" s="18"/>
      <c r="AE225" s="46" t="s">
        <v>1143</v>
      </c>
      <c r="AF225" s="18"/>
      <c r="AG225" s="18"/>
      <c r="AH225" s="58" t="s">
        <v>1144</v>
      </c>
    </row>
    <row r="226" spans="1:34" ht="27" hidden="1" customHeight="1">
      <c r="A226" s="92" t="s">
        <v>1153</v>
      </c>
      <c r="B226" s="64" t="s">
        <v>1154</v>
      </c>
      <c r="C226" s="64"/>
      <c r="D226" s="64" t="s">
        <v>101</v>
      </c>
      <c r="E226" s="65" t="s">
        <v>63</v>
      </c>
      <c r="F226" s="66" t="s">
        <v>133</v>
      </c>
      <c r="G226" s="66" t="s">
        <v>63</v>
      </c>
      <c r="H226" s="66" t="s">
        <v>1155</v>
      </c>
      <c r="I226" s="66"/>
      <c r="J226" s="66" t="s">
        <v>347</v>
      </c>
      <c r="K226" s="66">
        <v>3</v>
      </c>
      <c r="L226" s="66"/>
      <c r="M226" s="66"/>
      <c r="N226" s="66"/>
      <c r="O226" s="18" t="b">
        <f>VLOOKUP(A226,[1]Model!C$2:J$559,2,FALSE)=B226</f>
        <v>1</v>
      </c>
      <c r="P226" s="18" t="e">
        <f>VLOOKUP(A226,Model!C$2:G$228,5,FALSE)=D226</f>
        <v>#N/A</v>
      </c>
      <c r="Q226" s="18">
        <f>VLOOKUP(A226,[2]Model!C$2:L$228,8,FALSE)</f>
        <v>89</v>
      </c>
      <c r="R226" s="18" t="e">
        <f>VLOOKUP(A226,[2]Model!C$2:G$228,3,FALSE)=[3]!Table14[[#This Row],[Business Definition (To go into comments and into Meta Data Hub)]]</f>
        <v>#REF!</v>
      </c>
      <c r="S226" s="18" t="e">
        <f>IF([3]!Table14[[#This Row],[Nullable in Table and in Oracle View
NULL, NOT NULL]]="No","NOT NULL","NULL")=VLOOKUP(A226,[2]Model!C$2:I$228,6,FALSE)</f>
        <v>#REF!</v>
      </c>
      <c r="T226" s="18" t="e">
        <f>VLOOKUP(B226,[2]Table!A$2:F$415,1,FALSE)=[3]!Table14[[#This Row],[Physical Name of Attribute (Name of column in Table)
Supplied by DA Team]]</f>
        <v>#REF!</v>
      </c>
      <c r="U226" s="1" t="b">
        <f>VLOOKUP(B226,Table!A$2:F$319,2,FALSE)=Table1[[#This Row],[Data type in Oracle
VARCHAR2(n), DATE, NUMBER(m,n), TIMETSTAMP(6)]]</f>
        <v>1</v>
      </c>
      <c r="V226" s="1" t="b">
        <f>VLOOKUP(B226,Table!A$2:F$231,3,FALSE)=Table1[[#This Row],[Nullable in Table and in Oracle View
NULL, NOT NULL]]</f>
        <v>1</v>
      </c>
      <c r="W226" s="18" t="b">
        <f>VLOOKUP(B226,Table!A$2:H$228,6,FALSE)=Table1[[#This Row],[Business Definition (To go into comments and into Meta Data Hub)]]</f>
        <v>0</v>
      </c>
      <c r="X226" s="73" t="str">
        <f>VLOOKUP((UPPER(SUBSTITUTE(A226," ","_"))),'[2]Consumer View'!A$2:I$329,1,FALSE)</f>
        <v>SESSION_NUMBER</v>
      </c>
      <c r="Y226" s="66"/>
      <c r="Z226" s="1"/>
      <c r="AA226" s="1"/>
      <c r="AB226" s="1"/>
      <c r="AC226" s="1"/>
      <c r="AD226" s="1"/>
      <c r="AE226" s="12"/>
      <c r="AF226" s="1"/>
      <c r="AG226" s="18"/>
      <c r="AH226" s="78" t="s">
        <v>1144</v>
      </c>
    </row>
    <row r="227" spans="1:34" ht="27" hidden="1" customHeight="1">
      <c r="A227" s="51" t="s">
        <v>1156</v>
      </c>
      <c r="B227" s="51" t="s">
        <v>1157</v>
      </c>
      <c r="C227" s="51" t="s">
        <v>1158</v>
      </c>
      <c r="D227" s="18" t="s">
        <v>90</v>
      </c>
      <c r="E227" s="18" t="s">
        <v>63</v>
      </c>
      <c r="F227" s="18" t="s">
        <v>91</v>
      </c>
      <c r="G227" s="45" t="s">
        <v>63</v>
      </c>
      <c r="H227" s="46" t="s">
        <v>1159</v>
      </c>
      <c r="I227" s="18" t="s">
        <v>1160</v>
      </c>
      <c r="J227" s="18" t="s">
        <v>67</v>
      </c>
      <c r="K227" s="18">
        <v>1</v>
      </c>
      <c r="L227" s="18"/>
      <c r="M227" s="18"/>
      <c r="N227" s="18"/>
      <c r="O227" s="18" t="b">
        <f>VLOOKUP(A227,[1]Model!C$2:J$559,2,FALSE)=B227</f>
        <v>1</v>
      </c>
      <c r="P227" s="18" t="e">
        <f>VLOOKUP(A227,Model!C$2:G$228,5,FALSE)=D227</f>
        <v>#N/A</v>
      </c>
      <c r="Q227" s="18">
        <f>VLOOKUP(A227,[2]Model!C$2:L$228,8,FALSE)</f>
        <v>213</v>
      </c>
      <c r="R227" s="18" t="e">
        <f>VLOOKUP(A227,[2]Model!C$2:G$228,3,FALSE)=[3]!Table14[[#This Row],[Business Definition (To go into comments and into Meta Data Hub)]]</f>
        <v>#REF!</v>
      </c>
      <c r="S227" s="18" t="e">
        <f>IF([3]!Table14[[#This Row],[Nullable in Table and in Oracle View
NULL, NOT NULL]]="No","NOT NULL","NULL")=VLOOKUP(A227,[2]Model!C$2:I$228,6,FALSE)</f>
        <v>#REF!</v>
      </c>
      <c r="T227" s="18" t="e">
        <f>VLOOKUP(B227,[2]Table!A$2:F$415,1,FALSE)=[3]!Table14[[#This Row],[Physical Name of Attribute (Name of column in Table)
Supplied by DA Team]]</f>
        <v>#N/A</v>
      </c>
      <c r="U227" s="18" t="e">
        <f>VLOOKUP(B227,Table!A$2:F$319,2,FALSE)=Table1[[#This Row],[Data type in Oracle
VARCHAR2(n), DATE, NUMBER(m,n), TIMETSTAMP(6)]]</f>
        <v>#N/A</v>
      </c>
      <c r="V227" s="18" t="e">
        <f>VLOOKUP(B227,Table!A$2:F$231,3,FALSE)=Table1[[#This Row],[Nullable in Table and in Oracle View
NULL, NOT NULL]]</f>
        <v>#N/A</v>
      </c>
      <c r="W227" s="18" t="e">
        <f>VLOOKUP(B227,Table!A$2:H$228,6,FALSE)=Table1[[#This Row],[Business Definition (To go into comments and into Meta Data Hub)]]</f>
        <v>#N/A</v>
      </c>
      <c r="X227" s="18" t="e">
        <f>VLOOKUP((UPPER(SUBSTITUTE(A227," ","_"))),'[2]Consumer View'!A$2:I$329,1,FALSE)</f>
        <v>#N/A</v>
      </c>
      <c r="Y227" s="18" t="s">
        <v>68</v>
      </c>
      <c r="Z227" s="18" t="s">
        <v>375</v>
      </c>
      <c r="AA227" s="18" t="s">
        <v>1161</v>
      </c>
      <c r="AB227" s="18"/>
      <c r="AC227" s="18"/>
      <c r="AD227" s="46" t="s">
        <v>913</v>
      </c>
      <c r="AE227" s="46" t="s">
        <v>1162</v>
      </c>
      <c r="AF227" s="18" t="s">
        <v>67</v>
      </c>
      <c r="AG227" s="18"/>
      <c r="AH227" s="18" t="s">
        <v>71</v>
      </c>
    </row>
    <row r="228" spans="1:34" ht="27" hidden="1" customHeight="1">
      <c r="A228" s="51" t="s">
        <v>1163</v>
      </c>
      <c r="B228" s="95" t="s">
        <v>1164</v>
      </c>
      <c r="C228" s="95" t="s">
        <v>1165</v>
      </c>
      <c r="D228" s="18" t="s">
        <v>139</v>
      </c>
      <c r="E228" s="18" t="s">
        <v>63</v>
      </c>
      <c r="F228" s="18" t="s">
        <v>140</v>
      </c>
      <c r="G228" s="45" t="s">
        <v>63</v>
      </c>
      <c r="H228" s="46" t="s">
        <v>1166</v>
      </c>
      <c r="I228" s="18"/>
      <c r="J228" s="18" t="s">
        <v>67</v>
      </c>
      <c r="K228" s="18"/>
      <c r="L228" s="18"/>
      <c r="M228" s="18"/>
      <c r="N228" s="18"/>
      <c r="O228" s="18" t="b">
        <f>VLOOKUP(A228,[1]Model!C$2:J$559,2,FALSE)=B228</f>
        <v>1</v>
      </c>
      <c r="P228" s="18" t="b">
        <f>VLOOKUP(A228,Model!C$2:G$228,5,FALSE)=D228</f>
        <v>1</v>
      </c>
      <c r="Q228" s="18">
        <f>VLOOKUP(A228,[2]Model!C$2:L$228,8,FALSE)</f>
        <v>178</v>
      </c>
      <c r="R228" s="18" t="e">
        <f>VLOOKUP(A228,[2]Model!C$2:G$228,3,FALSE)=[3]!Table14[[#This Row],[Business Definition (To go into comments and into Meta Data Hub)]]</f>
        <v>#REF!</v>
      </c>
      <c r="S228" s="18" t="e">
        <f>IF([3]!Table14[[#This Row],[Nullable in Table and in Oracle View
NULL, NOT NULL]]="No","NOT NULL","NULL")=VLOOKUP(A228,[2]Model!C$2:I$228,6,FALSE)</f>
        <v>#REF!</v>
      </c>
      <c r="T228" s="18" t="e">
        <f>VLOOKUP(B228,[2]Table!A$2:F$415,1,FALSE)=[3]!Table14[[#This Row],[Physical Name of Attribute (Name of column in Table)
Supplied by DA Team]]</f>
        <v>#N/A</v>
      </c>
      <c r="U228" s="58"/>
      <c r="V228" s="58"/>
      <c r="W228" s="58"/>
      <c r="X228" s="18" t="e">
        <f>VLOOKUP((UPPER(SUBSTITUTE(A228," ","_"))),'[2]Consumer View'!A$2:I$329,1,FALSE)</f>
        <v>#N/A</v>
      </c>
      <c r="Y228" s="87" t="s">
        <v>68</v>
      </c>
      <c r="Z228" s="46" t="s">
        <v>113</v>
      </c>
      <c r="AA228" s="46" t="s">
        <v>143</v>
      </c>
      <c r="AB228" s="18"/>
      <c r="AC228" s="18"/>
      <c r="AD228" s="18"/>
      <c r="AE228" s="46" t="s">
        <v>1167</v>
      </c>
      <c r="AF228" s="18"/>
      <c r="AG228" s="18"/>
      <c r="AH228" s="18" t="s">
        <v>71</v>
      </c>
    </row>
    <row r="229" spans="1:34" ht="27" hidden="1" customHeight="1">
      <c r="A229" s="51" t="s">
        <v>1168</v>
      </c>
      <c r="B229" s="95" t="s">
        <v>1169</v>
      </c>
      <c r="C229" s="95" t="s">
        <v>1170</v>
      </c>
      <c r="D229" s="18" t="s">
        <v>109</v>
      </c>
      <c r="E229" s="18" t="s">
        <v>63</v>
      </c>
      <c r="F229" s="18" t="s">
        <v>110</v>
      </c>
      <c r="G229" s="45" t="s">
        <v>63</v>
      </c>
      <c r="H229" s="46" t="s">
        <v>1171</v>
      </c>
      <c r="I229" s="18"/>
      <c r="J229" s="18" t="s">
        <v>67</v>
      </c>
      <c r="K229" s="18"/>
      <c r="L229" s="18"/>
      <c r="M229" s="18"/>
      <c r="N229" s="18"/>
      <c r="O229" s="18" t="b">
        <f>VLOOKUP(A229,[1]Model!C$2:J$559,2,FALSE)=B229</f>
        <v>1</v>
      </c>
      <c r="P229" s="18" t="b">
        <f>VLOOKUP(A229,Model!C$2:G$228,5,FALSE)=D229</f>
        <v>1</v>
      </c>
      <c r="Q229" s="18">
        <f>VLOOKUP(A229,[2]Model!C$2:L$228,8,FALSE)</f>
        <v>180</v>
      </c>
      <c r="R229" s="18" t="e">
        <f>VLOOKUP(A229,[2]Model!C$2:G$228,3,FALSE)=[3]!Table14[[#This Row],[Business Definition (To go into comments and into Meta Data Hub)]]</f>
        <v>#REF!</v>
      </c>
      <c r="S229" s="18" t="e">
        <f>IF([3]!Table14[[#This Row],[Nullable in Table and in Oracle View
NULL, NOT NULL]]="No","NOT NULL","NULL")=VLOOKUP(A229,[2]Model!C$2:I$228,6,FALSE)</f>
        <v>#REF!</v>
      </c>
      <c r="T229" s="18" t="e">
        <f>VLOOKUP(B229,[2]Table!A$2:F$415,1,FALSE)=[3]!Table14[[#This Row],[Physical Name of Attribute (Name of column in Table)
Supplied by DA Team]]</f>
        <v>#N/A</v>
      </c>
      <c r="U229" s="58"/>
      <c r="V229" s="58"/>
      <c r="W229" s="58"/>
      <c r="X229" s="18" t="e">
        <f>VLOOKUP((UPPER(SUBSTITUTE(A229," ","_"))),'[2]Consumer View'!A$2:I$329,1,FALSE)</f>
        <v>#N/A</v>
      </c>
      <c r="Y229" s="87" t="s">
        <v>68</v>
      </c>
      <c r="Z229" s="46" t="s">
        <v>113</v>
      </c>
      <c r="AA229" s="46" t="s">
        <v>114</v>
      </c>
      <c r="AB229" s="18"/>
      <c r="AC229" s="18"/>
      <c r="AD229" s="18"/>
      <c r="AE229" s="46" t="s">
        <v>1167</v>
      </c>
      <c r="AF229" s="18"/>
      <c r="AG229" s="18"/>
      <c r="AH229" s="18" t="s">
        <v>71</v>
      </c>
    </row>
    <row r="230" spans="1:34" ht="27" hidden="1" customHeight="1">
      <c r="A230" s="94" t="s">
        <v>1172</v>
      </c>
      <c r="B230" s="95" t="s">
        <v>1173</v>
      </c>
      <c r="C230" s="95"/>
      <c r="D230" s="87" t="s">
        <v>101</v>
      </c>
      <c r="E230" s="87" t="s">
        <v>63</v>
      </c>
      <c r="F230" s="87" t="s">
        <v>133</v>
      </c>
      <c r="G230" s="89" t="s">
        <v>63</v>
      </c>
      <c r="H230" s="46" t="s">
        <v>1174</v>
      </c>
      <c r="I230" s="87"/>
      <c r="J230" s="87" t="s">
        <v>67</v>
      </c>
      <c r="K230" s="87"/>
      <c r="L230" s="87"/>
      <c r="M230" s="87"/>
      <c r="N230" s="87"/>
      <c r="O230" s="18" t="b">
        <f>VLOOKUP(A230,[1]Model!C$2:J$559,2,FALSE)=B230</f>
        <v>1</v>
      </c>
      <c r="P230" s="18" t="b">
        <f>VLOOKUP(A230,Model!C$2:G$228,5,FALSE)=D230</f>
        <v>1</v>
      </c>
      <c r="Q230" s="87">
        <f>VLOOKUP(A230,[2]Model!C$2:L$228,8,FALSE)</f>
        <v>182</v>
      </c>
      <c r="R230" s="87" t="e">
        <f>VLOOKUP(A230,[2]Model!C$2:G$228,3,FALSE)=[3]!Table14[[#This Row],[Business Definition (To go into comments and into Meta Data Hub)]]</f>
        <v>#REF!</v>
      </c>
      <c r="S230" s="87" t="e">
        <f>IF([3]!Table14[[#This Row],[Nullable in Table and in Oracle View
NULL, NOT NULL]]="No","NOT NULL","NULL")=VLOOKUP(A230,[2]Model!C$2:I$228,6,FALSE)</f>
        <v>#REF!</v>
      </c>
      <c r="T230" s="18" t="e">
        <f>VLOOKUP(B230,[2]Table!A$2:F$415,1,FALSE)=[3]!Table14[[#This Row],[Physical Name of Attribute (Name of column in Table)
Supplied by DA Team]]</f>
        <v>#N/A</v>
      </c>
      <c r="U230" s="88"/>
      <c r="V230" s="88"/>
      <c r="W230" s="88"/>
      <c r="X230" s="18" t="e">
        <f>VLOOKUP((UPPER(SUBSTITUTE(A230," ","_"))),'[2]Consumer View'!A$2:I$329,1,FALSE)</f>
        <v>#N/A</v>
      </c>
      <c r="Y230" s="87" t="s">
        <v>68</v>
      </c>
      <c r="Z230" s="87" t="s">
        <v>69</v>
      </c>
      <c r="AA230" s="87" t="s">
        <v>1175</v>
      </c>
      <c r="AB230" s="87"/>
      <c r="AC230" s="87"/>
      <c r="AD230" s="87"/>
      <c r="AE230" s="83" t="s">
        <v>1176</v>
      </c>
      <c r="AF230" s="87"/>
      <c r="AG230" s="18"/>
      <c r="AH230" s="18" t="s">
        <v>71</v>
      </c>
    </row>
    <row r="231" spans="1:34" ht="27" hidden="1" customHeight="1">
      <c r="A231" s="51" t="s">
        <v>1177</v>
      </c>
      <c r="B231" s="76" t="str">
        <f>VLOOKUP(A231,Model!C$2:D$258,2,FALSE)</f>
        <v>ADL_TRD_INSR</v>
      </c>
      <c r="C231" s="76" t="s">
        <v>1178</v>
      </c>
      <c r="D231" s="18" t="s">
        <v>1179</v>
      </c>
      <c r="E231" s="18" t="s">
        <v>63</v>
      </c>
      <c r="F231" s="18" t="s">
        <v>1180</v>
      </c>
      <c r="G231" s="89" t="s">
        <v>63</v>
      </c>
      <c r="H231" s="46" t="s">
        <v>1181</v>
      </c>
      <c r="I231" s="18"/>
      <c r="J231" s="87" t="s">
        <v>67</v>
      </c>
      <c r="K231" s="18"/>
      <c r="L231" s="18" t="s">
        <v>1182</v>
      </c>
      <c r="M231" s="18" t="s">
        <v>1183</v>
      </c>
      <c r="N231" s="18"/>
      <c r="O231" s="18" t="b">
        <f>VLOOKUP(A231,[1]Model!C$2:J$559,2,FALSE)=B231</f>
        <v>1</v>
      </c>
      <c r="P231" s="18" t="b">
        <f>VLOOKUP(A231,Model!C$2:G$208,5,FALSE)=D231</f>
        <v>1</v>
      </c>
      <c r="Q231" s="18">
        <f>VLOOKUP(A231,[2]Model!C$2:L$228,8,FALSE)</f>
        <v>214</v>
      </c>
      <c r="R231" s="18" t="e">
        <f>VLOOKUP(A231,[2]Model!C$2:G$228,3,FALSE)=[3]!Table14[[#This Row],[Business Definition (To go into comments and into Meta Data Hub)]]</f>
        <v>#REF!</v>
      </c>
      <c r="S231" s="18" t="e">
        <f>IF([3]!Table14[[#This Row],[Nullable in Table and in Oracle View
NULL, NOT NULL]]="No","NOT NULL","NULL")=VLOOKUP(A231,[2]Model!C$2:I$228,6,FALSE)</f>
        <v>#REF!</v>
      </c>
      <c r="T231" s="18" t="e">
        <f>VLOOKUP(B231,[2]Table!A$2:F$415,1,FALSE)=[3]!Table14[[#This Row],[Physical Name of Attribute (Name of column in Table)
Supplied by DA Team]]</f>
        <v>#N/A</v>
      </c>
      <c r="U231" s="18" t="e">
        <f>VLOOKUP(B231,Table!A$2:F$319,2,FALSE)=Table1[[#This Row],[Data type in Oracle
VARCHAR2(n), DATE, NUMBER(m,n), TIMETSTAMP(6)]]</f>
        <v>#N/A</v>
      </c>
      <c r="V231" s="18" t="e">
        <f>VLOOKUP(B231,Table!A$2:F$231,3,FALSE)=Table1[[#This Row],[Nullable in Table and in Oracle View
NULL, NOT NULL]]</f>
        <v>#N/A</v>
      </c>
      <c r="W231" s="18" t="e">
        <f>VLOOKUP(B231,Table!A$2:H$228,6,FALSE)=Table1[[#This Row],[Business Definition (To go into comments and into Meta Data Hub)]]</f>
        <v>#N/A</v>
      </c>
      <c r="X231" s="18" t="e">
        <f>VLOOKUP((UPPER(SUBSTITUTE(A231," ","_"))),'[2]Consumer View'!A$2:I$329,1,FALSE)</f>
        <v>#N/A</v>
      </c>
      <c r="Y231" s="87" t="s">
        <v>68</v>
      </c>
      <c r="Z231" s="87" t="s">
        <v>69</v>
      </c>
      <c r="AA231" s="18" t="s">
        <v>1184</v>
      </c>
      <c r="AB231" s="18"/>
      <c r="AC231" s="18"/>
      <c r="AD231" s="18"/>
      <c r="AE231" s="46" t="s">
        <v>1185</v>
      </c>
      <c r="AF231" s="18"/>
      <c r="AG231" s="18"/>
      <c r="AH231" s="18" t="s">
        <v>71</v>
      </c>
    </row>
    <row r="232" spans="1:34" ht="27" hidden="1" customHeight="1">
      <c r="A232" s="94" t="s">
        <v>1186</v>
      </c>
      <c r="B232" s="76" t="str">
        <f>VLOOKUP(A232,Model!C$2:D$359,2,FALSE)</f>
        <v>TRD_FCTR_RATE</v>
      </c>
      <c r="C232" s="126" t="s">
        <v>1187</v>
      </c>
      <c r="D232" s="87" t="s">
        <v>1188</v>
      </c>
      <c r="E232" s="18" t="s">
        <v>63</v>
      </c>
      <c r="F232" s="87" t="s">
        <v>1189</v>
      </c>
      <c r="G232" s="89" t="s">
        <v>63</v>
      </c>
      <c r="H232" s="83" t="s">
        <v>1190</v>
      </c>
      <c r="I232" s="87"/>
      <c r="J232" s="87" t="s">
        <v>67</v>
      </c>
      <c r="K232" s="87"/>
      <c r="L232" s="18" t="s">
        <v>1182</v>
      </c>
      <c r="M232" s="18" t="s">
        <v>1183</v>
      </c>
      <c r="N232" s="87"/>
      <c r="O232" s="87" t="b">
        <f>VLOOKUP(A232,[1]Model!C$2:J$559,2,FALSE)=B232</f>
        <v>1</v>
      </c>
      <c r="P232" s="87" t="e">
        <f>VLOOKUP(A232,Model!C$2:G$208,5,FALSE)=D232</f>
        <v>#N/A</v>
      </c>
      <c r="Q232" s="87">
        <f>VLOOKUP(A232,[2]Model!C$2:L$228,8,FALSE)</f>
        <v>215</v>
      </c>
      <c r="R232" s="87" t="e">
        <f>VLOOKUP(A232,[2]Model!C$2:G$228,3,FALSE)=[3]!Table14[[#This Row],[Business Definition (To go into comments and into Meta Data Hub)]]</f>
        <v>#VALUE!</v>
      </c>
      <c r="S232" s="87" t="e">
        <f>IF([3]!Table14[[#This Row],[Nullable in Table and in Oracle View
NULL, NOT NULL]]="No","NOT NULL","NULL")=VLOOKUP(A232,[2]Model!C$2:I$228,6,FALSE)</f>
        <v>#REF!</v>
      </c>
      <c r="T232" s="87" t="e">
        <f>VLOOKUP(B232,[2]Table!A$2:F$415,1,FALSE)=[3]!Table14[[#This Row],[Physical Name of Attribute (Name of column in Table)
Supplied by DA Team]]</f>
        <v>#N/A</v>
      </c>
      <c r="U232" s="87" t="e">
        <f>VLOOKUP(B232,Table!A$2:F$319,2,FALSE)=Table1[[#This Row],[Data type in Oracle
VARCHAR2(n), DATE, NUMBER(m,n), TIMETSTAMP(6)]]</f>
        <v>#N/A</v>
      </c>
      <c r="V232" s="87" t="e">
        <f>VLOOKUP(B232,Table!A$2:F$231,3,FALSE)=Table1[[#This Row],[Nullable in Table and in Oracle View
NULL, NOT NULL]]</f>
        <v>#N/A</v>
      </c>
      <c r="W232" s="87" t="e">
        <f>VLOOKUP(B232,Table!A$2:H$228,6,FALSE)=Table1[[#This Row],[Business Definition (To go into comments and into Meta Data Hub)]]</f>
        <v>#N/A</v>
      </c>
      <c r="X232" s="87" t="e">
        <f>VLOOKUP((UPPER(SUBSTITUTE(A232," ","_"))),'[2]Consumer View'!A$2:I$329,1,FALSE)</f>
        <v>#N/A</v>
      </c>
      <c r="Y232" s="87" t="s">
        <v>68</v>
      </c>
      <c r="Z232" s="87" t="s">
        <v>375</v>
      </c>
      <c r="AA232" s="87" t="s">
        <v>1191</v>
      </c>
      <c r="AB232" s="87"/>
      <c r="AC232" s="87"/>
      <c r="AD232" s="87" t="s">
        <v>860</v>
      </c>
      <c r="AE232" s="46" t="s">
        <v>1185</v>
      </c>
      <c r="AF232" s="87"/>
      <c r="AG232" s="18"/>
      <c r="AH232" s="18" t="s">
        <v>71</v>
      </c>
    </row>
    <row r="233" spans="1:34" ht="27" hidden="1" customHeight="1">
      <c r="A233" s="94" t="s">
        <v>1192</v>
      </c>
      <c r="B233" s="76" t="str">
        <f>VLOOKUP(A233,Model!C$2:D$258,2,FALSE)</f>
        <v>MRKUP_RATE</v>
      </c>
      <c r="C233" s="76" t="s">
        <v>1193</v>
      </c>
      <c r="D233" s="18" t="s">
        <v>1194</v>
      </c>
      <c r="E233" s="18" t="s">
        <v>63</v>
      </c>
      <c r="F233" s="87" t="s">
        <v>1195</v>
      </c>
      <c r="G233" s="89" t="s">
        <v>63</v>
      </c>
      <c r="H233" s="83" t="s">
        <v>1196</v>
      </c>
      <c r="I233" s="87"/>
      <c r="J233" s="87" t="s">
        <v>67</v>
      </c>
      <c r="K233" s="87"/>
      <c r="L233" s="18" t="s">
        <v>1182</v>
      </c>
      <c r="M233" s="18" t="s">
        <v>1183</v>
      </c>
      <c r="N233" s="87"/>
      <c r="O233" s="87" t="b">
        <f>VLOOKUP(A233,[1]Model!C$2:J$559,2,FALSE)=B233</f>
        <v>1</v>
      </c>
      <c r="P233" s="87" t="b">
        <f>VLOOKUP(A233,Model!C$2:G$208,5,FALSE)=D233</f>
        <v>1</v>
      </c>
      <c r="Q233" s="87">
        <f>VLOOKUP(A233,[2]Model!C$2:L$228,8,FALSE)</f>
        <v>216</v>
      </c>
      <c r="R233" s="87" t="e">
        <f>VLOOKUP(A233,[2]Model!C$2:G$228,3,FALSE)=[3]!Table14[[#This Row],[Business Definition (To go into comments and into Meta Data Hub)]]</f>
        <v>#REF!</v>
      </c>
      <c r="S233" s="87" t="e">
        <f>IF([3]!Table14[[#This Row],[Nullable in Table and in Oracle View
NULL, NOT NULL]]="No","NOT NULL","NULL")=VLOOKUP(A233,[2]Model!C$2:I$228,6,FALSE)</f>
        <v>#REF!</v>
      </c>
      <c r="T233" s="87" t="e">
        <f>VLOOKUP(B233,[2]Table!A$2:F$415,1,FALSE)=[3]!Table14[[#This Row],[Physical Name of Attribute (Name of column in Table)
Supplied by DA Team]]</f>
        <v>#N/A</v>
      </c>
      <c r="U233" s="87" t="e">
        <f>VLOOKUP(B233,Table!A$2:F$319,2,FALSE)=Table1[[#This Row],[Data type in Oracle
VARCHAR2(n), DATE, NUMBER(m,n), TIMETSTAMP(6)]]</f>
        <v>#N/A</v>
      </c>
      <c r="V233" s="87" t="e">
        <f>VLOOKUP(B233,Table!A$2:F$231,3,FALSE)=Table1[[#This Row],[Nullable in Table and in Oracle View
NULL, NOT NULL]]</f>
        <v>#N/A</v>
      </c>
      <c r="W233" s="87" t="e">
        <f>VLOOKUP(B233,Table!A$2:H$228,6,FALSE)=Table1[[#This Row],[Business Definition (To go into comments and into Meta Data Hub)]]</f>
        <v>#N/A</v>
      </c>
      <c r="X233" s="87" t="e">
        <f>VLOOKUP((UPPER(SUBSTITUTE(A233," ","_"))),'[2]Consumer View'!A$2:I$329,1,FALSE)</f>
        <v>#N/A</v>
      </c>
      <c r="Y233" s="87" t="s">
        <v>68</v>
      </c>
      <c r="Z233" s="87" t="s">
        <v>375</v>
      </c>
      <c r="AA233" s="87" t="s">
        <v>1197</v>
      </c>
      <c r="AB233" s="87"/>
      <c r="AC233" s="87"/>
      <c r="AD233" s="87" t="s">
        <v>860</v>
      </c>
      <c r="AE233" s="46" t="s">
        <v>1185</v>
      </c>
      <c r="AF233" s="87"/>
      <c r="AG233" s="18"/>
      <c r="AH233" s="18" t="s">
        <v>71</v>
      </c>
    </row>
    <row r="234" spans="1:34" ht="27" hidden="1" customHeight="1">
      <c r="A234" s="94" t="s">
        <v>1198</v>
      </c>
      <c r="B234" s="76" t="str">
        <f>VLOOKUP(A234,Model!C$2:D$359,2,FALSE)</f>
        <v>STD_CMSN_AMT</v>
      </c>
      <c r="C234" s="76" t="s">
        <v>1199</v>
      </c>
      <c r="D234" s="46" t="s">
        <v>1194</v>
      </c>
      <c r="E234" s="18" t="s">
        <v>63</v>
      </c>
      <c r="F234" s="87" t="s">
        <v>1195</v>
      </c>
      <c r="G234" s="89" t="s">
        <v>63</v>
      </c>
      <c r="H234" s="83" t="s">
        <v>1200</v>
      </c>
      <c r="I234" s="87"/>
      <c r="J234" s="87" t="s">
        <v>67</v>
      </c>
      <c r="K234" s="87"/>
      <c r="L234" s="18" t="s">
        <v>1182</v>
      </c>
      <c r="M234" s="18" t="s">
        <v>1183</v>
      </c>
      <c r="N234" s="87"/>
      <c r="O234" s="87" t="b">
        <f>VLOOKUP(A234,[1]Model!C$2:J$559,2,FALSE)=B234</f>
        <v>1</v>
      </c>
      <c r="P234" s="87" t="e">
        <f>VLOOKUP(A234,Model!C$2:G$208,5,FALSE)=D234</f>
        <v>#N/A</v>
      </c>
      <c r="Q234" s="87">
        <f>VLOOKUP(A234,[2]Model!C$2:L$228,8,FALSE)</f>
        <v>217</v>
      </c>
      <c r="R234" s="87" t="e">
        <f>VLOOKUP(A234,[2]Model!C$2:G$228,3,FALSE)=[3]!Table14[[#This Row],[Business Definition (To go into comments and into Meta Data Hub)]]</f>
        <v>#REF!</v>
      </c>
      <c r="S234" s="87" t="e">
        <f>IF([3]!Table14[[#This Row],[Nullable in Table and in Oracle View
NULL, NOT NULL]]="No","NOT NULL","NULL")=VLOOKUP(A234,[2]Model!C$2:I$228,6,FALSE)</f>
        <v>#REF!</v>
      </c>
      <c r="T234" s="87" t="e">
        <f>VLOOKUP(B234,[2]Table!A$2:F$415,1,FALSE)=[3]!Table14[[#This Row],[Physical Name of Attribute (Name of column in Table)
Supplied by DA Team]]</f>
        <v>#N/A</v>
      </c>
      <c r="U234" s="87" t="e">
        <f>VLOOKUP(B234,Table!A$2:F$319,2,FALSE)=Table1[[#This Row],[Data type in Oracle
VARCHAR2(n), DATE, NUMBER(m,n), TIMETSTAMP(6)]]</f>
        <v>#N/A</v>
      </c>
      <c r="V234" s="87" t="e">
        <f>VLOOKUP(B234,Table!A$2:F$231,3,FALSE)=Table1[[#This Row],[Nullable in Table and in Oracle View
NULL, NOT NULL]]</f>
        <v>#N/A</v>
      </c>
      <c r="W234" s="87" t="e">
        <f>VLOOKUP(B234,Table!A$2:H$228,6,FALSE)=Table1[[#This Row],[Business Definition (To go into comments and into Meta Data Hub)]]</f>
        <v>#N/A</v>
      </c>
      <c r="X234" s="87" t="e">
        <f>VLOOKUP((UPPER(SUBSTITUTE(A234," ","_"))),'[2]Consumer View'!A$2:I$329,1,FALSE)</f>
        <v>#N/A</v>
      </c>
      <c r="Y234" s="87" t="s">
        <v>68</v>
      </c>
      <c r="Z234" s="87" t="s">
        <v>375</v>
      </c>
      <c r="AA234" s="87" t="s">
        <v>1201</v>
      </c>
      <c r="AB234" s="87"/>
      <c r="AC234" s="87"/>
      <c r="AD234" s="87" t="s">
        <v>468</v>
      </c>
      <c r="AE234" s="46" t="s">
        <v>1185</v>
      </c>
      <c r="AF234" s="87"/>
      <c r="AG234" s="18"/>
      <c r="AH234" s="18" t="s">
        <v>71</v>
      </c>
    </row>
    <row r="235" spans="1:34" ht="27" hidden="1" customHeight="1">
      <c r="A235" s="94" t="s">
        <v>1202</v>
      </c>
      <c r="B235" s="76" t="str">
        <f>VLOOKUP(A235,Model!C$2:D$258,2,FALSE)</f>
        <v>ACT_CMSN_AMT</v>
      </c>
      <c r="C235" s="126" t="s">
        <v>1203</v>
      </c>
      <c r="D235" s="87" t="s">
        <v>559</v>
      </c>
      <c r="E235" s="18" t="s">
        <v>63</v>
      </c>
      <c r="F235" s="87" t="s">
        <v>560</v>
      </c>
      <c r="G235" s="89" t="s">
        <v>63</v>
      </c>
      <c r="H235" s="83" t="s">
        <v>1204</v>
      </c>
      <c r="I235" s="87"/>
      <c r="J235" s="87" t="s">
        <v>67</v>
      </c>
      <c r="K235" s="87"/>
      <c r="L235" s="18" t="s">
        <v>1182</v>
      </c>
      <c r="M235" s="18" t="s">
        <v>1183</v>
      </c>
      <c r="N235" s="87"/>
      <c r="O235" s="87" t="b">
        <f>VLOOKUP(A235,[1]Model!C$2:J$559,2,FALSE)=B235</f>
        <v>1</v>
      </c>
      <c r="P235" s="87" t="b">
        <f>VLOOKUP(A235,Model!C$2:G$208,5,FALSE)=D235</f>
        <v>1</v>
      </c>
      <c r="Q235" s="87">
        <f>VLOOKUP(A235,[2]Model!C$2:L$228,8,FALSE)</f>
        <v>218</v>
      </c>
      <c r="R235" s="87" t="e">
        <f>VLOOKUP(A235,[2]Model!C$2:G$228,3,FALSE)=[3]!Table14[[#This Row],[Business Definition (To go into comments and into Meta Data Hub)]]</f>
        <v>#REF!</v>
      </c>
      <c r="S235" s="87" t="e">
        <f>IF([3]!Table14[[#This Row],[Nullable in Table and in Oracle View
NULL, NOT NULL]]="No","NOT NULL","NULL")=VLOOKUP(A235,[2]Model!C$2:I$228,6,FALSE)</f>
        <v>#REF!</v>
      </c>
      <c r="T235" s="87" t="e">
        <f>VLOOKUP(B235,[2]Table!A$2:F$415,1,FALSE)=[3]!Table14[[#This Row],[Physical Name of Attribute (Name of column in Table)
Supplied by DA Team]]</f>
        <v>#N/A</v>
      </c>
      <c r="U235" s="87" t="e">
        <f>VLOOKUP(B235,Table!A$2:F$319,2,FALSE)=Table1[[#This Row],[Data type in Oracle
VARCHAR2(n), DATE, NUMBER(m,n), TIMETSTAMP(6)]]</f>
        <v>#N/A</v>
      </c>
      <c r="V235" s="87" t="e">
        <f>VLOOKUP(B235,Table!A$2:F$231,3,FALSE)=Table1[[#This Row],[Nullable in Table and in Oracle View
NULL, NOT NULL]]</f>
        <v>#N/A</v>
      </c>
      <c r="W235" s="87" t="e">
        <f>VLOOKUP(B235,Table!A$2:H$228,6,FALSE)=Table1[[#This Row],[Business Definition (To go into comments and into Meta Data Hub)]]</f>
        <v>#N/A</v>
      </c>
      <c r="X235" s="87" t="e">
        <f>VLOOKUP((UPPER(SUBSTITUTE(A235," ","_"))),'[2]Consumer View'!A$2:I$329,1,FALSE)</f>
        <v>#N/A</v>
      </c>
      <c r="Y235" s="87" t="s">
        <v>68</v>
      </c>
      <c r="Z235" s="87" t="s">
        <v>388</v>
      </c>
      <c r="AA235" s="87" t="s">
        <v>562</v>
      </c>
      <c r="AB235" s="87"/>
      <c r="AC235" s="87"/>
      <c r="AD235" s="87" t="s">
        <v>1205</v>
      </c>
      <c r="AE235" s="46" t="s">
        <v>1185</v>
      </c>
      <c r="AF235" s="87"/>
      <c r="AG235" s="18"/>
      <c r="AH235" s="18" t="s">
        <v>71</v>
      </c>
    </row>
    <row r="236" spans="1:34" ht="27" hidden="1" customHeight="1">
      <c r="A236" s="94" t="s">
        <v>1206</v>
      </c>
      <c r="B236" s="76" t="str">
        <f>VLOOKUP(A236,Model!C$2:D$359,2,FALSE)</f>
        <v>TRD_PCS_FEE_AMT</v>
      </c>
      <c r="C236" s="126" t="s">
        <v>1207</v>
      </c>
      <c r="D236" s="87" t="s">
        <v>559</v>
      </c>
      <c r="E236" s="18" t="s">
        <v>63</v>
      </c>
      <c r="F236" s="87" t="s">
        <v>560</v>
      </c>
      <c r="G236" s="89" t="s">
        <v>63</v>
      </c>
      <c r="H236" s="83" t="s">
        <v>1208</v>
      </c>
      <c r="I236" s="87"/>
      <c r="J236" s="87" t="s">
        <v>67</v>
      </c>
      <c r="K236" s="87"/>
      <c r="L236" s="18" t="s">
        <v>1182</v>
      </c>
      <c r="M236" s="18" t="s">
        <v>1183</v>
      </c>
      <c r="N236" s="87"/>
      <c r="O236" s="87" t="b">
        <f>VLOOKUP(A236,[1]Model!C$2:J$559,2,FALSE)=B236</f>
        <v>1</v>
      </c>
      <c r="P236" s="87" t="e">
        <f>VLOOKUP(A236,Model!C$2:G$208,5,FALSE)=D236</f>
        <v>#N/A</v>
      </c>
      <c r="Q236" s="87">
        <f>VLOOKUP(A236,[2]Model!C$2:L$228,8,FALSE)</f>
        <v>219</v>
      </c>
      <c r="R236" s="87" t="e">
        <f>VLOOKUP(A236,[2]Model!C$2:G$228,3,FALSE)=[3]!Table14[[#This Row],[Business Definition (To go into comments and into Meta Data Hub)]]</f>
        <v>#REF!</v>
      </c>
      <c r="S236" s="87" t="e">
        <f>IF([3]!Table14[[#This Row],[Nullable in Table and in Oracle View
NULL, NOT NULL]]="No","NOT NULL","NULL")=VLOOKUP(A236,[2]Model!C$2:I$228,6,FALSE)</f>
        <v>#REF!</v>
      </c>
      <c r="T236" s="87" t="e">
        <f>VLOOKUP(B236,[2]Table!A$2:F$415,1,FALSE)=[3]!Table14[[#This Row],[Physical Name of Attribute (Name of column in Table)
Supplied by DA Team]]</f>
        <v>#N/A</v>
      </c>
      <c r="U236" s="87" t="e">
        <f>VLOOKUP(B236,Table!A$2:F$319,2,FALSE)=Table1[[#This Row],[Data type in Oracle
VARCHAR2(n), DATE, NUMBER(m,n), TIMETSTAMP(6)]]</f>
        <v>#N/A</v>
      </c>
      <c r="V236" s="87" t="e">
        <f>VLOOKUP(B236,Table!A$2:F$231,3,FALSE)=Table1[[#This Row],[Nullable in Table and in Oracle View
NULL, NOT NULL]]</f>
        <v>#N/A</v>
      </c>
      <c r="W236" s="87" t="e">
        <f>VLOOKUP(B236,Table!A$2:H$228,6,FALSE)=Table1[[#This Row],[Business Definition (To go into comments and into Meta Data Hub)]]</f>
        <v>#N/A</v>
      </c>
      <c r="X236" s="87" t="e">
        <f>VLOOKUP((UPPER(SUBSTITUTE(A236," ","_"))),'[2]Consumer View'!A$2:I$329,1,FALSE)</f>
        <v>#N/A</v>
      </c>
      <c r="Y236" s="87" t="s">
        <v>68</v>
      </c>
      <c r="Z236" s="87" t="s">
        <v>388</v>
      </c>
      <c r="AA236" s="87" t="s">
        <v>562</v>
      </c>
      <c r="AB236" s="87"/>
      <c r="AC236" s="87"/>
      <c r="AD236" s="87" t="s">
        <v>1209</v>
      </c>
      <c r="AE236" s="46" t="s">
        <v>1185</v>
      </c>
      <c r="AF236" s="87"/>
      <c r="AG236" s="18"/>
      <c r="AH236" s="18" t="s">
        <v>71</v>
      </c>
    </row>
    <row r="237" spans="1:34" ht="27" hidden="1" customHeight="1">
      <c r="A237" s="94" t="s">
        <v>1210</v>
      </c>
      <c r="B237" s="76" t="str">
        <f>VLOOKUP(A237,Model!C$2:D$258,2,FALSE)</f>
        <v>SEC_FEE_AMT</v>
      </c>
      <c r="C237" s="126" t="s">
        <v>1211</v>
      </c>
      <c r="D237" s="87" t="s">
        <v>559</v>
      </c>
      <c r="E237" s="18" t="s">
        <v>63</v>
      </c>
      <c r="F237" s="87" t="s">
        <v>560</v>
      </c>
      <c r="G237" s="89" t="s">
        <v>63</v>
      </c>
      <c r="H237" s="83" t="s">
        <v>1212</v>
      </c>
      <c r="I237" s="87"/>
      <c r="J237" s="87" t="s">
        <v>67</v>
      </c>
      <c r="K237" s="87"/>
      <c r="L237" s="18" t="s">
        <v>1182</v>
      </c>
      <c r="M237" s="18" t="s">
        <v>1183</v>
      </c>
      <c r="N237" s="87"/>
      <c r="O237" s="87" t="b">
        <f>VLOOKUP(A237,[1]Model!C$2:J$559,2,FALSE)=B237</f>
        <v>1</v>
      </c>
      <c r="P237" s="87" t="e">
        <f>VLOOKUP(A237,Model!C$2:G$208,5,FALSE)=D237</f>
        <v>#N/A</v>
      </c>
      <c r="Q237" s="87">
        <f>VLOOKUP(A237,[2]Model!C$2:L$228,8,FALSE)</f>
        <v>220</v>
      </c>
      <c r="R237" s="87" t="e">
        <f>VLOOKUP(A237,[2]Model!C$2:G$228,3,FALSE)=[3]!Table14[[#This Row],[Business Definition (To go into comments and into Meta Data Hub)]]</f>
        <v>#REF!</v>
      </c>
      <c r="S237" s="87" t="e">
        <f>IF([3]!Table14[[#This Row],[Nullable in Table and in Oracle View
NULL, NOT NULL]]="No","NOT NULL","NULL")=VLOOKUP(A237,[2]Model!C$2:I$228,6,FALSE)</f>
        <v>#REF!</v>
      </c>
      <c r="T237" s="87" t="e">
        <f>VLOOKUP(B237,[2]Table!A$2:F$415,1,FALSE)=[3]!Table14[[#This Row],[Physical Name of Attribute (Name of column in Table)
Supplied by DA Team]]</f>
        <v>#N/A</v>
      </c>
      <c r="U237" s="87" t="e">
        <f>VLOOKUP(B237,Table!A$2:F$319,2,FALSE)=Table1[[#This Row],[Data type in Oracle
VARCHAR2(n), DATE, NUMBER(m,n), TIMETSTAMP(6)]]</f>
        <v>#N/A</v>
      </c>
      <c r="V237" s="87" t="e">
        <f>VLOOKUP(B237,Table!A$2:F$231,3,FALSE)=Table1[[#This Row],[Nullable in Table and in Oracle View
NULL, NOT NULL]]</f>
        <v>#N/A</v>
      </c>
      <c r="W237" s="87" t="e">
        <f>VLOOKUP(B237,Table!A$2:H$228,6,FALSE)=Table1[[#This Row],[Business Definition (To go into comments and into Meta Data Hub)]]</f>
        <v>#N/A</v>
      </c>
      <c r="X237" s="87" t="e">
        <f>VLOOKUP((UPPER(SUBSTITUTE(A237," ","_"))),'[2]Consumer View'!A$2:I$329,1,FALSE)</f>
        <v>#N/A</v>
      </c>
      <c r="Y237" s="87" t="s">
        <v>68</v>
      </c>
      <c r="Z237" s="87" t="s">
        <v>388</v>
      </c>
      <c r="AA237" s="87" t="s">
        <v>562</v>
      </c>
      <c r="AB237" s="87"/>
      <c r="AC237" s="87"/>
      <c r="AD237" s="87" t="s">
        <v>1213</v>
      </c>
      <c r="AE237" s="46" t="s">
        <v>1185</v>
      </c>
      <c r="AF237" s="87"/>
      <c r="AG237" s="18"/>
      <c r="AH237" s="18" t="s">
        <v>71</v>
      </c>
    </row>
    <row r="238" spans="1:34" ht="27" hidden="1" customHeight="1">
      <c r="A238" s="94" t="s">
        <v>1214</v>
      </c>
      <c r="B238" s="76" t="str">
        <f>VLOOKUP(A238,Model!C$2:D$258,2,FALSE)</f>
        <v>ACR_INT_AMT</v>
      </c>
      <c r="C238" s="126" t="s">
        <v>1215</v>
      </c>
      <c r="D238" s="87" t="s">
        <v>559</v>
      </c>
      <c r="E238" s="18" t="s">
        <v>63</v>
      </c>
      <c r="F238" s="87" t="s">
        <v>560</v>
      </c>
      <c r="G238" s="89" t="s">
        <v>63</v>
      </c>
      <c r="H238" s="83" t="s">
        <v>1216</v>
      </c>
      <c r="I238" s="87"/>
      <c r="J238" s="87" t="s">
        <v>67</v>
      </c>
      <c r="K238" s="87"/>
      <c r="L238" s="18" t="s">
        <v>1182</v>
      </c>
      <c r="M238" s="18" t="s">
        <v>1183</v>
      </c>
      <c r="N238" s="87"/>
      <c r="O238" s="87" t="b">
        <f>VLOOKUP(A238,[1]Model!C$2:J$559,2,FALSE)=B238</f>
        <v>1</v>
      </c>
      <c r="P238" s="87" t="b">
        <f>VLOOKUP(A238,Model!C$2:G$208,5,FALSE)=D238</f>
        <v>1</v>
      </c>
      <c r="Q238" s="87">
        <f>VLOOKUP(A238,[2]Model!C$2:L$228,8,FALSE)</f>
        <v>221</v>
      </c>
      <c r="R238" s="87" t="e">
        <f>VLOOKUP(A238,[2]Model!C$2:G$228,3,FALSE)=[3]!Table14[[#This Row],[Business Definition (To go into comments and into Meta Data Hub)]]</f>
        <v>#REF!</v>
      </c>
      <c r="S238" s="87" t="e">
        <f>IF([3]!Table14[[#This Row],[Nullable in Table and in Oracle View
NULL, NOT NULL]]="No","NOT NULL","NULL")=VLOOKUP(A238,[2]Model!C$2:I$228,6,FALSE)</f>
        <v>#REF!</v>
      </c>
      <c r="T238" s="87" t="e">
        <f>VLOOKUP(B238,[2]Table!A$2:F$415,1,FALSE)=[3]!Table14[[#This Row],[Physical Name of Attribute (Name of column in Table)
Supplied by DA Team]]</f>
        <v>#N/A</v>
      </c>
      <c r="U238" s="87" t="e">
        <f>VLOOKUP(B238,Table!A$2:F$319,2,FALSE)=Table1[[#This Row],[Data type in Oracle
VARCHAR2(n), DATE, NUMBER(m,n), TIMETSTAMP(6)]]</f>
        <v>#N/A</v>
      </c>
      <c r="V238" s="87" t="e">
        <f>VLOOKUP(B238,Table!A$2:F$231,3,FALSE)=Table1[[#This Row],[Nullable in Table and in Oracle View
NULL, NOT NULL]]</f>
        <v>#N/A</v>
      </c>
      <c r="W238" s="87" t="e">
        <f>VLOOKUP(B238,Table!A$2:H$228,6,FALSE)=Table1[[#This Row],[Business Definition (To go into comments and into Meta Data Hub)]]</f>
        <v>#N/A</v>
      </c>
      <c r="X238" s="87" t="e">
        <f>VLOOKUP((UPPER(SUBSTITUTE(A238," ","_"))),'[2]Consumer View'!A$2:I$329,1,FALSE)</f>
        <v>#N/A</v>
      </c>
      <c r="Y238" s="87" t="s">
        <v>68</v>
      </c>
      <c r="Z238" s="87" t="s">
        <v>388</v>
      </c>
      <c r="AA238" s="87" t="s">
        <v>562</v>
      </c>
      <c r="AB238" s="87"/>
      <c r="AC238" s="87"/>
      <c r="AD238" s="87" t="s">
        <v>1217</v>
      </c>
      <c r="AE238" s="46" t="s">
        <v>1185</v>
      </c>
      <c r="AF238" s="87"/>
      <c r="AG238" s="18"/>
      <c r="AH238" s="18" t="s">
        <v>71</v>
      </c>
    </row>
    <row r="239" spans="1:34" ht="27" hidden="1" customHeight="1">
      <c r="A239" s="94" t="s">
        <v>1218</v>
      </c>
      <c r="B239" s="76" t="str">
        <f>VLOOKUP(A239,Model!C$2:D$258,2,FALSE)</f>
        <v>CNCSN_AMT</v>
      </c>
      <c r="C239" s="126" t="s">
        <v>1219</v>
      </c>
      <c r="D239" s="87" t="s">
        <v>559</v>
      </c>
      <c r="E239" s="18" t="s">
        <v>63</v>
      </c>
      <c r="F239" s="87" t="s">
        <v>560</v>
      </c>
      <c r="G239" s="89" t="s">
        <v>63</v>
      </c>
      <c r="H239" s="83" t="s">
        <v>1220</v>
      </c>
      <c r="I239" s="87"/>
      <c r="J239" s="87" t="s">
        <v>67</v>
      </c>
      <c r="K239" s="87"/>
      <c r="L239" s="18" t="s">
        <v>1182</v>
      </c>
      <c r="M239" s="18" t="s">
        <v>1183</v>
      </c>
      <c r="N239" s="87"/>
      <c r="O239" s="87" t="b">
        <f>VLOOKUP(A239,[1]Model!C$2:J$559,2,FALSE)=B239</f>
        <v>1</v>
      </c>
      <c r="P239" s="87" t="b">
        <f>VLOOKUP(A239,Model!C$2:G$208,5,FALSE)=D239</f>
        <v>1</v>
      </c>
      <c r="Q239" s="87">
        <f>VLOOKUP(A239,[2]Model!C$2:L$228,8,FALSE)</f>
        <v>222</v>
      </c>
      <c r="R239" s="87" t="e">
        <f>VLOOKUP(A239,[2]Model!C$2:G$228,3,FALSE)=[3]!Table14[[#This Row],[Business Definition (To go into comments and into Meta Data Hub)]]</f>
        <v>#REF!</v>
      </c>
      <c r="S239" s="87" t="e">
        <f>IF([3]!Table14[[#This Row],[Nullable in Table and in Oracle View
NULL, NOT NULL]]="No","NOT NULL","NULL")=VLOOKUP(A239,[2]Model!C$2:I$228,6,FALSE)</f>
        <v>#REF!</v>
      </c>
      <c r="T239" s="87" t="e">
        <f>VLOOKUP(B239,[2]Table!A$2:F$415,1,FALSE)=[3]!Table14[[#This Row],[Physical Name of Attribute (Name of column in Table)
Supplied by DA Team]]</f>
        <v>#N/A</v>
      </c>
      <c r="U239" s="87" t="e">
        <f>VLOOKUP(B239,Table!A$2:F$319,2,FALSE)=Table1[[#This Row],[Data type in Oracle
VARCHAR2(n), DATE, NUMBER(m,n), TIMETSTAMP(6)]]</f>
        <v>#N/A</v>
      </c>
      <c r="V239" s="87" t="e">
        <f>VLOOKUP(B239,Table!A$2:F$231,3,FALSE)=Table1[[#This Row],[Nullable in Table and in Oracle View
NULL, NOT NULL]]</f>
        <v>#N/A</v>
      </c>
      <c r="W239" s="87" t="e">
        <f>VLOOKUP(B239,Table!A$2:H$228,6,FALSE)=Table1[[#This Row],[Business Definition (To go into comments and into Meta Data Hub)]]</f>
        <v>#N/A</v>
      </c>
      <c r="X239" s="87" t="e">
        <f>VLOOKUP((UPPER(SUBSTITUTE(A239," ","_"))),'[2]Consumer View'!A$2:I$329,1,FALSE)</f>
        <v>#N/A</v>
      </c>
      <c r="Y239" s="87" t="s">
        <v>68</v>
      </c>
      <c r="Z239" s="87" t="s">
        <v>388</v>
      </c>
      <c r="AA239" s="87" t="s">
        <v>562</v>
      </c>
      <c r="AB239" s="87"/>
      <c r="AC239" s="87"/>
      <c r="AD239" s="87" t="s">
        <v>1221</v>
      </c>
      <c r="AE239" s="46" t="s">
        <v>1185</v>
      </c>
      <c r="AF239" s="87"/>
      <c r="AG239" s="18"/>
      <c r="AH239" s="18" t="s">
        <v>71</v>
      </c>
    </row>
    <row r="240" spans="1:34" ht="27" hidden="1" customHeight="1">
      <c r="A240" s="94" t="s">
        <v>1222</v>
      </c>
      <c r="B240" s="76" t="str">
        <f>VLOOKUP(A240,Model!C$2:D$258,2,FALSE)</f>
        <v>CDSC_AMT</v>
      </c>
      <c r="C240" s="126" t="s">
        <v>1223</v>
      </c>
      <c r="D240" s="87" t="s">
        <v>559</v>
      </c>
      <c r="E240" s="18" t="s">
        <v>63</v>
      </c>
      <c r="F240" s="87" t="s">
        <v>560</v>
      </c>
      <c r="G240" s="89" t="s">
        <v>63</v>
      </c>
      <c r="H240" s="83" t="s">
        <v>1224</v>
      </c>
      <c r="I240" s="87"/>
      <c r="J240" s="87" t="s">
        <v>67</v>
      </c>
      <c r="K240" s="87"/>
      <c r="L240" s="18" t="s">
        <v>1182</v>
      </c>
      <c r="M240" s="18" t="s">
        <v>1183</v>
      </c>
      <c r="N240" s="87"/>
      <c r="O240" s="87" t="b">
        <f>VLOOKUP(A240,[1]Model!C$2:J$559,2,FALSE)=B240</f>
        <v>1</v>
      </c>
      <c r="P240" s="87" t="b">
        <f>VLOOKUP(A240,Model!C$2:G$208,5,FALSE)=D240</f>
        <v>1</v>
      </c>
      <c r="Q240" s="87">
        <f>VLOOKUP(A240,[2]Model!C$2:L$228,8,FALSE)</f>
        <v>223</v>
      </c>
      <c r="R240" s="87" t="e">
        <f>VLOOKUP(A240,[2]Model!C$2:G$228,3,FALSE)=[3]!Table14[[#This Row],[Business Definition (To go into comments and into Meta Data Hub)]]</f>
        <v>#REF!</v>
      </c>
      <c r="S240" s="87" t="e">
        <f>IF([3]!Table14[[#This Row],[Nullable in Table and in Oracle View
NULL, NOT NULL]]="No","NOT NULL","NULL")=VLOOKUP(A240,[2]Model!C$2:I$228,6,FALSE)</f>
        <v>#REF!</v>
      </c>
      <c r="T240" s="87" t="e">
        <f>VLOOKUP(B240,[2]Table!A$2:F$415,1,FALSE)=[3]!Table14[[#This Row],[Physical Name of Attribute (Name of column in Table)
Supplied by DA Team]]</f>
        <v>#N/A</v>
      </c>
      <c r="U240" s="87" t="e">
        <f>VLOOKUP(B240,Table!A$2:F$319,2,FALSE)=Table1[[#This Row],[Data type in Oracle
VARCHAR2(n), DATE, NUMBER(m,n), TIMETSTAMP(6)]]</f>
        <v>#N/A</v>
      </c>
      <c r="V240" s="87" t="e">
        <f>VLOOKUP(B240,Table!A$2:F$231,3,FALSE)=Table1[[#This Row],[Nullable in Table and in Oracle View
NULL, NOT NULL]]</f>
        <v>#N/A</v>
      </c>
      <c r="W240" s="87" t="e">
        <f>VLOOKUP(B240,Table!A$2:H$228,6,FALSE)=Table1[[#This Row],[Business Definition (To go into comments and into Meta Data Hub)]]</f>
        <v>#N/A</v>
      </c>
      <c r="X240" s="87" t="e">
        <f>VLOOKUP((UPPER(SUBSTITUTE(A240," ","_"))),'[2]Consumer View'!A$2:I$329,1,FALSE)</f>
        <v>#N/A</v>
      </c>
      <c r="Y240" s="87" t="s">
        <v>68</v>
      </c>
      <c r="Z240" s="87" t="s">
        <v>388</v>
      </c>
      <c r="AA240" s="83" t="s">
        <v>1225</v>
      </c>
      <c r="AB240" s="87"/>
      <c r="AC240" s="87"/>
      <c r="AD240" s="87" t="s">
        <v>1226</v>
      </c>
      <c r="AE240" s="46" t="s">
        <v>1185</v>
      </c>
      <c r="AF240" s="87"/>
      <c r="AG240" s="18"/>
      <c r="AH240" s="18" t="s">
        <v>71</v>
      </c>
    </row>
    <row r="241" spans="1:34" ht="27" hidden="1" customHeight="1">
      <c r="A241" s="94" t="s">
        <v>1227</v>
      </c>
      <c r="B241" s="76" t="str">
        <f>VLOOKUP(A241,Model!C$2:D$258,2,FALSE)</f>
        <v>OTHR_FEE_AMT</v>
      </c>
      <c r="C241" s="126" t="s">
        <v>1228</v>
      </c>
      <c r="D241" s="87" t="s">
        <v>559</v>
      </c>
      <c r="E241" s="18" t="s">
        <v>63</v>
      </c>
      <c r="F241" s="87" t="s">
        <v>560</v>
      </c>
      <c r="G241" s="89" t="s">
        <v>63</v>
      </c>
      <c r="H241" s="83" t="s">
        <v>1229</v>
      </c>
      <c r="I241" s="87"/>
      <c r="J241" s="87" t="s">
        <v>67</v>
      </c>
      <c r="K241" s="87"/>
      <c r="L241" s="18" t="s">
        <v>1182</v>
      </c>
      <c r="M241" s="18" t="s">
        <v>1183</v>
      </c>
      <c r="N241" s="87"/>
      <c r="O241" s="87" t="b">
        <f>VLOOKUP(A241,[1]Model!C$2:J$559,2,FALSE)=B241</f>
        <v>1</v>
      </c>
      <c r="P241" s="87" t="b">
        <f>VLOOKUP(A241,Model!C$2:G$208,5,FALSE)=D241</f>
        <v>1</v>
      </c>
      <c r="Q241" s="87">
        <f>VLOOKUP(A241,[2]Model!C$2:L$228,8,FALSE)</f>
        <v>224</v>
      </c>
      <c r="R241" s="87" t="e">
        <f>VLOOKUP(A241,[2]Model!C$2:G$228,3,FALSE)=[3]!Table14[[#This Row],[Business Definition (To go into comments and into Meta Data Hub)]]</f>
        <v>#REF!</v>
      </c>
      <c r="S241" s="87" t="e">
        <f>IF([3]!Table14[[#This Row],[Nullable in Table and in Oracle View
NULL, NOT NULL]]="No","NOT NULL","NULL")=VLOOKUP(A241,[2]Model!C$2:I$228,6,FALSE)</f>
        <v>#REF!</v>
      </c>
      <c r="T241" s="87" t="e">
        <f>VLOOKUP(B241,[2]Table!A$2:F$415,1,FALSE)=[3]!Table14[[#This Row],[Physical Name of Attribute (Name of column in Table)
Supplied by DA Team]]</f>
        <v>#N/A</v>
      </c>
      <c r="U241" s="87" t="e">
        <f>VLOOKUP(B241,Table!A$2:F$319,2,FALSE)=Table1[[#This Row],[Data type in Oracle
VARCHAR2(n), DATE, NUMBER(m,n), TIMETSTAMP(6)]]</f>
        <v>#N/A</v>
      </c>
      <c r="V241" s="87" t="e">
        <f>VLOOKUP(B241,Table!A$2:F$231,3,FALSE)=Table1[[#This Row],[Nullable in Table and in Oracle View
NULL, NOT NULL]]</f>
        <v>#N/A</v>
      </c>
      <c r="W241" s="87" t="e">
        <f>VLOOKUP(B241,Table!A$2:H$228,6,FALSE)=Table1[[#This Row],[Business Definition (To go into comments and into Meta Data Hub)]]</f>
        <v>#N/A</v>
      </c>
      <c r="X241" s="87" t="e">
        <f>VLOOKUP((UPPER(SUBSTITUTE(A241," ","_"))),'[2]Consumer View'!A$2:I$329,1,FALSE)</f>
        <v>#N/A</v>
      </c>
      <c r="Y241" s="87" t="s">
        <v>68</v>
      </c>
      <c r="Z241" s="87" t="s">
        <v>388</v>
      </c>
      <c r="AA241" s="83" t="s">
        <v>1225</v>
      </c>
      <c r="AB241" s="87"/>
      <c r="AC241" s="87"/>
      <c r="AD241" s="87" t="s">
        <v>1230</v>
      </c>
      <c r="AE241" s="46" t="s">
        <v>1185</v>
      </c>
      <c r="AF241" s="87"/>
      <c r="AG241" s="18"/>
      <c r="AH241" s="18" t="s">
        <v>71</v>
      </c>
    </row>
    <row r="242" spans="1:34" ht="27" hidden="1" customHeight="1">
      <c r="A242" s="94" t="s">
        <v>1231</v>
      </c>
      <c r="B242" s="76" t="str">
        <f>VLOOKUP(A242,Model!C$2:D$359,2,FALSE)</f>
        <v>TRD_CNCLD_F</v>
      </c>
      <c r="C242" s="126" t="s">
        <v>1232</v>
      </c>
      <c r="D242" s="87" t="s">
        <v>82</v>
      </c>
      <c r="E242" s="18" t="s">
        <v>63</v>
      </c>
      <c r="F242" s="87" t="s">
        <v>83</v>
      </c>
      <c r="G242" s="89" t="s">
        <v>63</v>
      </c>
      <c r="H242" s="83" t="s">
        <v>1233</v>
      </c>
      <c r="I242" s="87"/>
      <c r="J242" s="87" t="s">
        <v>67</v>
      </c>
      <c r="K242" s="87"/>
      <c r="L242" s="18" t="s">
        <v>1182</v>
      </c>
      <c r="M242" s="18" t="s">
        <v>1183</v>
      </c>
      <c r="N242" s="87"/>
      <c r="O242" s="87" t="b">
        <f>VLOOKUP(A242,[1]Model!C$2:J$559,2,FALSE)=B242</f>
        <v>1</v>
      </c>
      <c r="P242" s="87" t="e">
        <f>VLOOKUP(A242,Model!C$2:G$208,5,FALSE)=D242</f>
        <v>#N/A</v>
      </c>
      <c r="Q242" s="87">
        <f>VLOOKUP(A242,[2]Model!C$2:L$228,8,FALSE)</f>
        <v>225</v>
      </c>
      <c r="R242" s="87" t="e">
        <f>VLOOKUP(A242,[2]Model!C$2:G$228,3,FALSE)=[3]!Table14[[#This Row],[Business Definition (To go into comments and into Meta Data Hub)]]</f>
        <v>#REF!</v>
      </c>
      <c r="S242" s="87" t="e">
        <f>IF([3]!Table14[[#This Row],[Nullable in Table and in Oracle View
NULL, NOT NULL]]="No","NOT NULL","NULL")=VLOOKUP(A242,[2]Model!C$2:I$228,6,FALSE)</f>
        <v>#REF!</v>
      </c>
      <c r="T242" s="87" t="e">
        <f>VLOOKUP(B242,[2]Table!A$2:F$415,1,FALSE)=[3]!Table14[[#This Row],[Physical Name of Attribute (Name of column in Table)
Supplied by DA Team]]</f>
        <v>#N/A</v>
      </c>
      <c r="U242" s="87" t="e">
        <f>VLOOKUP(B242,Table!A$2:F$319,2,FALSE)=Table1[[#This Row],[Data type in Oracle
VARCHAR2(n), DATE, NUMBER(m,n), TIMETSTAMP(6)]]</f>
        <v>#N/A</v>
      </c>
      <c r="V242" s="87" t="e">
        <f>VLOOKUP(B242,Table!A$2:F$231,3,FALSE)=Table1[[#This Row],[Nullable in Table and in Oracle View
NULL, NOT NULL]]</f>
        <v>#N/A</v>
      </c>
      <c r="W242" s="87" t="e">
        <f>VLOOKUP(B242,Table!A$2:H$228,6,FALSE)=Table1[[#This Row],[Business Definition (To go into comments and into Meta Data Hub)]]</f>
        <v>#N/A</v>
      </c>
      <c r="X242" s="87" t="e">
        <f>VLOOKUP((UPPER(SUBSTITUTE(A242," ","_"))),'[2]Consumer View'!A$2:I$329,1,FALSE)</f>
        <v>#N/A</v>
      </c>
      <c r="Y242" s="87"/>
      <c r="Z242" s="87"/>
      <c r="AA242" s="87"/>
      <c r="AB242" s="87"/>
      <c r="AC242" s="87"/>
      <c r="AD242" s="87" t="s">
        <v>1234</v>
      </c>
      <c r="AE242" s="46" t="s">
        <v>1235</v>
      </c>
      <c r="AF242" s="87"/>
      <c r="AG242" s="18"/>
      <c r="AH242" s="18" t="s">
        <v>71</v>
      </c>
    </row>
    <row r="243" spans="1:34" ht="27" hidden="1" customHeight="1">
      <c r="A243" s="94" t="s">
        <v>1236</v>
      </c>
      <c r="B243" s="87" t="s">
        <v>1237</v>
      </c>
      <c r="C243" s="87" t="s">
        <v>1236</v>
      </c>
      <c r="D243" s="87" t="s">
        <v>109</v>
      </c>
      <c r="E243" s="18" t="s">
        <v>63</v>
      </c>
      <c r="F243" s="18" t="s">
        <v>110</v>
      </c>
      <c r="G243" s="45" t="s">
        <v>63</v>
      </c>
      <c r="H243" s="46" t="s">
        <v>1238</v>
      </c>
      <c r="I243" s="87"/>
      <c r="J243" s="87"/>
      <c r="K243" s="87" t="s">
        <v>67</v>
      </c>
      <c r="L243" s="18" t="s">
        <v>1182</v>
      </c>
      <c r="M243" s="18" t="s">
        <v>1183</v>
      </c>
      <c r="N243" s="87"/>
      <c r="O243" s="87" t="b">
        <f>VLOOKUP(A243,[1]Model!C$2:J$559,2,FALSE)=B243</f>
        <v>1</v>
      </c>
      <c r="P243" s="87" t="e">
        <f>VLOOKUP(A243,Model!C$2:G$208,5,FALSE)=D243</f>
        <v>#N/A</v>
      </c>
      <c r="Q243" s="87">
        <f>VLOOKUP(A243,[2]Model!C$2:L$228,8,FALSE)</f>
        <v>226</v>
      </c>
      <c r="R243" s="87" t="e">
        <f>VLOOKUP(A243,[2]Model!C$2:G$228,3,FALSE)=[3]!Table14[[#This Row],[Business Definition (To go into comments and into Meta Data Hub)]]</f>
        <v>#VALUE!</v>
      </c>
      <c r="S243" s="87" t="e">
        <f>IF([3]!Table14[[#This Row],[Nullable in Table and in Oracle View
NULL, NOT NULL]]="No","NOT NULL","NULL")=VLOOKUP(A243,[2]Model!C$2:I$228,6,FALSE)</f>
        <v>#REF!</v>
      </c>
      <c r="T243" s="87" t="e">
        <f>VLOOKUP(B243,[2]Table!A$2:F$415,1,FALSE)=[3]!Table14[[#This Row],[Physical Name of Attribute (Name of column in Table)
Supplied by DA Team]]</f>
        <v>#N/A</v>
      </c>
      <c r="U243" s="87" t="e">
        <f>VLOOKUP(B243,Table!A$2:F$319,2,FALSE)=Table1[[#This Row],[Data type in Oracle
VARCHAR2(n), DATE, NUMBER(m,n), TIMETSTAMP(6)]]</f>
        <v>#N/A</v>
      </c>
      <c r="V243" s="87" t="e">
        <f>VLOOKUP(B243,Table!A$2:F$231,3,FALSE)=Table1[[#This Row],[Nullable in Table and in Oracle View
NULL, NOT NULL]]</f>
        <v>#N/A</v>
      </c>
      <c r="W243" s="87" t="e">
        <f>VLOOKUP(B243,Table!A$2:H$228,6,FALSE)=Table1[[#This Row],[Business Definition (To go into comments and into Meta Data Hub)]]</f>
        <v>#N/A</v>
      </c>
      <c r="X243" s="87" t="e">
        <f>VLOOKUP((UPPER(SUBSTITUTE(A243," ","_"))),'[2]Consumer View'!A$2:I$329,1,FALSE)</f>
        <v>#N/A</v>
      </c>
      <c r="Y243" s="18" t="s">
        <v>68</v>
      </c>
      <c r="Z243" s="18" t="s">
        <v>375</v>
      </c>
      <c r="AA243" s="18" t="s">
        <v>1237</v>
      </c>
      <c r="AB243" s="87"/>
      <c r="AC243" s="87"/>
      <c r="AD243" s="46" t="s">
        <v>913</v>
      </c>
      <c r="AE243" s="46" t="s">
        <v>1239</v>
      </c>
      <c r="AF243" s="87"/>
      <c r="AG243" s="18"/>
      <c r="AH243" s="18" t="s">
        <v>71</v>
      </c>
    </row>
    <row r="244" spans="1:34" ht="27" hidden="1" customHeight="1">
      <c r="A244" s="99" t="s">
        <v>1240</v>
      </c>
      <c r="B244" s="18" t="s">
        <v>1240</v>
      </c>
      <c r="C244" s="18" t="s">
        <v>1241</v>
      </c>
      <c r="D244" s="18" t="s">
        <v>109</v>
      </c>
      <c r="E244" s="18" t="s">
        <v>63</v>
      </c>
      <c r="F244" s="18" t="s">
        <v>110</v>
      </c>
      <c r="G244" s="45" t="s">
        <v>63</v>
      </c>
      <c r="H244" s="46" t="s">
        <v>1242</v>
      </c>
      <c r="I244" s="18"/>
      <c r="J244" s="87"/>
      <c r="K244" s="18" t="s">
        <v>67</v>
      </c>
      <c r="L244" s="18" t="s">
        <v>1182</v>
      </c>
      <c r="M244" s="18" t="s">
        <v>1183</v>
      </c>
      <c r="N244" s="87"/>
      <c r="O244" s="87" t="b">
        <f>VLOOKUP(A244,[1]Model!C$2:J$559,2,FALSE)=B244</f>
        <v>1</v>
      </c>
      <c r="P244" s="87" t="b">
        <f>VLOOKUP(A244,Model!C$2:G$208,5,FALSE)=D244</f>
        <v>1</v>
      </c>
      <c r="Q244" s="87">
        <f>VLOOKUP(A244,[2]Model!C$2:L$228,8,FALSE)</f>
        <v>227</v>
      </c>
      <c r="R244" s="87" t="e">
        <f>VLOOKUP(A244,[2]Model!C$2:G$228,3,FALSE)=[3]!Table14[[#This Row],[Business Definition (To go into comments and into Meta Data Hub)]]</f>
        <v>#REF!</v>
      </c>
      <c r="S244" s="87" t="e">
        <f>IF([3]!Table14[[#This Row],[Nullable in Table and in Oracle View
NULL, NOT NULL]]="No","NOT NULL","NULL")=VLOOKUP(A244,[2]Model!C$2:I$228,6,FALSE)</f>
        <v>#REF!</v>
      </c>
      <c r="T244" s="87" t="e">
        <f>VLOOKUP(B244,[2]Table!A$2:F$415,1,FALSE)=[3]!Table14[[#This Row],[Physical Name of Attribute (Name of column in Table)
Supplied by DA Team]]</f>
        <v>#N/A</v>
      </c>
      <c r="U244" s="87" t="e">
        <f>VLOOKUP(B244,Table!A$2:F$319,2,FALSE)=Table1[[#This Row],[Data type in Oracle
VARCHAR2(n), DATE, NUMBER(m,n), TIMETSTAMP(6)]]</f>
        <v>#N/A</v>
      </c>
      <c r="V244" s="87" t="e">
        <f>VLOOKUP(B244,Table!A$2:F$231,3,FALSE)=Table1[[#This Row],[Nullable in Table and in Oracle View
NULL, NOT NULL]]</f>
        <v>#N/A</v>
      </c>
      <c r="W244" s="87" t="e">
        <f>VLOOKUP(B244,Table!A$2:H$228,6,FALSE)=Table1[[#This Row],[Business Definition (To go into comments and into Meta Data Hub)]]</f>
        <v>#N/A</v>
      </c>
      <c r="X244" s="87" t="e">
        <f>VLOOKUP((UPPER(SUBSTITUTE(A244," ","_"))),'[2]Consumer View'!A$2:I$329,1,FALSE)</f>
        <v>#N/A</v>
      </c>
      <c r="Y244" s="18" t="s">
        <v>68</v>
      </c>
      <c r="Z244" s="18" t="s">
        <v>375</v>
      </c>
      <c r="AA244" s="18" t="s">
        <v>1240</v>
      </c>
      <c r="AB244" s="87"/>
      <c r="AC244" s="87"/>
      <c r="AD244" s="46" t="s">
        <v>913</v>
      </c>
      <c r="AE244" s="46" t="s">
        <v>1239</v>
      </c>
      <c r="AF244" s="87"/>
      <c r="AG244" s="18"/>
      <c r="AH244" s="18" t="s">
        <v>71</v>
      </c>
    </row>
    <row r="245" spans="1:34" ht="27" hidden="1" customHeight="1">
      <c r="A245" s="94" t="s">
        <v>1243</v>
      </c>
      <c r="B245" s="87" t="s">
        <v>1244</v>
      </c>
      <c r="C245" s="87" t="s">
        <v>1245</v>
      </c>
      <c r="D245" s="87" t="s">
        <v>139</v>
      </c>
      <c r="E245" s="87" t="s">
        <v>63</v>
      </c>
      <c r="F245" s="18" t="s">
        <v>140</v>
      </c>
      <c r="G245" s="89" t="s">
        <v>63</v>
      </c>
      <c r="H245" s="83" t="s">
        <v>1246</v>
      </c>
      <c r="I245" s="87"/>
      <c r="J245" s="87" t="s">
        <v>67</v>
      </c>
      <c r="K245" s="18"/>
      <c r="L245" s="87" t="s">
        <v>1247</v>
      </c>
      <c r="M245" s="87" t="s">
        <v>1248</v>
      </c>
      <c r="N245" s="87"/>
      <c r="O245" s="87" t="b">
        <f>VLOOKUP(A245,[1]Model!C$2:J$559,2,FALSE)=B245</f>
        <v>1</v>
      </c>
      <c r="P245" s="87" t="e">
        <f>VLOOKUP(A245,Model!C$2:G$208,5,FALSE)=D245</f>
        <v>#N/A</v>
      </c>
      <c r="Q245" s="87" t="e">
        <f>VLOOKUP(A245,[2]Model!C$2:L$228,8,FALSE)</f>
        <v>#N/A</v>
      </c>
      <c r="R245" s="87" t="e">
        <f>VLOOKUP(A245,[2]Model!C$2:G$228,3,FALSE)=[3]!Table14[[#This Row],[Business Definition (To go into comments and into Meta Data Hub)]]</f>
        <v>#N/A</v>
      </c>
      <c r="S245" s="87" t="e">
        <f>IF([3]!Table14[[#This Row],[Nullable in Table and in Oracle View
NULL, NOT NULL]]="No","NOT NULL","NULL")=VLOOKUP(A245,[2]Model!C$2:I$228,6,FALSE)</f>
        <v>#REF!</v>
      </c>
      <c r="T245" s="87" t="e">
        <f>VLOOKUP(B245,[2]Table!A$2:F$415,1,FALSE)=[3]!Table14[[#This Row],[Physical Name of Attribute (Name of column in Table)
Supplied by DA Team]]</f>
        <v>#N/A</v>
      </c>
      <c r="U245" s="87" t="e">
        <f>VLOOKUP(B245,Table!A$2:F$319,2,FALSE)=Table1[[#This Row],[Data type in Oracle
VARCHAR2(n), DATE, NUMBER(m,n), TIMETSTAMP(6)]]</f>
        <v>#N/A</v>
      </c>
      <c r="V245" s="87" t="e">
        <f>VLOOKUP(B245,Table!A$2:F$231,3,FALSE)=Table1[[#This Row],[Nullable in Table and in Oracle View
NULL, NOT NULL]]</f>
        <v>#N/A</v>
      </c>
      <c r="W245" s="87" t="e">
        <f>VLOOKUP(B245,Table!A$2:H$228,6,FALSE)=Table1[[#This Row],[Business Definition (To go into comments and into Meta Data Hub)]]</f>
        <v>#N/A</v>
      </c>
      <c r="X245" s="87" t="e">
        <f>VLOOKUP((UPPER(SUBSTITUTE(A245," ","_"))),'[2]Consumer View'!A$2:I$329,1,FALSE)</f>
        <v>#N/A</v>
      </c>
      <c r="Y245" s="87" t="s">
        <v>68</v>
      </c>
      <c r="Z245" s="94" t="s">
        <v>1249</v>
      </c>
      <c r="AA245" s="94" t="s">
        <v>1250</v>
      </c>
      <c r="AB245" s="87"/>
      <c r="AC245" s="87"/>
      <c r="AD245" s="94" t="s">
        <v>1251</v>
      </c>
      <c r="AE245" s="83" t="s">
        <v>1252</v>
      </c>
      <c r="AF245" s="87"/>
      <c r="AG245" s="18"/>
      <c r="AH245" s="18" t="s">
        <v>71</v>
      </c>
    </row>
    <row r="246" spans="1:34" ht="27" hidden="1" customHeight="1">
      <c r="A246" s="94" t="s">
        <v>1253</v>
      </c>
      <c r="B246" s="87" t="s">
        <v>1254</v>
      </c>
      <c r="C246" s="87" t="s">
        <v>1255</v>
      </c>
      <c r="D246" s="87" t="s">
        <v>90</v>
      </c>
      <c r="E246" s="87" t="s">
        <v>63</v>
      </c>
      <c r="F246" s="18" t="s">
        <v>91</v>
      </c>
      <c r="G246" s="89" t="s">
        <v>63</v>
      </c>
      <c r="H246" s="83" t="s">
        <v>1256</v>
      </c>
      <c r="I246" s="87"/>
      <c r="J246" s="87" t="s">
        <v>67</v>
      </c>
      <c r="K246" s="18"/>
      <c r="L246" s="87" t="s">
        <v>1247</v>
      </c>
      <c r="M246" s="87" t="s">
        <v>1248</v>
      </c>
      <c r="N246" s="87"/>
      <c r="O246" s="87" t="b">
        <f>VLOOKUP(A246,[1]Model!C$2:J$559,2,FALSE)=B246</f>
        <v>1</v>
      </c>
      <c r="P246" s="87" t="e">
        <f>VLOOKUP(A246,Model!C$2:G$208,5,FALSE)=D246</f>
        <v>#N/A</v>
      </c>
      <c r="Q246" s="87" t="e">
        <f>VLOOKUP(A246,[2]Model!C$2:L$228,8,FALSE)</f>
        <v>#N/A</v>
      </c>
      <c r="R246" s="87" t="e">
        <f>VLOOKUP(A246,[2]Model!C$2:G$228,3,FALSE)=[3]!Table14[[#This Row],[Business Definition (To go into comments and into Meta Data Hub)]]</f>
        <v>#N/A</v>
      </c>
      <c r="S246" s="87" t="e">
        <f>IF([3]!Table14[[#This Row],[Nullable in Table and in Oracle View
NULL, NOT NULL]]="No","NOT NULL","NULL")=VLOOKUP(A246,[2]Model!C$2:I$228,6,FALSE)</f>
        <v>#REF!</v>
      </c>
      <c r="T246" s="87" t="e">
        <f>VLOOKUP(B246,[2]Table!A$2:F$415,1,FALSE)=[3]!Table14[[#This Row],[Physical Name of Attribute (Name of column in Table)
Supplied by DA Team]]</f>
        <v>#N/A</v>
      </c>
      <c r="U246" s="87" t="e">
        <f>VLOOKUP(B246,Table!A$2:F$319,2,FALSE)=Table1[[#This Row],[Data type in Oracle
VARCHAR2(n), DATE, NUMBER(m,n), TIMETSTAMP(6)]]</f>
        <v>#N/A</v>
      </c>
      <c r="V246" s="87" t="e">
        <f>VLOOKUP(B246,Table!A$2:F$231,3,FALSE)=Table1[[#This Row],[Nullable in Table and in Oracle View
NULL, NOT NULL]]</f>
        <v>#N/A</v>
      </c>
      <c r="W246" s="87" t="e">
        <f>VLOOKUP(B246,Table!A$2:H$228,6,FALSE)=Table1[[#This Row],[Business Definition (To go into comments and into Meta Data Hub)]]</f>
        <v>#N/A</v>
      </c>
      <c r="X246" s="87" t="e">
        <f>VLOOKUP((UPPER(SUBSTITUTE(A246," ","_"))),'[2]Consumer View'!A$2:I$329,1,FALSE)</f>
        <v>#N/A</v>
      </c>
      <c r="Y246" s="87" t="s">
        <v>68</v>
      </c>
      <c r="Z246" s="94" t="s">
        <v>1249</v>
      </c>
      <c r="AA246" s="94" t="s">
        <v>1257</v>
      </c>
      <c r="AB246" s="87"/>
      <c r="AC246" s="87"/>
      <c r="AD246" s="94" t="s">
        <v>1251</v>
      </c>
      <c r="AE246" s="83" t="s">
        <v>1252</v>
      </c>
      <c r="AF246" s="87"/>
      <c r="AG246" s="18"/>
      <c r="AH246" s="18" t="s">
        <v>71</v>
      </c>
    </row>
    <row r="247" spans="1:34" ht="27" hidden="1" customHeight="1">
      <c r="A247" s="94" t="s">
        <v>1258</v>
      </c>
      <c r="B247" s="87" t="s">
        <v>1259</v>
      </c>
      <c r="C247" s="87" t="s">
        <v>1260</v>
      </c>
      <c r="D247" s="87" t="s">
        <v>82</v>
      </c>
      <c r="E247" s="87" t="s">
        <v>63</v>
      </c>
      <c r="F247" s="18" t="s">
        <v>83</v>
      </c>
      <c r="G247" s="89" t="s">
        <v>63</v>
      </c>
      <c r="H247" s="83" t="s">
        <v>1261</v>
      </c>
      <c r="I247" s="87"/>
      <c r="J247" s="87" t="s">
        <v>67</v>
      </c>
      <c r="K247" s="87"/>
      <c r="L247" s="87" t="s">
        <v>1262</v>
      </c>
      <c r="M247" s="87"/>
      <c r="N247" s="87"/>
      <c r="O247" s="87" t="b">
        <f>VLOOKUP(A247,[1]Model!C$2:J$559,2,FALSE)=B247</f>
        <v>1</v>
      </c>
      <c r="P247" s="87" t="e">
        <f>VLOOKUP(A247,Model!C$2:G$208,5,FALSE)=D247</f>
        <v>#N/A</v>
      </c>
      <c r="Q247" s="87" t="e">
        <f>VLOOKUP(A247,[2]Model!C$2:L$228,8,FALSE)</f>
        <v>#N/A</v>
      </c>
      <c r="R247" s="87" t="e">
        <f>VLOOKUP(A247,[2]Model!C$2:G$228,3,FALSE)=[3]!Table14[[#This Row],[Business Definition (To go into comments and into Meta Data Hub)]]</f>
        <v>#N/A</v>
      </c>
      <c r="S247" s="87" t="e">
        <f>IF([3]!Table14[[#This Row],[Nullable in Table and in Oracle View
NULL, NOT NULL]]="No","NOT NULL","NULL")=VLOOKUP(A247,[2]Model!C$2:I$228,6,FALSE)</f>
        <v>#REF!</v>
      </c>
      <c r="T247" s="88" t="e">
        <f>VLOOKUP(B247,[2]Table!A$2:F$415,1,FALSE)=[3]!Table14[[#This Row],[Physical Name of Attribute (Name of column in Table)
Supplied by DA Team]]</f>
        <v>#N/A</v>
      </c>
      <c r="U247" s="88" t="e">
        <f>VLOOKUP(B247,Table!A$2:F$319,2,FALSE)=Table1[[#This Row],[Data type in Oracle
VARCHAR2(n), DATE, NUMBER(m,n), TIMETSTAMP(6)]]</f>
        <v>#N/A</v>
      </c>
      <c r="V247" s="88" t="e">
        <f>VLOOKUP(B247,Table!A$2:F$231,3,FALSE)=Table1[[#This Row],[Nullable in Table and in Oracle View
NULL, NOT NULL]]</f>
        <v>#N/A</v>
      </c>
      <c r="W247" s="88" t="e">
        <f>VLOOKUP(B247,Table!A$2:H$228,6,FALSE)=Table1[[#This Row],[Business Definition (To go into comments and into Meta Data Hub)]]</f>
        <v>#N/A</v>
      </c>
      <c r="X247" s="88" t="e">
        <f>VLOOKUP((UPPER(SUBSTITUTE(A247," ","_"))),'[2]Consumer View'!A$2:I$329,1,FALSE)</f>
        <v>#N/A</v>
      </c>
      <c r="Y247" s="87" t="s">
        <v>68</v>
      </c>
      <c r="Z247" s="87" t="s">
        <v>69</v>
      </c>
      <c r="AA247" s="87"/>
      <c r="AB247" s="87" t="s">
        <v>1263</v>
      </c>
      <c r="AC247" s="87"/>
      <c r="AD247" s="87"/>
      <c r="AE247" s="83"/>
      <c r="AF247" s="87"/>
      <c r="AG247" s="18"/>
      <c r="AH247" s="18" t="s">
        <v>71</v>
      </c>
    </row>
    <row r="248" spans="1:34" ht="27" hidden="1" customHeight="1">
      <c r="A248" s="94" t="s">
        <v>1264</v>
      </c>
      <c r="B248" s="87" t="s">
        <v>1265</v>
      </c>
      <c r="C248" s="87"/>
      <c r="D248" s="18" t="s">
        <v>101</v>
      </c>
      <c r="E248" s="18" t="s">
        <v>63</v>
      </c>
      <c r="F248" s="87" t="s">
        <v>133</v>
      </c>
      <c r="G248" s="45" t="s">
        <v>63</v>
      </c>
      <c r="H248" s="46" t="s">
        <v>1266</v>
      </c>
      <c r="I248" s="87"/>
      <c r="J248" s="87" t="s">
        <v>67</v>
      </c>
      <c r="K248" s="87"/>
      <c r="L248" s="18" t="s">
        <v>1267</v>
      </c>
      <c r="M248" s="18" t="s">
        <v>1268</v>
      </c>
      <c r="N248" s="87" t="s">
        <v>345</v>
      </c>
      <c r="O248" s="87" t="b">
        <f>VLOOKUP(A248,[1]Model!C$2:J$559,2,FALSE)=B248</f>
        <v>1</v>
      </c>
      <c r="P248" s="87" t="b">
        <f>VLOOKUP(A248,Model!C$2:G$208,5,FALSE)=D248</f>
        <v>1</v>
      </c>
      <c r="Q248" s="87" t="e">
        <f>VLOOKUP(A248,[2]Model!C$2:L$228,8,FALSE)</f>
        <v>#N/A</v>
      </c>
      <c r="R248" s="87" t="e">
        <f>VLOOKUP(A248,[2]Model!C$2:G$228,3,FALSE)=[3]!Table14[[#This Row],[Business Definition (To go into comments and into Meta Data Hub)]]</f>
        <v>#N/A</v>
      </c>
      <c r="S248" s="87" t="e">
        <f>IF([3]!Table14[[#This Row],[Nullable in Table and in Oracle View
NULL, NOT NULL]]="No","NOT NULL","NULL")=VLOOKUP(A248,[2]Model!C$2:I$228,6,FALSE)</f>
        <v>#REF!</v>
      </c>
      <c r="T248" s="87" t="e">
        <f>VLOOKUP(B248,[2]Table!A$2:F$415,1,FALSE)=[3]!Table14[[#This Row],[Physical Name of Attribute (Name of column in Table)
Supplied by DA Team]]</f>
        <v>#N/A</v>
      </c>
      <c r="U248" s="87" t="e">
        <f>VLOOKUP(B248,Table!A$2:F$319,2,FALSE)=Table1[[#This Row],[Data type in Oracle
VARCHAR2(n), DATE, NUMBER(m,n), TIMETSTAMP(6)]]</f>
        <v>#N/A</v>
      </c>
      <c r="V248" s="87" t="e">
        <f>VLOOKUP(B248,Table!A$2:F$231,3,FALSE)=Table1[[#This Row],[Nullable in Table and in Oracle View
NULL, NOT NULL]]</f>
        <v>#N/A</v>
      </c>
      <c r="W248" s="87" t="e">
        <f>VLOOKUP(B248,Table!A$2:H$228,6,FALSE)=Table1[[#This Row],[Business Definition (To go into comments and into Meta Data Hub)]]</f>
        <v>#N/A</v>
      </c>
      <c r="X248" s="87" t="e">
        <f>VLOOKUP((UPPER(SUBSTITUTE(A248," ","_"))),'[2]Consumer View'!A$2:I$329,1,FALSE)</f>
        <v>#N/A</v>
      </c>
      <c r="Y248" s="87" t="s">
        <v>68</v>
      </c>
      <c r="Z248" s="18" t="s">
        <v>448</v>
      </c>
      <c r="AA248" s="100" t="s">
        <v>1269</v>
      </c>
      <c r="AB248" s="18" t="s">
        <v>101</v>
      </c>
      <c r="AC248" s="18" t="s">
        <v>63</v>
      </c>
      <c r="AD248" s="18" t="s">
        <v>438</v>
      </c>
      <c r="AE248" s="46" t="s">
        <v>1270</v>
      </c>
      <c r="AF248" s="87"/>
      <c r="AG248" s="18"/>
      <c r="AH248" s="18" t="s">
        <v>71</v>
      </c>
    </row>
    <row r="249" spans="1:34" ht="27" hidden="1" customHeight="1">
      <c r="A249" s="51" t="s">
        <v>1271</v>
      </c>
      <c r="B249" s="18" t="s">
        <v>1272</v>
      </c>
      <c r="C249" s="87" t="s">
        <v>1273</v>
      </c>
      <c r="D249" s="87" t="s">
        <v>62</v>
      </c>
      <c r="E249" s="87" t="s">
        <v>63</v>
      </c>
      <c r="F249" s="87" t="s">
        <v>64</v>
      </c>
      <c r="G249" s="89" t="s">
        <v>63</v>
      </c>
      <c r="H249" s="83" t="s">
        <v>1274</v>
      </c>
      <c r="I249" s="18"/>
      <c r="J249" s="87" t="s">
        <v>67</v>
      </c>
      <c r="K249" s="18"/>
      <c r="L249" s="18" t="s">
        <v>1267</v>
      </c>
      <c r="M249" s="18" t="s">
        <v>1268</v>
      </c>
      <c r="N249" s="87" t="s">
        <v>345</v>
      </c>
      <c r="O249" s="18" t="b">
        <f>VLOOKUP(A249,[1]Model!C$2:J$559,2,FALSE)=B249</f>
        <v>1</v>
      </c>
      <c r="P249" s="18" t="b">
        <f>VLOOKUP(A249,Model!C$2:G$208,5,FALSE)=D249</f>
        <v>1</v>
      </c>
      <c r="Q249" s="18" t="e">
        <f>VLOOKUP(A249,[2]Model!C$2:L$228,8,FALSE)</f>
        <v>#N/A</v>
      </c>
      <c r="R249" s="18" t="e">
        <f>VLOOKUP(A249,[2]Model!C$2:G$228,3,FALSE)=[3]!Table14[[#This Row],[Business Definition (To go into comments and into Meta Data Hub)]]</f>
        <v>#N/A</v>
      </c>
      <c r="S249" s="18" t="e">
        <f>IF([3]!Table14[[#This Row],[Nullable in Table and in Oracle View
NULL, NOT NULL]]="No","NOT NULL","NULL")=VLOOKUP(A249,[2]Model!C$2:I$228,6,FALSE)</f>
        <v>#REF!</v>
      </c>
      <c r="T249" s="18" t="e">
        <f>VLOOKUP(B249,[2]Table!A$2:F$415,1,FALSE)=[3]!Table14[[#This Row],[Physical Name of Attribute (Name of column in Table)
Supplied by DA Team]]</f>
        <v>#N/A</v>
      </c>
      <c r="U249" s="18" t="e">
        <f>VLOOKUP(B249,Table!A$2:F$319,2,FALSE)=Table1[[#This Row],[Data type in Oracle
VARCHAR2(n), DATE, NUMBER(m,n), TIMETSTAMP(6)]]</f>
        <v>#N/A</v>
      </c>
      <c r="V249" s="18" t="e">
        <f>VLOOKUP(B249,Table!A$2:F$231,3,FALSE)=Table1[[#This Row],[Nullable in Table and in Oracle View
NULL, NOT NULL]]</f>
        <v>#N/A</v>
      </c>
      <c r="W249" s="18" t="e">
        <f>VLOOKUP(B249,Table!A$2:H$228,6,FALSE)=Table1[[#This Row],[Business Definition (To go into comments and into Meta Data Hub)]]</f>
        <v>#N/A</v>
      </c>
      <c r="X249" s="18" t="e">
        <f>VLOOKUP((UPPER(SUBSTITUTE(A249," ","_"))),'[2]Consumer View'!A$2:I$329,1,FALSE)</f>
        <v>#N/A</v>
      </c>
      <c r="Y249" s="87" t="s">
        <v>68</v>
      </c>
      <c r="Z249" s="87" t="s">
        <v>1275</v>
      </c>
      <c r="AA249" s="101" t="s">
        <v>1276</v>
      </c>
      <c r="AB249" s="87" t="s">
        <v>62</v>
      </c>
      <c r="AC249" s="87" t="s">
        <v>63</v>
      </c>
      <c r="AD249" s="18" t="s">
        <v>1277</v>
      </c>
      <c r="AE249" s="46" t="s">
        <v>1278</v>
      </c>
      <c r="AF249" s="18"/>
      <c r="AG249" s="18"/>
      <c r="AH249" s="18" t="s">
        <v>71</v>
      </c>
    </row>
    <row r="250" spans="1:34" ht="27" hidden="1" customHeight="1">
      <c r="A250" s="51" t="s">
        <v>1279</v>
      </c>
      <c r="B250" s="18" t="s">
        <v>1280</v>
      </c>
      <c r="C250" s="18"/>
      <c r="D250" s="18" t="s">
        <v>101</v>
      </c>
      <c r="E250" s="18" t="s">
        <v>63</v>
      </c>
      <c r="F250" s="87" t="s">
        <v>133</v>
      </c>
      <c r="G250" s="45" t="s">
        <v>63</v>
      </c>
      <c r="H250" s="46" t="s">
        <v>1281</v>
      </c>
      <c r="I250" s="18"/>
      <c r="J250" s="87" t="s">
        <v>67</v>
      </c>
      <c r="K250" s="18"/>
      <c r="L250" s="18" t="s">
        <v>1267</v>
      </c>
      <c r="M250" s="18" t="s">
        <v>1268</v>
      </c>
      <c r="N250" s="87" t="s">
        <v>345</v>
      </c>
      <c r="O250" s="18" t="b">
        <f>VLOOKUP(A250,[1]Model!C$2:J$559,2,FALSE)=B250</f>
        <v>1</v>
      </c>
      <c r="P250" s="18" t="e">
        <f>VLOOKUP(A250,Model!C$2:G$208,5,FALSE)=D250</f>
        <v>#N/A</v>
      </c>
      <c r="Q250" s="18" t="e">
        <f>VLOOKUP(A250,[2]Model!C$2:L$228,8,FALSE)</f>
        <v>#N/A</v>
      </c>
      <c r="R250" s="18" t="e">
        <f>VLOOKUP(A250,[2]Model!C$2:G$228,3,FALSE)=[3]!Table14[[#This Row],[Business Definition (To go into comments and into Meta Data Hub)]]</f>
        <v>#N/A</v>
      </c>
      <c r="S250" s="18" t="e">
        <f>IF([3]!Table14[[#This Row],[Nullable in Table and in Oracle View
NULL, NOT NULL]]="No","NOT NULL","NULL")=VLOOKUP(A250,[2]Model!C$2:I$228,6,FALSE)</f>
        <v>#REF!</v>
      </c>
      <c r="T250" s="18" t="e">
        <f>VLOOKUP(B250,[2]Table!A$2:F$415,1,FALSE)=[3]!Table14[[#This Row],[Physical Name of Attribute (Name of column in Table)
Supplied by DA Team]]</f>
        <v>#N/A</v>
      </c>
      <c r="U250" s="18" t="e">
        <f>VLOOKUP(B250,Table!A$2:F$319,2,FALSE)=Table1[[#This Row],[Data type in Oracle
VARCHAR2(n), DATE, NUMBER(m,n), TIMETSTAMP(6)]]</f>
        <v>#N/A</v>
      </c>
      <c r="V250" s="18" t="e">
        <f>VLOOKUP(B250,Table!A$2:F$231,3,FALSE)=Table1[[#This Row],[Nullable in Table and in Oracle View
NULL, NOT NULL]]</f>
        <v>#N/A</v>
      </c>
      <c r="W250" s="18" t="e">
        <f>VLOOKUP(B250,Table!A$2:H$228,6,FALSE)=Table1[[#This Row],[Business Definition (To go into comments and into Meta Data Hub)]]</f>
        <v>#N/A</v>
      </c>
      <c r="X250" s="18" t="e">
        <f>VLOOKUP((UPPER(SUBSTITUTE(A250," ","_"))),'[2]Consumer View'!A$2:I$329,1,FALSE)</f>
        <v>#N/A</v>
      </c>
      <c r="Y250" s="87" t="s">
        <v>68</v>
      </c>
      <c r="Z250" s="18" t="s">
        <v>448</v>
      </c>
      <c r="AA250" s="100" t="s">
        <v>1269</v>
      </c>
      <c r="AB250" s="18" t="s">
        <v>101</v>
      </c>
      <c r="AC250" s="18" t="s">
        <v>63</v>
      </c>
      <c r="AD250" s="18" t="s">
        <v>839</v>
      </c>
      <c r="AE250" s="46" t="s">
        <v>1270</v>
      </c>
      <c r="AF250" s="18"/>
      <c r="AG250" s="18"/>
      <c r="AH250" s="18" t="s">
        <v>71</v>
      </c>
    </row>
    <row r="251" spans="1:34" ht="27" hidden="1" customHeight="1">
      <c r="A251" s="51" t="s">
        <v>1282</v>
      </c>
      <c r="B251" s="18" t="s">
        <v>1283</v>
      </c>
      <c r="C251" s="18" t="s">
        <v>1284</v>
      </c>
      <c r="D251" s="18" t="s">
        <v>62</v>
      </c>
      <c r="E251" s="18" t="s">
        <v>63</v>
      </c>
      <c r="F251" s="18" t="s">
        <v>64</v>
      </c>
      <c r="G251" s="45" t="s">
        <v>63</v>
      </c>
      <c r="H251" s="46" t="s">
        <v>1285</v>
      </c>
      <c r="I251" s="18"/>
      <c r="J251" s="18" t="s">
        <v>67</v>
      </c>
      <c r="K251" s="18"/>
      <c r="L251" s="18" t="s">
        <v>1267</v>
      </c>
      <c r="M251" s="18" t="s">
        <v>1268</v>
      </c>
      <c r="N251" s="18" t="s">
        <v>345</v>
      </c>
      <c r="O251" s="18" t="b">
        <f>VLOOKUP(A251,[1]Model!C$2:J$559,2,FALSE)=B251</f>
        <v>1</v>
      </c>
      <c r="P251" s="18" t="e">
        <f>VLOOKUP(A251,Model!C$2:G$208,5,FALSE)=D251</f>
        <v>#N/A</v>
      </c>
      <c r="Q251" s="18" t="e">
        <f>VLOOKUP(A251,[2]Model!C$2:L$228,8,FALSE)</f>
        <v>#N/A</v>
      </c>
      <c r="R251" s="18" t="e">
        <f>VLOOKUP(A251,[2]Model!C$2:G$228,3,FALSE)=[3]!Table14[[#This Row],[Business Definition (To go into comments and into Meta Data Hub)]]</f>
        <v>#N/A</v>
      </c>
      <c r="S251" s="18" t="e">
        <f>IF([3]!Table14[[#This Row],[Nullable in Table and in Oracle View
NULL, NOT NULL]]="No","NOT NULL","NULL")=VLOOKUP(A251,[2]Model!C$2:I$228,6,FALSE)</f>
        <v>#REF!</v>
      </c>
      <c r="T251" s="18" t="e">
        <f>VLOOKUP(B251,[2]Table!A$2:F$415,1,FALSE)=[3]!Table14[[#This Row],[Physical Name of Attribute (Name of column in Table)
Supplied by DA Team]]</f>
        <v>#N/A</v>
      </c>
      <c r="U251" s="18" t="e">
        <f>VLOOKUP(B251,Table!A$2:F$319,2,FALSE)=Table1[[#This Row],[Data type in Oracle
VARCHAR2(n), DATE, NUMBER(m,n), TIMETSTAMP(6)]]</f>
        <v>#N/A</v>
      </c>
      <c r="V251" s="18" t="e">
        <f>VLOOKUP(B251,Table!A$2:F$231,3,FALSE)=Table1[[#This Row],[Nullable in Table and in Oracle View
NULL, NOT NULL]]</f>
        <v>#N/A</v>
      </c>
      <c r="W251" s="18" t="e">
        <f>VLOOKUP(B251,Table!A$2:H$228,6,FALSE)=Table1[[#This Row],[Business Definition (To go into comments and into Meta Data Hub)]]</f>
        <v>#N/A</v>
      </c>
      <c r="X251" s="18" t="e">
        <f>VLOOKUP((UPPER(SUBSTITUTE(A251," ","_"))),'[2]Consumer View'!A$2:I$329,1,FALSE)</f>
        <v>#N/A</v>
      </c>
      <c r="Y251" s="18" t="s">
        <v>68</v>
      </c>
      <c r="Z251" s="18" t="s">
        <v>1275</v>
      </c>
      <c r="AA251" s="100" t="s">
        <v>1276</v>
      </c>
      <c r="AB251" s="18" t="s">
        <v>62</v>
      </c>
      <c r="AC251" s="18" t="s">
        <v>63</v>
      </c>
      <c r="AD251" s="18" t="s">
        <v>1286</v>
      </c>
      <c r="AE251" s="46" t="s">
        <v>1278</v>
      </c>
      <c r="AF251" s="18"/>
      <c r="AG251" s="18"/>
      <c r="AH251" s="18" t="s">
        <v>71</v>
      </c>
    </row>
    <row r="252" spans="1:34" ht="27" hidden="1" customHeight="1">
      <c r="A252" s="94" t="s">
        <v>1287</v>
      </c>
      <c r="B252" s="87" t="s">
        <v>1288</v>
      </c>
      <c r="C252" s="87" t="s">
        <v>1287</v>
      </c>
      <c r="D252" s="87" t="s">
        <v>559</v>
      </c>
      <c r="E252" s="18" t="s">
        <v>63</v>
      </c>
      <c r="F252" s="87" t="s">
        <v>560</v>
      </c>
      <c r="G252" s="89" t="s">
        <v>63</v>
      </c>
      <c r="H252" s="83" t="s">
        <v>1289</v>
      </c>
      <c r="I252" s="87"/>
      <c r="J252" s="87" t="s">
        <v>67</v>
      </c>
      <c r="K252" s="87"/>
      <c r="L252" s="18">
        <v>2115841</v>
      </c>
      <c r="M252" s="18">
        <v>2115841</v>
      </c>
      <c r="N252" s="87" t="s">
        <v>63</v>
      </c>
      <c r="O252" s="87" t="b">
        <f>VLOOKUP(A252,[1]Model!C$2:J$559,2,FALSE)=B252</f>
        <v>1</v>
      </c>
      <c r="P252" s="87" t="e">
        <f>VLOOKUP(A252,Model!C$2:G$208,5,FALSE)=D252</f>
        <v>#N/A</v>
      </c>
      <c r="Q252" s="87" t="e">
        <f>VLOOKUP(A252,[2]Model!C$2:L$228,8,FALSE)</f>
        <v>#N/A</v>
      </c>
      <c r="R252" s="87" t="e">
        <f>VLOOKUP(A252,[2]Model!C$2:G$228,3,FALSE)=[3]!Table14[[#This Row],[Business Definition (To go into comments and into Meta Data Hub)]]</f>
        <v>#N/A</v>
      </c>
      <c r="S252" s="87" t="e">
        <f>IF([3]!Table14[[#This Row],[Nullable in Table and in Oracle View
NULL, NOT NULL]]="No","NOT NULL","NULL")=VLOOKUP(A252,[2]Model!C$2:I$228,6,FALSE)</f>
        <v>#REF!</v>
      </c>
      <c r="T252" s="88" t="e">
        <f>VLOOKUP(B252,[2]Table!A$2:F$415,1,FALSE)=[3]!Table14[[#This Row],[Physical Name of Attribute (Name of column in Table)
Supplied by DA Team]]</f>
        <v>#N/A</v>
      </c>
      <c r="U252" s="88" t="e">
        <f>VLOOKUP(B252,Table!A$2:F$319,2,FALSE)=Table1[[#This Row],[Data type in Oracle
VARCHAR2(n), DATE, NUMBER(m,n), TIMETSTAMP(6)]]</f>
        <v>#N/A</v>
      </c>
      <c r="V252" s="88" t="e">
        <f>VLOOKUP(B252,Table!A$2:F$231,3,FALSE)=Table1[[#This Row],[Nullable in Table and in Oracle View
NULL, NOT NULL]]</f>
        <v>#N/A</v>
      </c>
      <c r="W252" s="88" t="e">
        <f>VLOOKUP(B252,Table!A$2:H$228,6,FALSE)=Table1[[#This Row],[Business Definition (To go into comments and into Meta Data Hub)]]</f>
        <v>#N/A</v>
      </c>
      <c r="X252" s="88" t="e">
        <f>VLOOKUP((UPPER(SUBSTITUTE(A252," ","_"))),'[2]Consumer View'!A$2:I$329,1,FALSE)</f>
        <v>#N/A</v>
      </c>
      <c r="Y252" s="18" t="s">
        <v>68</v>
      </c>
      <c r="Z252" s="87" t="s">
        <v>375</v>
      </c>
      <c r="AA252" s="87" t="s">
        <v>1290</v>
      </c>
      <c r="AB252" s="87" t="s">
        <v>1291</v>
      </c>
      <c r="AC252" s="18" t="s">
        <v>63</v>
      </c>
      <c r="AD252" s="87" t="s">
        <v>1292</v>
      </c>
      <c r="AE252" s="83"/>
      <c r="AF252" s="87"/>
      <c r="AG252" s="18"/>
      <c r="AH252" s="18" t="s">
        <v>71</v>
      </c>
    </row>
    <row r="253" spans="1:34" ht="27" hidden="1" customHeight="1">
      <c r="A253" s="94" t="s">
        <v>1293</v>
      </c>
      <c r="B253" s="87" t="s">
        <v>1294</v>
      </c>
      <c r="C253" s="87" t="s">
        <v>1295</v>
      </c>
      <c r="D253" s="87" t="s">
        <v>559</v>
      </c>
      <c r="E253" s="87" t="s">
        <v>63</v>
      </c>
      <c r="F253" s="87" t="s">
        <v>560</v>
      </c>
      <c r="G253" s="89" t="s">
        <v>63</v>
      </c>
      <c r="H253" s="83" t="s">
        <v>1296</v>
      </c>
      <c r="I253" s="87"/>
      <c r="J253" s="87" t="s">
        <v>67</v>
      </c>
      <c r="K253" s="87"/>
      <c r="L253" s="18">
        <v>2115841</v>
      </c>
      <c r="M253" s="18">
        <v>2115841</v>
      </c>
      <c r="N253" s="87" t="s">
        <v>63</v>
      </c>
      <c r="O253" s="87" t="b">
        <f>VLOOKUP(A253,[1]Model!C$2:J$559,2,FALSE)=B253</f>
        <v>1</v>
      </c>
      <c r="P253" s="87" t="e">
        <f>VLOOKUP(A253,Model!C$2:G$208,5,FALSE)=D253</f>
        <v>#N/A</v>
      </c>
      <c r="Q253" s="87" t="e">
        <f>VLOOKUP(A253,[2]Model!C$2:L$228,8,FALSE)</f>
        <v>#N/A</v>
      </c>
      <c r="R253" s="87" t="e">
        <f>VLOOKUP(A253,[2]Model!C$2:G$228,3,FALSE)=[3]!Table14[[#This Row],[Business Definition (To go into comments and into Meta Data Hub)]]</f>
        <v>#N/A</v>
      </c>
      <c r="S253" s="87" t="e">
        <f>IF([3]!Table14[[#This Row],[Nullable in Table and in Oracle View
NULL, NOT NULL]]="No","NOT NULL","NULL")=VLOOKUP(A253,[2]Model!C$2:I$228,6,FALSE)</f>
        <v>#REF!</v>
      </c>
      <c r="T253" s="88" t="e">
        <f>VLOOKUP(B253,[2]Table!A$2:F$415,1,FALSE)=[3]!Table14[[#This Row],[Physical Name of Attribute (Name of column in Table)
Supplied by DA Team]]</f>
        <v>#N/A</v>
      </c>
      <c r="U253" s="88" t="e">
        <f>VLOOKUP(B253,Table!A$2:F$319,2,FALSE)=Table1[[#This Row],[Data type in Oracle
VARCHAR2(n), DATE, NUMBER(m,n), TIMETSTAMP(6)]]</f>
        <v>#N/A</v>
      </c>
      <c r="V253" s="88" t="e">
        <f>VLOOKUP(B253,Table!A$2:F$231,3,FALSE)=Table1[[#This Row],[Nullable in Table and in Oracle View
NULL, NOT NULL]]</f>
        <v>#N/A</v>
      </c>
      <c r="W253" s="88" t="e">
        <f>VLOOKUP(B253,Table!A$2:H$228,6,FALSE)=Table1[[#This Row],[Business Definition (To go into comments and into Meta Data Hub)]]</f>
        <v>#N/A</v>
      </c>
      <c r="X253" s="88" t="e">
        <f>VLOOKUP((UPPER(SUBSTITUTE(A253," ","_"))),'[2]Consumer View'!A$2:I$329,1,FALSE)</f>
        <v>#N/A</v>
      </c>
      <c r="Y253" s="87" t="s">
        <v>68</v>
      </c>
      <c r="Z253" s="87" t="s">
        <v>375</v>
      </c>
      <c r="AA253" s="103" t="s">
        <v>1297</v>
      </c>
      <c r="AB253" s="87" t="s">
        <v>1291</v>
      </c>
      <c r="AC253" s="87" t="s">
        <v>63</v>
      </c>
      <c r="AD253" s="87" t="s">
        <v>1292</v>
      </c>
      <c r="AE253" s="83"/>
      <c r="AF253" s="87"/>
      <c r="AG253" s="18"/>
      <c r="AH253" s="18" t="s">
        <v>71</v>
      </c>
    </row>
    <row r="254" spans="1:34" ht="27" hidden="1" customHeight="1">
      <c r="A254" s="51" t="s">
        <v>1298</v>
      </c>
      <c r="B254" s="18" t="s">
        <v>1299</v>
      </c>
      <c r="C254" s="18" t="s">
        <v>1300</v>
      </c>
      <c r="D254" s="18" t="s">
        <v>82</v>
      </c>
      <c r="E254" s="18" t="s">
        <v>63</v>
      </c>
      <c r="F254" s="18" t="s">
        <v>1301</v>
      </c>
      <c r="G254" s="45" t="s">
        <v>63</v>
      </c>
      <c r="H254" s="46" t="s">
        <v>1302</v>
      </c>
      <c r="I254" s="18"/>
      <c r="J254" s="18" t="s">
        <v>67</v>
      </c>
      <c r="K254" s="18"/>
      <c r="L254" s="18">
        <v>2115841</v>
      </c>
      <c r="M254" s="18">
        <v>2115841</v>
      </c>
      <c r="N254" s="18" t="s">
        <v>63</v>
      </c>
      <c r="O254" s="18" t="b">
        <f>VLOOKUP(A254,[1]Model!C$2:J$559,2,FALSE)=B254</f>
        <v>1</v>
      </c>
      <c r="P254" s="18" t="e">
        <f>VLOOKUP(A254,Model!C$2:G$208,5,FALSE)=D254</f>
        <v>#N/A</v>
      </c>
      <c r="Q254" s="18" t="e">
        <f>VLOOKUP(A254,[2]Model!C$2:L$228,8,FALSE)</f>
        <v>#N/A</v>
      </c>
      <c r="R254" s="18" t="e">
        <f>VLOOKUP(A254,[2]Model!C$2:G$228,3,FALSE)=[3]!Table14[[#This Row],[Business Definition (To go into comments and into Meta Data Hub)]]</f>
        <v>#N/A</v>
      </c>
      <c r="S254" s="18" t="e">
        <f>IF([3]!Table14[[#This Row],[Nullable in Table and in Oracle View
NULL, NOT NULL]]="No","NOT NULL","NULL")=VLOOKUP(A254,[2]Model!C$2:I$228,6,FALSE)</f>
        <v>#REF!</v>
      </c>
      <c r="T254" s="58" t="e">
        <f>VLOOKUP(B254,[2]Table!A$2:F$415,1,FALSE)=[3]!Table14[[#This Row],[Physical Name of Attribute (Name of column in Table)
Supplied by DA Team]]</f>
        <v>#N/A</v>
      </c>
      <c r="U254" s="58" t="e">
        <f>VLOOKUP(B254,Table!A$2:F$319,2,FALSE)=Table1[[#This Row],[Data type in Oracle
VARCHAR2(n), DATE, NUMBER(m,n), TIMETSTAMP(6)]]</f>
        <v>#N/A</v>
      </c>
      <c r="V254" s="58" t="e">
        <f>VLOOKUP(B254,Table!A$2:F$231,3,FALSE)=Table1[[#This Row],[Nullable in Table and in Oracle View
NULL, NOT NULL]]</f>
        <v>#N/A</v>
      </c>
      <c r="W254" s="58" t="e">
        <f>VLOOKUP(B254,Table!A$2:H$228,6,FALSE)=Table1[[#This Row],[Business Definition (To go into comments and into Meta Data Hub)]]</f>
        <v>#N/A</v>
      </c>
      <c r="X254" s="58" t="e">
        <f>VLOOKUP((UPPER(SUBSTITUTE(A254," ","_"))),'[2]Consumer View'!A$2:I$329,1,FALSE)</f>
        <v>#N/A</v>
      </c>
      <c r="Y254" s="18" t="s">
        <v>68</v>
      </c>
      <c r="Z254" s="18" t="s">
        <v>375</v>
      </c>
      <c r="AA254" s="104" t="s">
        <v>1303</v>
      </c>
      <c r="AB254" s="18" t="s">
        <v>1263</v>
      </c>
      <c r="AC254" s="18" t="s">
        <v>63</v>
      </c>
      <c r="AD254" s="87" t="s">
        <v>1292</v>
      </c>
      <c r="AE254" s="46" t="s">
        <v>1304</v>
      </c>
      <c r="AF254" s="18"/>
      <c r="AG254" s="18"/>
      <c r="AH254" s="18" t="s">
        <v>71</v>
      </c>
    </row>
    <row r="255" spans="1:34" ht="27" customHeight="1">
      <c r="A255" s="51" t="s">
        <v>1305</v>
      </c>
      <c r="B255" s="51" t="s">
        <v>1306</v>
      </c>
      <c r="C255" s="51" t="s">
        <v>1307</v>
      </c>
      <c r="D255" s="115" t="s">
        <v>62</v>
      </c>
      <c r="E255" s="115" t="s">
        <v>63</v>
      </c>
      <c r="F255" s="115" t="s">
        <v>64</v>
      </c>
      <c r="G255" s="115" t="s">
        <v>63</v>
      </c>
      <c r="H255" s="52" t="s">
        <v>1308</v>
      </c>
      <c r="I255" s="115"/>
      <c r="J255" s="51" t="s">
        <v>1309</v>
      </c>
      <c r="K255" s="18"/>
      <c r="L255" s="110">
        <v>2674782</v>
      </c>
      <c r="M255" s="110">
        <v>2674782</v>
      </c>
      <c r="N255" s="18"/>
      <c r="O255" s="18" t="b">
        <f>VLOOKUP(A255,[1]Model!C$2:J$559,2,FALSE)=B255</f>
        <v>1</v>
      </c>
      <c r="P255" s="18" t="e">
        <f>VLOOKUP(A255,[2]Model!C$2:G$208,5,FALSE)=D255</f>
        <v>#N/A</v>
      </c>
      <c r="Q255" s="18" t="e">
        <f>VLOOKUP(A255,[2]Model!C$2:L$228,8,FALSE)</f>
        <v>#N/A</v>
      </c>
      <c r="R255" s="18" t="e">
        <f>VLOOKUP(A255,[2]Model!C$2:G$228,3,FALSE)=[3]!Table14[[#This Row],[Business Definition (To go into comments and into Meta Data Hub)]]</f>
        <v>#N/A</v>
      </c>
      <c r="S255" s="18" t="e">
        <f>IF([3]!Table14[[#This Row],[Nullable in Table and in Oracle View
NULL, NOT NULL]]="No","NOT NULL","NULL")=VLOOKUP(A255,[2]Model!C$2:I$228,6,FALSE)</f>
        <v>#REF!</v>
      </c>
      <c r="T255" s="58" t="e">
        <f>VLOOKUP(B255,[2]Table!A$2:F$415,1,FALSE)=[3]!Table14[[#This Row],[Physical Name of Attribute (Name of column in Table)
Supplied by DA Team]]</f>
        <v>#N/A</v>
      </c>
      <c r="U255" s="58" t="e">
        <f>VLOOKUP(B255,[2]Table!A$2:F$319,2,FALSE)=[4]!Table14[[#This Row],[Data type in Oracle
VARCHAR2(n), DATE, NUMBER(m,n), TIMETSTAMP(6)]]</f>
        <v>#N/A</v>
      </c>
      <c r="V255" s="58" t="e">
        <f>VLOOKUP(B255,[2]Table!A$2:F$231,3,FALSE)=[4]!Table14[[#This Row],[Nullable in Table and in Oracle View
NULL, NOT NULL]]</f>
        <v>#N/A</v>
      </c>
      <c r="W255" s="58" t="e">
        <f>VLOOKUP(B255,[2]Table!A$2:H$228,6,FALSE)=[4]!Table14[[#This Row],[Business Definition (To go into comments and into Meta Data Hub)]]</f>
        <v>#N/A</v>
      </c>
      <c r="X255" s="58" t="e">
        <f>VLOOKUP((UPPER(SUBSTITUTE(A255," ","_"))),'[2]Consumer View'!A$2:I$329,1,FALSE)</f>
        <v>#N/A</v>
      </c>
      <c r="Y255" s="51" t="s">
        <v>173</v>
      </c>
      <c r="Z255" s="51" t="s">
        <v>1310</v>
      </c>
      <c r="AA255" s="51" t="s">
        <v>1311</v>
      </c>
      <c r="AB255" s="18"/>
      <c r="AC255" s="18"/>
      <c r="AD255" s="18" t="s">
        <v>1312</v>
      </c>
      <c r="AE255" s="46"/>
      <c r="AF255" s="18"/>
      <c r="AG255" s="18" t="s">
        <v>1313</v>
      </c>
      <c r="AH255" s="18" t="s">
        <v>178</v>
      </c>
    </row>
    <row r="256" spans="1:34" ht="27" customHeight="1">
      <c r="A256" s="51" t="s">
        <v>1314</v>
      </c>
      <c r="B256" s="51" t="s">
        <v>1315</v>
      </c>
      <c r="C256" s="51" t="s">
        <v>1316</v>
      </c>
      <c r="D256" s="18" t="s">
        <v>139</v>
      </c>
      <c r="E256" s="18" t="s">
        <v>63</v>
      </c>
      <c r="F256" s="18" t="s">
        <v>140</v>
      </c>
      <c r="G256" s="45" t="s">
        <v>63</v>
      </c>
      <c r="H256" s="46" t="s">
        <v>1317</v>
      </c>
      <c r="I256" s="18"/>
      <c r="J256" s="115" t="s">
        <v>1309</v>
      </c>
      <c r="K256" s="18"/>
      <c r="L256" s="110">
        <v>2674782</v>
      </c>
      <c r="M256" s="110">
        <v>2674782</v>
      </c>
      <c r="N256" s="18"/>
      <c r="O256" s="18" t="b">
        <f>VLOOKUP(A256,[1]Model!C$2:J$559,2,FALSE)=B256</f>
        <v>1</v>
      </c>
      <c r="P256" s="18" t="e">
        <f>VLOOKUP(A256,[2]Model!C$2:G$208,5,FALSE)=D256</f>
        <v>#N/A</v>
      </c>
      <c r="Q256" s="18" t="e">
        <f>VLOOKUP(A256,[2]Model!C$2:L$228,8,FALSE)</f>
        <v>#N/A</v>
      </c>
      <c r="R256" s="18" t="e">
        <f>VLOOKUP(A256,[2]Model!C$2:G$228,3,FALSE)=[3]!Table14[[#This Row],[Business Definition (To go into comments and into Meta Data Hub)]]</f>
        <v>#N/A</v>
      </c>
      <c r="S256" s="18" t="e">
        <f>IF([3]!Table14[[#This Row],[Nullable in Table and in Oracle View
NULL, NOT NULL]]="No","NOT NULL","NULL")=VLOOKUP(A256,[2]Model!C$2:I$228,6,FALSE)</f>
        <v>#REF!</v>
      </c>
      <c r="T256" s="58" t="e">
        <f>VLOOKUP(B256,[2]Table!A$2:F$415,1,FALSE)=[3]!Table14[[#This Row],[Physical Name of Attribute (Name of column in Table)
Supplied by DA Team]]</f>
        <v>#N/A</v>
      </c>
      <c r="U256" s="58" t="e">
        <f>VLOOKUP(B256,[2]Table!A$2:F$319,2,FALSE)=[4]!Table14[[#This Row],[Data type in Oracle
VARCHAR2(n), DATE, NUMBER(m,n), TIMETSTAMP(6)]]</f>
        <v>#N/A</v>
      </c>
      <c r="V256" s="58" t="e">
        <f>VLOOKUP(B256,[2]Table!A$2:F$231,3,FALSE)=[4]!Table14[[#This Row],[Nullable in Table and in Oracle View
NULL, NOT NULL]]</f>
        <v>#N/A</v>
      </c>
      <c r="W256" s="58" t="e">
        <f>VLOOKUP(B256,[2]Table!A$2:H$228,6,FALSE)=[4]!Table14[[#This Row],[Business Definition (To go into comments and into Meta Data Hub)]]</f>
        <v>#N/A</v>
      </c>
      <c r="X256" s="58" t="e">
        <f>VLOOKUP((UPPER(SUBSTITUTE(A256," ","_"))),'[2]Consumer View'!A$2:I$329,1,FALSE)</f>
        <v>#N/A</v>
      </c>
      <c r="Y256" s="51" t="s">
        <v>68</v>
      </c>
      <c r="Z256" s="51" t="s">
        <v>113</v>
      </c>
      <c r="AA256" s="51" t="s">
        <v>143</v>
      </c>
      <c r="AB256" s="18"/>
      <c r="AC256" s="18"/>
      <c r="AD256" s="51" t="s">
        <v>1318</v>
      </c>
      <c r="AE256" s="46"/>
      <c r="AF256" s="18"/>
      <c r="AG256" s="18"/>
      <c r="AH256" s="18" t="s">
        <v>1319</v>
      </c>
    </row>
    <row r="257" spans="1:34" ht="27" customHeight="1">
      <c r="A257" s="51" t="s">
        <v>1320</v>
      </c>
      <c r="B257" s="51" t="s">
        <v>1321</v>
      </c>
      <c r="C257" s="51" t="s">
        <v>1322</v>
      </c>
      <c r="D257" s="18" t="s">
        <v>157</v>
      </c>
      <c r="E257" s="18" t="s">
        <v>63</v>
      </c>
      <c r="F257" s="51" t="s">
        <v>1323</v>
      </c>
      <c r="G257" s="45" t="s">
        <v>63</v>
      </c>
      <c r="H257" s="46"/>
      <c r="I257" s="18"/>
      <c r="J257" s="115" t="s">
        <v>1309</v>
      </c>
      <c r="K257" s="18"/>
      <c r="L257" s="110">
        <v>2674782</v>
      </c>
      <c r="M257" s="110">
        <v>2674782</v>
      </c>
      <c r="N257" s="18"/>
      <c r="O257" s="18" t="b">
        <f>VLOOKUP(A257,[1]Model!C$2:J$559,2,FALSE)=B257</f>
        <v>1</v>
      </c>
      <c r="P257" s="18" t="e">
        <f>VLOOKUP(A257,[2]Model!C$2:G$208,5,FALSE)=D257</f>
        <v>#N/A</v>
      </c>
      <c r="Q257" s="18" t="e">
        <f>VLOOKUP(A257,[2]Model!C$2:L$228,8,FALSE)</f>
        <v>#N/A</v>
      </c>
      <c r="R257" s="18" t="e">
        <f>VLOOKUP(A257,[2]Model!C$2:G$228,3,FALSE)=[3]!Table14[[#This Row],[Business Definition (To go into comments and into Meta Data Hub)]]</f>
        <v>#N/A</v>
      </c>
      <c r="S257" s="18" t="e">
        <f>IF([3]!Table14[[#This Row],[Nullable in Table and in Oracle View
NULL, NOT NULL]]="No","NOT NULL","NULL")=VLOOKUP(A257,[2]Model!C$2:I$228,6,FALSE)</f>
        <v>#REF!</v>
      </c>
      <c r="T257" s="58" t="e">
        <f>VLOOKUP(B257,[2]Table!A$2:F$415,1,FALSE)=[3]!Table14[[#This Row],[Physical Name of Attribute (Name of column in Table)
Supplied by DA Team]]</f>
        <v>#N/A</v>
      </c>
      <c r="U257" s="58" t="e">
        <f>VLOOKUP(B257,[2]Table!A$2:F$319,2,FALSE)=[4]!Table14[[#This Row],[Data type in Oracle
VARCHAR2(n), DATE, NUMBER(m,n), TIMETSTAMP(6)]]</f>
        <v>#N/A</v>
      </c>
      <c r="V257" s="58" t="e">
        <f>VLOOKUP(B257,[2]Table!A$2:F$231,3,FALSE)=[4]!Table14[[#This Row],[Nullable in Table and in Oracle View
NULL, NOT NULL]]</f>
        <v>#N/A</v>
      </c>
      <c r="W257" s="58" t="e">
        <f>VLOOKUP(B257,[2]Table!A$2:H$228,6,FALSE)=[4]!Table14[[#This Row],[Business Definition (To go into comments and into Meta Data Hub)]]</f>
        <v>#N/A</v>
      </c>
      <c r="X257" s="58" t="e">
        <f>VLOOKUP((UPPER(SUBSTITUTE(A257," ","_"))),'[2]Consumer View'!A$2:I$329,1,FALSE)</f>
        <v>#N/A</v>
      </c>
      <c r="Y257" s="51" t="s">
        <v>68</v>
      </c>
      <c r="Z257" s="18" t="s">
        <v>69</v>
      </c>
      <c r="AA257" s="18" t="s">
        <v>775</v>
      </c>
      <c r="AB257" s="18"/>
      <c r="AC257" s="18"/>
      <c r="AD257" s="52" t="s">
        <v>1324</v>
      </c>
      <c r="AE257" s="46"/>
      <c r="AF257" s="18"/>
      <c r="AG257" s="18"/>
      <c r="AH257" s="18" t="s">
        <v>71</v>
      </c>
    </row>
    <row r="258" spans="1:34" ht="27" customHeight="1">
      <c r="A258" s="51" t="s">
        <v>1325</v>
      </c>
      <c r="B258" s="51" t="s">
        <v>1326</v>
      </c>
      <c r="C258" s="51" t="s">
        <v>1327</v>
      </c>
      <c r="D258" s="116" t="s">
        <v>268</v>
      </c>
      <c r="E258" s="116" t="s">
        <v>345</v>
      </c>
      <c r="F258" s="116" t="s">
        <v>269</v>
      </c>
      <c r="G258" s="116" t="s">
        <v>345</v>
      </c>
      <c r="H258" s="46" t="s">
        <v>1328</v>
      </c>
      <c r="I258" s="18"/>
      <c r="J258" s="115" t="s">
        <v>1309</v>
      </c>
      <c r="K258" s="18"/>
      <c r="L258" s="110">
        <v>2674782</v>
      </c>
      <c r="M258" s="110">
        <v>2674782</v>
      </c>
      <c r="N258" s="18"/>
      <c r="O258" s="18" t="b">
        <f>VLOOKUP(A258,[1]Model!C$2:J$559,2,FALSE)=B258</f>
        <v>1</v>
      </c>
      <c r="P258" s="18" t="e">
        <f>VLOOKUP(A258,[2]Model!C$2:G$208,5,FALSE)=D258</f>
        <v>#N/A</v>
      </c>
      <c r="Q258" s="18" t="e">
        <f>VLOOKUP(A258,[2]Model!C$2:L$228,8,FALSE)</f>
        <v>#N/A</v>
      </c>
      <c r="R258" s="18" t="e">
        <f>VLOOKUP(A258,[2]Model!C$2:G$228,3,FALSE)=[3]!Table14[[#This Row],[Business Definition (To go into comments and into Meta Data Hub)]]</f>
        <v>#N/A</v>
      </c>
      <c r="S258" s="18" t="e">
        <f>IF([3]!Table14[[#This Row],[Nullable in Table and in Oracle View
NULL, NOT NULL]]="No","NOT NULL","NULL")=VLOOKUP(A258,[2]Model!C$2:I$228,6,FALSE)</f>
        <v>#REF!</v>
      </c>
      <c r="T258" s="58" t="e">
        <f>VLOOKUP(B258,[2]Table!A$2:F$415,1,FALSE)=[3]!Table14[[#This Row],[Physical Name of Attribute (Name of column in Table)
Supplied by DA Team]]</f>
        <v>#N/A</v>
      </c>
      <c r="U258" s="58" t="e">
        <f>VLOOKUP(B258,[2]Table!A$2:F$319,2,FALSE)=[4]!Table14[[#This Row],[Data type in Oracle
VARCHAR2(n), DATE, NUMBER(m,n), TIMETSTAMP(6)]]</f>
        <v>#N/A</v>
      </c>
      <c r="V258" s="58" t="e">
        <f>VLOOKUP(B258,[2]Table!A$2:F$231,3,FALSE)=[4]!Table14[[#This Row],[Nullable in Table and in Oracle View
NULL, NOT NULL]]</f>
        <v>#N/A</v>
      </c>
      <c r="W258" s="58" t="e">
        <f>VLOOKUP(B258,[2]Table!A$2:H$228,6,FALSE)=[4]!Table14[[#This Row],[Business Definition (To go into comments and into Meta Data Hub)]]</f>
        <v>#N/A</v>
      </c>
      <c r="X258" s="58" t="e">
        <f>VLOOKUP((UPPER(SUBSTITUTE(A258," ","_"))),'[2]Consumer View'!A$2:I$329,1,FALSE)</f>
        <v>#N/A</v>
      </c>
      <c r="Y258" s="51" t="s">
        <v>1329</v>
      </c>
      <c r="Z258" s="18" t="s">
        <v>1330</v>
      </c>
      <c r="AA258" s="18" t="s">
        <v>1331</v>
      </c>
      <c r="AB258" s="18"/>
      <c r="AC258" s="18"/>
      <c r="AD258" s="46" t="s">
        <v>1332</v>
      </c>
      <c r="AE258" s="46"/>
      <c r="AF258" s="18"/>
      <c r="AG258" s="18"/>
      <c r="AH258" s="18" t="s">
        <v>178</v>
      </c>
    </row>
    <row r="259" spans="1:34" ht="27" customHeight="1">
      <c r="A259" s="51" t="s">
        <v>1333</v>
      </c>
      <c r="B259" s="51" t="s">
        <v>1334</v>
      </c>
      <c r="C259" s="51" t="s">
        <v>1335</v>
      </c>
      <c r="D259" s="116" t="s">
        <v>1336</v>
      </c>
      <c r="E259" s="116" t="s">
        <v>63</v>
      </c>
      <c r="F259" s="116" t="s">
        <v>1337</v>
      </c>
      <c r="G259" s="116" t="s">
        <v>63</v>
      </c>
      <c r="H259" s="46" t="s">
        <v>1328</v>
      </c>
      <c r="I259" s="18"/>
      <c r="J259" s="115" t="s">
        <v>1309</v>
      </c>
      <c r="K259" s="18"/>
      <c r="L259" s="110">
        <v>2674782</v>
      </c>
      <c r="M259" s="110">
        <v>2674782</v>
      </c>
      <c r="N259" s="18"/>
      <c r="O259" s="18" t="b">
        <f>VLOOKUP(A259,[1]Model!C$2:J$559,2,FALSE)=B259</f>
        <v>1</v>
      </c>
      <c r="P259" s="18" t="e">
        <f>VLOOKUP(A259,[2]Model!C$2:G$208,5,FALSE)=D259</f>
        <v>#N/A</v>
      </c>
      <c r="Q259" s="18" t="e">
        <f>VLOOKUP(A259,[2]Model!C$2:L$228,8,FALSE)</f>
        <v>#N/A</v>
      </c>
      <c r="R259" s="18" t="e">
        <f>VLOOKUP(A259,[2]Model!C$2:G$228,3,FALSE)=[3]!Table14[[#This Row],[Business Definition (To go into comments and into Meta Data Hub)]]</f>
        <v>#N/A</v>
      </c>
      <c r="S259" s="18" t="e">
        <f>IF([3]!Table14[[#This Row],[Nullable in Table and in Oracle View
NULL, NOT NULL]]="No","NOT NULL","NULL")=VLOOKUP(A259,[2]Model!C$2:I$228,6,FALSE)</f>
        <v>#REF!</v>
      </c>
      <c r="T259" s="58" t="e">
        <f>VLOOKUP(B259,[2]Table!A$2:F$415,1,FALSE)=[3]!Table14[[#This Row],[Physical Name of Attribute (Name of column in Table)
Supplied by DA Team]]</f>
        <v>#N/A</v>
      </c>
      <c r="U259" s="58" t="e">
        <f>VLOOKUP(B259,[2]Table!A$2:F$319,2,FALSE)=[4]!Table14[[#This Row],[Data type in Oracle
VARCHAR2(n), DATE, NUMBER(m,n), TIMETSTAMP(6)]]</f>
        <v>#N/A</v>
      </c>
      <c r="V259" s="58" t="e">
        <f>VLOOKUP(B259,[2]Table!A$2:F$231,3,FALSE)=[4]!Table14[[#This Row],[Nullable in Table and in Oracle View
NULL, NOT NULL]]</f>
        <v>#N/A</v>
      </c>
      <c r="W259" s="58" t="e">
        <f>VLOOKUP(B259,[2]Table!A$2:H$228,6,FALSE)=[4]!Table14[[#This Row],[Business Definition (To go into comments and into Meta Data Hub)]]</f>
        <v>#N/A</v>
      </c>
      <c r="X259" s="58" t="e">
        <f>VLOOKUP((UPPER(SUBSTITUTE(A259," ","_"))),'[2]Consumer View'!A$2:I$329,1,FALSE)</f>
        <v>#N/A</v>
      </c>
      <c r="Y259" s="51" t="s">
        <v>1329</v>
      </c>
      <c r="Z259" s="18" t="s">
        <v>1330</v>
      </c>
      <c r="AA259" s="18" t="s">
        <v>1338</v>
      </c>
      <c r="AB259" s="18"/>
      <c r="AC259" s="18"/>
      <c r="AD259" s="46" t="s">
        <v>1339</v>
      </c>
      <c r="AE259" s="46"/>
      <c r="AF259" s="18"/>
      <c r="AG259" s="18"/>
      <c r="AH259" s="18" t="s">
        <v>178</v>
      </c>
    </row>
    <row r="260" spans="1:34" ht="27" customHeight="1">
      <c r="A260" s="51" t="s">
        <v>1340</v>
      </c>
      <c r="B260" s="51" t="s">
        <v>1341</v>
      </c>
      <c r="C260" s="51" t="s">
        <v>1342</v>
      </c>
      <c r="D260" s="18" t="s">
        <v>139</v>
      </c>
      <c r="E260" s="18" t="s">
        <v>63</v>
      </c>
      <c r="F260" s="18" t="s">
        <v>140</v>
      </c>
      <c r="G260" s="45" t="s">
        <v>63</v>
      </c>
      <c r="H260" s="46" t="s">
        <v>1343</v>
      </c>
      <c r="I260" s="18"/>
      <c r="J260" s="115" t="s">
        <v>1309</v>
      </c>
      <c r="K260" s="18"/>
      <c r="L260" s="110">
        <v>2674782</v>
      </c>
      <c r="M260" s="110">
        <v>2674782</v>
      </c>
      <c r="N260" s="18"/>
      <c r="O260" s="18" t="b">
        <f>VLOOKUP(A260,[1]Model!C$2:J$559,2,FALSE)=B260</f>
        <v>1</v>
      </c>
      <c r="P260" s="18" t="e">
        <f>VLOOKUP(A260,[2]Model!C$2:G$208,5,FALSE)=D260</f>
        <v>#N/A</v>
      </c>
      <c r="Q260" s="18" t="e">
        <f>VLOOKUP(A260,[2]Model!C$2:L$228,8,FALSE)</f>
        <v>#N/A</v>
      </c>
      <c r="R260" s="18" t="e">
        <f>VLOOKUP(A260,[2]Model!C$2:G$228,3,FALSE)=[3]!Table14[[#This Row],[Business Definition (To go into comments and into Meta Data Hub)]]</f>
        <v>#N/A</v>
      </c>
      <c r="S260" s="18" t="e">
        <f>IF([3]!Table14[[#This Row],[Nullable in Table and in Oracle View
NULL, NOT NULL]]="No","NOT NULL","NULL")=VLOOKUP(A260,[2]Model!C$2:I$228,6,FALSE)</f>
        <v>#REF!</v>
      </c>
      <c r="T260" s="58" t="e">
        <f>VLOOKUP(B260,[2]Table!A$2:F$415,1,FALSE)=[3]!Table14[[#This Row],[Physical Name of Attribute (Name of column in Table)
Supplied by DA Team]]</f>
        <v>#N/A</v>
      </c>
      <c r="U260" s="58" t="e">
        <f>VLOOKUP(B260,[2]Table!A$2:F$319,2,FALSE)=[4]!Table14[[#This Row],[Data type in Oracle
VARCHAR2(n), DATE, NUMBER(m,n), TIMETSTAMP(6)]]</f>
        <v>#N/A</v>
      </c>
      <c r="V260" s="58" t="e">
        <f>VLOOKUP(B260,[2]Table!A$2:F$231,3,FALSE)=[4]!Table14[[#This Row],[Nullable in Table and in Oracle View
NULL, NOT NULL]]</f>
        <v>#N/A</v>
      </c>
      <c r="W260" s="58" t="e">
        <f>VLOOKUP(B260,[2]Table!A$2:H$228,6,FALSE)=[4]!Table14[[#This Row],[Business Definition (To go into comments and into Meta Data Hub)]]</f>
        <v>#N/A</v>
      </c>
      <c r="X260" s="58" t="e">
        <f>VLOOKUP((UPPER(SUBSTITUTE(A260," ","_"))),'[2]Consumer View'!A$2:I$329,1,FALSE)</f>
        <v>#N/A</v>
      </c>
      <c r="Y260" s="51" t="s">
        <v>68</v>
      </c>
      <c r="Z260" s="51" t="s">
        <v>113</v>
      </c>
      <c r="AA260" s="51" t="s">
        <v>143</v>
      </c>
      <c r="AB260" s="18"/>
      <c r="AC260" s="18"/>
      <c r="AD260" s="51" t="s">
        <v>1344</v>
      </c>
      <c r="AE260" s="46"/>
      <c r="AF260" s="18"/>
      <c r="AG260" s="18"/>
      <c r="AH260" s="18" t="s">
        <v>71</v>
      </c>
    </row>
    <row r="261" spans="1:34" ht="27" customHeight="1">
      <c r="A261" s="51" t="s">
        <v>1345</v>
      </c>
      <c r="B261" s="51" t="s">
        <v>1346</v>
      </c>
      <c r="C261" s="51" t="s">
        <v>1347</v>
      </c>
      <c r="D261" s="18" t="s">
        <v>109</v>
      </c>
      <c r="E261" s="18" t="s">
        <v>63</v>
      </c>
      <c r="F261" s="18" t="s">
        <v>110</v>
      </c>
      <c r="G261" s="45" t="s">
        <v>63</v>
      </c>
      <c r="H261" s="46" t="s">
        <v>1343</v>
      </c>
      <c r="I261" s="18"/>
      <c r="J261" s="115" t="s">
        <v>1309</v>
      </c>
      <c r="K261" s="18"/>
      <c r="L261" s="110">
        <v>2674782</v>
      </c>
      <c r="M261" s="110">
        <v>2674782</v>
      </c>
      <c r="N261" s="18"/>
      <c r="O261" s="18" t="b">
        <f>VLOOKUP(A261,[1]Model!C$2:J$559,2,FALSE)=B261</f>
        <v>1</v>
      </c>
      <c r="P261" s="18" t="e">
        <f>VLOOKUP(A261,[2]Model!C$2:G$208,5,FALSE)=D261</f>
        <v>#N/A</v>
      </c>
      <c r="Q261" s="18" t="e">
        <f>VLOOKUP(A261,[2]Model!C$2:L$228,8,FALSE)</f>
        <v>#N/A</v>
      </c>
      <c r="R261" s="18" t="e">
        <f>VLOOKUP(A261,[2]Model!C$2:G$228,3,FALSE)=[3]!Table14[[#This Row],[Business Definition (To go into comments and into Meta Data Hub)]]</f>
        <v>#N/A</v>
      </c>
      <c r="S261" s="18" t="e">
        <f>IF([3]!Table14[[#This Row],[Nullable in Table and in Oracle View
NULL, NOT NULL]]="No","NOT NULL","NULL")=VLOOKUP(A261,[2]Model!C$2:I$228,6,FALSE)</f>
        <v>#REF!</v>
      </c>
      <c r="T261" s="58" t="e">
        <f>VLOOKUP(B261,[2]Table!A$2:F$415,1,FALSE)=[3]!Table14[[#This Row],[Physical Name of Attribute (Name of column in Table)
Supplied by DA Team]]</f>
        <v>#N/A</v>
      </c>
      <c r="U261" s="58" t="e">
        <f>VLOOKUP(B261,[2]Table!A$2:F$319,2,FALSE)=[4]!Table14[[#This Row],[Data type in Oracle
VARCHAR2(n), DATE, NUMBER(m,n), TIMETSTAMP(6)]]</f>
        <v>#N/A</v>
      </c>
      <c r="V261" s="58" t="e">
        <f>VLOOKUP(B261,[2]Table!A$2:F$231,3,FALSE)=[4]!Table14[[#This Row],[Nullable in Table and in Oracle View
NULL, NOT NULL]]</f>
        <v>#N/A</v>
      </c>
      <c r="W261" s="58" t="e">
        <f>VLOOKUP(B261,[2]Table!A$2:H$228,6,FALSE)=[4]!Table14[[#This Row],[Business Definition (To go into comments and into Meta Data Hub)]]</f>
        <v>#N/A</v>
      </c>
      <c r="X261" s="58" t="e">
        <f>VLOOKUP((UPPER(SUBSTITUTE(A261," ","_"))),'[2]Consumer View'!A$2:I$329,1,FALSE)</f>
        <v>#N/A</v>
      </c>
      <c r="Y261" s="51" t="s">
        <v>68</v>
      </c>
      <c r="Z261" s="51" t="s">
        <v>113</v>
      </c>
      <c r="AA261" s="51" t="s">
        <v>114</v>
      </c>
      <c r="AB261" s="18"/>
      <c r="AC261" s="18"/>
      <c r="AD261" s="51" t="s">
        <v>1348</v>
      </c>
      <c r="AE261" s="46"/>
      <c r="AF261" s="18"/>
      <c r="AG261" s="18"/>
      <c r="AH261" s="18" t="s">
        <v>71</v>
      </c>
    </row>
    <row r="262" spans="1:34" ht="27" customHeight="1">
      <c r="A262" s="51" t="s">
        <v>1349</v>
      </c>
      <c r="B262" s="51" t="s">
        <v>1350</v>
      </c>
      <c r="C262" s="51" t="s">
        <v>1351</v>
      </c>
      <c r="D262" s="18" t="s">
        <v>227</v>
      </c>
      <c r="E262" s="18" t="s">
        <v>63</v>
      </c>
      <c r="F262" s="18" t="s">
        <v>228</v>
      </c>
      <c r="G262" s="45" t="s">
        <v>63</v>
      </c>
      <c r="H262" s="46" t="s">
        <v>1352</v>
      </c>
      <c r="I262" s="18"/>
      <c r="J262" s="115" t="s">
        <v>1309</v>
      </c>
      <c r="K262" s="18"/>
      <c r="L262" s="110">
        <v>2674782</v>
      </c>
      <c r="M262" s="110">
        <v>2674782</v>
      </c>
      <c r="N262" s="18"/>
      <c r="O262" s="18" t="b">
        <f>VLOOKUP(A262,[1]Model!C$2:J$559,2,FALSE)=B262</f>
        <v>1</v>
      </c>
      <c r="P262" s="18" t="e">
        <f>VLOOKUP(A262,[2]Model!C$2:G$208,5,FALSE)=D262</f>
        <v>#N/A</v>
      </c>
      <c r="Q262" s="18" t="e">
        <f>VLOOKUP(A262,[2]Model!C$2:L$228,8,FALSE)</f>
        <v>#N/A</v>
      </c>
      <c r="R262" s="18" t="e">
        <f>VLOOKUP(A262,[2]Model!C$2:G$228,3,FALSE)=[3]!Table14[[#This Row],[Business Definition (To go into comments and into Meta Data Hub)]]</f>
        <v>#N/A</v>
      </c>
      <c r="S262" s="18" t="e">
        <f>IF([3]!Table14[[#This Row],[Nullable in Table and in Oracle View
NULL, NOT NULL]]="No","NOT NULL","NULL")=VLOOKUP(A262,[2]Model!C$2:I$228,6,FALSE)</f>
        <v>#REF!</v>
      </c>
      <c r="T262" s="58" t="e">
        <f>VLOOKUP(B262,[2]Table!A$2:F$415,1,FALSE)=[3]!Table14[[#This Row],[Physical Name of Attribute (Name of column in Table)
Supplied by DA Team]]</f>
        <v>#N/A</v>
      </c>
      <c r="U262" s="58" t="e">
        <f>VLOOKUP(B262,[2]Table!A$2:F$319,2,FALSE)=[4]!Table14[[#This Row],[Data type in Oracle
VARCHAR2(n), DATE, NUMBER(m,n), TIMETSTAMP(6)]]</f>
        <v>#N/A</v>
      </c>
      <c r="V262" s="58" t="e">
        <f>VLOOKUP(B262,[2]Table!A$2:F$231,3,FALSE)=[4]!Table14[[#This Row],[Nullable in Table and in Oracle View
NULL, NOT NULL]]</f>
        <v>#N/A</v>
      </c>
      <c r="W262" s="58" t="e">
        <f>VLOOKUP(B262,[2]Table!A$2:H$228,6,FALSE)=[4]!Table14[[#This Row],[Business Definition (To go into comments and into Meta Data Hub)]]</f>
        <v>#N/A</v>
      </c>
      <c r="X262" s="58" t="e">
        <f>VLOOKUP((UPPER(SUBSTITUTE(A262," ","_"))),'[2]Consumer View'!A$2:I$329,1,FALSE)</f>
        <v>#N/A</v>
      </c>
      <c r="Y262" s="51" t="s">
        <v>68</v>
      </c>
      <c r="Z262" s="18" t="s">
        <v>69</v>
      </c>
      <c r="AA262" s="18" t="s">
        <v>1045</v>
      </c>
      <c r="AB262" s="18"/>
      <c r="AC262" s="18"/>
      <c r="AD262" s="51" t="s">
        <v>1353</v>
      </c>
      <c r="AE262" s="46"/>
      <c r="AF262" s="18"/>
      <c r="AG262" s="18"/>
      <c r="AH262" s="18" t="s">
        <v>71</v>
      </c>
    </row>
    <row r="263" spans="1:34" ht="27" customHeight="1">
      <c r="A263" s="51" t="s">
        <v>1354</v>
      </c>
      <c r="B263" s="51" t="s">
        <v>1355</v>
      </c>
      <c r="C263" s="51" t="s">
        <v>1356</v>
      </c>
      <c r="D263" s="116" t="s">
        <v>1336</v>
      </c>
      <c r="E263" s="116" t="s">
        <v>63</v>
      </c>
      <c r="F263" s="116" t="s">
        <v>1337</v>
      </c>
      <c r="G263" s="116" t="s">
        <v>63</v>
      </c>
      <c r="H263" s="91" t="s">
        <v>1357</v>
      </c>
      <c r="I263" s="116"/>
      <c r="J263" s="115" t="s">
        <v>1309</v>
      </c>
      <c r="K263" s="18"/>
      <c r="L263" s="110">
        <v>2674782</v>
      </c>
      <c r="M263" s="110">
        <v>2674782</v>
      </c>
      <c r="N263" s="18"/>
      <c r="O263" s="18" t="b">
        <f>VLOOKUP(A263,[1]Model!C$2:J$559,2,FALSE)=B263</f>
        <v>1</v>
      </c>
      <c r="P263" s="18" t="e">
        <f>VLOOKUP(A263,[2]Model!C$2:G$208,5,FALSE)=D263</f>
        <v>#N/A</v>
      </c>
      <c r="Q263" s="18" t="e">
        <f>VLOOKUP(A263,[2]Model!C$2:L$228,8,FALSE)</f>
        <v>#N/A</v>
      </c>
      <c r="R263" s="18" t="e">
        <f>VLOOKUP(A263,[2]Model!C$2:G$228,3,FALSE)=[3]!Table14[[#This Row],[Business Definition (To go into comments and into Meta Data Hub)]]</f>
        <v>#N/A</v>
      </c>
      <c r="S263" s="18" t="e">
        <f>IF([3]!Table14[[#This Row],[Nullable in Table and in Oracle View
NULL, NOT NULL]]="No","NOT NULL","NULL")=VLOOKUP(A263,[2]Model!C$2:I$228,6,FALSE)</f>
        <v>#REF!</v>
      </c>
      <c r="T263" s="58" t="e">
        <f>VLOOKUP(B263,[2]Table!A$2:F$415,1,FALSE)=[3]!Table14[[#This Row],[Physical Name of Attribute (Name of column in Table)
Supplied by DA Team]]</f>
        <v>#N/A</v>
      </c>
      <c r="U263" s="58" t="e">
        <f>VLOOKUP(B263,[2]Table!A$2:F$319,2,FALSE)=[4]!Table14[[#This Row],[Data type in Oracle
VARCHAR2(n), DATE, NUMBER(m,n), TIMETSTAMP(6)]]</f>
        <v>#N/A</v>
      </c>
      <c r="V263" s="58" t="e">
        <f>VLOOKUP(B263,[2]Table!A$2:F$231,3,FALSE)=[4]!Table14[[#This Row],[Nullable in Table and in Oracle View
NULL, NOT NULL]]</f>
        <v>#N/A</v>
      </c>
      <c r="W263" s="58" t="e">
        <f>VLOOKUP(B263,[2]Table!A$2:H$228,6,FALSE)=[4]!Table14[[#This Row],[Business Definition (To go into comments and into Meta Data Hub)]]</f>
        <v>#N/A</v>
      </c>
      <c r="X263" s="58" t="e">
        <f>VLOOKUP((UPPER(SUBSTITUTE(A263," ","_"))),'[2]Consumer View'!A$2:I$329,1,FALSE)</f>
        <v>#N/A</v>
      </c>
      <c r="Y263" s="51" t="s">
        <v>1329</v>
      </c>
      <c r="Z263" s="18" t="s">
        <v>1330</v>
      </c>
      <c r="AA263" s="18" t="s">
        <v>1338</v>
      </c>
      <c r="AB263" s="18"/>
      <c r="AC263" s="18"/>
      <c r="AD263" s="46" t="s">
        <v>1358</v>
      </c>
      <c r="AE263" s="46"/>
      <c r="AF263" s="18"/>
      <c r="AG263" s="18"/>
      <c r="AH263" s="18" t="s">
        <v>178</v>
      </c>
    </row>
    <row r="264" spans="1:34" ht="27" customHeight="1">
      <c r="A264" s="105" t="s">
        <v>1359</v>
      </c>
      <c r="B264" s="51" t="s">
        <v>1360</v>
      </c>
      <c r="C264" s="51" t="s">
        <v>1361</v>
      </c>
      <c r="D264" s="105" t="s">
        <v>82</v>
      </c>
      <c r="E264" s="105" t="s">
        <v>63</v>
      </c>
      <c r="F264" s="105" t="s">
        <v>83</v>
      </c>
      <c r="G264" s="108" t="s">
        <v>63</v>
      </c>
      <c r="H264" s="52" t="s">
        <v>1362</v>
      </c>
      <c r="I264" s="51"/>
      <c r="J264" s="51" t="s">
        <v>1309</v>
      </c>
      <c r="K264" s="18"/>
      <c r="L264" s="110">
        <v>2674782</v>
      </c>
      <c r="M264" s="110">
        <v>2674782</v>
      </c>
      <c r="N264" s="18"/>
      <c r="O264" s="18" t="b">
        <f>VLOOKUP(A264,[1]Model!C$2:J$559,2,FALSE)=B264</f>
        <v>1</v>
      </c>
      <c r="P264" s="18" t="e">
        <f>VLOOKUP(A264,[2]Model!C$2:G$208,5,FALSE)=D264</f>
        <v>#N/A</v>
      </c>
      <c r="Q264" s="18" t="e">
        <f>VLOOKUP(A264,[2]Model!C$2:L$228,8,FALSE)</f>
        <v>#N/A</v>
      </c>
      <c r="R264" s="18" t="e">
        <f>VLOOKUP(A264,[2]Model!C$2:G$228,3,FALSE)=[3]!Table14[[#This Row],[Business Definition (To go into comments and into Meta Data Hub)]]</f>
        <v>#N/A</v>
      </c>
      <c r="S264" s="18" t="e">
        <f>IF([3]!Table14[[#This Row],[Nullable in Table and in Oracle View
NULL, NOT NULL]]="No","NOT NULL","NULL")=VLOOKUP(A264,[2]Model!C$2:I$228,6,FALSE)</f>
        <v>#REF!</v>
      </c>
      <c r="T264" s="58" t="e">
        <f>VLOOKUP(B264,[2]Table!A$2:F$415,1,FALSE)=[3]!Table14[[#This Row],[Physical Name of Attribute (Name of column in Table)
Supplied by DA Team]]</f>
        <v>#N/A</v>
      </c>
      <c r="U264" s="58" t="e">
        <f>VLOOKUP(B264,[2]Table!A$2:F$319,2,FALSE)=[4]!Table14[[#This Row],[Data type in Oracle
VARCHAR2(n), DATE, NUMBER(m,n), TIMETSTAMP(6)]]</f>
        <v>#N/A</v>
      </c>
      <c r="V264" s="58" t="e">
        <f>VLOOKUP(B264,[2]Table!A$2:F$231,3,FALSE)=[4]!Table14[[#This Row],[Nullable in Table and in Oracle View
NULL, NOT NULL]]</f>
        <v>#N/A</v>
      </c>
      <c r="W264" s="58" t="e">
        <f>VLOOKUP(B264,[2]Table!A$2:H$228,6,FALSE)=[4]!Table14[[#This Row],[Business Definition (To go into comments and into Meta Data Hub)]]</f>
        <v>#N/A</v>
      </c>
      <c r="X264" s="58" t="e">
        <f>VLOOKUP((UPPER(SUBSTITUTE(A264," ","_"))),'[2]Consumer View'!A$2:I$329,1,FALSE)</f>
        <v>#N/A</v>
      </c>
      <c r="Y264" s="51" t="s">
        <v>173</v>
      </c>
      <c r="Z264" s="51" t="s">
        <v>1310</v>
      </c>
      <c r="AA264" s="51" t="s">
        <v>1363</v>
      </c>
      <c r="AB264" s="18"/>
      <c r="AC264" s="18"/>
      <c r="AD264" s="18" t="s">
        <v>1364</v>
      </c>
      <c r="AE264" s="46"/>
      <c r="AF264" s="18"/>
      <c r="AG264" s="18" t="s">
        <v>1313</v>
      </c>
      <c r="AH264" s="18" t="s">
        <v>178</v>
      </c>
    </row>
    <row r="265" spans="1:34" ht="27" customHeight="1">
      <c r="A265" s="105" t="s">
        <v>1365</v>
      </c>
      <c r="B265" s="51" t="s">
        <v>1366</v>
      </c>
      <c r="C265" s="51" t="s">
        <v>1367</v>
      </c>
      <c r="D265" s="105" t="s">
        <v>82</v>
      </c>
      <c r="E265" s="105" t="s">
        <v>63</v>
      </c>
      <c r="F265" s="105" t="s">
        <v>83</v>
      </c>
      <c r="G265" s="108" t="s">
        <v>63</v>
      </c>
      <c r="H265" s="52" t="s">
        <v>1368</v>
      </c>
      <c r="I265" s="51"/>
      <c r="J265" s="51" t="s">
        <v>1309</v>
      </c>
      <c r="K265" s="18"/>
      <c r="L265" s="110">
        <v>2674782</v>
      </c>
      <c r="M265" s="110">
        <v>2674782</v>
      </c>
      <c r="N265" s="18"/>
      <c r="O265" s="18" t="b">
        <f>VLOOKUP(A265,[1]Model!C$2:J$559,2,FALSE)=B265</f>
        <v>1</v>
      </c>
      <c r="P265" s="18" t="e">
        <f>VLOOKUP(A265,[2]Model!C$2:G$208,5,FALSE)=D265</f>
        <v>#N/A</v>
      </c>
      <c r="Q265" s="18" t="e">
        <f>VLOOKUP(A265,[2]Model!C$2:L$228,8,FALSE)</f>
        <v>#N/A</v>
      </c>
      <c r="R265" s="18" t="e">
        <f>VLOOKUP(A265,[2]Model!C$2:G$228,3,FALSE)=[3]!Table14[[#This Row],[Business Definition (To go into comments and into Meta Data Hub)]]</f>
        <v>#N/A</v>
      </c>
      <c r="S265" s="18" t="e">
        <f>IF([3]!Table14[[#This Row],[Nullable in Table and in Oracle View
NULL, NOT NULL]]="No","NOT NULL","NULL")=VLOOKUP(A265,[2]Model!C$2:I$228,6,FALSE)</f>
        <v>#REF!</v>
      </c>
      <c r="T265" s="58" t="e">
        <f>VLOOKUP(B265,[2]Table!A$2:F$415,1,FALSE)=[3]!Table14[[#This Row],[Physical Name of Attribute (Name of column in Table)
Supplied by DA Team]]</f>
        <v>#N/A</v>
      </c>
      <c r="U265" s="58" t="e">
        <f>VLOOKUP(B265,[2]Table!A$2:F$319,2,FALSE)=[4]!Table14[[#This Row],[Data type in Oracle
VARCHAR2(n), DATE, NUMBER(m,n), TIMETSTAMP(6)]]</f>
        <v>#N/A</v>
      </c>
      <c r="V265" s="58" t="e">
        <f>VLOOKUP(B265,[2]Table!A$2:F$231,3,FALSE)=[4]!Table14[[#This Row],[Nullable in Table and in Oracle View
NULL, NOT NULL]]</f>
        <v>#N/A</v>
      </c>
      <c r="W265" s="58" t="e">
        <f>VLOOKUP(B265,[2]Table!A$2:H$228,6,FALSE)=[4]!Table14[[#This Row],[Business Definition (To go into comments and into Meta Data Hub)]]</f>
        <v>#N/A</v>
      </c>
      <c r="X265" s="58" t="e">
        <f>VLOOKUP((UPPER(SUBSTITUTE(A265," ","_"))),'[2]Consumer View'!A$2:I$329,1,FALSE)</f>
        <v>#N/A</v>
      </c>
      <c r="Y265" s="51" t="s">
        <v>173</v>
      </c>
      <c r="Z265" s="51" t="s">
        <v>1310</v>
      </c>
      <c r="AA265" s="51" t="s">
        <v>1369</v>
      </c>
      <c r="AB265" s="18"/>
      <c r="AC265" s="18"/>
      <c r="AD265" s="18" t="s">
        <v>1370</v>
      </c>
      <c r="AE265" s="46"/>
      <c r="AF265" s="18"/>
      <c r="AG265" s="18" t="s">
        <v>1313</v>
      </c>
      <c r="AH265" s="18" t="s">
        <v>178</v>
      </c>
    </row>
    <row r="266" spans="1:34" ht="27" customHeight="1">
      <c r="A266" s="105" t="s">
        <v>1371</v>
      </c>
      <c r="B266" s="51" t="s">
        <v>1372</v>
      </c>
      <c r="C266" s="51"/>
      <c r="D266" s="51" t="s">
        <v>139</v>
      </c>
      <c r="E266" s="51" t="s">
        <v>63</v>
      </c>
      <c r="F266" s="51" t="s">
        <v>140</v>
      </c>
      <c r="G266" s="108" t="s">
        <v>63</v>
      </c>
      <c r="H266" s="52" t="s">
        <v>1373</v>
      </c>
      <c r="I266" s="51"/>
      <c r="J266" s="51" t="s">
        <v>1309</v>
      </c>
      <c r="K266" s="18"/>
      <c r="L266" s="110">
        <v>2674782</v>
      </c>
      <c r="M266" s="110">
        <v>2674782</v>
      </c>
      <c r="N266" s="18"/>
      <c r="O266" s="18" t="b">
        <f>VLOOKUP(A266,[1]Model!C$2:J$559,2,FALSE)=B266</f>
        <v>1</v>
      </c>
      <c r="P266" s="18" t="e">
        <f>VLOOKUP(A266,[2]Model!C$2:G$208,5,FALSE)=D266</f>
        <v>#N/A</v>
      </c>
      <c r="Q266" s="18" t="e">
        <f>VLOOKUP(A266,[2]Model!C$2:L$228,8,FALSE)</f>
        <v>#N/A</v>
      </c>
      <c r="R266" s="18" t="e">
        <f>VLOOKUP(A266,[2]Model!C$2:G$228,3,FALSE)=[3]!Table14[[#This Row],[Business Definition (To go into comments and into Meta Data Hub)]]</f>
        <v>#N/A</v>
      </c>
      <c r="S266" s="18" t="e">
        <f>IF([3]!Table14[[#This Row],[Nullable in Table and in Oracle View
NULL, NOT NULL]]="No","NOT NULL","NULL")=VLOOKUP(A266,[2]Model!C$2:I$228,6,FALSE)</f>
        <v>#REF!</v>
      </c>
      <c r="T266" s="58" t="e">
        <f>VLOOKUP(B266,[2]Table!A$2:F$415,1,FALSE)=[3]!Table14[[#This Row],[Physical Name of Attribute (Name of column in Table)
Supplied by DA Team]]</f>
        <v>#N/A</v>
      </c>
      <c r="U266" s="58" t="e">
        <f>VLOOKUP(B266,[2]Table!A$2:F$319,2,FALSE)=[4]!Table14[[#This Row],[Data type in Oracle
VARCHAR2(n), DATE, NUMBER(m,n), TIMETSTAMP(6)]]</f>
        <v>#N/A</v>
      </c>
      <c r="V266" s="58" t="e">
        <f>VLOOKUP(B266,[2]Table!A$2:F$231,3,FALSE)=[4]!Table14[[#This Row],[Nullable in Table and in Oracle View
NULL, NOT NULL]]</f>
        <v>#N/A</v>
      </c>
      <c r="W266" s="58" t="e">
        <f>VLOOKUP(B266,[2]Table!A$2:H$228,6,FALSE)=[4]!Table14[[#This Row],[Business Definition (To go into comments and into Meta Data Hub)]]</f>
        <v>#N/A</v>
      </c>
      <c r="X266" s="58" t="e">
        <f>VLOOKUP((UPPER(SUBSTITUTE(A266," ","_"))),'[2]Consumer View'!A$2:I$329,1,FALSE)</f>
        <v>#N/A</v>
      </c>
      <c r="Y266" s="51" t="s">
        <v>173</v>
      </c>
      <c r="Z266" s="51" t="s">
        <v>1310</v>
      </c>
      <c r="AA266" s="51" t="s">
        <v>249</v>
      </c>
      <c r="AB266" s="18"/>
      <c r="AC266" s="18"/>
      <c r="AD266" s="18" t="s">
        <v>1312</v>
      </c>
      <c r="AE266" s="46"/>
      <c r="AF266" s="18"/>
      <c r="AG266" s="18" t="s">
        <v>1313</v>
      </c>
      <c r="AH266" s="18" t="s">
        <v>178</v>
      </c>
    </row>
    <row r="267" spans="1:34" ht="27" customHeight="1">
      <c r="A267" s="105" t="s">
        <v>1374</v>
      </c>
      <c r="B267" s="51" t="s">
        <v>1375</v>
      </c>
      <c r="C267" s="51" t="s">
        <v>1376</v>
      </c>
      <c r="D267" s="51" t="s">
        <v>62</v>
      </c>
      <c r="E267" s="51" t="s">
        <v>63</v>
      </c>
      <c r="F267" s="51" t="s">
        <v>64</v>
      </c>
      <c r="G267" s="108" t="s">
        <v>63</v>
      </c>
      <c r="H267" s="52" t="s">
        <v>1377</v>
      </c>
      <c r="I267" s="51"/>
      <c r="J267" s="51" t="s">
        <v>1309</v>
      </c>
      <c r="K267" s="18"/>
      <c r="L267" s="110">
        <v>2674782</v>
      </c>
      <c r="M267" s="110">
        <v>2674782</v>
      </c>
      <c r="N267" s="18"/>
      <c r="O267" s="18" t="b">
        <f>VLOOKUP(A267,[1]Model!C$2:J$559,2,FALSE)=B267</f>
        <v>1</v>
      </c>
      <c r="P267" s="18" t="e">
        <f>VLOOKUP(A267,[2]Model!C$2:G$208,5,FALSE)=D267</f>
        <v>#N/A</v>
      </c>
      <c r="Q267" s="18" t="e">
        <f>VLOOKUP(A267,[2]Model!C$2:L$228,8,FALSE)</f>
        <v>#N/A</v>
      </c>
      <c r="R267" s="18" t="e">
        <f>VLOOKUP(A267,[2]Model!C$2:G$228,3,FALSE)=[3]!Table14[[#This Row],[Business Definition (To go into comments and into Meta Data Hub)]]</f>
        <v>#N/A</v>
      </c>
      <c r="S267" s="18" t="e">
        <f>IF([3]!Table14[[#This Row],[Nullable in Table and in Oracle View
NULL, NOT NULL]]="No","NOT NULL","NULL")=VLOOKUP(A267,[2]Model!C$2:I$228,6,FALSE)</f>
        <v>#REF!</v>
      </c>
      <c r="T267" s="58" t="e">
        <f>VLOOKUP(B267,[2]Table!A$2:F$415,1,FALSE)=[3]!Table14[[#This Row],[Physical Name of Attribute (Name of column in Table)
Supplied by DA Team]]</f>
        <v>#N/A</v>
      </c>
      <c r="U267" s="58" t="e">
        <f>VLOOKUP(B267,[2]Table!A$2:F$319,2,FALSE)=[4]!Table14[[#This Row],[Data type in Oracle
VARCHAR2(n), DATE, NUMBER(m,n), TIMETSTAMP(6)]]</f>
        <v>#N/A</v>
      </c>
      <c r="V267" s="58" t="e">
        <f>VLOOKUP(B267,[2]Table!A$2:F$231,3,FALSE)=[4]!Table14[[#This Row],[Nullable in Table and in Oracle View
NULL, NOT NULL]]</f>
        <v>#N/A</v>
      </c>
      <c r="W267" s="58" t="e">
        <f>VLOOKUP(B267,[2]Table!A$2:H$228,6,FALSE)=[4]!Table14[[#This Row],[Business Definition (To go into comments and into Meta Data Hub)]]</f>
        <v>#N/A</v>
      </c>
      <c r="X267" s="58" t="e">
        <f>VLOOKUP((UPPER(SUBSTITUTE(A267," ","_"))),'[2]Consumer View'!A$2:I$329,1,FALSE)</f>
        <v>#N/A</v>
      </c>
      <c r="Y267" s="51" t="s">
        <v>173</v>
      </c>
      <c r="Z267" s="51" t="s">
        <v>1310</v>
      </c>
      <c r="AA267" s="51" t="s">
        <v>1378</v>
      </c>
      <c r="AB267" s="18"/>
      <c r="AC267" s="18"/>
      <c r="AD267" s="18" t="s">
        <v>1312</v>
      </c>
      <c r="AE267" s="46"/>
      <c r="AF267" s="18"/>
      <c r="AG267" s="18" t="s">
        <v>1313</v>
      </c>
      <c r="AH267" s="18" t="s">
        <v>178</v>
      </c>
    </row>
    <row r="268" spans="1:34" ht="27" customHeight="1">
      <c r="A268" s="105" t="s">
        <v>1379</v>
      </c>
      <c r="B268" s="51" t="s">
        <v>1380</v>
      </c>
      <c r="C268" s="51" t="s">
        <v>1381</v>
      </c>
      <c r="D268" s="51" t="s">
        <v>617</v>
      </c>
      <c r="E268" s="51" t="s">
        <v>63</v>
      </c>
      <c r="F268" s="51" t="s">
        <v>618</v>
      </c>
      <c r="G268" s="108" t="s">
        <v>63</v>
      </c>
      <c r="H268" s="52" t="s">
        <v>1382</v>
      </c>
      <c r="I268" s="51"/>
      <c r="J268" s="51" t="s">
        <v>1309</v>
      </c>
      <c r="K268" s="18"/>
      <c r="L268" s="110">
        <v>2674782</v>
      </c>
      <c r="M268" s="110">
        <v>2674782</v>
      </c>
      <c r="N268" s="18"/>
      <c r="O268" s="18" t="b">
        <f>VLOOKUP(A268,[1]Model!C$2:J$559,2,FALSE)=B268</f>
        <v>1</v>
      </c>
      <c r="P268" s="18" t="e">
        <f>VLOOKUP(A268,[2]Model!C$2:G$208,5,FALSE)=D268</f>
        <v>#N/A</v>
      </c>
      <c r="Q268" s="18" t="e">
        <f>VLOOKUP(A268,[2]Model!C$2:L$228,8,FALSE)</f>
        <v>#N/A</v>
      </c>
      <c r="R268" s="18" t="e">
        <f>VLOOKUP(A268,[2]Model!C$2:G$228,3,FALSE)=[3]!Table14[[#This Row],[Business Definition (To go into comments and into Meta Data Hub)]]</f>
        <v>#N/A</v>
      </c>
      <c r="S268" s="18" t="e">
        <f>IF([3]!Table14[[#This Row],[Nullable in Table and in Oracle View
NULL, NOT NULL]]="No","NOT NULL","NULL")=VLOOKUP(A268,[2]Model!C$2:I$228,6,FALSE)</f>
        <v>#REF!</v>
      </c>
      <c r="T268" s="58" t="e">
        <f>VLOOKUP(B268,[2]Table!A$2:F$415,1,FALSE)=[3]!Table14[[#This Row],[Physical Name of Attribute (Name of column in Table)
Supplied by DA Team]]</f>
        <v>#N/A</v>
      </c>
      <c r="U268" s="58" t="e">
        <f>VLOOKUP(B268,[2]Table!A$2:F$319,2,FALSE)=[4]!Table14[[#This Row],[Data type in Oracle
VARCHAR2(n), DATE, NUMBER(m,n), TIMETSTAMP(6)]]</f>
        <v>#N/A</v>
      </c>
      <c r="V268" s="58" t="e">
        <f>VLOOKUP(B268,[2]Table!A$2:F$231,3,FALSE)=[4]!Table14[[#This Row],[Nullable in Table and in Oracle View
NULL, NOT NULL]]</f>
        <v>#N/A</v>
      </c>
      <c r="W268" s="58" t="e">
        <f>VLOOKUP(B268,[2]Table!A$2:H$228,6,FALSE)=[4]!Table14[[#This Row],[Business Definition (To go into comments and into Meta Data Hub)]]</f>
        <v>#N/A</v>
      </c>
      <c r="X268" s="58" t="e">
        <f>VLOOKUP((UPPER(SUBSTITUTE(A268," ","_"))),'[2]Consumer View'!A$2:I$329,1,FALSE)</f>
        <v>#N/A</v>
      </c>
      <c r="Y268" s="51" t="s">
        <v>173</v>
      </c>
      <c r="Z268" s="51" t="s">
        <v>1310</v>
      </c>
      <c r="AA268" s="51" t="s">
        <v>1383</v>
      </c>
      <c r="AB268" s="18"/>
      <c r="AC268" s="18"/>
      <c r="AD268" s="18" t="s">
        <v>1312</v>
      </c>
      <c r="AE268" s="46"/>
      <c r="AF268" s="18"/>
      <c r="AG268" s="18" t="s">
        <v>1313</v>
      </c>
      <c r="AH268" s="18" t="s">
        <v>178</v>
      </c>
    </row>
    <row r="269" spans="1:34" ht="27" customHeight="1">
      <c r="A269" s="105" t="s">
        <v>1384</v>
      </c>
      <c r="B269" s="51" t="s">
        <v>1385</v>
      </c>
      <c r="C269" s="51" t="s">
        <v>1386</v>
      </c>
      <c r="D269" s="51" t="s">
        <v>139</v>
      </c>
      <c r="E269" s="51" t="s">
        <v>63</v>
      </c>
      <c r="F269" s="51" t="s">
        <v>140</v>
      </c>
      <c r="G269" s="108" t="s">
        <v>63</v>
      </c>
      <c r="H269" s="52" t="s">
        <v>1387</v>
      </c>
      <c r="I269" s="51"/>
      <c r="J269" s="51" t="s">
        <v>1309</v>
      </c>
      <c r="K269" s="18"/>
      <c r="L269" s="110">
        <v>2674782</v>
      </c>
      <c r="M269" s="110">
        <v>2674782</v>
      </c>
      <c r="N269" s="18"/>
      <c r="O269" s="18" t="b">
        <f>VLOOKUP(A269,[1]Model!C$2:J$559,2,FALSE)=B269</f>
        <v>1</v>
      </c>
      <c r="P269" s="18" t="e">
        <f>VLOOKUP(A269,[2]Model!C$2:G$208,5,FALSE)=D269</f>
        <v>#N/A</v>
      </c>
      <c r="Q269" s="18" t="e">
        <f>VLOOKUP(A269,[2]Model!C$2:L$228,8,FALSE)</f>
        <v>#N/A</v>
      </c>
      <c r="R269" s="18" t="e">
        <f>VLOOKUP(A269,[2]Model!C$2:G$228,3,FALSE)=[3]!Table14[[#This Row],[Business Definition (To go into comments and into Meta Data Hub)]]</f>
        <v>#N/A</v>
      </c>
      <c r="S269" s="18" t="e">
        <f>IF([3]!Table14[[#This Row],[Nullable in Table and in Oracle View
NULL, NOT NULL]]="No","NOT NULL","NULL")=VLOOKUP(A269,[2]Model!C$2:I$228,6,FALSE)</f>
        <v>#REF!</v>
      </c>
      <c r="T269" s="58" t="e">
        <f>VLOOKUP(B269,[2]Table!A$2:F$415,1,FALSE)=[3]!Table14[[#This Row],[Physical Name of Attribute (Name of column in Table)
Supplied by DA Team]]</f>
        <v>#N/A</v>
      </c>
      <c r="U269" s="58" t="e">
        <f>VLOOKUP(B269,[2]Table!A$2:F$319,2,FALSE)=[4]!Table14[[#This Row],[Data type in Oracle
VARCHAR2(n), DATE, NUMBER(m,n), TIMETSTAMP(6)]]</f>
        <v>#N/A</v>
      </c>
      <c r="V269" s="58" t="e">
        <f>VLOOKUP(B269,[2]Table!A$2:F$231,3,FALSE)=[4]!Table14[[#This Row],[Nullable in Table and in Oracle View
NULL, NOT NULL]]</f>
        <v>#N/A</v>
      </c>
      <c r="W269" s="58" t="e">
        <f>VLOOKUP(B269,[2]Table!A$2:H$228,6,FALSE)=[4]!Table14[[#This Row],[Business Definition (To go into comments and into Meta Data Hub)]]</f>
        <v>#N/A</v>
      </c>
      <c r="X269" s="58" t="e">
        <f>VLOOKUP((UPPER(SUBSTITUTE(A269," ","_"))),'[2]Consumer View'!A$2:I$329,1,FALSE)</f>
        <v>#N/A</v>
      </c>
      <c r="Y269" s="51" t="s">
        <v>173</v>
      </c>
      <c r="Z269" s="51" t="s">
        <v>1310</v>
      </c>
      <c r="AA269" s="51" t="s">
        <v>1388</v>
      </c>
      <c r="AB269" s="18"/>
      <c r="AC269" s="18"/>
      <c r="AD269" s="18" t="s">
        <v>1389</v>
      </c>
      <c r="AE269" s="46"/>
      <c r="AF269" s="18"/>
      <c r="AG269" s="18" t="s">
        <v>1313</v>
      </c>
      <c r="AH269" s="18" t="s">
        <v>178</v>
      </c>
    </row>
    <row r="270" spans="1:34" ht="27" customHeight="1">
      <c r="A270" s="105" t="s">
        <v>1390</v>
      </c>
      <c r="B270" s="51" t="s">
        <v>1391</v>
      </c>
      <c r="C270" s="51" t="s">
        <v>1392</v>
      </c>
      <c r="D270" s="51" t="s">
        <v>139</v>
      </c>
      <c r="E270" s="51" t="s">
        <v>63</v>
      </c>
      <c r="F270" s="51" t="s">
        <v>140</v>
      </c>
      <c r="G270" s="108" t="s">
        <v>63</v>
      </c>
      <c r="H270" s="52" t="s">
        <v>1387</v>
      </c>
      <c r="I270" s="51"/>
      <c r="J270" s="51" t="s">
        <v>1309</v>
      </c>
      <c r="K270" s="18"/>
      <c r="L270" s="110">
        <v>2674782</v>
      </c>
      <c r="M270" s="110">
        <v>2674782</v>
      </c>
      <c r="N270" s="18"/>
      <c r="O270" s="18" t="b">
        <f>VLOOKUP(A270,[1]Model!C$2:J$559,2,FALSE)=B270</f>
        <v>1</v>
      </c>
      <c r="P270" s="18" t="e">
        <f>VLOOKUP(A270,[2]Model!C$2:G$208,5,FALSE)=D270</f>
        <v>#N/A</v>
      </c>
      <c r="Q270" s="18" t="e">
        <f>VLOOKUP(A270,[2]Model!C$2:L$228,8,FALSE)</f>
        <v>#N/A</v>
      </c>
      <c r="R270" s="18" t="e">
        <f>VLOOKUP(A270,[2]Model!C$2:G$228,3,FALSE)=[3]!Table14[[#This Row],[Business Definition (To go into comments and into Meta Data Hub)]]</f>
        <v>#N/A</v>
      </c>
      <c r="S270" s="18" t="e">
        <f>IF([3]!Table14[[#This Row],[Nullable in Table and in Oracle View
NULL, NOT NULL]]="No","NOT NULL","NULL")=VLOOKUP(A270,[2]Model!C$2:I$228,6,FALSE)</f>
        <v>#REF!</v>
      </c>
      <c r="T270" s="58" t="e">
        <f>VLOOKUP(B270,[2]Table!A$2:F$415,1,FALSE)=[3]!Table14[[#This Row],[Physical Name of Attribute (Name of column in Table)
Supplied by DA Team]]</f>
        <v>#N/A</v>
      </c>
      <c r="U270" s="58" t="e">
        <f>VLOOKUP(B270,[2]Table!A$2:F$319,2,FALSE)=[4]!Table14[[#This Row],[Data type in Oracle
VARCHAR2(n), DATE, NUMBER(m,n), TIMETSTAMP(6)]]</f>
        <v>#N/A</v>
      </c>
      <c r="V270" s="58" t="e">
        <f>VLOOKUP(B270,[2]Table!A$2:F$231,3,FALSE)=[4]!Table14[[#This Row],[Nullable in Table and in Oracle View
NULL, NOT NULL]]</f>
        <v>#N/A</v>
      </c>
      <c r="W270" s="58" t="e">
        <f>VLOOKUP(B270,[2]Table!A$2:H$228,6,FALSE)=[4]!Table14[[#This Row],[Business Definition (To go into comments and into Meta Data Hub)]]</f>
        <v>#N/A</v>
      </c>
      <c r="X270" s="58" t="e">
        <f>VLOOKUP((UPPER(SUBSTITUTE(A270," ","_"))),'[2]Consumer View'!A$2:I$329,1,FALSE)</f>
        <v>#N/A</v>
      </c>
      <c r="Y270" s="51" t="s">
        <v>173</v>
      </c>
      <c r="Z270" s="51" t="s">
        <v>1310</v>
      </c>
      <c r="AA270" s="51" t="s">
        <v>1388</v>
      </c>
      <c r="AB270" s="18"/>
      <c r="AC270" s="18"/>
      <c r="AD270" s="18" t="s">
        <v>1312</v>
      </c>
      <c r="AE270" s="46"/>
      <c r="AF270" s="18"/>
      <c r="AG270" s="18" t="s">
        <v>1313</v>
      </c>
      <c r="AH270" s="18" t="s">
        <v>178</v>
      </c>
    </row>
    <row r="271" spans="1:34" ht="27" customHeight="1">
      <c r="A271" s="105" t="s">
        <v>1393</v>
      </c>
      <c r="B271" s="51" t="s">
        <v>1394</v>
      </c>
      <c r="C271" s="51" t="s">
        <v>1395</v>
      </c>
      <c r="D271" s="51" t="s">
        <v>90</v>
      </c>
      <c r="E271" s="51" t="s">
        <v>63</v>
      </c>
      <c r="F271" s="51" t="s">
        <v>91</v>
      </c>
      <c r="G271" s="108" t="s">
        <v>63</v>
      </c>
      <c r="H271" s="52" t="s">
        <v>1396</v>
      </c>
      <c r="I271" s="51"/>
      <c r="J271" s="51" t="s">
        <v>1309</v>
      </c>
      <c r="K271" s="18"/>
      <c r="L271" s="110">
        <v>2674782</v>
      </c>
      <c r="M271" s="110">
        <v>2674782</v>
      </c>
      <c r="N271" s="18"/>
      <c r="O271" s="18" t="b">
        <f>VLOOKUP(A271,[1]Model!C$2:J$559,2,FALSE)=B271</f>
        <v>1</v>
      </c>
      <c r="P271" s="18" t="e">
        <f>VLOOKUP(A271,[2]Model!C$2:G$208,5,FALSE)=D271</f>
        <v>#N/A</v>
      </c>
      <c r="Q271" s="18" t="e">
        <f>VLOOKUP(A271,[2]Model!C$2:L$228,8,FALSE)</f>
        <v>#N/A</v>
      </c>
      <c r="R271" s="18" t="e">
        <f>VLOOKUP(A271,[2]Model!C$2:G$228,3,FALSE)=[3]!Table14[[#This Row],[Business Definition (To go into comments and into Meta Data Hub)]]</f>
        <v>#N/A</v>
      </c>
      <c r="S271" s="18" t="e">
        <f>IF([3]!Table14[[#This Row],[Nullable in Table and in Oracle View
NULL, NOT NULL]]="No","NOT NULL","NULL")=VLOOKUP(A271,[2]Model!C$2:I$228,6,FALSE)</f>
        <v>#REF!</v>
      </c>
      <c r="T271" s="58" t="e">
        <f>VLOOKUP(B271,[2]Table!A$2:F$415,1,FALSE)=[3]!Table14[[#This Row],[Physical Name of Attribute (Name of column in Table)
Supplied by DA Team]]</f>
        <v>#N/A</v>
      </c>
      <c r="U271" s="58" t="e">
        <f>VLOOKUP(B271,[2]Table!A$2:F$319,2,FALSE)=[4]!Table14[[#This Row],[Data type in Oracle
VARCHAR2(n), DATE, NUMBER(m,n), TIMETSTAMP(6)]]</f>
        <v>#N/A</v>
      </c>
      <c r="V271" s="58" t="e">
        <f>VLOOKUP(B271,[2]Table!A$2:F$231,3,FALSE)=[4]!Table14[[#This Row],[Nullable in Table and in Oracle View
NULL, NOT NULL]]</f>
        <v>#N/A</v>
      </c>
      <c r="W271" s="58" t="e">
        <f>VLOOKUP(B271,[2]Table!A$2:H$228,6,FALSE)=[4]!Table14[[#This Row],[Business Definition (To go into comments and into Meta Data Hub)]]</f>
        <v>#N/A</v>
      </c>
      <c r="X271" s="58" t="e">
        <f>VLOOKUP((UPPER(SUBSTITUTE(A271," ","_"))),'[2]Consumer View'!A$2:I$329,1,FALSE)</f>
        <v>#N/A</v>
      </c>
      <c r="Y271" s="51" t="s">
        <v>173</v>
      </c>
      <c r="Z271" s="51" t="s">
        <v>1310</v>
      </c>
      <c r="AA271" s="51" t="s">
        <v>1397</v>
      </c>
      <c r="AB271" s="18"/>
      <c r="AC271" s="18"/>
      <c r="AD271" s="18" t="s">
        <v>1389</v>
      </c>
      <c r="AE271" s="46"/>
      <c r="AF271" s="18"/>
      <c r="AG271" s="18" t="s">
        <v>1313</v>
      </c>
      <c r="AH271" s="18" t="s">
        <v>178</v>
      </c>
    </row>
    <row r="272" spans="1:34" ht="27" customHeight="1">
      <c r="A272" s="105" t="s">
        <v>1398</v>
      </c>
      <c r="B272" s="51" t="s">
        <v>1399</v>
      </c>
      <c r="C272" s="51" t="s">
        <v>1400</v>
      </c>
      <c r="D272" s="51" t="s">
        <v>90</v>
      </c>
      <c r="E272" s="51" t="s">
        <v>63</v>
      </c>
      <c r="F272" s="51" t="s">
        <v>91</v>
      </c>
      <c r="G272" s="108" t="s">
        <v>63</v>
      </c>
      <c r="H272" s="52" t="s">
        <v>1396</v>
      </c>
      <c r="I272" s="51"/>
      <c r="J272" s="51" t="s">
        <v>1309</v>
      </c>
      <c r="K272" s="18"/>
      <c r="L272" s="110">
        <v>2674782</v>
      </c>
      <c r="M272" s="110">
        <v>2674782</v>
      </c>
      <c r="N272" s="18"/>
      <c r="O272" s="18" t="b">
        <f>VLOOKUP(A272,[1]Model!C$2:J$559,2,FALSE)=B272</f>
        <v>1</v>
      </c>
      <c r="P272" s="18" t="e">
        <f>VLOOKUP(A272,[2]Model!C$2:G$208,5,FALSE)=D272</f>
        <v>#N/A</v>
      </c>
      <c r="Q272" s="18" t="e">
        <f>VLOOKUP(A272,[2]Model!C$2:L$228,8,FALSE)</f>
        <v>#N/A</v>
      </c>
      <c r="R272" s="18" t="e">
        <f>VLOOKUP(A272,[2]Model!C$2:G$228,3,FALSE)=[3]!Table14[[#This Row],[Business Definition (To go into comments and into Meta Data Hub)]]</f>
        <v>#N/A</v>
      </c>
      <c r="S272" s="18" t="e">
        <f>IF([3]!Table14[[#This Row],[Nullable in Table and in Oracle View
NULL, NOT NULL]]="No","NOT NULL","NULL")=VLOOKUP(A272,[2]Model!C$2:I$228,6,FALSE)</f>
        <v>#REF!</v>
      </c>
      <c r="T272" s="58" t="e">
        <f>VLOOKUP(B272,[2]Table!A$2:F$415,1,FALSE)=[3]!Table14[[#This Row],[Physical Name of Attribute (Name of column in Table)
Supplied by DA Team]]</f>
        <v>#N/A</v>
      </c>
      <c r="U272" s="58" t="e">
        <f>VLOOKUP(B272,[2]Table!A$2:F$319,2,FALSE)=[4]!Table14[[#This Row],[Data type in Oracle
VARCHAR2(n), DATE, NUMBER(m,n), TIMETSTAMP(6)]]</f>
        <v>#N/A</v>
      </c>
      <c r="V272" s="58" t="e">
        <f>VLOOKUP(B272,[2]Table!A$2:F$231,3,FALSE)=[4]!Table14[[#This Row],[Nullable in Table and in Oracle View
NULL, NOT NULL]]</f>
        <v>#N/A</v>
      </c>
      <c r="W272" s="58" t="e">
        <f>VLOOKUP(B272,[2]Table!A$2:H$228,6,FALSE)=[4]!Table14[[#This Row],[Business Definition (To go into comments and into Meta Data Hub)]]</f>
        <v>#N/A</v>
      </c>
      <c r="X272" s="58" t="e">
        <f>VLOOKUP((UPPER(SUBSTITUTE(A272," ","_"))),'[2]Consumer View'!A$2:I$329,1,FALSE)</f>
        <v>#N/A</v>
      </c>
      <c r="Y272" s="51" t="s">
        <v>173</v>
      </c>
      <c r="Z272" s="51" t="s">
        <v>1310</v>
      </c>
      <c r="AA272" s="51" t="s">
        <v>1397</v>
      </c>
      <c r="AB272" s="18"/>
      <c r="AC272" s="18"/>
      <c r="AD272" s="18" t="s">
        <v>1312</v>
      </c>
      <c r="AE272" s="46"/>
      <c r="AF272" s="18"/>
      <c r="AG272" s="18" t="s">
        <v>1313</v>
      </c>
      <c r="AH272" s="18" t="s">
        <v>178</v>
      </c>
    </row>
    <row r="273" spans="1:34" ht="27" customHeight="1">
      <c r="A273" s="105" t="s">
        <v>1401</v>
      </c>
      <c r="B273" s="51" t="s">
        <v>1402</v>
      </c>
      <c r="C273" s="51" t="s">
        <v>1403</v>
      </c>
      <c r="D273" s="51" t="s">
        <v>90</v>
      </c>
      <c r="E273" s="51" t="s">
        <v>63</v>
      </c>
      <c r="F273" s="51" t="s">
        <v>91</v>
      </c>
      <c r="G273" s="108" t="s">
        <v>63</v>
      </c>
      <c r="H273" s="52" t="s">
        <v>1404</v>
      </c>
      <c r="I273" s="51"/>
      <c r="J273" s="51" t="s">
        <v>1309</v>
      </c>
      <c r="K273" s="18"/>
      <c r="L273" s="110">
        <v>2674782</v>
      </c>
      <c r="M273" s="110">
        <v>2674782</v>
      </c>
      <c r="N273" s="18"/>
      <c r="O273" s="18" t="b">
        <f>VLOOKUP(A273,[1]Model!C$2:J$559,2,FALSE)=B273</f>
        <v>1</v>
      </c>
      <c r="P273" s="18" t="e">
        <f>VLOOKUP(A273,[2]Model!C$2:G$208,5,FALSE)=D273</f>
        <v>#N/A</v>
      </c>
      <c r="Q273" s="18" t="e">
        <f>VLOOKUP(A273,[2]Model!C$2:L$228,8,FALSE)</f>
        <v>#N/A</v>
      </c>
      <c r="R273" s="18" t="e">
        <f>VLOOKUP(A273,[2]Model!C$2:G$228,3,FALSE)=[3]!Table14[[#This Row],[Business Definition (To go into comments and into Meta Data Hub)]]</f>
        <v>#N/A</v>
      </c>
      <c r="S273" s="18" t="e">
        <f>IF([3]!Table14[[#This Row],[Nullable in Table and in Oracle View
NULL, NOT NULL]]="No","NOT NULL","NULL")=VLOOKUP(A273,[2]Model!C$2:I$228,6,FALSE)</f>
        <v>#REF!</v>
      </c>
      <c r="T273" s="58" t="e">
        <f>VLOOKUP(B273,[2]Table!A$2:F$415,1,FALSE)=[3]!Table14[[#This Row],[Physical Name of Attribute (Name of column in Table)
Supplied by DA Team]]</f>
        <v>#N/A</v>
      </c>
      <c r="U273" s="58" t="e">
        <f>VLOOKUP(B273,[2]Table!A$2:F$319,2,FALSE)=[4]!Table14[[#This Row],[Data type in Oracle
VARCHAR2(n), DATE, NUMBER(m,n), TIMETSTAMP(6)]]</f>
        <v>#N/A</v>
      </c>
      <c r="V273" s="58" t="e">
        <f>VLOOKUP(B273,[2]Table!A$2:F$231,3,FALSE)=[4]!Table14[[#This Row],[Nullable in Table and in Oracle View
NULL, NOT NULL]]</f>
        <v>#N/A</v>
      </c>
      <c r="W273" s="58" t="e">
        <f>VLOOKUP(B273,[2]Table!A$2:H$228,6,FALSE)=[4]!Table14[[#This Row],[Business Definition (To go into comments and into Meta Data Hub)]]</f>
        <v>#N/A</v>
      </c>
      <c r="X273" s="58" t="e">
        <f>VLOOKUP((UPPER(SUBSTITUTE(A273," ","_"))),'[2]Consumer View'!A$2:I$329,1,FALSE)</f>
        <v>#N/A</v>
      </c>
      <c r="Y273" s="51" t="s">
        <v>173</v>
      </c>
      <c r="Z273" s="51" t="s">
        <v>1310</v>
      </c>
      <c r="AA273" s="51" t="s">
        <v>1405</v>
      </c>
      <c r="AB273" s="18"/>
      <c r="AC273" s="18"/>
      <c r="AD273" s="18" t="s">
        <v>1312</v>
      </c>
      <c r="AE273" s="46"/>
      <c r="AF273" s="18"/>
      <c r="AG273" s="18" t="s">
        <v>1313</v>
      </c>
      <c r="AH273" s="18" t="s">
        <v>178</v>
      </c>
    </row>
    <row r="274" spans="1:34" ht="27" customHeight="1">
      <c r="A274" s="105" t="s">
        <v>1406</v>
      </c>
      <c r="B274" s="51" t="s">
        <v>1407</v>
      </c>
      <c r="C274" s="51" t="s">
        <v>1408</v>
      </c>
      <c r="D274" s="51" t="s">
        <v>139</v>
      </c>
      <c r="E274" s="51" t="s">
        <v>63</v>
      </c>
      <c r="F274" s="51" t="s">
        <v>140</v>
      </c>
      <c r="G274" s="108" t="s">
        <v>63</v>
      </c>
      <c r="H274" s="52" t="s">
        <v>1409</v>
      </c>
      <c r="I274" s="51"/>
      <c r="J274" s="51" t="s">
        <v>1309</v>
      </c>
      <c r="K274" s="18"/>
      <c r="L274" s="110">
        <v>2674782</v>
      </c>
      <c r="M274" s="110">
        <v>2674782</v>
      </c>
      <c r="N274" s="18"/>
      <c r="O274" s="18" t="b">
        <f>VLOOKUP(A274,[1]Model!C$2:J$559,2,FALSE)=B274</f>
        <v>1</v>
      </c>
      <c r="P274" s="18" t="e">
        <f>VLOOKUP(A274,[2]Model!C$2:G$208,5,FALSE)=D274</f>
        <v>#N/A</v>
      </c>
      <c r="Q274" s="18" t="e">
        <f>VLOOKUP(A274,[2]Model!C$2:L$228,8,FALSE)</f>
        <v>#N/A</v>
      </c>
      <c r="R274" s="18" t="e">
        <f>VLOOKUP(A274,[2]Model!C$2:G$228,3,FALSE)=[3]!Table14[[#This Row],[Business Definition (To go into comments and into Meta Data Hub)]]</f>
        <v>#N/A</v>
      </c>
      <c r="S274" s="18" t="e">
        <f>IF([3]!Table14[[#This Row],[Nullable in Table and in Oracle View
NULL, NOT NULL]]="No","NOT NULL","NULL")=VLOOKUP(A274,[2]Model!C$2:I$228,6,FALSE)</f>
        <v>#REF!</v>
      </c>
      <c r="T274" s="58" t="e">
        <f>VLOOKUP(B274,[2]Table!A$2:F$415,1,FALSE)=[3]!Table14[[#This Row],[Physical Name of Attribute (Name of column in Table)
Supplied by DA Team]]</f>
        <v>#N/A</v>
      </c>
      <c r="U274" s="58" t="e">
        <f>VLOOKUP(B274,[2]Table!A$2:F$319,2,FALSE)=[4]!Table14[[#This Row],[Data type in Oracle
VARCHAR2(n), DATE, NUMBER(m,n), TIMETSTAMP(6)]]</f>
        <v>#N/A</v>
      </c>
      <c r="V274" s="58" t="e">
        <f>VLOOKUP(B274,[2]Table!A$2:F$231,3,FALSE)=[4]!Table14[[#This Row],[Nullable in Table and in Oracle View
NULL, NOT NULL]]</f>
        <v>#N/A</v>
      </c>
      <c r="W274" s="58" t="e">
        <f>VLOOKUP(B274,[2]Table!A$2:H$228,6,FALSE)=[4]!Table14[[#This Row],[Business Definition (To go into comments and into Meta Data Hub)]]</f>
        <v>#N/A</v>
      </c>
      <c r="X274" s="58" t="e">
        <f>VLOOKUP((UPPER(SUBSTITUTE(A274," ","_"))),'[2]Consumer View'!A$2:I$329,1,FALSE)</f>
        <v>#N/A</v>
      </c>
      <c r="Y274" s="51" t="s">
        <v>173</v>
      </c>
      <c r="Z274" s="51" t="s">
        <v>1310</v>
      </c>
      <c r="AA274" s="51" t="s">
        <v>1410</v>
      </c>
      <c r="AB274" s="18"/>
      <c r="AC274" s="18"/>
      <c r="AD274" s="18" t="s">
        <v>1312</v>
      </c>
      <c r="AE274" s="46"/>
      <c r="AF274" s="18"/>
      <c r="AG274" s="18" t="s">
        <v>1313</v>
      </c>
      <c r="AH274" s="18" t="s">
        <v>178</v>
      </c>
    </row>
    <row r="275" spans="1:34" ht="27" customHeight="1">
      <c r="A275" s="118" t="s">
        <v>1411</v>
      </c>
      <c r="B275" s="117" t="s">
        <v>1412</v>
      </c>
      <c r="C275" s="117"/>
      <c r="D275" s="117" t="s">
        <v>101</v>
      </c>
      <c r="E275" s="117" t="s">
        <v>63</v>
      </c>
      <c r="F275" s="117" t="s">
        <v>133</v>
      </c>
      <c r="G275" s="119" t="s">
        <v>63</v>
      </c>
      <c r="H275" s="120" t="s">
        <v>1413</v>
      </c>
      <c r="I275" s="117"/>
      <c r="J275" s="117" t="s">
        <v>1309</v>
      </c>
      <c r="K275" s="117"/>
      <c r="L275" s="121">
        <v>2674782</v>
      </c>
      <c r="M275" s="121">
        <v>2674782</v>
      </c>
      <c r="N275" s="117"/>
      <c r="O275" s="117" t="e">
        <f>VLOOKUP(A275,[1]Model!C$2:J$559,2,FALSE)=B275</f>
        <v>#N/A</v>
      </c>
      <c r="P275" s="117" t="e">
        <f>VLOOKUP(A275,[2]Model!C$2:G$208,5,FALSE)=D275</f>
        <v>#N/A</v>
      </c>
      <c r="Q275" s="117" t="e">
        <f>VLOOKUP(A275,[2]Model!C$2:L$228,8,FALSE)</f>
        <v>#N/A</v>
      </c>
      <c r="R275" s="117" t="e">
        <f>VLOOKUP(A275,[2]Model!C$2:G$228,3,FALSE)=[3]!Table14[[#This Row],[Business Definition (To go into comments and into Meta Data Hub)]]</f>
        <v>#N/A</v>
      </c>
      <c r="S275" s="117" t="e">
        <f>IF([3]!Table14[[#This Row],[Nullable in Table and in Oracle View
NULL, NOT NULL]]="No","NOT NULL","NULL")=VLOOKUP(A275,[2]Model!C$2:I$228,6,FALSE)</f>
        <v>#REF!</v>
      </c>
      <c r="T275" s="117" t="e">
        <f>VLOOKUP(B275,[2]Table!A$2:F$415,1,FALSE)=[3]!Table14[[#This Row],[Physical Name of Attribute (Name of column in Table)
Supplied by DA Team]]</f>
        <v>#N/A</v>
      </c>
      <c r="U275" s="117" t="e">
        <f>VLOOKUP(B275,[2]Table!A$2:F$319,2,FALSE)=[4]!Table14[[#This Row],[Data type in Oracle
VARCHAR2(n), DATE, NUMBER(m,n), TIMETSTAMP(6)]]</f>
        <v>#N/A</v>
      </c>
      <c r="V275" s="117" t="e">
        <f>VLOOKUP(B275,[2]Table!A$2:F$231,3,FALSE)=[4]!Table14[[#This Row],[Nullable in Table and in Oracle View
NULL, NOT NULL]]</f>
        <v>#N/A</v>
      </c>
      <c r="W275" s="117" t="e">
        <f>VLOOKUP(B275,[2]Table!A$2:H$228,6,FALSE)=[4]!Table14[[#This Row],[Business Definition (To go into comments and into Meta Data Hub)]]</f>
        <v>#N/A</v>
      </c>
      <c r="X275" s="117" t="e">
        <f>VLOOKUP((UPPER(SUBSTITUTE(A275," ","_"))),'[2]Consumer View'!A$2:I$329,1,FALSE)</f>
        <v>#N/A</v>
      </c>
      <c r="Y275" s="117" t="s">
        <v>173</v>
      </c>
      <c r="Z275" s="117" t="s">
        <v>1310</v>
      </c>
      <c r="AA275" s="117" t="s">
        <v>1414</v>
      </c>
      <c r="AB275" s="117"/>
      <c r="AC275" s="117"/>
      <c r="AD275" s="117" t="s">
        <v>1389</v>
      </c>
      <c r="AE275" s="120"/>
      <c r="AF275" s="117"/>
      <c r="AG275" s="117" t="s">
        <v>1313</v>
      </c>
      <c r="AH275" s="117" t="s">
        <v>178</v>
      </c>
    </row>
    <row r="276" spans="1:34" ht="27" customHeight="1">
      <c r="A276" s="118" t="s">
        <v>1415</v>
      </c>
      <c r="B276" s="117" t="s">
        <v>1416</v>
      </c>
      <c r="C276" s="117"/>
      <c r="D276" s="117" t="s">
        <v>101</v>
      </c>
      <c r="E276" s="117" t="s">
        <v>63</v>
      </c>
      <c r="F276" s="117" t="s">
        <v>133</v>
      </c>
      <c r="G276" s="119" t="s">
        <v>63</v>
      </c>
      <c r="H276" s="120" t="s">
        <v>1417</v>
      </c>
      <c r="I276" s="117"/>
      <c r="J276" s="117" t="s">
        <v>1309</v>
      </c>
      <c r="K276" s="117"/>
      <c r="L276" s="121">
        <v>2674782</v>
      </c>
      <c r="M276" s="121">
        <v>2674782</v>
      </c>
      <c r="N276" s="117"/>
      <c r="O276" s="117" t="e">
        <f>VLOOKUP(A276,[1]Model!C$2:J$559,2,FALSE)=B276</f>
        <v>#N/A</v>
      </c>
      <c r="P276" s="117" t="e">
        <f>VLOOKUP(A276,[2]Model!C$2:G$208,5,FALSE)=D276</f>
        <v>#N/A</v>
      </c>
      <c r="Q276" s="117" t="e">
        <f>VLOOKUP(A276,[2]Model!C$2:L$228,8,FALSE)</f>
        <v>#N/A</v>
      </c>
      <c r="R276" s="117" t="e">
        <f>VLOOKUP(A276,[2]Model!C$2:G$228,3,FALSE)=[3]!Table14[[#This Row],[Business Definition (To go into comments and into Meta Data Hub)]]</f>
        <v>#N/A</v>
      </c>
      <c r="S276" s="117" t="e">
        <f>IF([3]!Table14[[#This Row],[Nullable in Table and in Oracle View
NULL, NOT NULL]]="No","NOT NULL","NULL")=VLOOKUP(A276,[2]Model!C$2:I$228,6,FALSE)</f>
        <v>#REF!</v>
      </c>
      <c r="T276" s="117" t="e">
        <f>VLOOKUP(B276,[2]Table!A$2:F$415,1,FALSE)=[3]!Table14[[#This Row],[Physical Name of Attribute (Name of column in Table)
Supplied by DA Team]]</f>
        <v>#N/A</v>
      </c>
      <c r="U276" s="117" t="e">
        <f>VLOOKUP(B276,[2]Table!A$2:F$319,2,FALSE)=[4]!Table14[[#This Row],[Data type in Oracle
VARCHAR2(n), DATE, NUMBER(m,n), TIMETSTAMP(6)]]</f>
        <v>#N/A</v>
      </c>
      <c r="V276" s="117" t="e">
        <f>VLOOKUP(B276,[2]Table!A$2:F$231,3,FALSE)=[4]!Table14[[#This Row],[Nullable in Table and in Oracle View
NULL, NOT NULL]]</f>
        <v>#N/A</v>
      </c>
      <c r="W276" s="117" t="e">
        <f>VLOOKUP(B276,[2]Table!A$2:H$228,6,FALSE)=[4]!Table14[[#This Row],[Business Definition (To go into comments and into Meta Data Hub)]]</f>
        <v>#N/A</v>
      </c>
      <c r="X276" s="117" t="e">
        <f>VLOOKUP((UPPER(SUBSTITUTE(A276," ","_"))),'[2]Consumer View'!A$2:I$329,1,FALSE)</f>
        <v>#N/A</v>
      </c>
      <c r="Y276" s="117" t="s">
        <v>173</v>
      </c>
      <c r="Z276" s="117" t="s">
        <v>1310</v>
      </c>
      <c r="AA276" s="117" t="s">
        <v>1414</v>
      </c>
      <c r="AB276" s="117"/>
      <c r="AC276" s="117"/>
      <c r="AD276" s="117" t="s">
        <v>1312</v>
      </c>
      <c r="AE276" s="120"/>
      <c r="AF276" s="117"/>
      <c r="AG276" s="117" t="s">
        <v>1313</v>
      </c>
      <c r="AH276" s="117" t="s">
        <v>178</v>
      </c>
    </row>
    <row r="277" spans="1:34" ht="27" customHeight="1">
      <c r="A277" s="118" t="s">
        <v>1418</v>
      </c>
      <c r="B277" s="117" t="s">
        <v>1419</v>
      </c>
      <c r="C277" s="117"/>
      <c r="D277" s="117" t="s">
        <v>62</v>
      </c>
      <c r="E277" s="117" t="s">
        <v>63</v>
      </c>
      <c r="F277" s="117" t="s">
        <v>64</v>
      </c>
      <c r="G277" s="119" t="s">
        <v>63</v>
      </c>
      <c r="H277" s="120" t="s">
        <v>1308</v>
      </c>
      <c r="I277" s="117"/>
      <c r="J277" s="117" t="s">
        <v>1309</v>
      </c>
      <c r="K277" s="117"/>
      <c r="L277" s="121">
        <v>2674782</v>
      </c>
      <c r="M277" s="121">
        <v>2674782</v>
      </c>
      <c r="N277" s="117"/>
      <c r="O277" s="117" t="e">
        <f>VLOOKUP(A277,[1]Model!C$2:J$559,2,FALSE)=B277</f>
        <v>#N/A</v>
      </c>
      <c r="P277" s="117" t="e">
        <f>VLOOKUP(A277,[2]Model!C$2:G$208,5,FALSE)=D277</f>
        <v>#N/A</v>
      </c>
      <c r="Q277" s="117" t="e">
        <f>VLOOKUP(A277,[2]Model!C$2:L$228,8,FALSE)</f>
        <v>#N/A</v>
      </c>
      <c r="R277" s="117" t="e">
        <f>VLOOKUP(A277,[2]Model!C$2:G$228,3,FALSE)=[3]!Table14[[#This Row],[Business Definition (To go into comments and into Meta Data Hub)]]</f>
        <v>#N/A</v>
      </c>
      <c r="S277" s="117" t="e">
        <f>IF([3]!Table14[[#This Row],[Nullable in Table and in Oracle View
NULL, NOT NULL]]="No","NOT NULL","NULL")=VLOOKUP(A277,[2]Model!C$2:I$228,6,FALSE)</f>
        <v>#REF!</v>
      </c>
      <c r="T277" s="117" t="e">
        <f>VLOOKUP(B277,[2]Table!A$2:F$415,1,FALSE)=[3]!Table14[[#This Row],[Physical Name of Attribute (Name of column in Table)
Supplied by DA Team]]</f>
        <v>#N/A</v>
      </c>
      <c r="U277" s="117" t="e">
        <f>VLOOKUP(B277,[2]Table!A$2:F$319,2,FALSE)=[4]!Table14[[#This Row],[Data type in Oracle
VARCHAR2(n), DATE, NUMBER(m,n), TIMETSTAMP(6)]]</f>
        <v>#N/A</v>
      </c>
      <c r="V277" s="117" t="e">
        <f>VLOOKUP(B277,[2]Table!A$2:F$231,3,FALSE)=[4]!Table14[[#This Row],[Nullable in Table and in Oracle View
NULL, NOT NULL]]</f>
        <v>#N/A</v>
      </c>
      <c r="W277" s="117" t="e">
        <f>VLOOKUP(B277,[2]Table!A$2:H$228,6,FALSE)=[4]!Table14[[#This Row],[Business Definition (To go into comments and into Meta Data Hub)]]</f>
        <v>#N/A</v>
      </c>
      <c r="X277" s="117" t="e">
        <f>VLOOKUP((UPPER(SUBSTITUTE(A277," ","_"))),'[2]Consumer View'!A$2:I$329,1,FALSE)</f>
        <v>#N/A</v>
      </c>
      <c r="Y277" s="117" t="s">
        <v>173</v>
      </c>
      <c r="Z277" s="117" t="s">
        <v>1310</v>
      </c>
      <c r="AA277" s="117" t="s">
        <v>1311</v>
      </c>
      <c r="AB277" s="117"/>
      <c r="AC277" s="117"/>
      <c r="AD277" s="117" t="s">
        <v>1312</v>
      </c>
      <c r="AE277" s="120"/>
      <c r="AF277" s="117"/>
      <c r="AG277" s="117" t="s">
        <v>1313</v>
      </c>
      <c r="AH277" s="117" t="s">
        <v>178</v>
      </c>
    </row>
    <row r="278" spans="1:34" ht="27" customHeight="1">
      <c r="A278" s="105" t="s">
        <v>1420</v>
      </c>
      <c r="B278" s="51" t="s">
        <v>1421</v>
      </c>
      <c r="C278" s="51" t="s">
        <v>1422</v>
      </c>
      <c r="D278" s="51" t="s">
        <v>82</v>
      </c>
      <c r="E278" s="51" t="s">
        <v>63</v>
      </c>
      <c r="F278" s="51" t="s">
        <v>83</v>
      </c>
      <c r="G278" s="108" t="s">
        <v>63</v>
      </c>
      <c r="H278" s="52" t="s">
        <v>1423</v>
      </c>
      <c r="I278" s="51"/>
      <c r="J278" s="51" t="s">
        <v>1309</v>
      </c>
      <c r="K278" s="18"/>
      <c r="L278" s="110">
        <v>2674782</v>
      </c>
      <c r="M278" s="110">
        <v>2674782</v>
      </c>
      <c r="N278" s="18"/>
      <c r="O278" s="18" t="b">
        <f>VLOOKUP(A278,[1]Model!C$2:J$559,2,FALSE)=B278</f>
        <v>1</v>
      </c>
      <c r="P278" s="18" t="e">
        <f>VLOOKUP(A278,[2]Model!C$2:G$208,5,FALSE)=D278</f>
        <v>#N/A</v>
      </c>
      <c r="Q278" s="18" t="e">
        <f>VLOOKUP(A278,[2]Model!C$2:L$228,8,FALSE)</f>
        <v>#N/A</v>
      </c>
      <c r="R278" s="18" t="e">
        <f>VLOOKUP(A278,[2]Model!C$2:G$228,3,FALSE)=[3]!Table14[[#This Row],[Business Definition (To go into comments and into Meta Data Hub)]]</f>
        <v>#N/A</v>
      </c>
      <c r="S278" s="18" t="e">
        <f>IF([3]!Table14[[#This Row],[Nullable in Table and in Oracle View
NULL, NOT NULL]]="No","NOT NULL","NULL")=VLOOKUP(A278,[2]Model!C$2:I$228,6,FALSE)</f>
        <v>#REF!</v>
      </c>
      <c r="T278" s="58" t="e">
        <f>VLOOKUP(B278,[2]Table!A$2:F$415,1,FALSE)=[3]!Table14[[#This Row],[Physical Name of Attribute (Name of column in Table)
Supplied by DA Team]]</f>
        <v>#N/A</v>
      </c>
      <c r="U278" s="58" t="e">
        <f>VLOOKUP(B278,[2]Table!A$2:F$319,2,FALSE)=[4]!Table14[[#This Row],[Data type in Oracle
VARCHAR2(n), DATE, NUMBER(m,n), TIMETSTAMP(6)]]</f>
        <v>#N/A</v>
      </c>
      <c r="V278" s="58" t="e">
        <f>VLOOKUP(B278,[2]Table!A$2:F$231,3,FALSE)=[4]!Table14[[#This Row],[Nullable in Table and in Oracle View
NULL, NOT NULL]]</f>
        <v>#N/A</v>
      </c>
      <c r="W278" s="58" t="e">
        <f>VLOOKUP(B278,[2]Table!A$2:H$228,6,FALSE)=[4]!Table14[[#This Row],[Business Definition (To go into comments and into Meta Data Hub)]]</f>
        <v>#N/A</v>
      </c>
      <c r="X278" s="58" t="e">
        <f>VLOOKUP((UPPER(SUBSTITUTE(A278," ","_"))),'[2]Consumer View'!A$2:I$329,1,FALSE)</f>
        <v>#N/A</v>
      </c>
      <c r="Y278" s="51" t="s">
        <v>173</v>
      </c>
      <c r="Z278" s="51" t="s">
        <v>1310</v>
      </c>
      <c r="AA278" s="51" t="s">
        <v>1424</v>
      </c>
      <c r="AB278" s="18"/>
      <c r="AC278" s="18"/>
      <c r="AD278" s="18" t="s">
        <v>1389</v>
      </c>
      <c r="AE278" s="46"/>
      <c r="AF278" s="18"/>
      <c r="AG278" s="18" t="s">
        <v>1313</v>
      </c>
      <c r="AH278" s="18" t="s">
        <v>178</v>
      </c>
    </row>
    <row r="279" spans="1:34" ht="27" customHeight="1">
      <c r="A279" s="105" t="s">
        <v>1425</v>
      </c>
      <c r="B279" s="51" t="s">
        <v>1426</v>
      </c>
      <c r="C279" s="51" t="s">
        <v>1427</v>
      </c>
      <c r="D279" s="51" t="s">
        <v>82</v>
      </c>
      <c r="E279" s="51" t="s">
        <v>63</v>
      </c>
      <c r="F279" s="51" t="s">
        <v>83</v>
      </c>
      <c r="G279" s="108" t="s">
        <v>63</v>
      </c>
      <c r="H279" s="52" t="s">
        <v>1423</v>
      </c>
      <c r="I279" s="51"/>
      <c r="J279" s="51" t="s">
        <v>1309</v>
      </c>
      <c r="K279" s="18"/>
      <c r="L279" s="110">
        <v>2674782</v>
      </c>
      <c r="M279" s="110">
        <v>2674782</v>
      </c>
      <c r="N279" s="18"/>
      <c r="O279" s="18" t="b">
        <f>VLOOKUP(A279,[1]Model!C$2:J$559,2,FALSE)=B279</f>
        <v>1</v>
      </c>
      <c r="P279" s="18" t="e">
        <f>VLOOKUP(A279,[2]Model!C$2:G$208,5,FALSE)=D279</f>
        <v>#N/A</v>
      </c>
      <c r="Q279" s="18" t="e">
        <f>VLOOKUP(A279,[2]Model!C$2:L$228,8,FALSE)</f>
        <v>#N/A</v>
      </c>
      <c r="R279" s="18" t="e">
        <f>VLOOKUP(A279,[2]Model!C$2:G$228,3,FALSE)=[3]!Table14[[#This Row],[Business Definition (To go into comments and into Meta Data Hub)]]</f>
        <v>#N/A</v>
      </c>
      <c r="S279" s="18" t="e">
        <f>IF([3]!Table14[[#This Row],[Nullable in Table and in Oracle View
NULL, NOT NULL]]="No","NOT NULL","NULL")=VLOOKUP(A279,[2]Model!C$2:I$228,6,FALSE)</f>
        <v>#REF!</v>
      </c>
      <c r="T279" s="58" t="e">
        <f>VLOOKUP(B279,[2]Table!A$2:F$415,1,FALSE)=[3]!Table14[[#This Row],[Physical Name of Attribute (Name of column in Table)
Supplied by DA Team]]</f>
        <v>#N/A</v>
      </c>
      <c r="U279" s="58" t="e">
        <f>VLOOKUP(B279,[2]Table!A$2:F$319,2,FALSE)=[4]!Table14[[#This Row],[Data type in Oracle
VARCHAR2(n), DATE, NUMBER(m,n), TIMETSTAMP(6)]]</f>
        <v>#N/A</v>
      </c>
      <c r="V279" s="58" t="e">
        <f>VLOOKUP(B279,[2]Table!A$2:F$231,3,FALSE)=[4]!Table14[[#This Row],[Nullable in Table and in Oracle View
NULL, NOT NULL]]</f>
        <v>#N/A</v>
      </c>
      <c r="W279" s="58" t="e">
        <f>VLOOKUP(B279,[2]Table!A$2:H$228,6,FALSE)=[4]!Table14[[#This Row],[Business Definition (To go into comments and into Meta Data Hub)]]</f>
        <v>#N/A</v>
      </c>
      <c r="X279" s="58" t="e">
        <f>VLOOKUP((UPPER(SUBSTITUTE(A279," ","_"))),'[2]Consumer View'!A$2:I$329,1,FALSE)</f>
        <v>#N/A</v>
      </c>
      <c r="Y279" s="51" t="s">
        <v>173</v>
      </c>
      <c r="Z279" s="51" t="s">
        <v>1310</v>
      </c>
      <c r="AA279" s="51" t="s">
        <v>1424</v>
      </c>
      <c r="AB279" s="18"/>
      <c r="AC279" s="18"/>
      <c r="AD279" s="18" t="s">
        <v>1312</v>
      </c>
      <c r="AE279" s="46"/>
      <c r="AF279" s="18"/>
      <c r="AG279" s="18" t="s">
        <v>1313</v>
      </c>
      <c r="AH279" s="18" t="s">
        <v>178</v>
      </c>
    </row>
    <row r="280" spans="1:34" ht="27" customHeight="1">
      <c r="A280" s="105" t="s">
        <v>1428</v>
      </c>
      <c r="B280" s="51" t="s">
        <v>1429</v>
      </c>
      <c r="C280" s="51" t="s">
        <v>1430</v>
      </c>
      <c r="D280" s="51" t="s">
        <v>101</v>
      </c>
      <c r="E280" s="51" t="s">
        <v>63</v>
      </c>
      <c r="F280" s="51" t="s">
        <v>133</v>
      </c>
      <c r="G280" s="108" t="s">
        <v>63</v>
      </c>
      <c r="H280" s="52" t="s">
        <v>1431</v>
      </c>
      <c r="I280" s="51"/>
      <c r="J280" s="51" t="s">
        <v>1309</v>
      </c>
      <c r="K280" s="18"/>
      <c r="L280" s="110">
        <v>2674782</v>
      </c>
      <c r="M280" s="110">
        <v>2674782</v>
      </c>
      <c r="N280" s="18"/>
      <c r="O280" s="18" t="b">
        <f>VLOOKUP(A280,[1]Model!C$2:J$559,2,FALSE)=B280</f>
        <v>1</v>
      </c>
      <c r="P280" s="18" t="e">
        <f>VLOOKUP(A280,[2]Model!C$2:G$208,5,FALSE)=D280</f>
        <v>#N/A</v>
      </c>
      <c r="Q280" s="18" t="e">
        <f>VLOOKUP(A280,[2]Model!C$2:L$228,8,FALSE)</f>
        <v>#N/A</v>
      </c>
      <c r="R280" s="18" t="e">
        <f>VLOOKUP(A280,[2]Model!C$2:G$228,3,FALSE)=[3]!Table14[[#This Row],[Business Definition (To go into comments and into Meta Data Hub)]]</f>
        <v>#N/A</v>
      </c>
      <c r="S280" s="18" t="e">
        <f>IF([3]!Table14[[#This Row],[Nullable in Table and in Oracle View
NULL, NOT NULL]]="No","NOT NULL","NULL")=VLOOKUP(A280,[2]Model!C$2:I$228,6,FALSE)</f>
        <v>#REF!</v>
      </c>
      <c r="T280" s="58" t="e">
        <f>VLOOKUP(B280,[2]Table!A$2:F$415,1,FALSE)=[3]!Table14[[#This Row],[Physical Name of Attribute (Name of column in Table)
Supplied by DA Team]]</f>
        <v>#N/A</v>
      </c>
      <c r="U280" s="58" t="e">
        <f>VLOOKUP(B280,[2]Table!A$2:F$319,2,FALSE)=[4]!Table14[[#This Row],[Data type in Oracle
VARCHAR2(n), DATE, NUMBER(m,n), TIMETSTAMP(6)]]</f>
        <v>#N/A</v>
      </c>
      <c r="V280" s="58" t="e">
        <f>VLOOKUP(B280,[2]Table!A$2:F$231,3,FALSE)=[4]!Table14[[#This Row],[Nullable in Table and in Oracle View
NULL, NOT NULL]]</f>
        <v>#N/A</v>
      </c>
      <c r="W280" s="58" t="e">
        <f>VLOOKUP(B280,[2]Table!A$2:H$228,6,FALSE)=[4]!Table14[[#This Row],[Business Definition (To go into comments and into Meta Data Hub)]]</f>
        <v>#N/A</v>
      </c>
      <c r="X280" s="58" t="e">
        <f>VLOOKUP((UPPER(SUBSTITUTE(A280," ","_"))),'[2]Consumer View'!A$2:I$329,1,FALSE)</f>
        <v>#N/A</v>
      </c>
      <c r="Y280" s="51" t="s">
        <v>173</v>
      </c>
      <c r="Z280" s="51" t="s">
        <v>1310</v>
      </c>
      <c r="AA280" s="51" t="s">
        <v>1432</v>
      </c>
      <c r="AB280" s="18"/>
      <c r="AC280" s="18"/>
      <c r="AD280" s="18" t="s">
        <v>1389</v>
      </c>
      <c r="AE280" s="46"/>
      <c r="AF280" s="18"/>
      <c r="AG280" s="18" t="s">
        <v>1313</v>
      </c>
      <c r="AH280" s="18" t="s">
        <v>178</v>
      </c>
    </row>
    <row r="281" spans="1:34" ht="27" customHeight="1">
      <c r="A281" s="105" t="s">
        <v>1433</v>
      </c>
      <c r="B281" s="51" t="s">
        <v>1434</v>
      </c>
      <c r="C281" s="51" t="s">
        <v>1435</v>
      </c>
      <c r="D281" s="51" t="s">
        <v>101</v>
      </c>
      <c r="E281" s="51" t="s">
        <v>63</v>
      </c>
      <c r="F281" s="51" t="s">
        <v>133</v>
      </c>
      <c r="G281" s="108" t="s">
        <v>63</v>
      </c>
      <c r="H281" s="52" t="s">
        <v>1431</v>
      </c>
      <c r="I281" s="51"/>
      <c r="J281" s="51" t="s">
        <v>1309</v>
      </c>
      <c r="K281" s="18"/>
      <c r="L281" s="110">
        <v>2674782</v>
      </c>
      <c r="M281" s="110">
        <v>2674782</v>
      </c>
      <c r="N281" s="18"/>
      <c r="O281" s="18" t="b">
        <f>VLOOKUP(A281,[1]Model!C$2:J$559,2,FALSE)=B281</f>
        <v>1</v>
      </c>
      <c r="P281" s="18" t="e">
        <f>VLOOKUP(A281,[2]Model!C$2:G$208,5,FALSE)=D281</f>
        <v>#N/A</v>
      </c>
      <c r="Q281" s="18" t="e">
        <f>VLOOKUP(A281,[2]Model!C$2:L$228,8,FALSE)</f>
        <v>#N/A</v>
      </c>
      <c r="R281" s="18" t="e">
        <f>VLOOKUP(A281,[2]Model!C$2:G$228,3,FALSE)=[3]!Table14[[#This Row],[Business Definition (To go into comments and into Meta Data Hub)]]</f>
        <v>#N/A</v>
      </c>
      <c r="S281" s="18" t="e">
        <f>IF([3]!Table14[[#This Row],[Nullable in Table and in Oracle View
NULL, NOT NULL]]="No","NOT NULL","NULL")=VLOOKUP(A281,[2]Model!C$2:I$228,6,FALSE)</f>
        <v>#REF!</v>
      </c>
      <c r="T281" s="58" t="e">
        <f>VLOOKUP(B281,[2]Table!A$2:F$415,1,FALSE)=[3]!Table14[[#This Row],[Physical Name of Attribute (Name of column in Table)
Supplied by DA Team]]</f>
        <v>#N/A</v>
      </c>
      <c r="U281" s="58" t="e">
        <f>VLOOKUP(B281,[2]Table!A$2:F$319,2,FALSE)=[4]!Table14[[#This Row],[Data type in Oracle
VARCHAR2(n), DATE, NUMBER(m,n), TIMETSTAMP(6)]]</f>
        <v>#N/A</v>
      </c>
      <c r="V281" s="58" t="e">
        <f>VLOOKUP(B281,[2]Table!A$2:F$231,3,FALSE)=[4]!Table14[[#This Row],[Nullable in Table and in Oracle View
NULL, NOT NULL]]</f>
        <v>#N/A</v>
      </c>
      <c r="W281" s="58" t="e">
        <f>VLOOKUP(B281,[2]Table!A$2:H$228,6,FALSE)=[4]!Table14[[#This Row],[Business Definition (To go into comments and into Meta Data Hub)]]</f>
        <v>#N/A</v>
      </c>
      <c r="X281" s="58" t="e">
        <f>VLOOKUP((UPPER(SUBSTITUTE(A281," ","_"))),'[2]Consumer View'!A$2:I$329,1,FALSE)</f>
        <v>#N/A</v>
      </c>
      <c r="Y281" s="51" t="s">
        <v>173</v>
      </c>
      <c r="Z281" s="51" t="s">
        <v>1310</v>
      </c>
      <c r="AA281" s="51" t="s">
        <v>1432</v>
      </c>
      <c r="AB281" s="18"/>
      <c r="AC281" s="18"/>
      <c r="AD281" s="18" t="s">
        <v>1312</v>
      </c>
      <c r="AE281" s="46"/>
      <c r="AF281" s="18"/>
      <c r="AG281" s="18" t="s">
        <v>1313</v>
      </c>
      <c r="AH281" s="18" t="s">
        <v>178</v>
      </c>
    </row>
    <row r="282" spans="1:34" ht="27" customHeight="1">
      <c r="A282" s="105" t="s">
        <v>1436</v>
      </c>
      <c r="B282" s="51" t="s">
        <v>1437</v>
      </c>
      <c r="C282" s="51" t="s">
        <v>1438</v>
      </c>
      <c r="D282" s="51" t="s">
        <v>82</v>
      </c>
      <c r="E282" s="51" t="s">
        <v>63</v>
      </c>
      <c r="F282" s="51" t="s">
        <v>83</v>
      </c>
      <c r="G282" s="108" t="s">
        <v>63</v>
      </c>
      <c r="H282" s="52" t="s">
        <v>1439</v>
      </c>
      <c r="I282" s="51"/>
      <c r="J282" s="51" t="s">
        <v>1309</v>
      </c>
      <c r="K282" s="18"/>
      <c r="L282" s="110">
        <v>2674782</v>
      </c>
      <c r="M282" s="110">
        <v>2674782</v>
      </c>
      <c r="N282" s="18"/>
      <c r="O282" s="18" t="b">
        <f>VLOOKUP(A282,[1]Model!C$2:J$559,2,FALSE)=B282</f>
        <v>1</v>
      </c>
      <c r="P282" s="18" t="e">
        <f>VLOOKUP(A282,[2]Model!C$2:G$208,5,FALSE)=D282</f>
        <v>#N/A</v>
      </c>
      <c r="Q282" s="18" t="e">
        <f>VLOOKUP(A282,[2]Model!C$2:L$228,8,FALSE)</f>
        <v>#N/A</v>
      </c>
      <c r="R282" s="18" t="e">
        <f>VLOOKUP(A282,[2]Model!C$2:G$228,3,FALSE)=[3]!Table14[[#This Row],[Business Definition (To go into comments and into Meta Data Hub)]]</f>
        <v>#N/A</v>
      </c>
      <c r="S282" s="18" t="e">
        <f>IF([3]!Table14[[#This Row],[Nullable in Table and in Oracle View
NULL, NOT NULL]]="No","NOT NULL","NULL")=VLOOKUP(A282,[2]Model!C$2:I$228,6,FALSE)</f>
        <v>#REF!</v>
      </c>
      <c r="T282" s="58" t="e">
        <f>VLOOKUP(B282,[2]Table!A$2:F$415,1,FALSE)=[3]!Table14[[#This Row],[Physical Name of Attribute (Name of column in Table)
Supplied by DA Team]]</f>
        <v>#N/A</v>
      </c>
      <c r="U282" s="58" t="e">
        <f>VLOOKUP(B282,[2]Table!A$2:F$319,2,FALSE)=[4]!Table14[[#This Row],[Data type in Oracle
VARCHAR2(n), DATE, NUMBER(m,n), TIMETSTAMP(6)]]</f>
        <v>#N/A</v>
      </c>
      <c r="V282" s="58" t="e">
        <f>VLOOKUP(B282,[2]Table!A$2:F$231,3,FALSE)=[4]!Table14[[#This Row],[Nullable in Table and in Oracle View
NULL, NOT NULL]]</f>
        <v>#N/A</v>
      </c>
      <c r="W282" s="58" t="e">
        <f>VLOOKUP(B282,[2]Table!A$2:H$228,6,FALSE)=[4]!Table14[[#This Row],[Business Definition (To go into comments and into Meta Data Hub)]]</f>
        <v>#N/A</v>
      </c>
      <c r="X282" s="58" t="e">
        <f>VLOOKUP((UPPER(SUBSTITUTE(A282," ","_"))),'[2]Consumer View'!A$2:I$329,1,FALSE)</f>
        <v>#N/A</v>
      </c>
      <c r="Y282" s="51" t="s">
        <v>173</v>
      </c>
      <c r="Z282" s="51" t="s">
        <v>1310</v>
      </c>
      <c r="AA282" s="51" t="s">
        <v>1440</v>
      </c>
      <c r="AB282" s="18"/>
      <c r="AC282" s="18"/>
      <c r="AD282" s="18" t="s">
        <v>1389</v>
      </c>
      <c r="AE282" s="46"/>
      <c r="AF282" s="18"/>
      <c r="AG282" s="18" t="s">
        <v>1313</v>
      </c>
      <c r="AH282" s="18" t="s">
        <v>178</v>
      </c>
    </row>
    <row r="283" spans="1:34" ht="27" customHeight="1">
      <c r="A283" s="105" t="s">
        <v>1441</v>
      </c>
      <c r="B283" s="51" t="s">
        <v>1442</v>
      </c>
      <c r="C283" s="51" t="s">
        <v>1443</v>
      </c>
      <c r="D283" s="51" t="s">
        <v>82</v>
      </c>
      <c r="E283" s="51" t="s">
        <v>63</v>
      </c>
      <c r="F283" s="51" t="s">
        <v>83</v>
      </c>
      <c r="G283" s="108" t="s">
        <v>63</v>
      </c>
      <c r="H283" s="52" t="s">
        <v>1444</v>
      </c>
      <c r="I283" s="51"/>
      <c r="J283" s="51" t="s">
        <v>1309</v>
      </c>
      <c r="K283" s="18"/>
      <c r="L283" s="110">
        <v>2674782</v>
      </c>
      <c r="M283" s="110">
        <v>2674782</v>
      </c>
      <c r="N283" s="18"/>
      <c r="O283" s="18" t="b">
        <f>VLOOKUP(A283,[1]Model!C$2:J$559,2,FALSE)=B283</f>
        <v>1</v>
      </c>
      <c r="P283" s="18" t="e">
        <f>VLOOKUP(A283,[2]Model!C$2:G$208,5,FALSE)=D283</f>
        <v>#N/A</v>
      </c>
      <c r="Q283" s="18" t="e">
        <f>VLOOKUP(A283,[2]Model!C$2:L$228,8,FALSE)</f>
        <v>#N/A</v>
      </c>
      <c r="R283" s="18" t="e">
        <f>VLOOKUP(A283,[2]Model!C$2:G$228,3,FALSE)=[3]!Table14[[#This Row],[Business Definition (To go into comments and into Meta Data Hub)]]</f>
        <v>#N/A</v>
      </c>
      <c r="S283" s="18" t="e">
        <f>IF([3]!Table14[[#This Row],[Nullable in Table and in Oracle View
NULL, NOT NULL]]="No","NOT NULL","NULL")=VLOOKUP(A283,[2]Model!C$2:I$228,6,FALSE)</f>
        <v>#REF!</v>
      </c>
      <c r="T283" s="58" t="e">
        <f>VLOOKUP(B283,[2]Table!A$2:F$415,1,FALSE)=[3]!Table14[[#This Row],[Physical Name of Attribute (Name of column in Table)
Supplied by DA Team]]</f>
        <v>#N/A</v>
      </c>
      <c r="U283" s="58" t="e">
        <f>VLOOKUP(B283,[2]Table!A$2:F$319,2,FALSE)=[4]!Table14[[#This Row],[Data type in Oracle
VARCHAR2(n), DATE, NUMBER(m,n), TIMETSTAMP(6)]]</f>
        <v>#N/A</v>
      </c>
      <c r="V283" s="58" t="e">
        <f>VLOOKUP(B283,[2]Table!A$2:F$231,3,FALSE)=[4]!Table14[[#This Row],[Nullable in Table and in Oracle View
NULL, NOT NULL]]</f>
        <v>#N/A</v>
      </c>
      <c r="W283" s="58" t="e">
        <f>VLOOKUP(B283,[2]Table!A$2:H$228,6,FALSE)=[4]!Table14[[#This Row],[Business Definition (To go into comments and into Meta Data Hub)]]</f>
        <v>#N/A</v>
      </c>
      <c r="X283" s="58" t="e">
        <f>VLOOKUP((UPPER(SUBSTITUTE(A283," ","_"))),'[2]Consumer View'!A$2:I$329,1,FALSE)</f>
        <v>#N/A</v>
      </c>
      <c r="Y283" s="51" t="s">
        <v>173</v>
      </c>
      <c r="Z283" s="51" t="s">
        <v>1310</v>
      </c>
      <c r="AA283" s="51" t="s">
        <v>1440</v>
      </c>
      <c r="AB283" s="18"/>
      <c r="AC283" s="18"/>
      <c r="AD283" s="18" t="s">
        <v>1312</v>
      </c>
      <c r="AE283" s="46"/>
      <c r="AF283" s="18"/>
      <c r="AG283" s="18" t="s">
        <v>1313</v>
      </c>
      <c r="AH283" s="18" t="s">
        <v>178</v>
      </c>
    </row>
    <row r="284" spans="1:34" ht="27" customHeight="1">
      <c r="A284" s="105" t="s">
        <v>1445</v>
      </c>
      <c r="B284" s="51" t="s">
        <v>1446</v>
      </c>
      <c r="C284" s="51" t="s">
        <v>1447</v>
      </c>
      <c r="D284" s="51" t="s">
        <v>82</v>
      </c>
      <c r="E284" s="51" t="s">
        <v>63</v>
      </c>
      <c r="F284" s="51" t="s">
        <v>83</v>
      </c>
      <c r="G284" s="108" t="s">
        <v>63</v>
      </c>
      <c r="H284" s="52" t="s">
        <v>1448</v>
      </c>
      <c r="I284" s="51"/>
      <c r="J284" s="51" t="s">
        <v>1309</v>
      </c>
      <c r="K284" s="18"/>
      <c r="L284" s="110">
        <v>2674782</v>
      </c>
      <c r="M284" s="110">
        <v>2674782</v>
      </c>
      <c r="N284" s="18"/>
      <c r="O284" s="18" t="b">
        <f>VLOOKUP(A284,[1]Model!C$2:J$559,2,FALSE)=B284</f>
        <v>1</v>
      </c>
      <c r="P284" s="18" t="e">
        <f>VLOOKUP(A284,[2]Model!C$2:G$208,5,FALSE)=D284</f>
        <v>#N/A</v>
      </c>
      <c r="Q284" s="18" t="e">
        <f>VLOOKUP(A284,[2]Model!C$2:L$228,8,FALSE)</f>
        <v>#N/A</v>
      </c>
      <c r="R284" s="18" t="e">
        <f>VLOOKUP(A284,[2]Model!C$2:G$228,3,FALSE)=[3]!Table14[[#This Row],[Business Definition (To go into comments and into Meta Data Hub)]]</f>
        <v>#N/A</v>
      </c>
      <c r="S284" s="18" t="e">
        <f>IF([3]!Table14[[#This Row],[Nullable in Table and in Oracle View
NULL, NOT NULL]]="No","NOT NULL","NULL")=VLOOKUP(A284,[2]Model!C$2:I$228,6,FALSE)</f>
        <v>#REF!</v>
      </c>
      <c r="T284" s="58" t="e">
        <f>VLOOKUP(B284,[2]Table!A$2:F$415,1,FALSE)=[3]!Table14[[#This Row],[Physical Name of Attribute (Name of column in Table)
Supplied by DA Team]]</f>
        <v>#N/A</v>
      </c>
      <c r="U284" s="58" t="e">
        <f>VLOOKUP(B284,[2]Table!A$2:F$319,2,FALSE)=[4]!Table14[[#This Row],[Data type in Oracle
VARCHAR2(n), DATE, NUMBER(m,n), TIMETSTAMP(6)]]</f>
        <v>#N/A</v>
      </c>
      <c r="V284" s="58" t="e">
        <f>VLOOKUP(B284,[2]Table!A$2:F$231,3,FALSE)=[4]!Table14[[#This Row],[Nullable in Table and in Oracle View
NULL, NOT NULL]]</f>
        <v>#N/A</v>
      </c>
      <c r="W284" s="58" t="e">
        <f>VLOOKUP(B284,[2]Table!A$2:H$228,6,FALSE)=[4]!Table14[[#This Row],[Business Definition (To go into comments and into Meta Data Hub)]]</f>
        <v>#N/A</v>
      </c>
      <c r="X284" s="58" t="e">
        <f>VLOOKUP((UPPER(SUBSTITUTE(A284," ","_"))),'[2]Consumer View'!A$2:I$329,1,FALSE)</f>
        <v>#N/A</v>
      </c>
      <c r="Y284" s="51" t="s">
        <v>173</v>
      </c>
      <c r="Z284" s="51" t="s">
        <v>1310</v>
      </c>
      <c r="AA284" s="51" t="s">
        <v>1449</v>
      </c>
      <c r="AB284" s="18"/>
      <c r="AC284" s="18"/>
      <c r="AD284" s="18" t="s">
        <v>1312</v>
      </c>
      <c r="AE284" s="46"/>
      <c r="AF284" s="18"/>
      <c r="AG284" s="18" t="s">
        <v>1313</v>
      </c>
      <c r="AH284" s="18" t="s">
        <v>178</v>
      </c>
    </row>
    <row r="285" spans="1:34" ht="27" customHeight="1">
      <c r="A285" s="105" t="s">
        <v>1450</v>
      </c>
      <c r="B285" s="51" t="s">
        <v>1451</v>
      </c>
      <c r="C285" s="51" t="s">
        <v>1452</v>
      </c>
      <c r="D285" s="51" t="s">
        <v>1453</v>
      </c>
      <c r="E285" s="51" t="s">
        <v>63</v>
      </c>
      <c r="F285" s="51" t="s">
        <v>1454</v>
      </c>
      <c r="G285" s="108" t="s">
        <v>63</v>
      </c>
      <c r="H285" s="52" t="s">
        <v>1455</v>
      </c>
      <c r="I285" s="51"/>
      <c r="J285" s="51" t="s">
        <v>1309</v>
      </c>
      <c r="K285" s="18"/>
      <c r="L285" s="110">
        <v>2674782</v>
      </c>
      <c r="M285" s="110">
        <v>2674782</v>
      </c>
      <c r="N285" s="18"/>
      <c r="O285" s="18" t="b">
        <f>VLOOKUP(A285,[1]Model!C$2:J$559,2,FALSE)=B285</f>
        <v>1</v>
      </c>
      <c r="P285" s="18" t="e">
        <f>VLOOKUP(A285,[2]Model!C$2:G$208,5,FALSE)=D285</f>
        <v>#N/A</v>
      </c>
      <c r="Q285" s="18" t="e">
        <f>VLOOKUP(A285,[2]Model!C$2:L$228,8,FALSE)</f>
        <v>#N/A</v>
      </c>
      <c r="R285" s="18" t="e">
        <f>VLOOKUP(A285,[2]Model!C$2:G$228,3,FALSE)=[3]!Table14[[#This Row],[Business Definition (To go into comments and into Meta Data Hub)]]</f>
        <v>#N/A</v>
      </c>
      <c r="S285" s="18" t="e">
        <f>IF([3]!Table14[[#This Row],[Nullable in Table and in Oracle View
NULL, NOT NULL]]="No","NOT NULL","NULL")=VLOOKUP(A285,[2]Model!C$2:I$228,6,FALSE)</f>
        <v>#REF!</v>
      </c>
      <c r="T285" s="58" t="e">
        <f>VLOOKUP(B285,[2]Table!A$2:F$415,1,FALSE)=[3]!Table14[[#This Row],[Physical Name of Attribute (Name of column in Table)
Supplied by DA Team]]</f>
        <v>#N/A</v>
      </c>
      <c r="U285" s="58" t="e">
        <f>VLOOKUP(B285,[2]Table!A$2:F$319,2,FALSE)=[4]!Table14[[#This Row],[Data type in Oracle
VARCHAR2(n), DATE, NUMBER(m,n), TIMETSTAMP(6)]]</f>
        <v>#N/A</v>
      </c>
      <c r="V285" s="58" t="e">
        <f>VLOOKUP(B285,[2]Table!A$2:F$231,3,FALSE)=[4]!Table14[[#This Row],[Nullable in Table and in Oracle View
NULL, NOT NULL]]</f>
        <v>#N/A</v>
      </c>
      <c r="W285" s="58" t="e">
        <f>VLOOKUP(B285,[2]Table!A$2:H$228,6,FALSE)=[4]!Table14[[#This Row],[Business Definition (To go into comments and into Meta Data Hub)]]</f>
        <v>#N/A</v>
      </c>
      <c r="X285" s="58" t="e">
        <f>VLOOKUP((UPPER(SUBSTITUTE(A285," ","_"))),'[2]Consumer View'!A$2:I$329,1,FALSE)</f>
        <v>#N/A</v>
      </c>
      <c r="Y285" s="51" t="s">
        <v>173</v>
      </c>
      <c r="Z285" s="51" t="s">
        <v>1310</v>
      </c>
      <c r="AA285" s="51" t="s">
        <v>1456</v>
      </c>
      <c r="AB285" s="18"/>
      <c r="AC285" s="18"/>
      <c r="AD285" s="18" t="s">
        <v>1389</v>
      </c>
      <c r="AE285" s="46"/>
      <c r="AF285" s="18"/>
      <c r="AG285" s="18" t="s">
        <v>1313</v>
      </c>
      <c r="AH285" s="18" t="s">
        <v>178</v>
      </c>
    </row>
    <row r="286" spans="1:34" ht="27" customHeight="1">
      <c r="A286" s="105" t="s">
        <v>1457</v>
      </c>
      <c r="B286" s="51" t="s">
        <v>1458</v>
      </c>
      <c r="C286" s="51" t="s">
        <v>1459</v>
      </c>
      <c r="D286" s="51" t="s">
        <v>1453</v>
      </c>
      <c r="E286" s="51" t="s">
        <v>63</v>
      </c>
      <c r="F286" s="51" t="s">
        <v>1454</v>
      </c>
      <c r="G286" s="108" t="s">
        <v>63</v>
      </c>
      <c r="H286" s="52" t="s">
        <v>1455</v>
      </c>
      <c r="I286" s="51"/>
      <c r="J286" s="51" t="s">
        <v>1309</v>
      </c>
      <c r="K286" s="18"/>
      <c r="L286" s="110">
        <v>2674782</v>
      </c>
      <c r="M286" s="110">
        <v>2674782</v>
      </c>
      <c r="N286" s="18"/>
      <c r="O286" s="18" t="b">
        <f>VLOOKUP(A286,[1]Model!C$2:J$559,2,FALSE)=B286</f>
        <v>1</v>
      </c>
      <c r="P286" s="18" t="e">
        <f>VLOOKUP(A286,[2]Model!C$2:G$208,5,FALSE)=D286</f>
        <v>#N/A</v>
      </c>
      <c r="Q286" s="18" t="e">
        <f>VLOOKUP(A286,[2]Model!C$2:L$228,8,FALSE)</f>
        <v>#N/A</v>
      </c>
      <c r="R286" s="18" t="e">
        <f>VLOOKUP(A286,[2]Model!C$2:G$228,3,FALSE)=[3]!Table14[[#This Row],[Business Definition (To go into comments and into Meta Data Hub)]]</f>
        <v>#N/A</v>
      </c>
      <c r="S286" s="18" t="e">
        <f>IF([3]!Table14[[#This Row],[Nullable in Table and in Oracle View
NULL, NOT NULL]]="No","NOT NULL","NULL")=VLOOKUP(A286,[2]Model!C$2:I$228,6,FALSE)</f>
        <v>#REF!</v>
      </c>
      <c r="T286" s="58" t="e">
        <f>VLOOKUP(B286,[2]Table!A$2:F$415,1,FALSE)=[3]!Table14[[#This Row],[Physical Name of Attribute (Name of column in Table)
Supplied by DA Team]]</f>
        <v>#N/A</v>
      </c>
      <c r="U286" s="58" t="e">
        <f>VLOOKUP(B286,[2]Table!A$2:F$319,2,FALSE)=[4]!Table14[[#This Row],[Data type in Oracle
VARCHAR2(n), DATE, NUMBER(m,n), TIMETSTAMP(6)]]</f>
        <v>#N/A</v>
      </c>
      <c r="V286" s="58" t="e">
        <f>VLOOKUP(B286,[2]Table!A$2:F$231,3,FALSE)=[4]!Table14[[#This Row],[Nullable in Table and in Oracle View
NULL, NOT NULL]]</f>
        <v>#N/A</v>
      </c>
      <c r="W286" s="58" t="e">
        <f>VLOOKUP(B286,[2]Table!A$2:H$228,6,FALSE)=[4]!Table14[[#This Row],[Business Definition (To go into comments and into Meta Data Hub)]]</f>
        <v>#N/A</v>
      </c>
      <c r="X286" s="58" t="e">
        <f>VLOOKUP((UPPER(SUBSTITUTE(A286," ","_"))),'[2]Consumer View'!A$2:I$329,1,FALSE)</f>
        <v>#N/A</v>
      </c>
      <c r="Y286" s="51" t="s">
        <v>173</v>
      </c>
      <c r="Z286" s="51" t="s">
        <v>1310</v>
      </c>
      <c r="AA286" s="51" t="s">
        <v>1456</v>
      </c>
      <c r="AB286" s="18"/>
      <c r="AC286" s="18"/>
      <c r="AD286" s="18" t="s">
        <v>1312</v>
      </c>
      <c r="AE286" s="46"/>
      <c r="AF286" s="18"/>
      <c r="AG286" s="18" t="s">
        <v>1313</v>
      </c>
      <c r="AH286" s="18" t="s">
        <v>178</v>
      </c>
    </row>
    <row r="287" spans="1:34" ht="27" customHeight="1">
      <c r="A287" s="105" t="s">
        <v>1460</v>
      </c>
      <c r="B287" s="51" t="s">
        <v>1461</v>
      </c>
      <c r="C287" s="51" t="s">
        <v>1462</v>
      </c>
      <c r="D287" s="51" t="s">
        <v>617</v>
      </c>
      <c r="E287" s="51" t="s">
        <v>63</v>
      </c>
      <c r="F287" s="51" t="s">
        <v>618</v>
      </c>
      <c r="G287" s="108" t="s">
        <v>63</v>
      </c>
      <c r="H287" s="52" t="s">
        <v>1463</v>
      </c>
      <c r="I287" s="51"/>
      <c r="J287" s="51" t="s">
        <v>1309</v>
      </c>
      <c r="K287" s="18"/>
      <c r="L287" s="110">
        <v>2674782</v>
      </c>
      <c r="M287" s="110">
        <v>2674782</v>
      </c>
      <c r="N287" s="18"/>
      <c r="O287" s="18" t="b">
        <f>VLOOKUP(A287,[1]Model!C$2:J$559,2,FALSE)=B287</f>
        <v>1</v>
      </c>
      <c r="P287" s="18" t="e">
        <f>VLOOKUP(A287,[2]Model!C$2:G$208,5,FALSE)=D287</f>
        <v>#N/A</v>
      </c>
      <c r="Q287" s="18" t="e">
        <f>VLOOKUP(A287,[2]Model!C$2:L$228,8,FALSE)</f>
        <v>#N/A</v>
      </c>
      <c r="R287" s="18" t="e">
        <f>VLOOKUP(A287,[2]Model!C$2:G$228,3,FALSE)=[3]!Table14[[#This Row],[Business Definition (To go into comments and into Meta Data Hub)]]</f>
        <v>#N/A</v>
      </c>
      <c r="S287" s="18" t="e">
        <f>IF([3]!Table14[[#This Row],[Nullable in Table and in Oracle View
NULL, NOT NULL]]="No","NOT NULL","NULL")=VLOOKUP(A287,[2]Model!C$2:I$228,6,FALSE)</f>
        <v>#REF!</v>
      </c>
      <c r="T287" s="58" t="e">
        <f>VLOOKUP(B287,[2]Table!A$2:F$415,1,FALSE)=[3]!Table14[[#This Row],[Physical Name of Attribute (Name of column in Table)
Supplied by DA Team]]</f>
        <v>#N/A</v>
      </c>
      <c r="U287" s="58" t="e">
        <f>VLOOKUP(B287,[2]Table!A$2:F$319,2,FALSE)=[4]!Table14[[#This Row],[Data type in Oracle
VARCHAR2(n), DATE, NUMBER(m,n), TIMETSTAMP(6)]]</f>
        <v>#N/A</v>
      </c>
      <c r="V287" s="58" t="e">
        <f>VLOOKUP(B287,[2]Table!A$2:F$231,3,FALSE)=[4]!Table14[[#This Row],[Nullable in Table and in Oracle View
NULL, NOT NULL]]</f>
        <v>#N/A</v>
      </c>
      <c r="W287" s="58" t="e">
        <f>VLOOKUP(B287,[2]Table!A$2:H$228,6,FALSE)=[4]!Table14[[#This Row],[Business Definition (To go into comments and into Meta Data Hub)]]</f>
        <v>#N/A</v>
      </c>
      <c r="X287" s="58" t="e">
        <f>VLOOKUP((UPPER(SUBSTITUTE(A287," ","_"))),'[2]Consumer View'!A$2:I$329,1,FALSE)</f>
        <v>#N/A</v>
      </c>
      <c r="Y287" s="51" t="s">
        <v>173</v>
      </c>
      <c r="Z287" s="51" t="s">
        <v>1310</v>
      </c>
      <c r="AA287" s="51" t="s">
        <v>1464</v>
      </c>
      <c r="AB287" s="18"/>
      <c r="AC287" s="18"/>
      <c r="AD287" s="18" t="s">
        <v>1389</v>
      </c>
      <c r="AE287" s="46"/>
      <c r="AF287" s="18"/>
      <c r="AG287" s="18" t="s">
        <v>1313</v>
      </c>
      <c r="AH287" s="18" t="s">
        <v>178</v>
      </c>
    </row>
    <row r="288" spans="1:34" ht="27" customHeight="1">
      <c r="A288" s="105" t="s">
        <v>1465</v>
      </c>
      <c r="B288" s="51" t="s">
        <v>1466</v>
      </c>
      <c r="C288" s="51" t="s">
        <v>1467</v>
      </c>
      <c r="D288" s="51" t="s">
        <v>617</v>
      </c>
      <c r="E288" s="51" t="s">
        <v>63</v>
      </c>
      <c r="F288" s="51" t="s">
        <v>618</v>
      </c>
      <c r="G288" s="108" t="s">
        <v>63</v>
      </c>
      <c r="H288" s="52" t="s">
        <v>1463</v>
      </c>
      <c r="I288" s="51"/>
      <c r="J288" s="51" t="s">
        <v>1309</v>
      </c>
      <c r="K288" s="18"/>
      <c r="L288" s="110">
        <v>2674782</v>
      </c>
      <c r="M288" s="110">
        <v>2674782</v>
      </c>
      <c r="N288" s="18"/>
      <c r="O288" s="18" t="b">
        <f>VLOOKUP(A288,[1]Model!C$2:J$559,2,FALSE)=B288</f>
        <v>1</v>
      </c>
      <c r="P288" s="18" t="e">
        <f>VLOOKUP(A288,[2]Model!C$2:G$208,5,FALSE)=D288</f>
        <v>#N/A</v>
      </c>
      <c r="Q288" s="18" t="e">
        <f>VLOOKUP(A288,[2]Model!C$2:L$228,8,FALSE)</f>
        <v>#N/A</v>
      </c>
      <c r="R288" s="18" t="e">
        <f>VLOOKUP(A288,[2]Model!C$2:G$228,3,FALSE)=[3]!Table14[[#This Row],[Business Definition (To go into comments and into Meta Data Hub)]]</f>
        <v>#N/A</v>
      </c>
      <c r="S288" s="18" t="e">
        <f>IF([3]!Table14[[#This Row],[Nullable in Table and in Oracle View
NULL, NOT NULL]]="No","NOT NULL","NULL")=VLOOKUP(A288,[2]Model!C$2:I$228,6,FALSE)</f>
        <v>#REF!</v>
      </c>
      <c r="T288" s="58" t="e">
        <f>VLOOKUP(B288,[2]Table!A$2:F$415,1,FALSE)=[3]!Table14[[#This Row],[Physical Name of Attribute (Name of column in Table)
Supplied by DA Team]]</f>
        <v>#N/A</v>
      </c>
      <c r="U288" s="58" t="e">
        <f>VLOOKUP(B288,[2]Table!A$2:F$319,2,FALSE)=[4]!Table14[[#This Row],[Data type in Oracle
VARCHAR2(n), DATE, NUMBER(m,n), TIMETSTAMP(6)]]</f>
        <v>#N/A</v>
      </c>
      <c r="V288" s="58" t="e">
        <f>VLOOKUP(B288,[2]Table!A$2:F$231,3,FALSE)=[4]!Table14[[#This Row],[Nullable in Table and in Oracle View
NULL, NOT NULL]]</f>
        <v>#N/A</v>
      </c>
      <c r="W288" s="58" t="e">
        <f>VLOOKUP(B288,[2]Table!A$2:H$228,6,FALSE)=[4]!Table14[[#This Row],[Business Definition (To go into comments and into Meta Data Hub)]]</f>
        <v>#N/A</v>
      </c>
      <c r="X288" s="58" t="e">
        <f>VLOOKUP((UPPER(SUBSTITUTE(A288," ","_"))),'[2]Consumer View'!A$2:I$329,1,FALSE)</f>
        <v>#N/A</v>
      </c>
      <c r="Y288" s="51" t="s">
        <v>173</v>
      </c>
      <c r="Z288" s="51" t="s">
        <v>1310</v>
      </c>
      <c r="AA288" s="51" t="s">
        <v>1464</v>
      </c>
      <c r="AB288" s="18"/>
      <c r="AC288" s="18"/>
      <c r="AD288" s="18" t="s">
        <v>1312</v>
      </c>
      <c r="AE288" s="46"/>
      <c r="AF288" s="18"/>
      <c r="AG288" s="18" t="s">
        <v>1313</v>
      </c>
      <c r="AH288" s="18" t="s">
        <v>178</v>
      </c>
    </row>
    <row r="289" spans="1:34" ht="27" customHeight="1">
      <c r="A289" s="105" t="s">
        <v>1468</v>
      </c>
      <c r="B289" s="51" t="s">
        <v>1469</v>
      </c>
      <c r="C289" s="51" t="s">
        <v>1470</v>
      </c>
      <c r="D289" s="51" t="s">
        <v>139</v>
      </c>
      <c r="E289" s="51" t="s">
        <v>63</v>
      </c>
      <c r="F289" s="51" t="s">
        <v>140</v>
      </c>
      <c r="G289" s="108" t="s">
        <v>63</v>
      </c>
      <c r="H289" s="52" t="s">
        <v>1471</v>
      </c>
      <c r="I289" s="51"/>
      <c r="J289" s="51" t="s">
        <v>1309</v>
      </c>
      <c r="K289" s="18"/>
      <c r="L289" s="110">
        <v>2674782</v>
      </c>
      <c r="M289" s="110">
        <v>2674782</v>
      </c>
      <c r="N289" s="18"/>
      <c r="O289" s="18" t="b">
        <f>VLOOKUP(A289,[1]Model!C$2:J$559,2,FALSE)=B289</f>
        <v>1</v>
      </c>
      <c r="P289" s="18" t="e">
        <f>VLOOKUP(A289,[2]Model!C$2:G$208,5,FALSE)=D289</f>
        <v>#N/A</v>
      </c>
      <c r="Q289" s="18" t="e">
        <f>VLOOKUP(A289,[2]Model!C$2:L$228,8,FALSE)</f>
        <v>#N/A</v>
      </c>
      <c r="R289" s="18" t="e">
        <f>VLOOKUP(A289,[2]Model!C$2:G$228,3,FALSE)=[3]!Table14[[#This Row],[Business Definition (To go into comments and into Meta Data Hub)]]</f>
        <v>#N/A</v>
      </c>
      <c r="S289" s="18" t="e">
        <f>IF([3]!Table14[[#This Row],[Nullable in Table and in Oracle View
NULL, NOT NULL]]="No","NOT NULL","NULL")=VLOOKUP(A289,[2]Model!C$2:I$228,6,FALSE)</f>
        <v>#REF!</v>
      </c>
      <c r="T289" s="58" t="e">
        <f>VLOOKUP(B289,[2]Table!A$2:F$415,1,FALSE)=[3]!Table14[[#This Row],[Physical Name of Attribute (Name of column in Table)
Supplied by DA Team]]</f>
        <v>#N/A</v>
      </c>
      <c r="U289" s="58" t="e">
        <f>VLOOKUP(B289,[2]Table!A$2:F$319,2,FALSE)=[4]!Table14[[#This Row],[Data type in Oracle
VARCHAR2(n), DATE, NUMBER(m,n), TIMETSTAMP(6)]]</f>
        <v>#N/A</v>
      </c>
      <c r="V289" s="58" t="e">
        <f>VLOOKUP(B289,[2]Table!A$2:F$231,3,FALSE)=[4]!Table14[[#This Row],[Nullable in Table and in Oracle View
NULL, NOT NULL]]</f>
        <v>#N/A</v>
      </c>
      <c r="W289" s="58" t="e">
        <f>VLOOKUP(B289,[2]Table!A$2:H$228,6,FALSE)=[4]!Table14[[#This Row],[Business Definition (To go into comments and into Meta Data Hub)]]</f>
        <v>#N/A</v>
      </c>
      <c r="X289" s="58" t="e">
        <f>VLOOKUP((UPPER(SUBSTITUTE(A289," ","_"))),'[2]Consumer View'!A$2:I$329,1,FALSE)</f>
        <v>#N/A</v>
      </c>
      <c r="Y289" s="51" t="s">
        <v>173</v>
      </c>
      <c r="Z289" s="51" t="s">
        <v>1310</v>
      </c>
      <c r="AA289" s="51" t="s">
        <v>1472</v>
      </c>
      <c r="AB289" s="18"/>
      <c r="AC289" s="18"/>
      <c r="AD289" s="18" t="s">
        <v>1389</v>
      </c>
      <c r="AE289" s="46"/>
      <c r="AF289" s="18"/>
      <c r="AG289" s="18" t="s">
        <v>1313</v>
      </c>
      <c r="AH289" s="18" t="s">
        <v>178</v>
      </c>
    </row>
    <row r="290" spans="1:34" ht="27" customHeight="1">
      <c r="A290" s="105" t="s">
        <v>1473</v>
      </c>
      <c r="B290" s="51" t="s">
        <v>1474</v>
      </c>
      <c r="C290" s="51" t="s">
        <v>1475</v>
      </c>
      <c r="D290" s="51" t="s">
        <v>139</v>
      </c>
      <c r="E290" s="51" t="s">
        <v>63</v>
      </c>
      <c r="F290" s="51" t="s">
        <v>140</v>
      </c>
      <c r="G290" s="108" t="s">
        <v>63</v>
      </c>
      <c r="H290" s="52" t="s">
        <v>1471</v>
      </c>
      <c r="I290" s="51"/>
      <c r="J290" s="51" t="s">
        <v>1309</v>
      </c>
      <c r="K290" s="18"/>
      <c r="L290" s="110">
        <v>2674782</v>
      </c>
      <c r="M290" s="110">
        <v>2674782</v>
      </c>
      <c r="N290" s="18"/>
      <c r="O290" s="18" t="b">
        <f>VLOOKUP(A290,[1]Model!C$2:J$559,2,FALSE)=B290</f>
        <v>1</v>
      </c>
      <c r="P290" s="18" t="e">
        <f>VLOOKUP(A290,[2]Model!C$2:G$208,5,FALSE)=D290</f>
        <v>#N/A</v>
      </c>
      <c r="Q290" s="18" t="e">
        <f>VLOOKUP(A290,[2]Model!C$2:L$228,8,FALSE)</f>
        <v>#N/A</v>
      </c>
      <c r="R290" s="18" t="e">
        <f>VLOOKUP(A290,[2]Model!C$2:G$228,3,FALSE)=[3]!Table14[[#This Row],[Business Definition (To go into comments and into Meta Data Hub)]]</f>
        <v>#N/A</v>
      </c>
      <c r="S290" s="18" t="e">
        <f>IF([3]!Table14[[#This Row],[Nullable in Table and in Oracle View
NULL, NOT NULL]]="No","NOT NULL","NULL")=VLOOKUP(A290,[2]Model!C$2:I$228,6,FALSE)</f>
        <v>#REF!</v>
      </c>
      <c r="T290" s="58" t="e">
        <f>VLOOKUP(B290,[2]Table!A$2:F$415,1,FALSE)=[3]!Table14[[#This Row],[Physical Name of Attribute (Name of column in Table)
Supplied by DA Team]]</f>
        <v>#N/A</v>
      </c>
      <c r="U290" s="58" t="e">
        <f>VLOOKUP(B290,[2]Table!A$2:F$319,2,FALSE)=[4]!Table14[[#This Row],[Data type in Oracle
VARCHAR2(n), DATE, NUMBER(m,n), TIMETSTAMP(6)]]</f>
        <v>#N/A</v>
      </c>
      <c r="V290" s="58" t="e">
        <f>VLOOKUP(B290,[2]Table!A$2:F$231,3,FALSE)=[4]!Table14[[#This Row],[Nullable in Table and in Oracle View
NULL, NOT NULL]]</f>
        <v>#N/A</v>
      </c>
      <c r="W290" s="58" t="e">
        <f>VLOOKUP(B290,[2]Table!A$2:H$228,6,FALSE)=[4]!Table14[[#This Row],[Business Definition (To go into comments and into Meta Data Hub)]]</f>
        <v>#N/A</v>
      </c>
      <c r="X290" s="58" t="e">
        <f>VLOOKUP((UPPER(SUBSTITUTE(A290," ","_"))),'[2]Consumer View'!A$2:I$329,1,FALSE)</f>
        <v>#N/A</v>
      </c>
      <c r="Y290" s="51" t="s">
        <v>173</v>
      </c>
      <c r="Z290" s="51" t="s">
        <v>1310</v>
      </c>
      <c r="AA290" s="51" t="s">
        <v>1472</v>
      </c>
      <c r="AB290" s="18"/>
      <c r="AC290" s="18"/>
      <c r="AD290" s="18" t="s">
        <v>1312</v>
      </c>
      <c r="AE290" s="46"/>
      <c r="AF290" s="18"/>
      <c r="AG290" s="18" t="s">
        <v>1313</v>
      </c>
      <c r="AH290" s="18" t="s">
        <v>178</v>
      </c>
    </row>
    <row r="291" spans="1:34" ht="27" customHeight="1">
      <c r="A291" s="105" t="s">
        <v>1476</v>
      </c>
      <c r="B291" s="51" t="s">
        <v>1477</v>
      </c>
      <c r="C291" s="51" t="s">
        <v>1478</v>
      </c>
      <c r="D291" s="51" t="s">
        <v>90</v>
      </c>
      <c r="E291" s="51" t="s">
        <v>63</v>
      </c>
      <c r="F291" s="51" t="s">
        <v>91</v>
      </c>
      <c r="G291" s="108" t="s">
        <v>63</v>
      </c>
      <c r="H291" s="52" t="s">
        <v>1479</v>
      </c>
      <c r="I291" s="51"/>
      <c r="J291" s="51" t="s">
        <v>1309</v>
      </c>
      <c r="K291" s="18"/>
      <c r="L291" s="110">
        <v>2674782</v>
      </c>
      <c r="M291" s="110">
        <v>2674782</v>
      </c>
      <c r="N291" s="18"/>
      <c r="O291" s="18" t="b">
        <f>VLOOKUP(A291,[1]Model!C$2:J$559,2,FALSE)=B291</f>
        <v>1</v>
      </c>
      <c r="P291" s="18" t="e">
        <f>VLOOKUP(A291,[2]Model!C$2:G$208,5,FALSE)=D291</f>
        <v>#N/A</v>
      </c>
      <c r="Q291" s="18" t="e">
        <f>VLOOKUP(A291,[2]Model!C$2:L$228,8,FALSE)</f>
        <v>#N/A</v>
      </c>
      <c r="R291" s="18" t="e">
        <f>VLOOKUP(A291,[2]Model!C$2:G$228,3,FALSE)=[3]!Table14[[#This Row],[Business Definition (To go into comments and into Meta Data Hub)]]</f>
        <v>#N/A</v>
      </c>
      <c r="S291" s="18" t="e">
        <f>IF([3]!Table14[[#This Row],[Nullable in Table and in Oracle View
NULL, NOT NULL]]="No","NOT NULL","NULL")=VLOOKUP(A291,[2]Model!C$2:I$228,6,FALSE)</f>
        <v>#REF!</v>
      </c>
      <c r="T291" s="58" t="e">
        <f>VLOOKUP(B291,[2]Table!A$2:F$415,1,FALSE)=[3]!Table14[[#This Row],[Physical Name of Attribute (Name of column in Table)
Supplied by DA Team]]</f>
        <v>#N/A</v>
      </c>
      <c r="U291" s="58" t="e">
        <f>VLOOKUP(B291,[2]Table!A$2:F$319,2,FALSE)=[4]!Table14[[#This Row],[Data type in Oracle
VARCHAR2(n), DATE, NUMBER(m,n), TIMETSTAMP(6)]]</f>
        <v>#N/A</v>
      </c>
      <c r="V291" s="58" t="e">
        <f>VLOOKUP(B291,[2]Table!A$2:F$231,3,FALSE)=[4]!Table14[[#This Row],[Nullable in Table and in Oracle View
NULL, NOT NULL]]</f>
        <v>#N/A</v>
      </c>
      <c r="W291" s="58" t="e">
        <f>VLOOKUP(B291,[2]Table!A$2:H$228,6,FALSE)=[4]!Table14[[#This Row],[Business Definition (To go into comments and into Meta Data Hub)]]</f>
        <v>#N/A</v>
      </c>
      <c r="X291" s="58" t="e">
        <f>VLOOKUP((UPPER(SUBSTITUTE(A291," ","_"))),'[2]Consumer View'!A$2:I$329,1,FALSE)</f>
        <v>#N/A</v>
      </c>
      <c r="Y291" s="51" t="s">
        <v>173</v>
      </c>
      <c r="Z291" s="51" t="s">
        <v>1310</v>
      </c>
      <c r="AA291" s="51" t="s">
        <v>1480</v>
      </c>
      <c r="AB291" s="18"/>
      <c r="AC291" s="18"/>
      <c r="AD291" s="18" t="s">
        <v>1389</v>
      </c>
      <c r="AE291" s="46"/>
      <c r="AF291" s="18"/>
      <c r="AG291" s="18" t="s">
        <v>1313</v>
      </c>
      <c r="AH291" s="18" t="s">
        <v>178</v>
      </c>
    </row>
    <row r="292" spans="1:34" ht="27" customHeight="1">
      <c r="A292" s="105" t="s">
        <v>1481</v>
      </c>
      <c r="B292" s="51" t="s">
        <v>1482</v>
      </c>
      <c r="C292" s="51" t="s">
        <v>1483</v>
      </c>
      <c r="D292" s="51" t="s">
        <v>90</v>
      </c>
      <c r="E292" s="51" t="s">
        <v>63</v>
      </c>
      <c r="F292" s="51" t="s">
        <v>91</v>
      </c>
      <c r="G292" s="108" t="s">
        <v>63</v>
      </c>
      <c r="H292" s="52" t="s">
        <v>1479</v>
      </c>
      <c r="I292" s="51"/>
      <c r="J292" s="51" t="s">
        <v>1309</v>
      </c>
      <c r="K292" s="18"/>
      <c r="L292" s="110">
        <v>2674782</v>
      </c>
      <c r="M292" s="110">
        <v>2674782</v>
      </c>
      <c r="N292" s="18"/>
      <c r="O292" s="18" t="b">
        <f>VLOOKUP(A292,[1]Model!C$2:J$559,2,FALSE)=B292</f>
        <v>1</v>
      </c>
      <c r="P292" s="18" t="e">
        <f>VLOOKUP(A292,[2]Model!C$2:G$208,5,FALSE)=D292</f>
        <v>#N/A</v>
      </c>
      <c r="Q292" s="18" t="e">
        <f>VLOOKUP(A292,[2]Model!C$2:L$228,8,FALSE)</f>
        <v>#N/A</v>
      </c>
      <c r="R292" s="18" t="e">
        <f>VLOOKUP(A292,[2]Model!C$2:G$228,3,FALSE)=[3]!Table14[[#This Row],[Business Definition (To go into comments and into Meta Data Hub)]]</f>
        <v>#N/A</v>
      </c>
      <c r="S292" s="18" t="e">
        <f>IF([3]!Table14[[#This Row],[Nullable in Table and in Oracle View
NULL, NOT NULL]]="No","NOT NULL","NULL")=VLOOKUP(A292,[2]Model!C$2:I$228,6,FALSE)</f>
        <v>#REF!</v>
      </c>
      <c r="T292" s="58" t="e">
        <f>VLOOKUP(B292,[2]Table!A$2:F$415,1,FALSE)=[3]!Table14[[#This Row],[Physical Name of Attribute (Name of column in Table)
Supplied by DA Team]]</f>
        <v>#N/A</v>
      </c>
      <c r="U292" s="58" t="e">
        <f>VLOOKUP(B292,[2]Table!A$2:F$319,2,FALSE)=[4]!Table14[[#This Row],[Data type in Oracle
VARCHAR2(n), DATE, NUMBER(m,n), TIMETSTAMP(6)]]</f>
        <v>#N/A</v>
      </c>
      <c r="V292" s="58" t="e">
        <f>VLOOKUP(B292,[2]Table!A$2:F$231,3,FALSE)=[4]!Table14[[#This Row],[Nullable in Table and in Oracle View
NULL, NOT NULL]]</f>
        <v>#N/A</v>
      </c>
      <c r="W292" s="58" t="e">
        <f>VLOOKUP(B292,[2]Table!A$2:H$228,6,FALSE)=[4]!Table14[[#This Row],[Business Definition (To go into comments and into Meta Data Hub)]]</f>
        <v>#N/A</v>
      </c>
      <c r="X292" s="58" t="e">
        <f>VLOOKUP((UPPER(SUBSTITUTE(A292," ","_"))),'[2]Consumer View'!A$2:I$329,1,FALSE)</f>
        <v>#N/A</v>
      </c>
      <c r="Y292" s="51" t="s">
        <v>173</v>
      </c>
      <c r="Z292" s="51" t="s">
        <v>1310</v>
      </c>
      <c r="AA292" s="51" t="s">
        <v>1480</v>
      </c>
      <c r="AB292" s="18"/>
      <c r="AC292" s="18"/>
      <c r="AD292" s="18" t="s">
        <v>1312</v>
      </c>
      <c r="AE292" s="46"/>
      <c r="AF292" s="18"/>
      <c r="AG292" s="18" t="s">
        <v>1313</v>
      </c>
      <c r="AH292" s="18" t="s">
        <v>178</v>
      </c>
    </row>
    <row r="293" spans="1:34" ht="27" customHeight="1">
      <c r="A293" s="105" t="s">
        <v>1484</v>
      </c>
      <c r="B293" s="51" t="s">
        <v>1485</v>
      </c>
      <c r="C293" s="51" t="s">
        <v>1486</v>
      </c>
      <c r="D293" s="51" t="s">
        <v>82</v>
      </c>
      <c r="E293" s="51" t="s">
        <v>63</v>
      </c>
      <c r="F293" s="51" t="s">
        <v>83</v>
      </c>
      <c r="G293" s="108" t="s">
        <v>63</v>
      </c>
      <c r="H293" s="52" t="s">
        <v>1487</v>
      </c>
      <c r="I293" s="51"/>
      <c r="J293" s="51" t="s">
        <v>1309</v>
      </c>
      <c r="K293" s="18"/>
      <c r="L293" s="110">
        <v>2674782</v>
      </c>
      <c r="M293" s="110">
        <v>2674782</v>
      </c>
      <c r="N293" s="18"/>
      <c r="O293" s="18" t="b">
        <f>VLOOKUP(A293,[1]Model!C$2:J$559,2,FALSE)=B293</f>
        <v>1</v>
      </c>
      <c r="P293" s="18" t="e">
        <f>VLOOKUP(A293,[2]Model!C$2:G$208,5,FALSE)=D293</f>
        <v>#N/A</v>
      </c>
      <c r="Q293" s="18" t="e">
        <f>VLOOKUP(A293,[2]Model!C$2:L$228,8,FALSE)</f>
        <v>#N/A</v>
      </c>
      <c r="R293" s="18" t="e">
        <f>VLOOKUP(A293,[2]Model!C$2:G$228,3,FALSE)=[3]!Table14[[#This Row],[Business Definition (To go into comments and into Meta Data Hub)]]</f>
        <v>#N/A</v>
      </c>
      <c r="S293" s="18" t="e">
        <f>IF([3]!Table14[[#This Row],[Nullable in Table and in Oracle View
NULL, NOT NULL]]="No","NOT NULL","NULL")=VLOOKUP(A293,[2]Model!C$2:I$228,6,FALSE)</f>
        <v>#REF!</v>
      </c>
      <c r="T293" s="58" t="e">
        <f>VLOOKUP(B293,[2]Table!A$2:F$415,1,FALSE)=[3]!Table14[[#This Row],[Physical Name of Attribute (Name of column in Table)
Supplied by DA Team]]</f>
        <v>#N/A</v>
      </c>
      <c r="U293" s="58" t="e">
        <f>VLOOKUP(B293,[2]Table!A$2:F$319,2,FALSE)=[4]!Table14[[#This Row],[Data type in Oracle
VARCHAR2(n), DATE, NUMBER(m,n), TIMETSTAMP(6)]]</f>
        <v>#N/A</v>
      </c>
      <c r="V293" s="58" t="e">
        <f>VLOOKUP(B293,[2]Table!A$2:F$231,3,FALSE)=[4]!Table14[[#This Row],[Nullable in Table and in Oracle View
NULL, NOT NULL]]</f>
        <v>#N/A</v>
      </c>
      <c r="W293" s="58" t="e">
        <f>VLOOKUP(B293,[2]Table!A$2:H$228,6,FALSE)=[4]!Table14[[#This Row],[Business Definition (To go into comments and into Meta Data Hub)]]</f>
        <v>#N/A</v>
      </c>
      <c r="X293" s="58" t="e">
        <f>VLOOKUP((UPPER(SUBSTITUTE(A293," ","_"))),'[2]Consumer View'!A$2:I$329,1,FALSE)</f>
        <v>#N/A</v>
      </c>
      <c r="Y293" s="51" t="s">
        <v>173</v>
      </c>
      <c r="Z293" s="51" t="s">
        <v>1310</v>
      </c>
      <c r="AA293" s="51" t="s">
        <v>1488</v>
      </c>
      <c r="AB293" s="18"/>
      <c r="AC293" s="18"/>
      <c r="AD293" s="18" t="s">
        <v>1312</v>
      </c>
      <c r="AE293" s="46"/>
      <c r="AF293" s="18"/>
      <c r="AG293" s="18" t="s">
        <v>1313</v>
      </c>
      <c r="AH293" s="18" t="s">
        <v>178</v>
      </c>
    </row>
    <row r="294" spans="1:34" ht="27" customHeight="1">
      <c r="A294" s="105" t="s">
        <v>1489</v>
      </c>
      <c r="B294" s="51" t="s">
        <v>1490</v>
      </c>
      <c r="C294" s="51" t="s">
        <v>1491</v>
      </c>
      <c r="D294" s="51" t="s">
        <v>82</v>
      </c>
      <c r="E294" s="51" t="s">
        <v>63</v>
      </c>
      <c r="F294" s="51" t="s">
        <v>83</v>
      </c>
      <c r="G294" s="108" t="s">
        <v>63</v>
      </c>
      <c r="H294" s="52" t="s">
        <v>1492</v>
      </c>
      <c r="I294" s="51"/>
      <c r="J294" s="51" t="s">
        <v>1309</v>
      </c>
      <c r="K294" s="18"/>
      <c r="L294" s="110">
        <v>2674782</v>
      </c>
      <c r="M294" s="110">
        <v>2674782</v>
      </c>
      <c r="N294" s="18"/>
      <c r="O294" s="18" t="b">
        <f>VLOOKUP(A294,[1]Model!C$2:J$559,2,FALSE)=B294</f>
        <v>1</v>
      </c>
      <c r="P294" s="18" t="e">
        <f>VLOOKUP(A294,[2]Model!C$2:G$208,5,FALSE)=D294</f>
        <v>#N/A</v>
      </c>
      <c r="Q294" s="18" t="e">
        <f>VLOOKUP(A294,[2]Model!C$2:L$228,8,FALSE)</f>
        <v>#N/A</v>
      </c>
      <c r="R294" s="18" t="e">
        <f>VLOOKUP(A294,[2]Model!C$2:G$228,3,FALSE)=[3]!Table14[[#This Row],[Business Definition (To go into comments and into Meta Data Hub)]]</f>
        <v>#N/A</v>
      </c>
      <c r="S294" s="18" t="e">
        <f>IF([3]!Table14[[#This Row],[Nullable in Table and in Oracle View
NULL, NOT NULL]]="No","NOT NULL","NULL")=VLOOKUP(A294,[2]Model!C$2:I$228,6,FALSE)</f>
        <v>#REF!</v>
      </c>
      <c r="T294" s="58" t="e">
        <f>VLOOKUP(B294,[2]Table!A$2:F$415,1,FALSE)=[3]!Table14[[#This Row],[Physical Name of Attribute (Name of column in Table)
Supplied by DA Team]]</f>
        <v>#N/A</v>
      </c>
      <c r="U294" s="58" t="e">
        <f>VLOOKUP(B294,[2]Table!A$2:F$319,2,FALSE)=[4]!Table14[[#This Row],[Data type in Oracle
VARCHAR2(n), DATE, NUMBER(m,n), TIMETSTAMP(6)]]</f>
        <v>#N/A</v>
      </c>
      <c r="V294" s="58" t="e">
        <f>VLOOKUP(B294,[2]Table!A$2:F$231,3,FALSE)=[4]!Table14[[#This Row],[Nullable in Table and in Oracle View
NULL, NOT NULL]]</f>
        <v>#N/A</v>
      </c>
      <c r="W294" s="58" t="e">
        <f>VLOOKUP(B294,[2]Table!A$2:H$228,6,FALSE)=[4]!Table14[[#This Row],[Business Definition (To go into comments and into Meta Data Hub)]]</f>
        <v>#N/A</v>
      </c>
      <c r="X294" s="58" t="e">
        <f>VLOOKUP((UPPER(SUBSTITUTE(A294," ","_"))),'[2]Consumer View'!A$2:I$329,1,FALSE)</f>
        <v>#N/A</v>
      </c>
      <c r="Y294" s="51" t="s">
        <v>173</v>
      </c>
      <c r="Z294" s="51" t="s">
        <v>1310</v>
      </c>
      <c r="AA294" s="51" t="s">
        <v>1493</v>
      </c>
      <c r="AB294" s="18"/>
      <c r="AC294" s="18"/>
      <c r="AD294" s="18" t="s">
        <v>1312</v>
      </c>
      <c r="AE294" s="46"/>
      <c r="AF294" s="18"/>
      <c r="AG294" s="18" t="s">
        <v>1313</v>
      </c>
      <c r="AH294" s="18" t="s">
        <v>178</v>
      </c>
    </row>
    <row r="295" spans="1:34" ht="27" customHeight="1">
      <c r="A295" s="105" t="s">
        <v>1494</v>
      </c>
      <c r="B295" s="51" t="s">
        <v>1495</v>
      </c>
      <c r="C295" s="51" t="s">
        <v>1496</v>
      </c>
      <c r="D295" s="51" t="s">
        <v>82</v>
      </c>
      <c r="E295" s="51" t="s">
        <v>63</v>
      </c>
      <c r="F295" s="51" t="s">
        <v>83</v>
      </c>
      <c r="G295" s="108" t="s">
        <v>63</v>
      </c>
      <c r="H295" s="46" t="s">
        <v>1497</v>
      </c>
      <c r="I295" s="51"/>
      <c r="J295" s="51" t="s">
        <v>1309</v>
      </c>
      <c r="K295" s="18"/>
      <c r="L295" s="110">
        <v>2674782</v>
      </c>
      <c r="M295" s="110">
        <v>2674782</v>
      </c>
      <c r="N295" s="18"/>
      <c r="O295" s="18" t="b">
        <f>VLOOKUP(A295,[1]Model!C$2:J$559,2,FALSE)=B295</f>
        <v>1</v>
      </c>
      <c r="P295" s="18" t="e">
        <f>VLOOKUP(A295,[2]Model!C$2:G$208,5,FALSE)=D295</f>
        <v>#N/A</v>
      </c>
      <c r="Q295" s="18" t="e">
        <f>VLOOKUP(A295,[2]Model!C$2:L$228,8,FALSE)</f>
        <v>#N/A</v>
      </c>
      <c r="R295" s="18" t="e">
        <f>VLOOKUP(A295,[2]Model!C$2:G$228,3,FALSE)=[3]!Table14[[#This Row],[Business Definition (To go into comments and into Meta Data Hub)]]</f>
        <v>#N/A</v>
      </c>
      <c r="S295" s="18" t="e">
        <f>IF([3]!Table14[[#This Row],[Nullable in Table and in Oracle View
NULL, NOT NULL]]="No","NOT NULL","NULL")=VLOOKUP(A295,[2]Model!C$2:I$228,6,FALSE)</f>
        <v>#REF!</v>
      </c>
      <c r="T295" s="58" t="e">
        <f>VLOOKUP(B295,[2]Table!A$2:F$415,1,FALSE)=[3]!Table14[[#This Row],[Physical Name of Attribute (Name of column in Table)
Supplied by DA Team]]</f>
        <v>#N/A</v>
      </c>
      <c r="U295" s="58" t="e">
        <f>VLOOKUP(B295,[2]Table!A$2:F$319,2,FALSE)=[4]!Table14[[#This Row],[Data type in Oracle
VARCHAR2(n), DATE, NUMBER(m,n), TIMETSTAMP(6)]]</f>
        <v>#N/A</v>
      </c>
      <c r="V295" s="58" t="e">
        <f>VLOOKUP(B295,[2]Table!A$2:F$231,3,FALSE)=[4]!Table14[[#This Row],[Nullable in Table and in Oracle View
NULL, NOT NULL]]</f>
        <v>#N/A</v>
      </c>
      <c r="W295" s="58" t="e">
        <f>VLOOKUP(B295,[2]Table!A$2:H$228,6,FALSE)=[4]!Table14[[#This Row],[Business Definition (To go into comments and into Meta Data Hub)]]</f>
        <v>#N/A</v>
      </c>
      <c r="X295" s="58" t="e">
        <f>VLOOKUP((UPPER(SUBSTITUTE(A295," ","_"))),'[2]Consumer View'!A$2:I$329,1,FALSE)</f>
        <v>#N/A</v>
      </c>
      <c r="Y295" s="51" t="s">
        <v>173</v>
      </c>
      <c r="Z295" s="51" t="s">
        <v>1310</v>
      </c>
      <c r="AA295" s="51" t="s">
        <v>1410</v>
      </c>
      <c r="AB295" s="18"/>
      <c r="AC295" s="18"/>
      <c r="AD295" s="51" t="s">
        <v>1498</v>
      </c>
      <c r="AE295" s="46"/>
      <c r="AF295" s="18"/>
      <c r="AG295" s="18" t="s">
        <v>1313</v>
      </c>
      <c r="AH295" s="18" t="s">
        <v>178</v>
      </c>
    </row>
    <row r="296" spans="1:34" ht="27" customHeight="1">
      <c r="A296" s="105" t="s">
        <v>1499</v>
      </c>
      <c r="B296" s="51" t="s">
        <v>1500</v>
      </c>
      <c r="C296" s="51" t="s">
        <v>1501</v>
      </c>
      <c r="D296" s="51" t="s">
        <v>169</v>
      </c>
      <c r="E296" s="51" t="s">
        <v>63</v>
      </c>
      <c r="F296" s="51" t="s">
        <v>170</v>
      </c>
      <c r="G296" s="108" t="s">
        <v>63</v>
      </c>
      <c r="H296" s="52" t="s">
        <v>1502</v>
      </c>
      <c r="I296" s="51"/>
      <c r="J296" s="51" t="s">
        <v>1309</v>
      </c>
      <c r="K296" s="18"/>
      <c r="L296" s="110">
        <v>2674782</v>
      </c>
      <c r="M296" s="110">
        <v>2674782</v>
      </c>
      <c r="N296" s="18"/>
      <c r="O296" s="18" t="b">
        <f>VLOOKUP(A296,[1]Model!C$2:J$559,2,FALSE)=B296</f>
        <v>1</v>
      </c>
      <c r="P296" s="18" t="e">
        <f>VLOOKUP(A296,[2]Model!C$2:G$208,5,FALSE)=D296</f>
        <v>#N/A</v>
      </c>
      <c r="Q296" s="18" t="e">
        <f>VLOOKUP(A296,[2]Model!C$2:L$228,8,FALSE)</f>
        <v>#N/A</v>
      </c>
      <c r="R296" s="18" t="e">
        <f>VLOOKUP(A296,[2]Model!C$2:G$228,3,FALSE)=[3]!Table14[[#This Row],[Business Definition (To go into comments and into Meta Data Hub)]]</f>
        <v>#N/A</v>
      </c>
      <c r="S296" s="18" t="e">
        <f>IF([3]!Table14[[#This Row],[Nullable in Table and in Oracle View
NULL, NOT NULL]]="No","NOT NULL","NULL")=VLOOKUP(A296,[2]Model!C$2:I$228,6,FALSE)</f>
        <v>#REF!</v>
      </c>
      <c r="T296" s="58" t="e">
        <f>VLOOKUP(B296,[2]Table!A$2:F$415,1,FALSE)=[3]!Table14[[#This Row],[Physical Name of Attribute (Name of column in Table)
Supplied by DA Team]]</f>
        <v>#N/A</v>
      </c>
      <c r="U296" s="58" t="e">
        <f>VLOOKUP(B296,[2]Table!A$2:F$319,2,FALSE)=[4]!Table14[[#This Row],[Data type in Oracle
VARCHAR2(n), DATE, NUMBER(m,n), TIMETSTAMP(6)]]</f>
        <v>#N/A</v>
      </c>
      <c r="V296" s="58" t="e">
        <f>VLOOKUP(B296,[2]Table!A$2:F$231,3,FALSE)=[4]!Table14[[#This Row],[Nullable in Table and in Oracle View
NULL, NOT NULL]]</f>
        <v>#N/A</v>
      </c>
      <c r="W296" s="58" t="e">
        <f>VLOOKUP(B296,[2]Table!A$2:H$228,6,FALSE)=[4]!Table14[[#This Row],[Business Definition (To go into comments and into Meta Data Hub)]]</f>
        <v>#N/A</v>
      </c>
      <c r="X296" s="58" t="e">
        <f>VLOOKUP((UPPER(SUBSTITUTE(A296," ","_"))),'[2]Consumer View'!A$2:I$329,1,FALSE)</f>
        <v>#N/A</v>
      </c>
      <c r="Y296" s="51" t="s">
        <v>1503</v>
      </c>
      <c r="Z296" s="51" t="s">
        <v>1504</v>
      </c>
      <c r="AA296" s="51" t="s">
        <v>1505</v>
      </c>
      <c r="AB296" s="18"/>
      <c r="AC296" s="18"/>
      <c r="AD296" s="51" t="s">
        <v>1506</v>
      </c>
      <c r="AE296" s="46"/>
      <c r="AF296" s="18"/>
      <c r="AG296" s="18" t="s">
        <v>1507</v>
      </c>
      <c r="AH296" s="18" t="s">
        <v>178</v>
      </c>
    </row>
    <row r="297" spans="1:34" ht="27" customHeight="1">
      <c r="A297" s="105" t="s">
        <v>1508</v>
      </c>
      <c r="B297" s="51" t="s">
        <v>1509</v>
      </c>
      <c r="C297" s="51" t="s">
        <v>1510</v>
      </c>
      <c r="D297" s="51" t="s">
        <v>302</v>
      </c>
      <c r="E297" s="51" t="s">
        <v>63</v>
      </c>
      <c r="F297" s="51" t="s">
        <v>303</v>
      </c>
      <c r="G297" s="108" t="s">
        <v>63</v>
      </c>
      <c r="H297" s="52" t="s">
        <v>1511</v>
      </c>
      <c r="I297" s="51"/>
      <c r="J297" s="51" t="s">
        <v>1309</v>
      </c>
      <c r="K297" s="18"/>
      <c r="L297" s="110">
        <v>2674782</v>
      </c>
      <c r="M297" s="110">
        <v>2674782</v>
      </c>
      <c r="N297" s="18"/>
      <c r="O297" s="18" t="b">
        <f>VLOOKUP(A297,[1]Model!C$2:J$559,2,FALSE)=B297</f>
        <v>1</v>
      </c>
      <c r="P297" s="18" t="e">
        <f>VLOOKUP(A297,[2]Model!C$2:G$208,5,FALSE)=D297</f>
        <v>#N/A</v>
      </c>
      <c r="Q297" s="18" t="e">
        <f>VLOOKUP(A297,[2]Model!C$2:L$228,8,FALSE)</f>
        <v>#N/A</v>
      </c>
      <c r="R297" s="18" t="e">
        <f>VLOOKUP(A297,[2]Model!C$2:G$228,3,FALSE)=[3]!Table14[[#This Row],[Business Definition (To go into comments and into Meta Data Hub)]]</f>
        <v>#N/A</v>
      </c>
      <c r="S297" s="18" t="e">
        <f>IF([3]!Table14[[#This Row],[Nullable in Table and in Oracle View
NULL, NOT NULL]]="No","NOT NULL","NULL")=VLOOKUP(A297,[2]Model!C$2:I$228,6,FALSE)</f>
        <v>#REF!</v>
      </c>
      <c r="T297" s="58" t="e">
        <f>VLOOKUP(B297,[2]Table!A$2:F$415,1,FALSE)=[3]!Table14[[#This Row],[Physical Name of Attribute (Name of column in Table)
Supplied by DA Team]]</f>
        <v>#N/A</v>
      </c>
      <c r="U297" s="58" t="e">
        <f>VLOOKUP(B297,[2]Table!A$2:F$319,2,FALSE)=[4]!Table14[[#This Row],[Data type in Oracle
VARCHAR2(n), DATE, NUMBER(m,n), TIMETSTAMP(6)]]</f>
        <v>#N/A</v>
      </c>
      <c r="V297" s="58" t="e">
        <f>VLOOKUP(B297,[2]Table!A$2:F$231,3,FALSE)=[4]!Table14[[#This Row],[Nullable in Table and in Oracle View
NULL, NOT NULL]]</f>
        <v>#N/A</v>
      </c>
      <c r="W297" s="58" t="e">
        <f>VLOOKUP(B297,[2]Table!A$2:H$228,6,FALSE)=[4]!Table14[[#This Row],[Business Definition (To go into comments and into Meta Data Hub)]]</f>
        <v>#N/A</v>
      </c>
      <c r="X297" s="58" t="e">
        <f>VLOOKUP((UPPER(SUBSTITUTE(A297," ","_"))),'[2]Consumer View'!A$2:I$329,1,FALSE)</f>
        <v>#N/A</v>
      </c>
      <c r="Y297" s="51" t="s">
        <v>6</v>
      </c>
      <c r="Z297" s="51" t="s">
        <v>1512</v>
      </c>
      <c r="AA297" s="51" t="s">
        <v>1513</v>
      </c>
      <c r="AB297" s="18"/>
      <c r="AC297" s="18"/>
      <c r="AD297" s="51" t="s">
        <v>1514</v>
      </c>
      <c r="AE297" s="46"/>
      <c r="AF297" s="18"/>
      <c r="AG297" s="18" t="s">
        <v>1507</v>
      </c>
      <c r="AH297" s="18" t="s">
        <v>178</v>
      </c>
    </row>
    <row r="298" spans="1:34" ht="27" customHeight="1">
      <c r="A298" s="105" t="s">
        <v>1515</v>
      </c>
      <c r="B298" s="51" t="s">
        <v>1516</v>
      </c>
      <c r="C298" s="51" t="s">
        <v>1517</v>
      </c>
      <c r="D298" s="51" t="s">
        <v>82</v>
      </c>
      <c r="E298" s="51" t="s">
        <v>63</v>
      </c>
      <c r="F298" s="51" t="s">
        <v>83</v>
      </c>
      <c r="G298" s="108" t="s">
        <v>63</v>
      </c>
      <c r="H298" s="52" t="s">
        <v>1518</v>
      </c>
      <c r="I298" s="51"/>
      <c r="J298" s="51" t="s">
        <v>1309</v>
      </c>
      <c r="K298" s="18"/>
      <c r="L298" s="110">
        <v>2674782</v>
      </c>
      <c r="M298" s="110">
        <v>2674782</v>
      </c>
      <c r="N298" s="18"/>
      <c r="O298" s="18" t="b">
        <f>VLOOKUP(A298,[1]Model!C$2:J$559,2,FALSE)=B298</f>
        <v>1</v>
      </c>
      <c r="P298" s="18" t="e">
        <f>VLOOKUP(A298,[2]Model!C$2:G$208,5,FALSE)=D298</f>
        <v>#N/A</v>
      </c>
      <c r="Q298" s="18" t="e">
        <f>VLOOKUP(A298,[2]Model!C$2:L$228,8,FALSE)</f>
        <v>#N/A</v>
      </c>
      <c r="R298" s="18" t="e">
        <f>VLOOKUP(A298,[2]Model!C$2:G$228,3,FALSE)=[3]!Table14[[#This Row],[Business Definition (To go into comments and into Meta Data Hub)]]</f>
        <v>#N/A</v>
      </c>
      <c r="S298" s="18" t="e">
        <f>IF([3]!Table14[[#This Row],[Nullable in Table and in Oracle View
NULL, NOT NULL]]="No","NOT NULL","NULL")=VLOOKUP(A298,[2]Model!C$2:I$228,6,FALSE)</f>
        <v>#REF!</v>
      </c>
      <c r="T298" s="58" t="e">
        <f>VLOOKUP(B298,[2]Table!A$2:F$415,1,FALSE)=[3]!Table14[[#This Row],[Physical Name of Attribute (Name of column in Table)
Supplied by DA Team]]</f>
        <v>#N/A</v>
      </c>
      <c r="U298" s="58" t="e">
        <f>VLOOKUP(B298,[2]Table!A$2:F$319,2,FALSE)=[4]!Table14[[#This Row],[Data type in Oracle
VARCHAR2(n), DATE, NUMBER(m,n), TIMETSTAMP(6)]]</f>
        <v>#N/A</v>
      </c>
      <c r="V298" s="58" t="e">
        <f>VLOOKUP(B298,[2]Table!A$2:F$231,3,FALSE)=[4]!Table14[[#This Row],[Nullable in Table and in Oracle View
NULL, NOT NULL]]</f>
        <v>#N/A</v>
      </c>
      <c r="W298" s="58" t="e">
        <f>VLOOKUP(B298,[2]Table!A$2:H$228,6,FALSE)=[4]!Table14[[#This Row],[Business Definition (To go into comments and into Meta Data Hub)]]</f>
        <v>#N/A</v>
      </c>
      <c r="X298" s="58" t="e">
        <f>VLOOKUP((UPPER(SUBSTITUTE(A298," ","_"))),'[2]Consumer View'!A$2:I$329,1,FALSE)</f>
        <v>#N/A</v>
      </c>
      <c r="Y298" s="51" t="s">
        <v>1503</v>
      </c>
      <c r="Z298" s="51" t="s">
        <v>1519</v>
      </c>
      <c r="AA298" s="51" t="s">
        <v>1520</v>
      </c>
      <c r="AB298" s="18"/>
      <c r="AC298" s="18"/>
      <c r="AD298" s="51" t="s">
        <v>1521</v>
      </c>
      <c r="AE298" s="46"/>
      <c r="AF298" s="18"/>
      <c r="AG298" s="18" t="s">
        <v>1507</v>
      </c>
      <c r="AH298" s="18" t="s">
        <v>178</v>
      </c>
    </row>
    <row r="299" spans="1:34" ht="27" customHeight="1">
      <c r="A299" s="105" t="s">
        <v>1522</v>
      </c>
      <c r="B299" s="51" t="s">
        <v>1523</v>
      </c>
      <c r="C299" s="51" t="s">
        <v>1524</v>
      </c>
      <c r="D299" s="51" t="s">
        <v>427</v>
      </c>
      <c r="E299" s="51" t="s">
        <v>63</v>
      </c>
      <c r="F299" s="51" t="s">
        <v>428</v>
      </c>
      <c r="G299" s="108" t="s">
        <v>63</v>
      </c>
      <c r="H299" s="52" t="s">
        <v>1525</v>
      </c>
      <c r="I299" s="51"/>
      <c r="J299" s="51" t="s">
        <v>1309</v>
      </c>
      <c r="K299" s="18"/>
      <c r="L299" s="110">
        <v>2674782</v>
      </c>
      <c r="M299" s="110">
        <v>2674782</v>
      </c>
      <c r="N299" s="18"/>
      <c r="O299" s="18" t="b">
        <f>VLOOKUP(A299,[1]Model!C$2:J$559,2,FALSE)=B299</f>
        <v>1</v>
      </c>
      <c r="P299" s="18" t="e">
        <f>VLOOKUP(A299,[2]Model!C$2:G$208,5,FALSE)=D299</f>
        <v>#N/A</v>
      </c>
      <c r="Q299" s="18" t="e">
        <f>VLOOKUP(A299,[2]Model!C$2:L$228,8,FALSE)</f>
        <v>#N/A</v>
      </c>
      <c r="R299" s="18" t="e">
        <f>VLOOKUP(A299,[2]Model!C$2:G$228,3,FALSE)=[3]!Table14[[#This Row],[Business Definition (To go into comments and into Meta Data Hub)]]</f>
        <v>#N/A</v>
      </c>
      <c r="S299" s="18" t="e">
        <f>IF([3]!Table14[[#This Row],[Nullable in Table and in Oracle View
NULL, NOT NULL]]="No","NOT NULL","NULL")=VLOOKUP(A299,[2]Model!C$2:I$228,6,FALSE)</f>
        <v>#REF!</v>
      </c>
      <c r="T299" s="58" t="e">
        <f>VLOOKUP(B299,[2]Table!A$2:F$415,1,FALSE)=[3]!Table14[[#This Row],[Physical Name of Attribute (Name of column in Table)
Supplied by DA Team]]</f>
        <v>#N/A</v>
      </c>
      <c r="U299" s="58" t="e">
        <f>VLOOKUP(B299,[2]Table!A$2:F$319,2,FALSE)=[4]!Table14[[#This Row],[Data type in Oracle
VARCHAR2(n), DATE, NUMBER(m,n), TIMETSTAMP(6)]]</f>
        <v>#N/A</v>
      </c>
      <c r="V299" s="58" t="e">
        <f>VLOOKUP(B299,[2]Table!A$2:F$231,3,FALSE)=[4]!Table14[[#This Row],[Nullable in Table and in Oracle View
NULL, NOT NULL]]</f>
        <v>#N/A</v>
      </c>
      <c r="W299" s="58" t="e">
        <f>VLOOKUP(B299,[2]Table!A$2:H$228,6,FALSE)=[4]!Table14[[#This Row],[Business Definition (To go into comments and into Meta Data Hub)]]</f>
        <v>#N/A</v>
      </c>
      <c r="X299" s="58" t="e">
        <f>VLOOKUP((UPPER(SUBSTITUTE(A299," ","_"))),'[2]Consumer View'!A$2:I$329,1,FALSE)</f>
        <v>#N/A</v>
      </c>
      <c r="Y299" s="51" t="s">
        <v>6</v>
      </c>
      <c r="Z299" s="51" t="s">
        <v>1512</v>
      </c>
      <c r="AA299" s="51" t="s">
        <v>1526</v>
      </c>
      <c r="AB299" s="18"/>
      <c r="AC299" s="18"/>
      <c r="AD299" s="51" t="s">
        <v>1514</v>
      </c>
      <c r="AE299" s="46"/>
      <c r="AF299" s="18"/>
      <c r="AG299" s="18" t="s">
        <v>1507</v>
      </c>
      <c r="AH299" s="18" t="s">
        <v>178</v>
      </c>
    </row>
    <row r="300" spans="1:34" ht="27" customHeight="1">
      <c r="A300" s="105" t="s">
        <v>1527</v>
      </c>
      <c r="B300" s="51" t="s">
        <v>1528</v>
      </c>
      <c r="C300" s="51" t="s">
        <v>1529</v>
      </c>
      <c r="D300" s="51" t="s">
        <v>82</v>
      </c>
      <c r="E300" s="51" t="s">
        <v>63</v>
      </c>
      <c r="F300" s="51" t="s">
        <v>83</v>
      </c>
      <c r="G300" s="108" t="s">
        <v>63</v>
      </c>
      <c r="H300" s="52" t="s">
        <v>1530</v>
      </c>
      <c r="I300" s="51"/>
      <c r="J300" s="51" t="s">
        <v>1309</v>
      </c>
      <c r="K300" s="18"/>
      <c r="L300" s="110">
        <v>2674782</v>
      </c>
      <c r="M300" s="110">
        <v>2674782</v>
      </c>
      <c r="N300" s="18"/>
      <c r="O300" s="18" t="b">
        <f>VLOOKUP(A300,[1]Model!C$2:J$559,2,FALSE)=B300</f>
        <v>1</v>
      </c>
      <c r="P300" s="18" t="e">
        <f>VLOOKUP(A300,[2]Model!C$2:G$208,5,FALSE)=D300</f>
        <v>#N/A</v>
      </c>
      <c r="Q300" s="18" t="e">
        <f>VLOOKUP(A300,[2]Model!C$2:L$228,8,FALSE)</f>
        <v>#N/A</v>
      </c>
      <c r="R300" s="18" t="e">
        <f>VLOOKUP(A300,[2]Model!C$2:G$228,3,FALSE)=[3]!Table14[[#This Row],[Business Definition (To go into comments and into Meta Data Hub)]]</f>
        <v>#N/A</v>
      </c>
      <c r="S300" s="18" t="e">
        <f>IF([3]!Table14[[#This Row],[Nullable in Table and in Oracle View
NULL, NOT NULL]]="No","NOT NULL","NULL")=VLOOKUP(A300,[2]Model!C$2:I$228,6,FALSE)</f>
        <v>#REF!</v>
      </c>
      <c r="T300" s="58" t="e">
        <f>VLOOKUP(B300,[2]Table!A$2:F$415,1,FALSE)=[3]!Table14[[#This Row],[Physical Name of Attribute (Name of column in Table)
Supplied by DA Team]]</f>
        <v>#N/A</v>
      </c>
      <c r="U300" s="58" t="e">
        <f>VLOOKUP(B300,[2]Table!A$2:F$319,2,FALSE)=[4]!Table14[[#This Row],[Data type in Oracle
VARCHAR2(n), DATE, NUMBER(m,n), TIMETSTAMP(6)]]</f>
        <v>#N/A</v>
      </c>
      <c r="V300" s="58" t="e">
        <f>VLOOKUP(B300,[2]Table!A$2:F$231,3,FALSE)=[4]!Table14[[#This Row],[Nullable in Table and in Oracle View
NULL, NOT NULL]]</f>
        <v>#N/A</v>
      </c>
      <c r="W300" s="58" t="e">
        <f>VLOOKUP(B300,[2]Table!A$2:H$228,6,FALSE)=[4]!Table14[[#This Row],[Business Definition (To go into comments and into Meta Data Hub)]]</f>
        <v>#N/A</v>
      </c>
      <c r="X300" s="58" t="e">
        <f>VLOOKUP((UPPER(SUBSTITUTE(A300," ","_"))),'[2]Consumer View'!A$2:I$329,1,FALSE)</f>
        <v>#N/A</v>
      </c>
      <c r="Y300" s="51" t="s">
        <v>6</v>
      </c>
      <c r="Z300" s="51" t="s">
        <v>1531</v>
      </c>
      <c r="AA300" s="51" t="s">
        <v>1532</v>
      </c>
      <c r="AB300" s="18"/>
      <c r="AC300" s="18"/>
      <c r="AD300" s="51" t="s">
        <v>1533</v>
      </c>
      <c r="AE300" s="46"/>
      <c r="AF300" s="18"/>
      <c r="AG300" s="18" t="s">
        <v>1507</v>
      </c>
      <c r="AH300" s="18" t="s">
        <v>178</v>
      </c>
    </row>
    <row r="301" spans="1:34" ht="27" customHeight="1">
      <c r="A301" s="105" t="s">
        <v>1534</v>
      </c>
      <c r="B301" s="51" t="s">
        <v>1535</v>
      </c>
      <c r="C301" s="51" t="s">
        <v>1536</v>
      </c>
      <c r="D301" s="51" t="s">
        <v>62</v>
      </c>
      <c r="E301" s="51" t="s">
        <v>63</v>
      </c>
      <c r="F301" s="51" t="s">
        <v>64</v>
      </c>
      <c r="G301" s="108" t="s">
        <v>63</v>
      </c>
      <c r="H301" s="52" t="s">
        <v>1537</v>
      </c>
      <c r="I301" s="51"/>
      <c r="J301" s="51" t="s">
        <v>1309</v>
      </c>
      <c r="K301" s="18"/>
      <c r="L301" s="110">
        <v>2674782</v>
      </c>
      <c r="M301" s="110">
        <v>2674782</v>
      </c>
      <c r="N301" s="18"/>
      <c r="O301" s="18" t="b">
        <f>VLOOKUP(A301,[1]Model!C$2:J$559,2,FALSE)=B301</f>
        <v>1</v>
      </c>
      <c r="P301" s="18" t="e">
        <f>VLOOKUP(A301,[2]Model!C$2:G$208,5,FALSE)=D301</f>
        <v>#N/A</v>
      </c>
      <c r="Q301" s="18" t="e">
        <f>VLOOKUP(A301,[2]Model!C$2:L$228,8,FALSE)</f>
        <v>#N/A</v>
      </c>
      <c r="R301" s="18" t="e">
        <f>VLOOKUP(A301,[2]Model!C$2:G$228,3,FALSE)=[3]!Table14[[#This Row],[Business Definition (To go into comments and into Meta Data Hub)]]</f>
        <v>#N/A</v>
      </c>
      <c r="S301" s="18" t="e">
        <f>IF([3]!Table14[[#This Row],[Nullable in Table and in Oracle View
NULL, NOT NULL]]="No","NOT NULL","NULL")=VLOOKUP(A301,[2]Model!C$2:I$228,6,FALSE)</f>
        <v>#REF!</v>
      </c>
      <c r="T301" s="58" t="e">
        <f>VLOOKUP(B301,[2]Table!A$2:F$415,1,FALSE)=[3]!Table14[[#This Row],[Physical Name of Attribute (Name of column in Table)
Supplied by DA Team]]</f>
        <v>#N/A</v>
      </c>
      <c r="U301" s="58" t="e">
        <f>VLOOKUP(B301,[2]Table!A$2:F$319,2,FALSE)=[4]!Table14[[#This Row],[Data type in Oracle
VARCHAR2(n), DATE, NUMBER(m,n), TIMETSTAMP(6)]]</f>
        <v>#N/A</v>
      </c>
      <c r="V301" s="58" t="e">
        <f>VLOOKUP(B301,[2]Table!A$2:F$231,3,FALSE)=[4]!Table14[[#This Row],[Nullable in Table and in Oracle View
NULL, NOT NULL]]</f>
        <v>#N/A</v>
      </c>
      <c r="W301" s="58" t="e">
        <f>VLOOKUP(B301,[2]Table!A$2:H$228,6,FALSE)=[4]!Table14[[#This Row],[Business Definition (To go into comments and into Meta Data Hub)]]</f>
        <v>#N/A</v>
      </c>
      <c r="X301" s="58" t="e">
        <f>VLOOKUP((UPPER(SUBSTITUTE(A301," ","_"))),'[2]Consumer View'!A$2:I$329,1,FALSE)</f>
        <v>#N/A</v>
      </c>
      <c r="Y301" s="51" t="s">
        <v>6</v>
      </c>
      <c r="Z301" s="51" t="s">
        <v>1531</v>
      </c>
      <c r="AA301" s="51" t="s">
        <v>1538</v>
      </c>
      <c r="AB301" s="18"/>
      <c r="AC301" s="18"/>
      <c r="AD301" s="51" t="s">
        <v>1533</v>
      </c>
      <c r="AE301" s="46"/>
      <c r="AF301" s="18"/>
      <c r="AG301" s="18" t="s">
        <v>1507</v>
      </c>
      <c r="AH301" s="18" t="s">
        <v>178</v>
      </c>
    </row>
    <row r="302" spans="1:34" ht="27" customHeight="1">
      <c r="A302" s="105" t="s">
        <v>1539</v>
      </c>
      <c r="B302" s="51" t="s">
        <v>1540</v>
      </c>
      <c r="C302" s="51" t="s">
        <v>1541</v>
      </c>
      <c r="D302" s="51" t="s">
        <v>62</v>
      </c>
      <c r="E302" s="51" t="s">
        <v>63</v>
      </c>
      <c r="F302" s="51" t="s">
        <v>64</v>
      </c>
      <c r="G302" s="108" t="s">
        <v>63</v>
      </c>
      <c r="H302" s="52" t="s">
        <v>1542</v>
      </c>
      <c r="I302" s="51"/>
      <c r="J302" s="51" t="s">
        <v>1309</v>
      </c>
      <c r="K302" s="18"/>
      <c r="L302" s="110">
        <v>2674782</v>
      </c>
      <c r="M302" s="110">
        <v>2674782</v>
      </c>
      <c r="N302" s="18"/>
      <c r="O302" s="18" t="b">
        <f>VLOOKUP(A302,[1]Model!C$2:J$559,2,FALSE)=B302</f>
        <v>1</v>
      </c>
      <c r="P302" s="18" t="e">
        <f>VLOOKUP(A302,[2]Model!C$2:G$208,5,FALSE)=D302</f>
        <v>#N/A</v>
      </c>
      <c r="Q302" s="18" t="e">
        <f>VLOOKUP(A302,[2]Model!C$2:L$228,8,FALSE)</f>
        <v>#N/A</v>
      </c>
      <c r="R302" s="18" t="e">
        <f>VLOOKUP(A302,[2]Model!C$2:G$228,3,FALSE)=[3]!Table14[[#This Row],[Business Definition (To go into comments and into Meta Data Hub)]]</f>
        <v>#N/A</v>
      </c>
      <c r="S302" s="18" t="e">
        <f>IF([3]!Table14[[#This Row],[Nullable in Table and in Oracle View
NULL, NOT NULL]]="No","NOT NULL","NULL")=VLOOKUP(A302,[2]Model!C$2:I$228,6,FALSE)</f>
        <v>#REF!</v>
      </c>
      <c r="T302" s="58" t="e">
        <f>VLOOKUP(B302,[2]Table!A$2:F$415,1,FALSE)=[3]!Table14[[#This Row],[Physical Name of Attribute (Name of column in Table)
Supplied by DA Team]]</f>
        <v>#N/A</v>
      </c>
      <c r="U302" s="58" t="e">
        <f>VLOOKUP(B302,[2]Table!A$2:F$319,2,FALSE)=[4]!Table14[[#This Row],[Data type in Oracle
VARCHAR2(n), DATE, NUMBER(m,n), TIMETSTAMP(6)]]</f>
        <v>#N/A</v>
      </c>
      <c r="V302" s="58" t="e">
        <f>VLOOKUP(B302,[2]Table!A$2:F$231,3,FALSE)=[4]!Table14[[#This Row],[Nullable in Table and in Oracle View
NULL, NOT NULL]]</f>
        <v>#N/A</v>
      </c>
      <c r="W302" s="58" t="e">
        <f>VLOOKUP(B302,[2]Table!A$2:H$228,6,FALSE)=[4]!Table14[[#This Row],[Business Definition (To go into comments and into Meta Data Hub)]]</f>
        <v>#N/A</v>
      </c>
      <c r="X302" s="58" t="e">
        <f>VLOOKUP((UPPER(SUBSTITUTE(A302," ","_"))),'[2]Consumer View'!A$2:I$329,1,FALSE)</f>
        <v>#N/A</v>
      </c>
      <c r="Y302" s="51" t="s">
        <v>6</v>
      </c>
      <c r="Z302" s="51" t="s">
        <v>1531</v>
      </c>
      <c r="AA302" s="51" t="s">
        <v>1543</v>
      </c>
      <c r="AB302" s="18"/>
      <c r="AC302" s="18"/>
      <c r="AD302" s="51" t="s">
        <v>1533</v>
      </c>
      <c r="AE302" s="46"/>
      <c r="AF302" s="18"/>
      <c r="AG302" s="18" t="s">
        <v>1507</v>
      </c>
      <c r="AH302" s="18" t="s">
        <v>178</v>
      </c>
    </row>
    <row r="303" spans="1:34" ht="27" customHeight="1">
      <c r="A303" s="105" t="s">
        <v>1544</v>
      </c>
      <c r="B303" s="51" t="s">
        <v>1545</v>
      </c>
      <c r="C303" s="51" t="s">
        <v>1546</v>
      </c>
      <c r="D303" s="51" t="s">
        <v>1547</v>
      </c>
      <c r="E303" s="51" t="s">
        <v>63</v>
      </c>
      <c r="F303" s="51" t="s">
        <v>1548</v>
      </c>
      <c r="G303" s="108" t="s">
        <v>63</v>
      </c>
      <c r="H303" s="52" t="s">
        <v>1549</v>
      </c>
      <c r="I303" s="51"/>
      <c r="J303" s="51" t="s">
        <v>1309</v>
      </c>
      <c r="K303" s="18"/>
      <c r="L303" s="110">
        <v>2674782</v>
      </c>
      <c r="M303" s="110">
        <v>2674782</v>
      </c>
      <c r="N303" s="18"/>
      <c r="O303" s="18" t="b">
        <f>VLOOKUP(A303,[1]Model!C$2:J$559,2,FALSE)=B303</f>
        <v>1</v>
      </c>
      <c r="P303" s="18" t="e">
        <f>VLOOKUP(A303,[2]Model!C$2:G$208,5,FALSE)=D303</f>
        <v>#N/A</v>
      </c>
      <c r="Q303" s="18" t="e">
        <f>VLOOKUP(A303,[2]Model!C$2:L$228,8,FALSE)</f>
        <v>#N/A</v>
      </c>
      <c r="R303" s="18" t="e">
        <f>VLOOKUP(A303,[2]Model!C$2:G$228,3,FALSE)=[3]!Table14[[#This Row],[Business Definition (To go into comments and into Meta Data Hub)]]</f>
        <v>#N/A</v>
      </c>
      <c r="S303" s="18" t="e">
        <f>IF([3]!Table14[[#This Row],[Nullable in Table and in Oracle View
NULL, NOT NULL]]="No","NOT NULL","NULL")=VLOOKUP(A303,[2]Model!C$2:I$228,6,FALSE)</f>
        <v>#REF!</v>
      </c>
      <c r="T303" s="58" t="e">
        <f>VLOOKUP(B303,[2]Table!A$2:F$415,1,FALSE)=[3]!Table14[[#This Row],[Physical Name of Attribute (Name of column in Table)
Supplied by DA Team]]</f>
        <v>#N/A</v>
      </c>
      <c r="U303" s="58" t="e">
        <f>VLOOKUP(B303,[2]Table!A$2:F$319,2,FALSE)=[4]!Table14[[#This Row],[Data type in Oracle
VARCHAR2(n), DATE, NUMBER(m,n), TIMETSTAMP(6)]]</f>
        <v>#N/A</v>
      </c>
      <c r="V303" s="58" t="e">
        <f>VLOOKUP(B303,[2]Table!A$2:F$231,3,FALSE)=[4]!Table14[[#This Row],[Nullable in Table and in Oracle View
NULL, NOT NULL]]</f>
        <v>#N/A</v>
      </c>
      <c r="W303" s="58" t="e">
        <f>VLOOKUP(B303,[2]Table!A$2:H$228,6,FALSE)=[4]!Table14[[#This Row],[Business Definition (To go into comments and into Meta Data Hub)]]</f>
        <v>#N/A</v>
      </c>
      <c r="X303" s="58" t="e">
        <f>VLOOKUP((UPPER(SUBSTITUTE(A303," ","_"))),'[2]Consumer View'!A$2:I$329,1,FALSE)</f>
        <v>#N/A</v>
      </c>
      <c r="Y303" s="51" t="s">
        <v>6</v>
      </c>
      <c r="Z303" s="51" t="s">
        <v>1512</v>
      </c>
      <c r="AA303" s="51" t="s">
        <v>1550</v>
      </c>
      <c r="AB303" s="18"/>
      <c r="AC303" s="18"/>
      <c r="AD303" s="51" t="s">
        <v>1514</v>
      </c>
      <c r="AE303" s="46"/>
      <c r="AF303" s="18"/>
      <c r="AG303" s="18" t="s">
        <v>1507</v>
      </c>
      <c r="AH303" s="18" t="s">
        <v>178</v>
      </c>
    </row>
    <row r="304" spans="1:34" ht="27" customHeight="1">
      <c r="A304" s="105" t="s">
        <v>1551</v>
      </c>
      <c r="B304" s="51" t="s">
        <v>1552</v>
      </c>
      <c r="C304" s="51" t="s">
        <v>1553</v>
      </c>
      <c r="D304" s="51" t="s">
        <v>82</v>
      </c>
      <c r="E304" s="51" t="s">
        <v>63</v>
      </c>
      <c r="F304" s="51" t="s">
        <v>83</v>
      </c>
      <c r="G304" s="108" t="s">
        <v>63</v>
      </c>
      <c r="H304" s="52" t="s">
        <v>1554</v>
      </c>
      <c r="I304" s="51"/>
      <c r="J304" s="51" t="s">
        <v>1309</v>
      </c>
      <c r="K304" s="18"/>
      <c r="L304" s="110">
        <v>2674782</v>
      </c>
      <c r="M304" s="110">
        <v>2674782</v>
      </c>
      <c r="N304" s="18"/>
      <c r="O304" s="18" t="b">
        <f>VLOOKUP(A304,[1]Model!C$2:J$559,2,FALSE)=B304</f>
        <v>1</v>
      </c>
      <c r="P304" s="18" t="e">
        <f>VLOOKUP(A304,[2]Model!C$2:G$208,5,FALSE)=D304</f>
        <v>#N/A</v>
      </c>
      <c r="Q304" s="18" t="e">
        <f>VLOOKUP(A304,[2]Model!C$2:L$228,8,FALSE)</f>
        <v>#N/A</v>
      </c>
      <c r="R304" s="18" t="e">
        <f>VLOOKUP(A304,[2]Model!C$2:G$228,3,FALSE)=[3]!Table14[[#This Row],[Business Definition (To go into comments and into Meta Data Hub)]]</f>
        <v>#N/A</v>
      </c>
      <c r="S304" s="18" t="e">
        <f>IF([3]!Table14[[#This Row],[Nullable in Table and in Oracle View
NULL, NOT NULL]]="No","NOT NULL","NULL")=VLOOKUP(A304,[2]Model!C$2:I$228,6,FALSE)</f>
        <v>#REF!</v>
      </c>
      <c r="T304" s="58" t="e">
        <f>VLOOKUP(B304,[2]Table!A$2:F$415,1,FALSE)=[3]!Table14[[#This Row],[Physical Name of Attribute (Name of column in Table)
Supplied by DA Team]]</f>
        <v>#N/A</v>
      </c>
      <c r="U304" s="58" t="e">
        <f>VLOOKUP(B304,[2]Table!A$2:F$319,2,FALSE)=[4]!Table14[[#This Row],[Data type in Oracle
VARCHAR2(n), DATE, NUMBER(m,n), TIMETSTAMP(6)]]</f>
        <v>#N/A</v>
      </c>
      <c r="V304" s="58" t="e">
        <f>VLOOKUP(B304,[2]Table!A$2:F$231,3,FALSE)=[4]!Table14[[#This Row],[Nullable in Table and in Oracle View
NULL, NOT NULL]]</f>
        <v>#N/A</v>
      </c>
      <c r="W304" s="58" t="e">
        <f>VLOOKUP(B304,[2]Table!A$2:H$228,6,FALSE)=[4]!Table14[[#This Row],[Business Definition (To go into comments and into Meta Data Hub)]]</f>
        <v>#N/A</v>
      </c>
      <c r="X304" s="58" t="e">
        <f>VLOOKUP((UPPER(SUBSTITUTE(A304," ","_"))),'[2]Consumer View'!A$2:I$329,1,FALSE)</f>
        <v>#N/A</v>
      </c>
      <c r="Y304" s="51" t="s">
        <v>6</v>
      </c>
      <c r="Z304" s="51" t="s">
        <v>1512</v>
      </c>
      <c r="AA304" s="51" t="s">
        <v>1555</v>
      </c>
      <c r="AB304" s="18"/>
      <c r="AC304" s="18"/>
      <c r="AD304" s="51" t="s">
        <v>1514</v>
      </c>
      <c r="AE304" s="46"/>
      <c r="AF304" s="18"/>
      <c r="AG304" s="18" t="s">
        <v>1507</v>
      </c>
      <c r="AH304" s="18" t="s">
        <v>178</v>
      </c>
    </row>
    <row r="305" spans="1:34" ht="27" customHeight="1">
      <c r="A305" s="105" t="s">
        <v>1556</v>
      </c>
      <c r="B305" s="51" t="s">
        <v>1557</v>
      </c>
      <c r="C305" s="51" t="s">
        <v>1558</v>
      </c>
      <c r="D305" s="51" t="s">
        <v>82</v>
      </c>
      <c r="E305" s="51" t="s">
        <v>63</v>
      </c>
      <c r="F305" s="51" t="s">
        <v>83</v>
      </c>
      <c r="G305" s="108" t="s">
        <v>63</v>
      </c>
      <c r="H305" s="52" t="s">
        <v>1559</v>
      </c>
      <c r="I305" s="51"/>
      <c r="J305" s="51" t="s">
        <v>1309</v>
      </c>
      <c r="K305" s="18"/>
      <c r="L305" s="110">
        <v>2674782</v>
      </c>
      <c r="M305" s="110">
        <v>2674782</v>
      </c>
      <c r="N305" s="18"/>
      <c r="O305" s="18" t="b">
        <f>VLOOKUP(A305,[1]Model!C$2:J$559,2,FALSE)=B305</f>
        <v>1</v>
      </c>
      <c r="P305" s="18" t="e">
        <f>VLOOKUP(A305,[2]Model!C$2:G$208,5,FALSE)=D305</f>
        <v>#N/A</v>
      </c>
      <c r="Q305" s="18" t="e">
        <f>VLOOKUP(A305,[2]Model!C$2:L$228,8,FALSE)</f>
        <v>#N/A</v>
      </c>
      <c r="R305" s="18" t="e">
        <f>VLOOKUP(A305,[2]Model!C$2:G$228,3,FALSE)=[3]!Table14[[#This Row],[Business Definition (To go into comments and into Meta Data Hub)]]</f>
        <v>#N/A</v>
      </c>
      <c r="S305" s="18" t="e">
        <f>IF([3]!Table14[[#This Row],[Nullable in Table and in Oracle View
NULL, NOT NULL]]="No","NOT NULL","NULL")=VLOOKUP(A305,[2]Model!C$2:I$228,6,FALSE)</f>
        <v>#REF!</v>
      </c>
      <c r="T305" s="58" t="e">
        <f>VLOOKUP(B305,[2]Table!A$2:F$415,1,FALSE)=[3]!Table14[[#This Row],[Physical Name of Attribute (Name of column in Table)
Supplied by DA Team]]</f>
        <v>#N/A</v>
      </c>
      <c r="U305" s="58" t="e">
        <f>VLOOKUP(B305,[2]Table!A$2:F$319,2,FALSE)=[4]!Table14[[#This Row],[Data type in Oracle
VARCHAR2(n), DATE, NUMBER(m,n), TIMETSTAMP(6)]]</f>
        <v>#N/A</v>
      </c>
      <c r="V305" s="58" t="e">
        <f>VLOOKUP(B305,[2]Table!A$2:F$231,3,FALSE)=[4]!Table14[[#This Row],[Nullable in Table and in Oracle View
NULL, NOT NULL]]</f>
        <v>#N/A</v>
      </c>
      <c r="W305" s="58" t="e">
        <f>VLOOKUP(B305,[2]Table!A$2:H$228,6,FALSE)=[4]!Table14[[#This Row],[Business Definition (To go into comments and into Meta Data Hub)]]</f>
        <v>#N/A</v>
      </c>
      <c r="X305" s="58" t="e">
        <f>VLOOKUP((UPPER(SUBSTITUTE(A305," ","_"))),'[2]Consumer View'!A$2:I$329,1,FALSE)</f>
        <v>#N/A</v>
      </c>
      <c r="Y305" s="51" t="s">
        <v>6</v>
      </c>
      <c r="Z305" s="51" t="s">
        <v>1512</v>
      </c>
      <c r="AA305" s="51" t="s">
        <v>1560</v>
      </c>
      <c r="AB305" s="18"/>
      <c r="AC305" s="18"/>
      <c r="AD305" s="51" t="s">
        <v>1514</v>
      </c>
      <c r="AE305" s="46"/>
      <c r="AF305" s="18"/>
      <c r="AG305" s="18" t="s">
        <v>1507</v>
      </c>
      <c r="AH305" s="18" t="s">
        <v>178</v>
      </c>
    </row>
    <row r="306" spans="1:34" ht="27" customHeight="1">
      <c r="A306" s="105" t="s">
        <v>1561</v>
      </c>
      <c r="B306" s="51" t="s">
        <v>1562</v>
      </c>
      <c r="C306" s="51" t="s">
        <v>1563</v>
      </c>
      <c r="D306" s="51" t="s">
        <v>82</v>
      </c>
      <c r="E306" s="51" t="s">
        <v>63</v>
      </c>
      <c r="F306" s="51" t="s">
        <v>83</v>
      </c>
      <c r="G306" s="108" t="s">
        <v>63</v>
      </c>
      <c r="H306" s="52" t="s">
        <v>1564</v>
      </c>
      <c r="I306" s="51"/>
      <c r="J306" s="51" t="s">
        <v>1309</v>
      </c>
      <c r="K306" s="18"/>
      <c r="L306" s="110">
        <v>2674782</v>
      </c>
      <c r="M306" s="110">
        <v>2674782</v>
      </c>
      <c r="N306" s="18"/>
      <c r="O306" s="18" t="b">
        <f>VLOOKUP(A306,[1]Model!C$2:J$559,2,FALSE)=B306</f>
        <v>1</v>
      </c>
      <c r="P306" s="18" t="e">
        <f>VLOOKUP(A306,[2]Model!C$2:G$208,5,FALSE)=D306</f>
        <v>#N/A</v>
      </c>
      <c r="Q306" s="18" t="e">
        <f>VLOOKUP(A306,[2]Model!C$2:L$228,8,FALSE)</f>
        <v>#N/A</v>
      </c>
      <c r="R306" s="18" t="e">
        <f>VLOOKUP(A306,[2]Model!C$2:G$228,3,FALSE)=[3]!Table14[[#This Row],[Business Definition (To go into comments and into Meta Data Hub)]]</f>
        <v>#N/A</v>
      </c>
      <c r="S306" s="18" t="e">
        <f>IF([3]!Table14[[#This Row],[Nullable in Table and in Oracle View
NULL, NOT NULL]]="No","NOT NULL","NULL")=VLOOKUP(A306,[2]Model!C$2:I$228,6,FALSE)</f>
        <v>#REF!</v>
      </c>
      <c r="T306" s="58" t="e">
        <f>VLOOKUP(B306,[2]Table!A$2:F$415,1,FALSE)=[3]!Table14[[#This Row],[Physical Name of Attribute (Name of column in Table)
Supplied by DA Team]]</f>
        <v>#N/A</v>
      </c>
      <c r="U306" s="58" t="e">
        <f>VLOOKUP(B306,[2]Table!A$2:F$319,2,FALSE)=[4]!Table14[[#This Row],[Data type in Oracle
VARCHAR2(n), DATE, NUMBER(m,n), TIMETSTAMP(6)]]</f>
        <v>#N/A</v>
      </c>
      <c r="V306" s="58" t="e">
        <f>VLOOKUP(B306,[2]Table!A$2:F$231,3,FALSE)=[4]!Table14[[#This Row],[Nullable in Table and in Oracle View
NULL, NOT NULL]]</f>
        <v>#N/A</v>
      </c>
      <c r="W306" s="58" t="e">
        <f>VLOOKUP(B306,[2]Table!A$2:H$228,6,FALSE)=[4]!Table14[[#This Row],[Business Definition (To go into comments and into Meta Data Hub)]]</f>
        <v>#N/A</v>
      </c>
      <c r="X306" s="58" t="e">
        <f>VLOOKUP((UPPER(SUBSTITUTE(A306," ","_"))),'[2]Consumer View'!A$2:I$329,1,FALSE)</f>
        <v>#N/A</v>
      </c>
      <c r="Y306" s="51" t="s">
        <v>1503</v>
      </c>
      <c r="Z306" s="51" t="s">
        <v>1519</v>
      </c>
      <c r="AA306" s="51" t="s">
        <v>1565</v>
      </c>
      <c r="AB306" s="18"/>
      <c r="AC306" s="18"/>
      <c r="AD306" s="51" t="s">
        <v>1521</v>
      </c>
      <c r="AE306" s="46"/>
      <c r="AF306" s="18"/>
      <c r="AG306" s="18" t="s">
        <v>1507</v>
      </c>
      <c r="AH306" s="18" t="s">
        <v>178</v>
      </c>
    </row>
    <row r="307" spans="1:34" ht="27" customHeight="1">
      <c r="A307" s="105" t="s">
        <v>1566</v>
      </c>
      <c r="B307" s="51" t="s">
        <v>1567</v>
      </c>
      <c r="C307" s="51" t="s">
        <v>1568</v>
      </c>
      <c r="D307" s="51" t="s">
        <v>139</v>
      </c>
      <c r="E307" s="51" t="s">
        <v>63</v>
      </c>
      <c r="F307" s="51" t="s">
        <v>140</v>
      </c>
      <c r="G307" s="108" t="s">
        <v>63</v>
      </c>
      <c r="H307" s="52" t="s">
        <v>1569</v>
      </c>
      <c r="I307" s="51"/>
      <c r="J307" s="51" t="s">
        <v>1309</v>
      </c>
      <c r="K307" s="18"/>
      <c r="L307" s="110">
        <v>2674782</v>
      </c>
      <c r="M307" s="110">
        <v>2674782</v>
      </c>
      <c r="N307" s="18"/>
      <c r="O307" s="18" t="b">
        <f>VLOOKUP(A307,[1]Model!C$2:J$559,2,FALSE)=B307</f>
        <v>1</v>
      </c>
      <c r="P307" s="18" t="e">
        <f>VLOOKUP(A307,[2]Model!C$2:G$208,5,FALSE)=D307</f>
        <v>#N/A</v>
      </c>
      <c r="Q307" s="18" t="e">
        <f>VLOOKUP(A307,[2]Model!C$2:L$228,8,FALSE)</f>
        <v>#N/A</v>
      </c>
      <c r="R307" s="18" t="e">
        <f>VLOOKUP(A307,[2]Model!C$2:G$228,3,FALSE)=[3]!Table14[[#This Row],[Business Definition (To go into comments and into Meta Data Hub)]]</f>
        <v>#N/A</v>
      </c>
      <c r="S307" s="18" t="e">
        <f>IF([3]!Table14[[#This Row],[Nullable in Table and in Oracle View
NULL, NOT NULL]]="No","NOT NULL","NULL")=VLOOKUP(A307,[2]Model!C$2:I$228,6,FALSE)</f>
        <v>#REF!</v>
      </c>
      <c r="T307" s="58" t="e">
        <f>VLOOKUP(B307,[2]Table!A$2:F$415,1,FALSE)=[3]!Table14[[#This Row],[Physical Name of Attribute (Name of column in Table)
Supplied by DA Team]]</f>
        <v>#N/A</v>
      </c>
      <c r="U307" s="58" t="e">
        <f>VLOOKUP(B307,[2]Table!A$2:F$319,2,FALSE)=[4]!Table14[[#This Row],[Data type in Oracle
VARCHAR2(n), DATE, NUMBER(m,n), TIMETSTAMP(6)]]</f>
        <v>#N/A</v>
      </c>
      <c r="V307" s="58" t="e">
        <f>VLOOKUP(B307,[2]Table!A$2:F$231,3,FALSE)=[4]!Table14[[#This Row],[Nullable in Table and in Oracle View
NULL, NOT NULL]]</f>
        <v>#N/A</v>
      </c>
      <c r="W307" s="58" t="e">
        <f>VLOOKUP(B307,[2]Table!A$2:H$228,6,FALSE)=[4]!Table14[[#This Row],[Business Definition (To go into comments and into Meta Data Hub)]]</f>
        <v>#N/A</v>
      </c>
      <c r="X307" s="58" t="e">
        <f>VLOOKUP((UPPER(SUBSTITUTE(A307," ","_"))),'[2]Consumer View'!A$2:I$329,1,FALSE)</f>
        <v>#N/A</v>
      </c>
      <c r="Y307" s="51" t="s">
        <v>1503</v>
      </c>
      <c r="Z307" s="51" t="s">
        <v>203</v>
      </c>
      <c r="AA307" s="51" t="s">
        <v>1570</v>
      </c>
      <c r="AB307" s="18"/>
      <c r="AC307" s="18"/>
      <c r="AD307" s="51" t="s">
        <v>1571</v>
      </c>
      <c r="AE307" s="46"/>
      <c r="AF307" s="18"/>
      <c r="AG307" s="18" t="s">
        <v>1572</v>
      </c>
      <c r="AH307" s="18" t="s">
        <v>178</v>
      </c>
    </row>
    <row r="308" spans="1:34" ht="27" customHeight="1">
      <c r="A308" s="105" t="s">
        <v>1573</v>
      </c>
      <c r="B308" s="51" t="s">
        <v>1574</v>
      </c>
      <c r="C308" s="51" t="s">
        <v>1575</v>
      </c>
      <c r="D308" s="51" t="s">
        <v>139</v>
      </c>
      <c r="E308" s="51" t="s">
        <v>63</v>
      </c>
      <c r="F308" s="51" t="s">
        <v>140</v>
      </c>
      <c r="G308" s="108" t="s">
        <v>63</v>
      </c>
      <c r="H308" s="52" t="s">
        <v>1576</v>
      </c>
      <c r="I308" s="51"/>
      <c r="J308" s="51" t="s">
        <v>1309</v>
      </c>
      <c r="K308" s="18"/>
      <c r="L308" s="110">
        <v>2674782</v>
      </c>
      <c r="M308" s="110">
        <v>2674782</v>
      </c>
      <c r="N308" s="18"/>
      <c r="O308" s="18" t="b">
        <f>VLOOKUP(A308,[1]Model!C$2:J$559,2,FALSE)=B308</f>
        <v>1</v>
      </c>
      <c r="P308" s="18" t="e">
        <f>VLOOKUP(A308,[2]Model!C$2:G$208,5,FALSE)=D308</f>
        <v>#N/A</v>
      </c>
      <c r="Q308" s="18" t="e">
        <f>VLOOKUP(A308,[2]Model!C$2:L$228,8,FALSE)</f>
        <v>#N/A</v>
      </c>
      <c r="R308" s="18" t="e">
        <f>VLOOKUP(A308,[2]Model!C$2:G$228,3,FALSE)=[3]!Table14[[#This Row],[Business Definition (To go into comments and into Meta Data Hub)]]</f>
        <v>#N/A</v>
      </c>
      <c r="S308" s="18" t="e">
        <f>IF([3]!Table14[[#This Row],[Nullable in Table and in Oracle View
NULL, NOT NULL]]="No","NOT NULL","NULL")=VLOOKUP(A308,[2]Model!C$2:I$228,6,FALSE)</f>
        <v>#REF!</v>
      </c>
      <c r="T308" s="58" t="e">
        <f>VLOOKUP(B308,[2]Table!A$2:F$415,1,FALSE)=[3]!Table14[[#This Row],[Physical Name of Attribute (Name of column in Table)
Supplied by DA Team]]</f>
        <v>#N/A</v>
      </c>
      <c r="U308" s="58" t="e">
        <f>VLOOKUP(B308,[2]Table!A$2:F$319,2,FALSE)=[4]!Table14[[#This Row],[Data type in Oracle
VARCHAR2(n), DATE, NUMBER(m,n), TIMETSTAMP(6)]]</f>
        <v>#N/A</v>
      </c>
      <c r="V308" s="58" t="e">
        <f>VLOOKUP(B308,[2]Table!A$2:F$231,3,FALSE)=[4]!Table14[[#This Row],[Nullable in Table and in Oracle View
NULL, NOT NULL]]</f>
        <v>#N/A</v>
      </c>
      <c r="W308" s="58" t="e">
        <f>VLOOKUP(B308,[2]Table!A$2:H$228,6,FALSE)=[4]!Table14[[#This Row],[Business Definition (To go into comments and into Meta Data Hub)]]</f>
        <v>#N/A</v>
      </c>
      <c r="X308" s="58" t="e">
        <f>VLOOKUP((UPPER(SUBSTITUTE(A308," ","_"))),'[2]Consumer View'!A$2:I$329,1,FALSE)</f>
        <v>#N/A</v>
      </c>
      <c r="Y308" s="51" t="s">
        <v>1503</v>
      </c>
      <c r="Z308" s="51" t="s">
        <v>203</v>
      </c>
      <c r="AA308" s="51" t="s">
        <v>1577</v>
      </c>
      <c r="AB308" s="18"/>
      <c r="AC308" s="18"/>
      <c r="AD308" s="51" t="s">
        <v>1571</v>
      </c>
      <c r="AE308" s="46"/>
      <c r="AF308" s="18"/>
      <c r="AG308" s="18" t="s">
        <v>1572</v>
      </c>
      <c r="AH308" s="18" t="s">
        <v>178</v>
      </c>
    </row>
    <row r="309" spans="1:34" ht="27" customHeight="1">
      <c r="A309" s="105" t="s">
        <v>1578</v>
      </c>
      <c r="B309" s="51" t="s">
        <v>1579</v>
      </c>
      <c r="C309" s="51" t="s">
        <v>1580</v>
      </c>
      <c r="D309" s="51" t="s">
        <v>120</v>
      </c>
      <c r="E309" s="51" t="s">
        <v>63</v>
      </c>
      <c r="F309" s="51" t="s">
        <v>121</v>
      </c>
      <c r="G309" s="108" t="s">
        <v>63</v>
      </c>
      <c r="H309" s="52" t="s">
        <v>1581</v>
      </c>
      <c r="I309" s="51"/>
      <c r="J309" s="51" t="s">
        <v>1309</v>
      </c>
      <c r="K309" s="18"/>
      <c r="L309" s="110">
        <v>2674782</v>
      </c>
      <c r="M309" s="110">
        <v>2674782</v>
      </c>
      <c r="N309" s="18"/>
      <c r="O309" s="18" t="b">
        <f>VLOOKUP(A309,[1]Model!C$2:J$559,2,FALSE)=B309</f>
        <v>1</v>
      </c>
      <c r="P309" s="18" t="e">
        <f>VLOOKUP(A309,[2]Model!C$2:G$208,5,FALSE)=D309</f>
        <v>#N/A</v>
      </c>
      <c r="Q309" s="18" t="e">
        <f>VLOOKUP(A309,[2]Model!C$2:L$228,8,FALSE)</f>
        <v>#N/A</v>
      </c>
      <c r="R309" s="18" t="e">
        <f>VLOOKUP(A309,[2]Model!C$2:G$228,3,FALSE)=[3]!Table14[[#This Row],[Business Definition (To go into comments and into Meta Data Hub)]]</f>
        <v>#N/A</v>
      </c>
      <c r="S309" s="18" t="e">
        <f>IF([3]!Table14[[#This Row],[Nullable in Table and in Oracle View
NULL, NOT NULL]]="No","NOT NULL","NULL")=VLOOKUP(A309,[2]Model!C$2:I$228,6,FALSE)</f>
        <v>#REF!</v>
      </c>
      <c r="T309" s="58" t="e">
        <f>VLOOKUP(B309,[2]Table!A$2:F$415,1,FALSE)=[3]!Table14[[#This Row],[Physical Name of Attribute (Name of column in Table)
Supplied by DA Team]]</f>
        <v>#N/A</v>
      </c>
      <c r="U309" s="58" t="e">
        <f>VLOOKUP(B309,[2]Table!A$2:F$319,2,FALSE)=[4]!Table14[[#This Row],[Data type in Oracle
VARCHAR2(n), DATE, NUMBER(m,n), TIMETSTAMP(6)]]</f>
        <v>#N/A</v>
      </c>
      <c r="V309" s="58" t="e">
        <f>VLOOKUP(B309,[2]Table!A$2:F$231,3,FALSE)=[4]!Table14[[#This Row],[Nullable in Table and in Oracle View
NULL, NOT NULL]]</f>
        <v>#N/A</v>
      </c>
      <c r="W309" s="58" t="e">
        <f>VLOOKUP(B309,[2]Table!A$2:H$228,6,FALSE)=[4]!Table14[[#This Row],[Business Definition (To go into comments and into Meta Data Hub)]]</f>
        <v>#N/A</v>
      </c>
      <c r="X309" s="58" t="e">
        <f>VLOOKUP((UPPER(SUBSTITUTE(A309," ","_"))),'[2]Consumer View'!A$2:I$329,1,FALSE)</f>
        <v>#N/A</v>
      </c>
      <c r="Y309" s="51" t="s">
        <v>1503</v>
      </c>
      <c r="Z309" s="51" t="s">
        <v>203</v>
      </c>
      <c r="AA309" s="51" t="s">
        <v>1582</v>
      </c>
      <c r="AB309" s="18"/>
      <c r="AC309" s="18"/>
      <c r="AD309" s="51" t="s">
        <v>1571</v>
      </c>
      <c r="AE309" s="46"/>
      <c r="AF309" s="18"/>
      <c r="AG309" s="18" t="s">
        <v>1572</v>
      </c>
      <c r="AH309" s="18" t="s">
        <v>178</v>
      </c>
    </row>
    <row r="310" spans="1:34" ht="27" customHeight="1">
      <c r="A310" s="105" t="s">
        <v>1583</v>
      </c>
      <c r="B310" s="51" t="s">
        <v>1584</v>
      </c>
      <c r="C310" s="51" t="s">
        <v>1585</v>
      </c>
      <c r="D310" s="51" t="s">
        <v>120</v>
      </c>
      <c r="E310" s="51" t="s">
        <v>63</v>
      </c>
      <c r="F310" s="51" t="s">
        <v>121</v>
      </c>
      <c r="G310" s="108" t="s">
        <v>63</v>
      </c>
      <c r="H310" s="52" t="s">
        <v>1586</v>
      </c>
      <c r="I310" s="51"/>
      <c r="J310" s="51" t="s">
        <v>1309</v>
      </c>
      <c r="K310" s="18"/>
      <c r="L310" s="110">
        <v>2674782</v>
      </c>
      <c r="M310" s="110">
        <v>2674782</v>
      </c>
      <c r="N310" s="18"/>
      <c r="O310" s="18" t="b">
        <f>VLOOKUP(A310,[1]Model!C$2:J$559,2,FALSE)=B310</f>
        <v>1</v>
      </c>
      <c r="P310" s="18" t="e">
        <f>VLOOKUP(A310,[2]Model!C$2:G$208,5,FALSE)=D310</f>
        <v>#N/A</v>
      </c>
      <c r="Q310" s="18" t="e">
        <f>VLOOKUP(A310,[2]Model!C$2:L$228,8,FALSE)</f>
        <v>#N/A</v>
      </c>
      <c r="R310" s="18" t="e">
        <f>VLOOKUP(A310,[2]Model!C$2:G$228,3,FALSE)=[3]!Table14[[#This Row],[Business Definition (To go into comments and into Meta Data Hub)]]</f>
        <v>#N/A</v>
      </c>
      <c r="S310" s="18" t="e">
        <f>IF([3]!Table14[[#This Row],[Nullable in Table and in Oracle View
NULL, NOT NULL]]="No","NOT NULL","NULL")=VLOOKUP(A310,[2]Model!C$2:I$228,6,FALSE)</f>
        <v>#REF!</v>
      </c>
      <c r="T310" s="58" t="e">
        <f>VLOOKUP(B310,[2]Table!A$2:F$415,1,FALSE)=[3]!Table14[[#This Row],[Physical Name of Attribute (Name of column in Table)
Supplied by DA Team]]</f>
        <v>#N/A</v>
      </c>
      <c r="U310" s="58" t="e">
        <f>VLOOKUP(B310,[2]Table!A$2:F$319,2,FALSE)=[4]!Table14[[#This Row],[Data type in Oracle
VARCHAR2(n), DATE, NUMBER(m,n), TIMETSTAMP(6)]]</f>
        <v>#N/A</v>
      </c>
      <c r="V310" s="58" t="e">
        <f>VLOOKUP(B310,[2]Table!A$2:F$231,3,FALSE)=[4]!Table14[[#This Row],[Nullable in Table and in Oracle View
NULL, NOT NULL]]</f>
        <v>#N/A</v>
      </c>
      <c r="W310" s="58" t="e">
        <f>VLOOKUP(B310,[2]Table!A$2:H$228,6,FALSE)=[4]!Table14[[#This Row],[Business Definition (To go into comments and into Meta Data Hub)]]</f>
        <v>#N/A</v>
      </c>
      <c r="X310" s="58" t="e">
        <f>VLOOKUP((UPPER(SUBSTITUTE(A310," ","_"))),'[2]Consumer View'!A$2:I$329,1,FALSE)</f>
        <v>#N/A</v>
      </c>
      <c r="Y310" s="51" t="s">
        <v>1503</v>
      </c>
      <c r="Z310" s="51" t="s">
        <v>203</v>
      </c>
      <c r="AA310" s="51" t="s">
        <v>1587</v>
      </c>
      <c r="AB310" s="18"/>
      <c r="AC310" s="18"/>
      <c r="AD310" s="51" t="s">
        <v>1571</v>
      </c>
      <c r="AE310" s="46"/>
      <c r="AF310" s="18"/>
      <c r="AG310" s="18" t="s">
        <v>1572</v>
      </c>
      <c r="AH310" s="18" t="s">
        <v>178</v>
      </c>
    </row>
    <row r="311" spans="1:34" ht="27" customHeight="1">
      <c r="A311" s="105" t="s">
        <v>1588</v>
      </c>
      <c r="B311" s="51" t="s">
        <v>1589</v>
      </c>
      <c r="C311" s="51" t="s">
        <v>1590</v>
      </c>
      <c r="D311" s="51" t="s">
        <v>120</v>
      </c>
      <c r="E311" s="51" t="s">
        <v>63</v>
      </c>
      <c r="F311" s="51" t="s">
        <v>121</v>
      </c>
      <c r="G311" s="108" t="s">
        <v>63</v>
      </c>
      <c r="H311" s="52" t="s">
        <v>1591</v>
      </c>
      <c r="I311" s="51"/>
      <c r="J311" s="51" t="s">
        <v>1309</v>
      </c>
      <c r="K311" s="18"/>
      <c r="L311" s="110">
        <v>2674782</v>
      </c>
      <c r="M311" s="110">
        <v>2674782</v>
      </c>
      <c r="N311" s="18"/>
      <c r="O311" s="18" t="b">
        <f>VLOOKUP(A311,[1]Model!C$2:J$559,2,FALSE)=B311</f>
        <v>1</v>
      </c>
      <c r="P311" s="18" t="e">
        <f>VLOOKUP(A311,[2]Model!C$2:G$208,5,FALSE)=D311</f>
        <v>#N/A</v>
      </c>
      <c r="Q311" s="18" t="e">
        <f>VLOOKUP(A311,[2]Model!C$2:L$228,8,FALSE)</f>
        <v>#N/A</v>
      </c>
      <c r="R311" s="18" t="e">
        <f>VLOOKUP(A311,[2]Model!C$2:G$228,3,FALSE)=[3]!Table14[[#This Row],[Business Definition (To go into comments and into Meta Data Hub)]]</f>
        <v>#N/A</v>
      </c>
      <c r="S311" s="18" t="e">
        <f>IF([3]!Table14[[#This Row],[Nullable in Table and in Oracle View
NULL, NOT NULL]]="No","NOT NULL","NULL")=VLOOKUP(A311,[2]Model!C$2:I$228,6,FALSE)</f>
        <v>#REF!</v>
      </c>
      <c r="T311" s="58" t="e">
        <f>VLOOKUP(B311,[2]Table!A$2:F$415,1,FALSE)=[3]!Table14[[#This Row],[Physical Name of Attribute (Name of column in Table)
Supplied by DA Team]]</f>
        <v>#N/A</v>
      </c>
      <c r="U311" s="58" t="e">
        <f>VLOOKUP(B311,[2]Table!A$2:F$319,2,FALSE)=[4]!Table14[[#This Row],[Data type in Oracle
VARCHAR2(n), DATE, NUMBER(m,n), TIMETSTAMP(6)]]</f>
        <v>#N/A</v>
      </c>
      <c r="V311" s="58" t="e">
        <f>VLOOKUP(B311,[2]Table!A$2:F$231,3,FALSE)=[4]!Table14[[#This Row],[Nullable in Table and in Oracle View
NULL, NOT NULL]]</f>
        <v>#N/A</v>
      </c>
      <c r="W311" s="58" t="e">
        <f>VLOOKUP(B311,[2]Table!A$2:H$228,6,FALSE)=[4]!Table14[[#This Row],[Business Definition (To go into comments and into Meta Data Hub)]]</f>
        <v>#N/A</v>
      </c>
      <c r="X311" s="58" t="e">
        <f>VLOOKUP((UPPER(SUBSTITUTE(A311," ","_"))),'[2]Consumer View'!A$2:I$329,1,FALSE)</f>
        <v>#N/A</v>
      </c>
      <c r="Y311" s="51" t="s">
        <v>1503</v>
      </c>
      <c r="Z311" s="51" t="s">
        <v>203</v>
      </c>
      <c r="AA311" s="51" t="s">
        <v>1592</v>
      </c>
      <c r="AB311" s="18"/>
      <c r="AC311" s="18"/>
      <c r="AD311" s="51" t="s">
        <v>1571</v>
      </c>
      <c r="AE311" s="46"/>
      <c r="AF311" s="18"/>
      <c r="AG311" s="18" t="s">
        <v>1572</v>
      </c>
      <c r="AH311" s="18" t="s">
        <v>178</v>
      </c>
    </row>
    <row r="312" spans="1:34" ht="27" customHeight="1">
      <c r="A312" s="105" t="s">
        <v>1593</v>
      </c>
      <c r="B312" s="51" t="s">
        <v>1594</v>
      </c>
      <c r="C312" s="51" t="s">
        <v>1595</v>
      </c>
      <c r="D312" s="51" t="s">
        <v>519</v>
      </c>
      <c r="E312" s="51" t="s">
        <v>63</v>
      </c>
      <c r="F312" s="51" t="s">
        <v>520</v>
      </c>
      <c r="G312" s="108" t="s">
        <v>63</v>
      </c>
      <c r="H312" s="52" t="s">
        <v>1596</v>
      </c>
      <c r="I312" s="51"/>
      <c r="J312" s="51" t="s">
        <v>1309</v>
      </c>
      <c r="K312" s="18"/>
      <c r="L312" s="110">
        <v>2674782</v>
      </c>
      <c r="M312" s="110">
        <v>2674782</v>
      </c>
      <c r="N312" s="18"/>
      <c r="O312" s="18" t="b">
        <f>VLOOKUP(A312,[1]Model!C$2:J$559,2,FALSE)=B312</f>
        <v>1</v>
      </c>
      <c r="P312" s="18" t="e">
        <f>VLOOKUP(A312,[2]Model!C$2:G$208,5,FALSE)=D312</f>
        <v>#N/A</v>
      </c>
      <c r="Q312" s="18" t="e">
        <f>VLOOKUP(A312,[2]Model!C$2:L$228,8,FALSE)</f>
        <v>#N/A</v>
      </c>
      <c r="R312" s="18" t="e">
        <f>VLOOKUP(A312,[2]Model!C$2:G$228,3,FALSE)=[3]!Table14[[#This Row],[Business Definition (To go into comments and into Meta Data Hub)]]</f>
        <v>#N/A</v>
      </c>
      <c r="S312" s="18" t="e">
        <f>IF([3]!Table14[[#This Row],[Nullable in Table and in Oracle View
NULL, NOT NULL]]="No","NOT NULL","NULL")=VLOOKUP(A312,[2]Model!C$2:I$228,6,FALSE)</f>
        <v>#REF!</v>
      </c>
      <c r="T312" s="58" t="e">
        <f>VLOOKUP(B312,[2]Table!A$2:F$415,1,FALSE)=[3]!Table14[[#This Row],[Physical Name of Attribute (Name of column in Table)
Supplied by DA Team]]</f>
        <v>#N/A</v>
      </c>
      <c r="U312" s="58" t="e">
        <f>VLOOKUP(B312,[2]Table!A$2:F$319,2,FALSE)=[4]!Table14[[#This Row],[Data type in Oracle
VARCHAR2(n), DATE, NUMBER(m,n), TIMETSTAMP(6)]]</f>
        <v>#N/A</v>
      </c>
      <c r="V312" s="58" t="e">
        <f>VLOOKUP(B312,[2]Table!A$2:F$231,3,FALSE)=[4]!Table14[[#This Row],[Nullable in Table and in Oracle View
NULL, NOT NULL]]</f>
        <v>#N/A</v>
      </c>
      <c r="W312" s="58" t="e">
        <f>VLOOKUP(B312,[2]Table!A$2:H$228,6,FALSE)=[4]!Table14[[#This Row],[Business Definition (To go into comments and into Meta Data Hub)]]</f>
        <v>#N/A</v>
      </c>
      <c r="X312" s="58" t="e">
        <f>VLOOKUP((UPPER(SUBSTITUTE(A312," ","_"))),'[2]Consumer View'!A$2:I$329,1,FALSE)</f>
        <v>#N/A</v>
      </c>
      <c r="Y312" s="51" t="s">
        <v>1503</v>
      </c>
      <c r="Z312" s="51" t="s">
        <v>203</v>
      </c>
      <c r="AA312" s="51" t="s">
        <v>1597</v>
      </c>
      <c r="AB312" s="18"/>
      <c r="AC312" s="18"/>
      <c r="AD312" s="51" t="s">
        <v>1571</v>
      </c>
      <c r="AE312" s="46"/>
      <c r="AF312" s="18"/>
      <c r="AG312" s="18" t="s">
        <v>1572</v>
      </c>
      <c r="AH312" s="18" t="s">
        <v>178</v>
      </c>
    </row>
    <row r="313" spans="1:34" ht="27" customHeight="1">
      <c r="A313" s="105" t="s">
        <v>1598</v>
      </c>
      <c r="B313" s="51" t="s">
        <v>1599</v>
      </c>
      <c r="C313" s="51" t="s">
        <v>1600</v>
      </c>
      <c r="D313" s="51" t="s">
        <v>62</v>
      </c>
      <c r="E313" s="51" t="s">
        <v>63</v>
      </c>
      <c r="F313" s="51" t="s">
        <v>64</v>
      </c>
      <c r="G313" s="108" t="s">
        <v>63</v>
      </c>
      <c r="H313" s="52" t="s">
        <v>1601</v>
      </c>
      <c r="I313" s="51"/>
      <c r="J313" s="51" t="s">
        <v>1309</v>
      </c>
      <c r="K313" s="18"/>
      <c r="L313" s="110">
        <v>2674782</v>
      </c>
      <c r="M313" s="110">
        <v>2674782</v>
      </c>
      <c r="N313" s="18"/>
      <c r="O313" s="18" t="b">
        <f>VLOOKUP(A313,[1]Model!C$2:J$559,2,FALSE)=B313</f>
        <v>1</v>
      </c>
      <c r="P313" s="18" t="e">
        <f>VLOOKUP(A313,[2]Model!C$2:G$208,5,FALSE)=D313</f>
        <v>#N/A</v>
      </c>
      <c r="Q313" s="18" t="e">
        <f>VLOOKUP(A313,[2]Model!C$2:L$228,8,FALSE)</f>
        <v>#N/A</v>
      </c>
      <c r="R313" s="18" t="e">
        <f>VLOOKUP(A313,[2]Model!C$2:G$228,3,FALSE)=[3]!Table14[[#This Row],[Business Definition (To go into comments and into Meta Data Hub)]]</f>
        <v>#N/A</v>
      </c>
      <c r="S313" s="18" t="e">
        <f>IF([3]!Table14[[#This Row],[Nullable in Table and in Oracle View
NULL, NOT NULL]]="No","NOT NULL","NULL")=VLOOKUP(A313,[2]Model!C$2:I$228,6,FALSE)</f>
        <v>#REF!</v>
      </c>
      <c r="T313" s="58" t="e">
        <f>VLOOKUP(B313,[2]Table!A$2:F$415,1,FALSE)=[3]!Table14[[#This Row],[Physical Name of Attribute (Name of column in Table)
Supplied by DA Team]]</f>
        <v>#N/A</v>
      </c>
      <c r="U313" s="58" t="e">
        <f>VLOOKUP(B313,[2]Table!A$2:F$319,2,FALSE)=[4]!Table14[[#This Row],[Data type in Oracle
VARCHAR2(n), DATE, NUMBER(m,n), TIMETSTAMP(6)]]</f>
        <v>#N/A</v>
      </c>
      <c r="V313" s="58" t="e">
        <f>VLOOKUP(B313,[2]Table!A$2:F$231,3,FALSE)=[4]!Table14[[#This Row],[Nullable in Table and in Oracle View
NULL, NOT NULL]]</f>
        <v>#N/A</v>
      </c>
      <c r="W313" s="58" t="e">
        <f>VLOOKUP(B313,[2]Table!A$2:H$228,6,FALSE)=[4]!Table14[[#This Row],[Business Definition (To go into comments and into Meta Data Hub)]]</f>
        <v>#N/A</v>
      </c>
      <c r="X313" s="58" t="e">
        <f>VLOOKUP((UPPER(SUBSTITUTE(A313," ","_"))),'[2]Consumer View'!A$2:I$329,1,FALSE)</f>
        <v>#N/A</v>
      </c>
      <c r="Y313" s="51" t="s">
        <v>1503</v>
      </c>
      <c r="Z313" s="51" t="s">
        <v>203</v>
      </c>
      <c r="AA313" s="51" t="s">
        <v>1602</v>
      </c>
      <c r="AB313" s="18"/>
      <c r="AC313" s="18"/>
      <c r="AD313" s="51" t="s">
        <v>1571</v>
      </c>
      <c r="AE313" s="46"/>
      <c r="AF313" s="18"/>
      <c r="AG313" s="18" t="s">
        <v>1572</v>
      </c>
      <c r="AH313" s="18" t="s">
        <v>178</v>
      </c>
    </row>
    <row r="314" spans="1:34" ht="27" customHeight="1">
      <c r="A314" s="105" t="s">
        <v>1603</v>
      </c>
      <c r="B314" s="51" t="s">
        <v>1604</v>
      </c>
      <c r="C314" s="51" t="s">
        <v>1605</v>
      </c>
      <c r="D314" s="51" t="s">
        <v>120</v>
      </c>
      <c r="E314" s="51" t="s">
        <v>63</v>
      </c>
      <c r="F314" s="51" t="s">
        <v>121</v>
      </c>
      <c r="G314" s="108" t="s">
        <v>63</v>
      </c>
      <c r="H314" s="52" t="s">
        <v>1606</v>
      </c>
      <c r="I314" s="51"/>
      <c r="J314" s="51" t="s">
        <v>1309</v>
      </c>
      <c r="K314" s="18"/>
      <c r="L314" s="110">
        <v>2674782</v>
      </c>
      <c r="M314" s="110">
        <v>2674782</v>
      </c>
      <c r="N314" s="18"/>
      <c r="O314" s="18" t="b">
        <f>VLOOKUP(A314,[1]Model!C$2:J$559,2,FALSE)=B314</f>
        <v>1</v>
      </c>
      <c r="P314" s="18" t="e">
        <f>VLOOKUP(A314,[2]Model!C$2:G$208,5,FALSE)=D314</f>
        <v>#N/A</v>
      </c>
      <c r="Q314" s="18" t="e">
        <f>VLOOKUP(A314,[2]Model!C$2:L$228,8,FALSE)</f>
        <v>#N/A</v>
      </c>
      <c r="R314" s="18" t="e">
        <f>VLOOKUP(A314,[2]Model!C$2:G$228,3,FALSE)=[3]!Table14[[#This Row],[Business Definition (To go into comments and into Meta Data Hub)]]</f>
        <v>#N/A</v>
      </c>
      <c r="S314" s="18" t="e">
        <f>IF([3]!Table14[[#This Row],[Nullable in Table and in Oracle View
NULL, NOT NULL]]="No","NOT NULL","NULL")=VLOOKUP(A314,[2]Model!C$2:I$228,6,FALSE)</f>
        <v>#REF!</v>
      </c>
      <c r="T314" s="58" t="e">
        <f>VLOOKUP(B314,[2]Table!A$2:F$415,1,FALSE)=[3]!Table14[[#This Row],[Physical Name of Attribute (Name of column in Table)
Supplied by DA Team]]</f>
        <v>#N/A</v>
      </c>
      <c r="U314" s="58" t="e">
        <f>VLOOKUP(B314,[2]Table!A$2:F$319,2,FALSE)=[4]!Table14[[#This Row],[Data type in Oracle
VARCHAR2(n), DATE, NUMBER(m,n), TIMETSTAMP(6)]]</f>
        <v>#N/A</v>
      </c>
      <c r="V314" s="58" t="e">
        <f>VLOOKUP(B314,[2]Table!A$2:F$231,3,FALSE)=[4]!Table14[[#This Row],[Nullable in Table and in Oracle View
NULL, NOT NULL]]</f>
        <v>#N/A</v>
      </c>
      <c r="W314" s="58" t="e">
        <f>VLOOKUP(B314,[2]Table!A$2:H$228,6,FALSE)=[4]!Table14[[#This Row],[Business Definition (To go into comments and into Meta Data Hub)]]</f>
        <v>#N/A</v>
      </c>
      <c r="X314" s="58" t="e">
        <f>VLOOKUP((UPPER(SUBSTITUTE(A314," ","_"))),'[2]Consumer View'!A$2:I$329,1,FALSE)</f>
        <v>#N/A</v>
      </c>
      <c r="Y314" s="51" t="s">
        <v>1503</v>
      </c>
      <c r="Z314" s="51" t="s">
        <v>1607</v>
      </c>
      <c r="AA314" s="51" t="s">
        <v>1608</v>
      </c>
      <c r="AB314" s="18"/>
      <c r="AC314" s="18"/>
      <c r="AD314" s="51" t="s">
        <v>1609</v>
      </c>
      <c r="AE314" s="46"/>
      <c r="AF314" s="18"/>
      <c r="AG314" s="18" t="s">
        <v>1572</v>
      </c>
      <c r="AH314" s="18" t="s">
        <v>178</v>
      </c>
    </row>
    <row r="315" spans="1:34" ht="27" customHeight="1">
      <c r="A315" s="105" t="s">
        <v>1610</v>
      </c>
      <c r="B315" s="51" t="s">
        <v>1611</v>
      </c>
      <c r="C315" s="51" t="s">
        <v>1612</v>
      </c>
      <c r="D315" s="51" t="s">
        <v>120</v>
      </c>
      <c r="E315" s="51" t="s">
        <v>63</v>
      </c>
      <c r="F315" s="51" t="s">
        <v>121</v>
      </c>
      <c r="G315" s="108" t="s">
        <v>63</v>
      </c>
      <c r="H315" s="52" t="s">
        <v>1613</v>
      </c>
      <c r="I315" s="51"/>
      <c r="J315" s="51" t="s">
        <v>1309</v>
      </c>
      <c r="K315" s="18"/>
      <c r="L315" s="110">
        <v>2674782</v>
      </c>
      <c r="M315" s="110">
        <v>2674782</v>
      </c>
      <c r="N315" s="18"/>
      <c r="O315" s="18" t="b">
        <f>VLOOKUP(A315,[1]Model!C$2:J$559,2,FALSE)=B315</f>
        <v>1</v>
      </c>
      <c r="P315" s="18" t="e">
        <f>VLOOKUP(A315,[2]Model!C$2:G$208,5,FALSE)=D315</f>
        <v>#N/A</v>
      </c>
      <c r="Q315" s="18" t="e">
        <f>VLOOKUP(A315,[2]Model!C$2:L$228,8,FALSE)</f>
        <v>#N/A</v>
      </c>
      <c r="R315" s="18" t="e">
        <f>VLOOKUP(A315,[2]Model!C$2:G$228,3,FALSE)=[3]!Table14[[#This Row],[Business Definition (To go into comments and into Meta Data Hub)]]</f>
        <v>#N/A</v>
      </c>
      <c r="S315" s="18" t="e">
        <f>IF([3]!Table14[[#This Row],[Nullable in Table and in Oracle View
NULL, NOT NULL]]="No","NOT NULL","NULL")=VLOOKUP(A315,[2]Model!C$2:I$228,6,FALSE)</f>
        <v>#REF!</v>
      </c>
      <c r="T315" s="58" t="e">
        <f>VLOOKUP(B315,[2]Table!A$2:F$415,1,FALSE)=[3]!Table14[[#This Row],[Physical Name of Attribute (Name of column in Table)
Supplied by DA Team]]</f>
        <v>#N/A</v>
      </c>
      <c r="U315" s="58" t="e">
        <f>VLOOKUP(B315,[2]Table!A$2:F$319,2,FALSE)=[4]!Table14[[#This Row],[Data type in Oracle
VARCHAR2(n), DATE, NUMBER(m,n), TIMETSTAMP(6)]]</f>
        <v>#N/A</v>
      </c>
      <c r="V315" s="58" t="e">
        <f>VLOOKUP(B315,[2]Table!A$2:F$231,3,FALSE)=[4]!Table14[[#This Row],[Nullable in Table and in Oracle View
NULL, NOT NULL]]</f>
        <v>#N/A</v>
      </c>
      <c r="W315" s="58" t="e">
        <f>VLOOKUP(B315,[2]Table!A$2:H$228,6,FALSE)=[4]!Table14[[#This Row],[Business Definition (To go into comments and into Meta Data Hub)]]</f>
        <v>#N/A</v>
      </c>
      <c r="X315" s="58" t="e">
        <f>VLOOKUP((UPPER(SUBSTITUTE(A315," ","_"))),'[2]Consumer View'!A$2:I$329,1,FALSE)</f>
        <v>#N/A</v>
      </c>
      <c r="Y315" s="51" t="s">
        <v>1503</v>
      </c>
      <c r="Z315" s="51" t="s">
        <v>1607</v>
      </c>
      <c r="AA315" s="51" t="s">
        <v>1614</v>
      </c>
      <c r="AB315" s="18"/>
      <c r="AC315" s="18"/>
      <c r="AD315" s="51" t="s">
        <v>1609</v>
      </c>
      <c r="AE315" s="46"/>
      <c r="AF315" s="18"/>
      <c r="AG315" s="18" t="s">
        <v>1572</v>
      </c>
      <c r="AH315" s="18" t="s">
        <v>178</v>
      </c>
    </row>
    <row r="316" spans="1:34" ht="27" customHeight="1">
      <c r="A316" s="105" t="s">
        <v>1615</v>
      </c>
      <c r="B316" s="51" t="s">
        <v>1616</v>
      </c>
      <c r="C316" s="51" t="s">
        <v>1617</v>
      </c>
      <c r="D316" s="51" t="s">
        <v>120</v>
      </c>
      <c r="E316" s="51" t="s">
        <v>63</v>
      </c>
      <c r="F316" s="51" t="s">
        <v>121</v>
      </c>
      <c r="G316" s="108" t="s">
        <v>63</v>
      </c>
      <c r="H316" s="52" t="s">
        <v>1618</v>
      </c>
      <c r="I316" s="51"/>
      <c r="J316" s="51" t="s">
        <v>1309</v>
      </c>
      <c r="K316" s="18"/>
      <c r="L316" s="110">
        <v>2674782</v>
      </c>
      <c r="M316" s="110">
        <v>2674782</v>
      </c>
      <c r="N316" s="18"/>
      <c r="O316" s="18" t="b">
        <f>VLOOKUP(A316,[1]Model!C$2:J$559,2,FALSE)=B316</f>
        <v>1</v>
      </c>
      <c r="P316" s="18" t="e">
        <f>VLOOKUP(A316,[2]Model!C$2:G$208,5,FALSE)=D316</f>
        <v>#N/A</v>
      </c>
      <c r="Q316" s="18" t="e">
        <f>VLOOKUP(A316,[2]Model!C$2:L$228,8,FALSE)</f>
        <v>#N/A</v>
      </c>
      <c r="R316" s="18" t="e">
        <f>VLOOKUP(A316,[2]Model!C$2:G$228,3,FALSE)=[3]!Table14[[#This Row],[Business Definition (To go into comments and into Meta Data Hub)]]</f>
        <v>#N/A</v>
      </c>
      <c r="S316" s="18" t="e">
        <f>IF([3]!Table14[[#This Row],[Nullable in Table and in Oracle View
NULL, NOT NULL]]="No","NOT NULL","NULL")=VLOOKUP(A316,[2]Model!C$2:I$228,6,FALSE)</f>
        <v>#REF!</v>
      </c>
      <c r="T316" s="58" t="e">
        <f>VLOOKUP(B316,[2]Table!A$2:F$415,1,FALSE)=[3]!Table14[[#This Row],[Physical Name of Attribute (Name of column in Table)
Supplied by DA Team]]</f>
        <v>#N/A</v>
      </c>
      <c r="U316" s="58" t="e">
        <f>VLOOKUP(B316,[2]Table!A$2:F$319,2,FALSE)=[4]!Table14[[#This Row],[Data type in Oracle
VARCHAR2(n), DATE, NUMBER(m,n), TIMETSTAMP(6)]]</f>
        <v>#N/A</v>
      </c>
      <c r="V316" s="58" t="e">
        <f>VLOOKUP(B316,[2]Table!A$2:F$231,3,FALSE)=[4]!Table14[[#This Row],[Nullable in Table and in Oracle View
NULL, NOT NULL]]</f>
        <v>#N/A</v>
      </c>
      <c r="W316" s="58" t="e">
        <f>VLOOKUP(B316,[2]Table!A$2:H$228,6,FALSE)=[4]!Table14[[#This Row],[Business Definition (To go into comments and into Meta Data Hub)]]</f>
        <v>#N/A</v>
      </c>
      <c r="X316" s="58" t="e">
        <f>VLOOKUP((UPPER(SUBSTITUTE(A316," ","_"))),'[2]Consumer View'!A$2:I$329,1,FALSE)</f>
        <v>#N/A</v>
      </c>
      <c r="Y316" s="51" t="s">
        <v>1503</v>
      </c>
      <c r="Z316" s="51" t="s">
        <v>1607</v>
      </c>
      <c r="AA316" s="51" t="s">
        <v>1619</v>
      </c>
      <c r="AB316" s="18"/>
      <c r="AC316" s="18"/>
      <c r="AD316" s="51" t="s">
        <v>1609</v>
      </c>
      <c r="AE316" s="46"/>
      <c r="AF316" s="18"/>
      <c r="AG316" s="18" t="s">
        <v>1572</v>
      </c>
      <c r="AH316" s="18" t="s">
        <v>178</v>
      </c>
    </row>
    <row r="317" spans="1:34" ht="27" customHeight="1">
      <c r="A317" s="105" t="s">
        <v>1620</v>
      </c>
      <c r="B317" s="51" t="s">
        <v>1621</v>
      </c>
      <c r="C317" s="51" t="s">
        <v>1622</v>
      </c>
      <c r="D317" s="51" t="s">
        <v>120</v>
      </c>
      <c r="E317" s="51" t="s">
        <v>63</v>
      </c>
      <c r="F317" s="51" t="s">
        <v>121</v>
      </c>
      <c r="G317" s="108" t="s">
        <v>63</v>
      </c>
      <c r="H317" s="52" t="s">
        <v>1623</v>
      </c>
      <c r="I317" s="51"/>
      <c r="J317" s="51" t="s">
        <v>1309</v>
      </c>
      <c r="K317" s="18"/>
      <c r="L317" s="110">
        <v>2674782</v>
      </c>
      <c r="M317" s="110">
        <v>2674782</v>
      </c>
      <c r="N317" s="18"/>
      <c r="O317" s="18" t="b">
        <f>VLOOKUP(A317,[1]Model!C$2:J$559,2,FALSE)=B317</f>
        <v>1</v>
      </c>
      <c r="P317" s="18" t="e">
        <f>VLOOKUP(A317,[2]Model!C$2:G$208,5,FALSE)=D317</f>
        <v>#N/A</v>
      </c>
      <c r="Q317" s="18" t="e">
        <f>VLOOKUP(A317,[2]Model!C$2:L$228,8,FALSE)</f>
        <v>#N/A</v>
      </c>
      <c r="R317" s="18" t="e">
        <f>VLOOKUP(A317,[2]Model!C$2:G$228,3,FALSE)=[3]!Table14[[#This Row],[Business Definition (To go into comments and into Meta Data Hub)]]</f>
        <v>#N/A</v>
      </c>
      <c r="S317" s="18" t="e">
        <f>IF([3]!Table14[[#This Row],[Nullable in Table and in Oracle View
NULL, NOT NULL]]="No","NOT NULL","NULL")=VLOOKUP(A317,[2]Model!C$2:I$228,6,FALSE)</f>
        <v>#REF!</v>
      </c>
      <c r="T317" s="58" t="e">
        <f>VLOOKUP(B317,[2]Table!A$2:F$415,1,FALSE)=[3]!Table14[[#This Row],[Physical Name of Attribute (Name of column in Table)
Supplied by DA Team]]</f>
        <v>#N/A</v>
      </c>
      <c r="U317" s="58" t="e">
        <f>VLOOKUP(B317,[2]Table!A$2:F$319,2,FALSE)=[4]!Table14[[#This Row],[Data type in Oracle
VARCHAR2(n), DATE, NUMBER(m,n), TIMETSTAMP(6)]]</f>
        <v>#N/A</v>
      </c>
      <c r="V317" s="58" t="e">
        <f>VLOOKUP(B317,[2]Table!A$2:F$231,3,FALSE)=[4]!Table14[[#This Row],[Nullable in Table and in Oracle View
NULL, NOT NULL]]</f>
        <v>#N/A</v>
      </c>
      <c r="W317" s="58" t="e">
        <f>VLOOKUP(B317,[2]Table!A$2:H$228,6,FALSE)=[4]!Table14[[#This Row],[Business Definition (To go into comments and into Meta Data Hub)]]</f>
        <v>#N/A</v>
      </c>
      <c r="X317" s="58" t="e">
        <f>VLOOKUP((UPPER(SUBSTITUTE(A317," ","_"))),'[2]Consumer View'!A$2:I$329,1,FALSE)</f>
        <v>#N/A</v>
      </c>
      <c r="Y317" s="51" t="s">
        <v>1503</v>
      </c>
      <c r="Z317" s="51" t="s">
        <v>1607</v>
      </c>
      <c r="AA317" s="51" t="s">
        <v>1624</v>
      </c>
      <c r="AB317" s="18"/>
      <c r="AC317" s="18"/>
      <c r="AD317" s="51" t="s">
        <v>1609</v>
      </c>
      <c r="AE317" s="46"/>
      <c r="AF317" s="18"/>
      <c r="AG317" s="18" t="s">
        <v>1572</v>
      </c>
      <c r="AH317" s="18" t="s">
        <v>178</v>
      </c>
    </row>
    <row r="318" spans="1:34" ht="27" customHeight="1">
      <c r="A318" s="105" t="s">
        <v>1625</v>
      </c>
      <c r="B318" s="51" t="s">
        <v>1626</v>
      </c>
      <c r="C318" s="51" t="s">
        <v>1627</v>
      </c>
      <c r="D318" s="51" t="s">
        <v>120</v>
      </c>
      <c r="E318" s="51" t="s">
        <v>63</v>
      </c>
      <c r="F318" s="51" t="s">
        <v>121</v>
      </c>
      <c r="G318" s="108" t="s">
        <v>63</v>
      </c>
      <c r="H318" s="52" t="s">
        <v>1628</v>
      </c>
      <c r="I318" s="51"/>
      <c r="J318" s="51" t="s">
        <v>1309</v>
      </c>
      <c r="K318" s="18"/>
      <c r="L318" s="110">
        <v>2674782</v>
      </c>
      <c r="M318" s="110">
        <v>2674782</v>
      </c>
      <c r="N318" s="18"/>
      <c r="O318" s="18" t="b">
        <f>VLOOKUP(A318,[1]Model!C$2:J$559,2,FALSE)=B318</f>
        <v>1</v>
      </c>
      <c r="P318" s="18" t="e">
        <f>VLOOKUP(A318,[2]Model!C$2:G$208,5,FALSE)=D318</f>
        <v>#N/A</v>
      </c>
      <c r="Q318" s="18" t="e">
        <f>VLOOKUP(A318,[2]Model!C$2:L$228,8,FALSE)</f>
        <v>#N/A</v>
      </c>
      <c r="R318" s="18" t="e">
        <f>VLOOKUP(A318,[2]Model!C$2:G$228,3,FALSE)=[3]!Table14[[#This Row],[Business Definition (To go into comments and into Meta Data Hub)]]</f>
        <v>#N/A</v>
      </c>
      <c r="S318" s="18" t="e">
        <f>IF([3]!Table14[[#This Row],[Nullable in Table and in Oracle View
NULL, NOT NULL]]="No","NOT NULL","NULL")=VLOOKUP(A318,[2]Model!C$2:I$228,6,FALSE)</f>
        <v>#REF!</v>
      </c>
      <c r="T318" s="58" t="e">
        <f>VLOOKUP(B318,[2]Table!A$2:F$415,1,FALSE)=[3]!Table14[[#This Row],[Physical Name of Attribute (Name of column in Table)
Supplied by DA Team]]</f>
        <v>#N/A</v>
      </c>
      <c r="U318" s="58" t="e">
        <f>VLOOKUP(B318,[2]Table!A$2:F$319,2,FALSE)=[4]!Table14[[#This Row],[Data type in Oracle
VARCHAR2(n), DATE, NUMBER(m,n), TIMETSTAMP(6)]]</f>
        <v>#N/A</v>
      </c>
      <c r="V318" s="58" t="e">
        <f>VLOOKUP(B318,[2]Table!A$2:F$231,3,FALSE)=[4]!Table14[[#This Row],[Nullable in Table and in Oracle View
NULL, NOT NULL]]</f>
        <v>#N/A</v>
      </c>
      <c r="W318" s="58" t="e">
        <f>VLOOKUP(B318,[2]Table!A$2:H$228,6,FALSE)=[4]!Table14[[#This Row],[Business Definition (To go into comments and into Meta Data Hub)]]</f>
        <v>#N/A</v>
      </c>
      <c r="X318" s="58" t="e">
        <f>VLOOKUP((UPPER(SUBSTITUTE(A318," ","_"))),'[2]Consumer View'!A$2:I$329,1,FALSE)</f>
        <v>#N/A</v>
      </c>
      <c r="Y318" s="51" t="s">
        <v>1503</v>
      </c>
      <c r="Z318" s="51" t="s">
        <v>1607</v>
      </c>
      <c r="AA318" s="51" t="s">
        <v>1629</v>
      </c>
      <c r="AB318" s="18"/>
      <c r="AC318" s="18"/>
      <c r="AD318" s="51" t="s">
        <v>1609</v>
      </c>
      <c r="AE318" s="46"/>
      <c r="AF318" s="18"/>
      <c r="AG318" s="18" t="s">
        <v>1572</v>
      </c>
      <c r="AH318" s="18" t="s">
        <v>178</v>
      </c>
    </row>
    <row r="319" spans="1:34" ht="27" customHeight="1">
      <c r="A319" s="105" t="s">
        <v>1630</v>
      </c>
      <c r="B319" s="51" t="s">
        <v>1631</v>
      </c>
      <c r="C319" s="51" t="s">
        <v>1632</v>
      </c>
      <c r="D319" s="51" t="s">
        <v>120</v>
      </c>
      <c r="E319" s="51" t="s">
        <v>63</v>
      </c>
      <c r="F319" s="51" t="s">
        <v>121</v>
      </c>
      <c r="G319" s="108" t="s">
        <v>63</v>
      </c>
      <c r="H319" s="52" t="s">
        <v>1633</v>
      </c>
      <c r="I319" s="51"/>
      <c r="J319" s="51" t="s">
        <v>1309</v>
      </c>
      <c r="K319" s="18"/>
      <c r="L319" s="110">
        <v>2674782</v>
      </c>
      <c r="M319" s="110">
        <v>2674782</v>
      </c>
      <c r="N319" s="18"/>
      <c r="O319" s="18" t="b">
        <f>VLOOKUP(A319,[1]Model!C$2:J$559,2,FALSE)=B319</f>
        <v>1</v>
      </c>
      <c r="P319" s="18" t="e">
        <f>VLOOKUP(A319,[2]Model!C$2:G$208,5,FALSE)=D319</f>
        <v>#N/A</v>
      </c>
      <c r="Q319" s="18" t="e">
        <f>VLOOKUP(A319,[2]Model!C$2:L$228,8,FALSE)</f>
        <v>#N/A</v>
      </c>
      <c r="R319" s="18" t="e">
        <f>VLOOKUP(A319,[2]Model!C$2:G$228,3,FALSE)=[3]!Table14[[#This Row],[Business Definition (To go into comments and into Meta Data Hub)]]</f>
        <v>#N/A</v>
      </c>
      <c r="S319" s="18" t="e">
        <f>IF([3]!Table14[[#This Row],[Nullable in Table and in Oracle View
NULL, NOT NULL]]="No","NOT NULL","NULL")=VLOOKUP(A319,[2]Model!C$2:I$228,6,FALSE)</f>
        <v>#REF!</v>
      </c>
      <c r="T319" s="58" t="e">
        <f>VLOOKUP(B319,[2]Table!A$2:F$415,1,FALSE)=[3]!Table14[[#This Row],[Physical Name of Attribute (Name of column in Table)
Supplied by DA Team]]</f>
        <v>#N/A</v>
      </c>
      <c r="U319" s="58" t="e">
        <f>VLOOKUP(B319,[2]Table!A$2:F$319,2,FALSE)=[4]!Table14[[#This Row],[Data type in Oracle
VARCHAR2(n), DATE, NUMBER(m,n), TIMETSTAMP(6)]]</f>
        <v>#N/A</v>
      </c>
      <c r="V319" s="58" t="e">
        <f>VLOOKUP(B319,[2]Table!A$2:F$231,3,FALSE)=[4]!Table14[[#This Row],[Nullable in Table and in Oracle View
NULL, NOT NULL]]</f>
        <v>#N/A</v>
      </c>
      <c r="W319" s="58" t="e">
        <f>VLOOKUP(B319,[2]Table!A$2:H$228,6,FALSE)=[4]!Table14[[#This Row],[Business Definition (To go into comments and into Meta Data Hub)]]</f>
        <v>#N/A</v>
      </c>
      <c r="X319" s="58" t="e">
        <f>VLOOKUP((UPPER(SUBSTITUTE(A319," ","_"))),'[2]Consumer View'!A$2:I$329,1,FALSE)</f>
        <v>#N/A</v>
      </c>
      <c r="Y319" s="51" t="s">
        <v>1503</v>
      </c>
      <c r="Z319" s="51" t="s">
        <v>1607</v>
      </c>
      <c r="AA319" s="51" t="s">
        <v>1634</v>
      </c>
      <c r="AB319" s="18"/>
      <c r="AC319" s="18"/>
      <c r="AD319" s="51" t="s">
        <v>1609</v>
      </c>
      <c r="AE319" s="46"/>
      <c r="AF319" s="18"/>
      <c r="AG319" s="18" t="s">
        <v>1572</v>
      </c>
      <c r="AH319" s="18" t="s">
        <v>178</v>
      </c>
    </row>
    <row r="320" spans="1:34" ht="27" customHeight="1">
      <c r="A320" s="105" t="s">
        <v>1635</v>
      </c>
      <c r="B320" s="51" t="s">
        <v>1636</v>
      </c>
      <c r="C320" s="51" t="s">
        <v>1637</v>
      </c>
      <c r="D320" s="51" t="s">
        <v>120</v>
      </c>
      <c r="E320" s="51" t="s">
        <v>63</v>
      </c>
      <c r="F320" s="51" t="s">
        <v>121</v>
      </c>
      <c r="G320" s="108" t="s">
        <v>63</v>
      </c>
      <c r="H320" s="52" t="s">
        <v>1638</v>
      </c>
      <c r="I320" s="51"/>
      <c r="J320" s="51" t="s">
        <v>1309</v>
      </c>
      <c r="K320" s="18"/>
      <c r="L320" s="110">
        <v>2674782</v>
      </c>
      <c r="M320" s="110">
        <v>2674782</v>
      </c>
      <c r="N320" s="18"/>
      <c r="O320" s="18" t="b">
        <f>VLOOKUP(A320,[1]Model!C$2:J$559,2,FALSE)=B320</f>
        <v>1</v>
      </c>
      <c r="P320" s="18" t="e">
        <f>VLOOKUP(A320,[2]Model!C$2:G$208,5,FALSE)=D320</f>
        <v>#N/A</v>
      </c>
      <c r="Q320" s="18" t="e">
        <f>VLOOKUP(A320,[2]Model!C$2:L$228,8,FALSE)</f>
        <v>#N/A</v>
      </c>
      <c r="R320" s="18" t="e">
        <f>VLOOKUP(A320,[2]Model!C$2:G$228,3,FALSE)=[3]!Table14[[#This Row],[Business Definition (To go into comments and into Meta Data Hub)]]</f>
        <v>#N/A</v>
      </c>
      <c r="S320" s="18" t="e">
        <f>IF([3]!Table14[[#This Row],[Nullable in Table and in Oracle View
NULL, NOT NULL]]="No","NOT NULL","NULL")=VLOOKUP(A320,[2]Model!C$2:I$228,6,FALSE)</f>
        <v>#REF!</v>
      </c>
      <c r="T320" s="58" t="e">
        <f>VLOOKUP(B320,[2]Table!A$2:F$415,1,FALSE)=[3]!Table14[[#This Row],[Physical Name of Attribute (Name of column in Table)
Supplied by DA Team]]</f>
        <v>#N/A</v>
      </c>
      <c r="U320" s="58" t="e">
        <f>VLOOKUP(B320,[2]Table!A$2:F$319,2,FALSE)=[4]!Table14[[#This Row],[Data type in Oracle
VARCHAR2(n), DATE, NUMBER(m,n), TIMETSTAMP(6)]]</f>
        <v>#N/A</v>
      </c>
      <c r="V320" s="58" t="e">
        <f>VLOOKUP(B320,[2]Table!A$2:F$231,3,FALSE)=[4]!Table14[[#This Row],[Nullable in Table and in Oracle View
NULL, NOT NULL]]</f>
        <v>#N/A</v>
      </c>
      <c r="W320" s="58" t="e">
        <f>VLOOKUP(B320,[2]Table!A$2:H$228,6,FALSE)=[4]!Table14[[#This Row],[Business Definition (To go into comments and into Meta Data Hub)]]</f>
        <v>#N/A</v>
      </c>
      <c r="X320" s="58" t="e">
        <f>VLOOKUP((UPPER(SUBSTITUTE(A320," ","_"))),'[2]Consumer View'!A$2:I$329,1,FALSE)</f>
        <v>#N/A</v>
      </c>
      <c r="Y320" s="51" t="s">
        <v>1503</v>
      </c>
      <c r="Z320" s="51" t="s">
        <v>1607</v>
      </c>
      <c r="AA320" s="51" t="s">
        <v>1639</v>
      </c>
      <c r="AB320" s="18"/>
      <c r="AC320" s="18"/>
      <c r="AD320" s="51" t="s">
        <v>1609</v>
      </c>
      <c r="AE320" s="46"/>
      <c r="AF320" s="18"/>
      <c r="AG320" s="18" t="s">
        <v>1572</v>
      </c>
      <c r="AH320" s="18" t="s">
        <v>178</v>
      </c>
    </row>
    <row r="321" spans="1:34" ht="27" customHeight="1">
      <c r="A321" s="105" t="s">
        <v>1640</v>
      </c>
      <c r="B321" s="51" t="s">
        <v>1641</v>
      </c>
      <c r="C321" s="51" t="s">
        <v>1642</v>
      </c>
      <c r="D321" s="51" t="s">
        <v>120</v>
      </c>
      <c r="E321" s="51" t="s">
        <v>63</v>
      </c>
      <c r="F321" s="51" t="s">
        <v>121</v>
      </c>
      <c r="G321" s="108" t="s">
        <v>63</v>
      </c>
      <c r="H321" s="52" t="s">
        <v>1643</v>
      </c>
      <c r="I321" s="51"/>
      <c r="J321" s="51" t="s">
        <v>1309</v>
      </c>
      <c r="K321" s="18"/>
      <c r="L321" s="110">
        <v>2674782</v>
      </c>
      <c r="M321" s="110">
        <v>2674782</v>
      </c>
      <c r="N321" s="18"/>
      <c r="O321" s="18" t="b">
        <f>VLOOKUP(A321,[1]Model!C$2:J$559,2,FALSE)=B321</f>
        <v>1</v>
      </c>
      <c r="P321" s="18" t="e">
        <f>VLOOKUP(A321,[2]Model!C$2:G$208,5,FALSE)=D321</f>
        <v>#N/A</v>
      </c>
      <c r="Q321" s="18" t="e">
        <f>VLOOKUP(A321,[2]Model!C$2:L$228,8,FALSE)</f>
        <v>#N/A</v>
      </c>
      <c r="R321" s="18" t="e">
        <f>VLOOKUP(A321,[2]Model!C$2:G$228,3,FALSE)=[3]!Table14[[#This Row],[Business Definition (To go into comments and into Meta Data Hub)]]</f>
        <v>#N/A</v>
      </c>
      <c r="S321" s="18" t="e">
        <f>IF([3]!Table14[[#This Row],[Nullable in Table and in Oracle View
NULL, NOT NULL]]="No","NOT NULL","NULL")=VLOOKUP(A321,[2]Model!C$2:I$228,6,FALSE)</f>
        <v>#REF!</v>
      </c>
      <c r="T321" s="58" t="e">
        <f>VLOOKUP(B321,[2]Table!A$2:F$415,1,FALSE)=[3]!Table14[[#This Row],[Physical Name of Attribute (Name of column in Table)
Supplied by DA Team]]</f>
        <v>#N/A</v>
      </c>
      <c r="U321" s="58" t="e">
        <f>VLOOKUP(B321,[2]Table!A$2:F$319,2,FALSE)=[4]!Table14[[#This Row],[Data type in Oracle
VARCHAR2(n), DATE, NUMBER(m,n), TIMETSTAMP(6)]]</f>
        <v>#N/A</v>
      </c>
      <c r="V321" s="58" t="e">
        <f>VLOOKUP(B321,[2]Table!A$2:F$231,3,FALSE)=[4]!Table14[[#This Row],[Nullable in Table and in Oracle View
NULL, NOT NULL]]</f>
        <v>#N/A</v>
      </c>
      <c r="W321" s="58" t="e">
        <f>VLOOKUP(B321,[2]Table!A$2:H$228,6,FALSE)=[4]!Table14[[#This Row],[Business Definition (To go into comments and into Meta Data Hub)]]</f>
        <v>#N/A</v>
      </c>
      <c r="X321" s="58" t="e">
        <f>VLOOKUP((UPPER(SUBSTITUTE(A321," ","_"))),'[2]Consumer View'!A$2:I$329,1,FALSE)</f>
        <v>#N/A</v>
      </c>
      <c r="Y321" s="51" t="s">
        <v>1503</v>
      </c>
      <c r="Z321" s="51" t="s">
        <v>1607</v>
      </c>
      <c r="AA321" s="51" t="s">
        <v>1644</v>
      </c>
      <c r="AB321" s="18"/>
      <c r="AC321" s="18"/>
      <c r="AD321" s="51" t="s">
        <v>1609</v>
      </c>
      <c r="AE321" s="46"/>
      <c r="AF321" s="18"/>
      <c r="AG321" s="18" t="s">
        <v>1572</v>
      </c>
      <c r="AH321" s="18" t="s">
        <v>178</v>
      </c>
    </row>
    <row r="322" spans="1:34" ht="27" customHeight="1">
      <c r="A322" s="105" t="s">
        <v>1645</v>
      </c>
      <c r="B322" s="51" t="s">
        <v>1646</v>
      </c>
      <c r="C322" s="51" t="s">
        <v>1647</v>
      </c>
      <c r="D322" s="51" t="s">
        <v>120</v>
      </c>
      <c r="E322" s="51" t="s">
        <v>63</v>
      </c>
      <c r="F322" s="51" t="s">
        <v>121</v>
      </c>
      <c r="G322" s="108" t="s">
        <v>63</v>
      </c>
      <c r="H322" s="52" t="s">
        <v>1648</v>
      </c>
      <c r="I322" s="51"/>
      <c r="J322" s="51" t="s">
        <v>1309</v>
      </c>
      <c r="K322" s="18"/>
      <c r="L322" s="110">
        <v>2674782</v>
      </c>
      <c r="M322" s="110">
        <v>2674782</v>
      </c>
      <c r="N322" s="18"/>
      <c r="O322" s="18" t="b">
        <f>VLOOKUP(A322,[1]Model!C$2:J$559,2,FALSE)=B322</f>
        <v>1</v>
      </c>
      <c r="P322" s="18" t="e">
        <f>VLOOKUP(A322,[2]Model!C$2:G$208,5,FALSE)=D322</f>
        <v>#N/A</v>
      </c>
      <c r="Q322" s="18" t="e">
        <f>VLOOKUP(A322,[2]Model!C$2:L$228,8,FALSE)</f>
        <v>#N/A</v>
      </c>
      <c r="R322" s="18" t="e">
        <f>VLOOKUP(A322,[2]Model!C$2:G$228,3,FALSE)=[3]!Table14[[#This Row],[Business Definition (To go into comments and into Meta Data Hub)]]</f>
        <v>#N/A</v>
      </c>
      <c r="S322" s="18" t="e">
        <f>IF([3]!Table14[[#This Row],[Nullable in Table and in Oracle View
NULL, NOT NULL]]="No","NOT NULL","NULL")=VLOOKUP(A322,[2]Model!C$2:I$228,6,FALSE)</f>
        <v>#REF!</v>
      </c>
      <c r="T322" s="58" t="e">
        <f>VLOOKUP(B322,[2]Table!A$2:F$415,1,FALSE)=[3]!Table14[[#This Row],[Physical Name of Attribute (Name of column in Table)
Supplied by DA Team]]</f>
        <v>#N/A</v>
      </c>
      <c r="U322" s="58" t="e">
        <f>VLOOKUP(B322,[2]Table!A$2:F$319,2,FALSE)=[4]!Table14[[#This Row],[Data type in Oracle
VARCHAR2(n), DATE, NUMBER(m,n), TIMETSTAMP(6)]]</f>
        <v>#N/A</v>
      </c>
      <c r="V322" s="58" t="e">
        <f>VLOOKUP(B322,[2]Table!A$2:F$231,3,FALSE)=[4]!Table14[[#This Row],[Nullable in Table and in Oracle View
NULL, NOT NULL]]</f>
        <v>#N/A</v>
      </c>
      <c r="W322" s="58" t="e">
        <f>VLOOKUP(B322,[2]Table!A$2:H$228,6,FALSE)=[4]!Table14[[#This Row],[Business Definition (To go into comments and into Meta Data Hub)]]</f>
        <v>#N/A</v>
      </c>
      <c r="X322" s="58" t="e">
        <f>VLOOKUP((UPPER(SUBSTITUTE(A322," ","_"))),'[2]Consumer View'!A$2:I$329,1,FALSE)</f>
        <v>#N/A</v>
      </c>
      <c r="Y322" s="51" t="s">
        <v>1503</v>
      </c>
      <c r="Z322" s="51" t="s">
        <v>1607</v>
      </c>
      <c r="AA322" s="51" t="s">
        <v>1649</v>
      </c>
      <c r="AB322" s="18"/>
      <c r="AC322" s="18"/>
      <c r="AD322" s="51" t="s">
        <v>1609</v>
      </c>
      <c r="AE322" s="46"/>
      <c r="AF322" s="18"/>
      <c r="AG322" s="18" t="s">
        <v>1572</v>
      </c>
      <c r="AH322" s="18" t="s">
        <v>178</v>
      </c>
    </row>
    <row r="323" spans="1:34" ht="27" customHeight="1">
      <c r="A323" s="105" t="s">
        <v>1650</v>
      </c>
      <c r="B323" s="51" t="s">
        <v>1651</v>
      </c>
      <c r="C323" s="51" t="s">
        <v>1652</v>
      </c>
      <c r="D323" s="51" t="s">
        <v>120</v>
      </c>
      <c r="E323" s="51" t="s">
        <v>63</v>
      </c>
      <c r="F323" s="51" t="s">
        <v>121</v>
      </c>
      <c r="G323" s="108" t="s">
        <v>63</v>
      </c>
      <c r="H323" s="52" t="s">
        <v>1653</v>
      </c>
      <c r="I323" s="51"/>
      <c r="J323" s="51" t="s">
        <v>1309</v>
      </c>
      <c r="K323" s="18"/>
      <c r="L323" s="110">
        <v>2674782</v>
      </c>
      <c r="M323" s="110">
        <v>2674782</v>
      </c>
      <c r="N323" s="18"/>
      <c r="O323" s="18" t="b">
        <f>VLOOKUP(A323,[1]Model!C$2:J$559,2,FALSE)=B323</f>
        <v>1</v>
      </c>
      <c r="P323" s="18" t="e">
        <f>VLOOKUP(A323,[2]Model!C$2:G$208,5,FALSE)=D323</f>
        <v>#N/A</v>
      </c>
      <c r="Q323" s="18" t="e">
        <f>VLOOKUP(A323,[2]Model!C$2:L$228,8,FALSE)</f>
        <v>#N/A</v>
      </c>
      <c r="R323" s="18" t="e">
        <f>VLOOKUP(A323,[2]Model!C$2:G$228,3,FALSE)=[3]!Table14[[#This Row],[Business Definition (To go into comments and into Meta Data Hub)]]</f>
        <v>#N/A</v>
      </c>
      <c r="S323" s="18" t="e">
        <f>IF([3]!Table14[[#This Row],[Nullable in Table and in Oracle View
NULL, NOT NULL]]="No","NOT NULL","NULL")=VLOOKUP(A323,[2]Model!C$2:I$228,6,FALSE)</f>
        <v>#REF!</v>
      </c>
      <c r="T323" s="58" t="e">
        <f>VLOOKUP(B323,[2]Table!A$2:F$415,1,FALSE)=[3]!Table14[[#This Row],[Physical Name of Attribute (Name of column in Table)
Supplied by DA Team]]</f>
        <v>#N/A</v>
      </c>
      <c r="U323" s="58" t="e">
        <f>VLOOKUP(B323,[2]Table!A$2:F$319,2,FALSE)=[4]!Table14[[#This Row],[Data type in Oracle
VARCHAR2(n), DATE, NUMBER(m,n), TIMETSTAMP(6)]]</f>
        <v>#N/A</v>
      </c>
      <c r="V323" s="58" t="e">
        <f>VLOOKUP(B323,[2]Table!A$2:F$231,3,FALSE)=[4]!Table14[[#This Row],[Nullable in Table and in Oracle View
NULL, NOT NULL]]</f>
        <v>#N/A</v>
      </c>
      <c r="W323" s="58" t="e">
        <f>VLOOKUP(B323,[2]Table!A$2:H$228,6,FALSE)=[4]!Table14[[#This Row],[Business Definition (To go into comments and into Meta Data Hub)]]</f>
        <v>#N/A</v>
      </c>
      <c r="X323" s="58" t="e">
        <f>VLOOKUP((UPPER(SUBSTITUTE(A323," ","_"))),'[2]Consumer View'!A$2:I$329,1,FALSE)</f>
        <v>#N/A</v>
      </c>
      <c r="Y323" s="51" t="s">
        <v>1503</v>
      </c>
      <c r="Z323" s="51" t="s">
        <v>1607</v>
      </c>
      <c r="AA323" s="51" t="s">
        <v>1654</v>
      </c>
      <c r="AB323" s="18"/>
      <c r="AC323" s="18"/>
      <c r="AD323" s="51" t="s">
        <v>1609</v>
      </c>
      <c r="AE323" s="46"/>
      <c r="AF323" s="18"/>
      <c r="AG323" s="18" t="s">
        <v>1572</v>
      </c>
      <c r="AH323" s="18" t="s">
        <v>178</v>
      </c>
    </row>
    <row r="324" spans="1:34" ht="27" customHeight="1">
      <c r="A324" s="105" t="s">
        <v>1655</v>
      </c>
      <c r="B324" s="51" t="s">
        <v>1656</v>
      </c>
      <c r="C324" s="51" t="s">
        <v>1657</v>
      </c>
      <c r="D324" s="51" t="s">
        <v>120</v>
      </c>
      <c r="E324" s="51" t="s">
        <v>63</v>
      </c>
      <c r="F324" s="51" t="s">
        <v>121</v>
      </c>
      <c r="G324" s="108" t="s">
        <v>63</v>
      </c>
      <c r="H324" s="52" t="s">
        <v>1658</v>
      </c>
      <c r="I324" s="51"/>
      <c r="J324" s="51" t="s">
        <v>1309</v>
      </c>
      <c r="K324" s="18"/>
      <c r="L324" s="110">
        <v>2674782</v>
      </c>
      <c r="M324" s="110">
        <v>2674782</v>
      </c>
      <c r="N324" s="18"/>
      <c r="O324" s="18" t="b">
        <f>VLOOKUP(A324,[1]Model!C$2:J$559,2,FALSE)=B324</f>
        <v>1</v>
      </c>
      <c r="P324" s="18" t="e">
        <f>VLOOKUP(A324,[2]Model!C$2:G$208,5,FALSE)=D324</f>
        <v>#N/A</v>
      </c>
      <c r="Q324" s="18" t="e">
        <f>VLOOKUP(A324,[2]Model!C$2:L$228,8,FALSE)</f>
        <v>#N/A</v>
      </c>
      <c r="R324" s="18" t="e">
        <f>VLOOKUP(A324,[2]Model!C$2:G$228,3,FALSE)=[3]!Table14[[#This Row],[Business Definition (To go into comments and into Meta Data Hub)]]</f>
        <v>#N/A</v>
      </c>
      <c r="S324" s="18" t="e">
        <f>IF([3]!Table14[[#This Row],[Nullable in Table and in Oracle View
NULL, NOT NULL]]="No","NOT NULL","NULL")=VLOOKUP(A324,[2]Model!C$2:I$228,6,FALSE)</f>
        <v>#REF!</v>
      </c>
      <c r="T324" s="58" t="e">
        <f>VLOOKUP(B324,[2]Table!A$2:F$415,1,FALSE)=[3]!Table14[[#This Row],[Physical Name of Attribute (Name of column in Table)
Supplied by DA Team]]</f>
        <v>#N/A</v>
      </c>
      <c r="U324" s="58" t="e">
        <f>VLOOKUP(B324,[2]Table!A$2:F$319,2,FALSE)=[4]!Table14[[#This Row],[Data type in Oracle
VARCHAR2(n), DATE, NUMBER(m,n), TIMETSTAMP(6)]]</f>
        <v>#N/A</v>
      </c>
      <c r="V324" s="58" t="e">
        <f>VLOOKUP(B324,[2]Table!A$2:F$231,3,FALSE)=[4]!Table14[[#This Row],[Nullable in Table and in Oracle View
NULL, NOT NULL]]</f>
        <v>#N/A</v>
      </c>
      <c r="W324" s="58" t="e">
        <f>VLOOKUP(B324,[2]Table!A$2:H$228,6,FALSE)=[4]!Table14[[#This Row],[Business Definition (To go into comments and into Meta Data Hub)]]</f>
        <v>#N/A</v>
      </c>
      <c r="X324" s="58" t="e">
        <f>VLOOKUP((UPPER(SUBSTITUTE(A324," ","_"))),'[2]Consumer View'!A$2:I$329,1,FALSE)</f>
        <v>#N/A</v>
      </c>
      <c r="Y324" s="51" t="s">
        <v>1503</v>
      </c>
      <c r="Z324" s="51" t="s">
        <v>1607</v>
      </c>
      <c r="AA324" s="51" t="s">
        <v>1659</v>
      </c>
      <c r="AB324" s="18"/>
      <c r="AC324" s="18"/>
      <c r="AD324" s="51" t="s">
        <v>1609</v>
      </c>
      <c r="AE324" s="46"/>
      <c r="AF324" s="18"/>
      <c r="AG324" s="18" t="s">
        <v>1572</v>
      </c>
      <c r="AH324" s="18" t="s">
        <v>178</v>
      </c>
    </row>
    <row r="325" spans="1:34" ht="27" customHeight="1">
      <c r="A325" s="105" t="s">
        <v>1660</v>
      </c>
      <c r="B325" s="51" t="s">
        <v>1661</v>
      </c>
      <c r="C325" s="51" t="s">
        <v>1662</v>
      </c>
      <c r="D325" s="51" t="s">
        <v>120</v>
      </c>
      <c r="E325" s="51" t="s">
        <v>63</v>
      </c>
      <c r="F325" s="51" t="s">
        <v>121</v>
      </c>
      <c r="G325" s="108" t="s">
        <v>63</v>
      </c>
      <c r="H325" s="52" t="s">
        <v>1663</v>
      </c>
      <c r="I325" s="51"/>
      <c r="J325" s="51" t="s">
        <v>1309</v>
      </c>
      <c r="K325" s="18"/>
      <c r="L325" s="110">
        <v>2674782</v>
      </c>
      <c r="M325" s="110">
        <v>2674782</v>
      </c>
      <c r="N325" s="18"/>
      <c r="O325" s="18" t="b">
        <f>VLOOKUP(A325,[1]Model!C$2:J$559,2,FALSE)=B325</f>
        <v>1</v>
      </c>
      <c r="P325" s="18" t="e">
        <f>VLOOKUP(A325,[2]Model!C$2:G$208,5,FALSE)=D325</f>
        <v>#N/A</v>
      </c>
      <c r="Q325" s="18" t="e">
        <f>VLOOKUP(A325,[2]Model!C$2:L$228,8,FALSE)</f>
        <v>#N/A</v>
      </c>
      <c r="R325" s="18" t="e">
        <f>VLOOKUP(A325,[2]Model!C$2:G$228,3,FALSE)=[3]!Table14[[#This Row],[Business Definition (To go into comments and into Meta Data Hub)]]</f>
        <v>#N/A</v>
      </c>
      <c r="S325" s="18" t="e">
        <f>IF([3]!Table14[[#This Row],[Nullable in Table and in Oracle View
NULL, NOT NULL]]="No","NOT NULL","NULL")=VLOOKUP(A325,[2]Model!C$2:I$228,6,FALSE)</f>
        <v>#REF!</v>
      </c>
      <c r="T325" s="58" t="e">
        <f>VLOOKUP(B325,[2]Table!A$2:F$415,1,FALSE)=[3]!Table14[[#This Row],[Physical Name of Attribute (Name of column in Table)
Supplied by DA Team]]</f>
        <v>#N/A</v>
      </c>
      <c r="U325" s="58" t="e">
        <f>VLOOKUP(B325,[2]Table!A$2:F$319,2,FALSE)=[4]!Table14[[#This Row],[Data type in Oracle
VARCHAR2(n), DATE, NUMBER(m,n), TIMETSTAMP(6)]]</f>
        <v>#N/A</v>
      </c>
      <c r="V325" s="58" t="e">
        <f>VLOOKUP(B325,[2]Table!A$2:F$231,3,FALSE)=[4]!Table14[[#This Row],[Nullable in Table and in Oracle View
NULL, NOT NULL]]</f>
        <v>#N/A</v>
      </c>
      <c r="W325" s="58" t="e">
        <f>VLOOKUP(B325,[2]Table!A$2:H$228,6,FALSE)=[4]!Table14[[#This Row],[Business Definition (To go into comments and into Meta Data Hub)]]</f>
        <v>#N/A</v>
      </c>
      <c r="X325" s="58" t="e">
        <f>VLOOKUP((UPPER(SUBSTITUTE(A325," ","_"))),'[2]Consumer View'!A$2:I$329,1,FALSE)</f>
        <v>#N/A</v>
      </c>
      <c r="Y325" s="51" t="s">
        <v>6</v>
      </c>
      <c r="Z325" s="51" t="s">
        <v>1664</v>
      </c>
      <c r="AA325" s="51" t="s">
        <v>1665</v>
      </c>
      <c r="AB325" s="18"/>
      <c r="AC325" s="18"/>
      <c r="AD325" s="51" t="s">
        <v>1666</v>
      </c>
      <c r="AE325" s="46"/>
      <c r="AF325" s="18"/>
      <c r="AG325" s="18" t="s">
        <v>1572</v>
      </c>
      <c r="AH325" s="18" t="s">
        <v>178</v>
      </c>
    </row>
    <row r="326" spans="1:34" ht="27" customHeight="1">
      <c r="A326" s="105" t="s">
        <v>1667</v>
      </c>
      <c r="B326" s="51" t="s">
        <v>1668</v>
      </c>
      <c r="C326" s="51" t="s">
        <v>1669</v>
      </c>
      <c r="D326" s="51" t="s">
        <v>120</v>
      </c>
      <c r="E326" s="51" t="s">
        <v>63</v>
      </c>
      <c r="F326" s="51" t="s">
        <v>121</v>
      </c>
      <c r="G326" s="108" t="s">
        <v>63</v>
      </c>
      <c r="H326" s="52" t="s">
        <v>1670</v>
      </c>
      <c r="I326" s="51"/>
      <c r="J326" s="51" t="s">
        <v>1309</v>
      </c>
      <c r="K326" s="18"/>
      <c r="L326" s="110">
        <v>2674782</v>
      </c>
      <c r="M326" s="110">
        <v>2674782</v>
      </c>
      <c r="N326" s="18"/>
      <c r="O326" s="18" t="b">
        <f>VLOOKUP(A326,[1]Model!C$2:J$559,2,FALSE)=B326</f>
        <v>1</v>
      </c>
      <c r="P326" s="18" t="e">
        <f>VLOOKUP(A326,[2]Model!C$2:G$208,5,FALSE)=D326</f>
        <v>#N/A</v>
      </c>
      <c r="Q326" s="18" t="e">
        <f>VLOOKUP(A326,[2]Model!C$2:L$228,8,FALSE)</f>
        <v>#N/A</v>
      </c>
      <c r="R326" s="18" t="e">
        <f>VLOOKUP(A326,[2]Model!C$2:G$228,3,FALSE)=[3]!Table14[[#This Row],[Business Definition (To go into comments and into Meta Data Hub)]]</f>
        <v>#N/A</v>
      </c>
      <c r="S326" s="18" t="e">
        <f>IF([3]!Table14[[#This Row],[Nullable in Table and in Oracle View
NULL, NOT NULL]]="No","NOT NULL","NULL")=VLOOKUP(A326,[2]Model!C$2:I$228,6,FALSE)</f>
        <v>#REF!</v>
      </c>
      <c r="T326" s="58" t="e">
        <f>VLOOKUP(B326,[2]Table!A$2:F$415,1,FALSE)=[3]!Table14[[#This Row],[Physical Name of Attribute (Name of column in Table)
Supplied by DA Team]]</f>
        <v>#N/A</v>
      </c>
      <c r="U326" s="58" t="e">
        <f>VLOOKUP(B326,[2]Table!A$2:F$319,2,FALSE)=[4]!Table14[[#This Row],[Data type in Oracle
VARCHAR2(n), DATE, NUMBER(m,n), TIMETSTAMP(6)]]</f>
        <v>#N/A</v>
      </c>
      <c r="V326" s="58" t="e">
        <f>VLOOKUP(B326,[2]Table!A$2:F$231,3,FALSE)=[4]!Table14[[#This Row],[Nullable in Table and in Oracle View
NULL, NOT NULL]]</f>
        <v>#N/A</v>
      </c>
      <c r="W326" s="58" t="e">
        <f>VLOOKUP(B326,[2]Table!A$2:H$228,6,FALSE)=[4]!Table14[[#This Row],[Business Definition (To go into comments and into Meta Data Hub)]]</f>
        <v>#N/A</v>
      </c>
      <c r="X326" s="58" t="e">
        <f>VLOOKUP((UPPER(SUBSTITUTE(A326," ","_"))),'[2]Consumer View'!A$2:I$329,1,FALSE)</f>
        <v>#N/A</v>
      </c>
      <c r="Y326" s="51" t="s">
        <v>1503</v>
      </c>
      <c r="Z326" s="51" t="s">
        <v>1664</v>
      </c>
      <c r="AA326" s="51" t="s">
        <v>1671</v>
      </c>
      <c r="AB326" s="18"/>
      <c r="AC326" s="18"/>
      <c r="AD326" s="51" t="s">
        <v>1666</v>
      </c>
      <c r="AE326" s="46"/>
      <c r="AF326" s="18"/>
      <c r="AG326" s="18" t="s">
        <v>1572</v>
      </c>
      <c r="AH326" s="18" t="s">
        <v>178</v>
      </c>
    </row>
    <row r="327" spans="1:34" ht="27" customHeight="1">
      <c r="A327" s="105" t="s">
        <v>1672</v>
      </c>
      <c r="B327" s="51" t="s">
        <v>1673</v>
      </c>
      <c r="C327" s="51" t="s">
        <v>1674</v>
      </c>
      <c r="D327" s="51" t="s">
        <v>82</v>
      </c>
      <c r="E327" s="51" t="s">
        <v>63</v>
      </c>
      <c r="F327" s="51" t="s">
        <v>83</v>
      </c>
      <c r="G327" s="108" t="s">
        <v>63</v>
      </c>
      <c r="H327" s="52" t="s">
        <v>1675</v>
      </c>
      <c r="I327" s="51"/>
      <c r="J327" s="51" t="s">
        <v>1309</v>
      </c>
      <c r="K327" s="18"/>
      <c r="L327" s="110">
        <v>2674782</v>
      </c>
      <c r="M327" s="110">
        <v>2674782</v>
      </c>
      <c r="N327" s="18"/>
      <c r="O327" s="18" t="b">
        <f>VLOOKUP(A327,[1]Model!C$2:J$559,2,FALSE)=B327</f>
        <v>1</v>
      </c>
      <c r="P327" s="18" t="e">
        <f>VLOOKUP(A327,[2]Model!C$2:G$208,5,FALSE)=D327</f>
        <v>#N/A</v>
      </c>
      <c r="Q327" s="18" t="e">
        <f>VLOOKUP(A327,[2]Model!C$2:L$228,8,FALSE)</f>
        <v>#N/A</v>
      </c>
      <c r="R327" s="18" t="e">
        <f>VLOOKUP(A327,[2]Model!C$2:G$228,3,FALSE)=[3]!Table14[[#This Row],[Business Definition (To go into comments and into Meta Data Hub)]]</f>
        <v>#N/A</v>
      </c>
      <c r="S327" s="18" t="e">
        <f>IF([3]!Table14[[#This Row],[Nullable in Table and in Oracle View
NULL, NOT NULL]]="No","NOT NULL","NULL")=VLOOKUP(A327,[2]Model!C$2:I$228,6,FALSE)</f>
        <v>#REF!</v>
      </c>
      <c r="T327" s="58" t="e">
        <f>VLOOKUP(B327,[2]Table!A$2:F$415,1,FALSE)=[3]!Table14[[#This Row],[Physical Name of Attribute (Name of column in Table)
Supplied by DA Team]]</f>
        <v>#N/A</v>
      </c>
      <c r="U327" s="58" t="e">
        <f>VLOOKUP(B327,[2]Table!A$2:F$319,2,FALSE)=[4]!Table14[[#This Row],[Data type in Oracle
VARCHAR2(n), DATE, NUMBER(m,n), TIMETSTAMP(6)]]</f>
        <v>#N/A</v>
      </c>
      <c r="V327" s="58" t="e">
        <f>VLOOKUP(B327,[2]Table!A$2:F$231,3,FALSE)=[4]!Table14[[#This Row],[Nullable in Table and in Oracle View
NULL, NOT NULL]]</f>
        <v>#N/A</v>
      </c>
      <c r="W327" s="58" t="e">
        <f>VLOOKUP(B327,[2]Table!A$2:H$228,6,FALSE)=[4]!Table14[[#This Row],[Business Definition (To go into comments and into Meta Data Hub)]]</f>
        <v>#N/A</v>
      </c>
      <c r="X327" s="58" t="e">
        <f>VLOOKUP((UPPER(SUBSTITUTE(A327," ","_"))),'[2]Consumer View'!A$2:I$329,1,FALSE)</f>
        <v>#N/A</v>
      </c>
      <c r="Y327" s="51" t="s">
        <v>1503</v>
      </c>
      <c r="Z327" s="51" t="s">
        <v>203</v>
      </c>
      <c r="AA327" s="51" t="s">
        <v>1676</v>
      </c>
      <c r="AB327" s="18"/>
      <c r="AC327" s="18"/>
      <c r="AD327" s="51" t="s">
        <v>1677</v>
      </c>
      <c r="AE327" s="46"/>
      <c r="AF327" s="18"/>
      <c r="AG327" s="18" t="s">
        <v>1572</v>
      </c>
      <c r="AH327" s="18" t="s">
        <v>178</v>
      </c>
    </row>
    <row r="328" spans="1:34" ht="27" customHeight="1">
      <c r="A328" s="105" t="s">
        <v>1678</v>
      </c>
      <c r="B328" s="51" t="s">
        <v>1679</v>
      </c>
      <c r="C328" s="51" t="s">
        <v>1680</v>
      </c>
      <c r="D328" s="51" t="s">
        <v>120</v>
      </c>
      <c r="E328" s="51" t="s">
        <v>63</v>
      </c>
      <c r="F328" s="51" t="s">
        <v>121</v>
      </c>
      <c r="G328" s="108" t="s">
        <v>63</v>
      </c>
      <c r="H328" s="52" t="s">
        <v>1681</v>
      </c>
      <c r="I328" s="51"/>
      <c r="J328" s="51" t="s">
        <v>1309</v>
      </c>
      <c r="K328" s="18"/>
      <c r="L328" s="110">
        <v>2674782</v>
      </c>
      <c r="M328" s="110">
        <v>2674782</v>
      </c>
      <c r="N328" s="18"/>
      <c r="O328" s="18" t="b">
        <f>VLOOKUP(A328,[1]Model!C$2:J$559,2,FALSE)=B328</f>
        <v>1</v>
      </c>
      <c r="P328" s="18" t="e">
        <f>VLOOKUP(A328,[2]Model!C$2:G$208,5,FALSE)=D328</f>
        <v>#N/A</v>
      </c>
      <c r="Q328" s="18" t="e">
        <f>VLOOKUP(A328,[2]Model!C$2:L$228,8,FALSE)</f>
        <v>#N/A</v>
      </c>
      <c r="R328" s="18" t="e">
        <f>VLOOKUP(A328,[2]Model!C$2:G$228,3,FALSE)=[3]!Table14[[#This Row],[Business Definition (To go into comments and into Meta Data Hub)]]</f>
        <v>#N/A</v>
      </c>
      <c r="S328" s="18" t="e">
        <f>IF([3]!Table14[[#This Row],[Nullable in Table and in Oracle View
NULL, NOT NULL]]="No","NOT NULL","NULL")=VLOOKUP(A328,[2]Model!C$2:I$228,6,FALSE)</f>
        <v>#REF!</v>
      </c>
      <c r="T328" s="58" t="e">
        <f>VLOOKUP(B328,[2]Table!A$2:F$415,1,FALSE)=[3]!Table14[[#This Row],[Physical Name of Attribute (Name of column in Table)
Supplied by DA Team]]</f>
        <v>#N/A</v>
      </c>
      <c r="U328" s="58" t="e">
        <f>VLOOKUP(B328,[2]Table!A$2:F$319,2,FALSE)=[4]!Table14[[#This Row],[Data type in Oracle
VARCHAR2(n), DATE, NUMBER(m,n), TIMETSTAMP(6)]]</f>
        <v>#N/A</v>
      </c>
      <c r="V328" s="58" t="e">
        <f>VLOOKUP(B328,[2]Table!A$2:F$231,3,FALSE)=[4]!Table14[[#This Row],[Nullable in Table and in Oracle View
NULL, NOT NULL]]</f>
        <v>#N/A</v>
      </c>
      <c r="W328" s="58" t="e">
        <f>VLOOKUP(B328,[2]Table!A$2:H$228,6,FALSE)=[4]!Table14[[#This Row],[Business Definition (To go into comments and into Meta Data Hub)]]</f>
        <v>#N/A</v>
      </c>
      <c r="X328" s="58" t="e">
        <f>VLOOKUP((UPPER(SUBSTITUTE(A328," ","_"))),'[2]Consumer View'!A$2:I$329,1,FALSE)</f>
        <v>#N/A</v>
      </c>
      <c r="Y328" s="51" t="s">
        <v>1503</v>
      </c>
      <c r="Z328" s="51" t="s">
        <v>203</v>
      </c>
      <c r="AA328" s="51" t="s">
        <v>1682</v>
      </c>
      <c r="AB328" s="18"/>
      <c r="AC328" s="18"/>
      <c r="AD328" s="51" t="s">
        <v>1571</v>
      </c>
      <c r="AE328" s="46"/>
      <c r="AF328" s="18"/>
      <c r="AG328" s="18" t="s">
        <v>1572</v>
      </c>
      <c r="AH328" s="18" t="s">
        <v>178</v>
      </c>
    </row>
    <row r="329" spans="1:34" ht="27" customHeight="1">
      <c r="A329" s="105" t="s">
        <v>1683</v>
      </c>
      <c r="B329" s="51" t="s">
        <v>1684</v>
      </c>
      <c r="C329" s="51" t="s">
        <v>1685</v>
      </c>
      <c r="D329" s="51" t="s">
        <v>120</v>
      </c>
      <c r="E329" s="51" t="s">
        <v>63</v>
      </c>
      <c r="F329" s="51" t="s">
        <v>121</v>
      </c>
      <c r="G329" s="108" t="s">
        <v>63</v>
      </c>
      <c r="H329" s="52" t="s">
        <v>1686</v>
      </c>
      <c r="I329" s="51"/>
      <c r="J329" s="51" t="s">
        <v>1309</v>
      </c>
      <c r="K329" s="18"/>
      <c r="L329" s="110">
        <v>2674782</v>
      </c>
      <c r="M329" s="110">
        <v>2674782</v>
      </c>
      <c r="N329" s="18"/>
      <c r="O329" s="18" t="b">
        <f>VLOOKUP(A329,[1]Model!C$2:J$559,2,FALSE)=B329</f>
        <v>1</v>
      </c>
      <c r="P329" s="18" t="e">
        <f>VLOOKUP(A329,[2]Model!C$2:G$208,5,FALSE)=D329</f>
        <v>#N/A</v>
      </c>
      <c r="Q329" s="18" t="e">
        <f>VLOOKUP(A329,[2]Model!C$2:L$228,8,FALSE)</f>
        <v>#N/A</v>
      </c>
      <c r="R329" s="18" t="e">
        <f>VLOOKUP(A329,[2]Model!C$2:G$228,3,FALSE)=[3]!Table14[[#This Row],[Business Definition (To go into comments and into Meta Data Hub)]]</f>
        <v>#N/A</v>
      </c>
      <c r="S329" s="18" t="e">
        <f>IF([3]!Table14[[#This Row],[Nullable in Table and in Oracle View
NULL, NOT NULL]]="No","NOT NULL","NULL")=VLOOKUP(A329,[2]Model!C$2:I$228,6,FALSE)</f>
        <v>#REF!</v>
      </c>
      <c r="T329" s="58" t="e">
        <f>VLOOKUP(B329,[2]Table!A$2:F$415,1,FALSE)=[3]!Table14[[#This Row],[Physical Name of Attribute (Name of column in Table)
Supplied by DA Team]]</f>
        <v>#N/A</v>
      </c>
      <c r="U329" s="58" t="e">
        <f>VLOOKUP(B329,[2]Table!A$2:F$319,2,FALSE)=[4]!Table14[[#This Row],[Data type in Oracle
VARCHAR2(n), DATE, NUMBER(m,n), TIMETSTAMP(6)]]</f>
        <v>#N/A</v>
      </c>
      <c r="V329" s="58" t="e">
        <f>VLOOKUP(B329,[2]Table!A$2:F$231,3,FALSE)=[4]!Table14[[#This Row],[Nullable in Table and in Oracle View
NULL, NOT NULL]]</f>
        <v>#N/A</v>
      </c>
      <c r="W329" s="58" t="e">
        <f>VLOOKUP(B329,[2]Table!A$2:H$228,6,FALSE)=[4]!Table14[[#This Row],[Business Definition (To go into comments and into Meta Data Hub)]]</f>
        <v>#N/A</v>
      </c>
      <c r="X329" s="58" t="e">
        <f>VLOOKUP((UPPER(SUBSTITUTE(A329," ","_"))),'[2]Consumer View'!A$2:I$329,1,FALSE)</f>
        <v>#N/A</v>
      </c>
      <c r="Y329" s="51" t="s">
        <v>1503</v>
      </c>
      <c r="Z329" s="51" t="s">
        <v>203</v>
      </c>
      <c r="AA329" s="51" t="s">
        <v>1687</v>
      </c>
      <c r="AB329" s="18"/>
      <c r="AC329" s="18"/>
      <c r="AD329" s="51" t="s">
        <v>1571</v>
      </c>
      <c r="AE329" s="46"/>
      <c r="AF329" s="18"/>
      <c r="AG329" s="18" t="s">
        <v>1572</v>
      </c>
      <c r="AH329" s="18" t="s">
        <v>178</v>
      </c>
    </row>
    <row r="330" spans="1:34" ht="27" customHeight="1">
      <c r="A330" s="105" t="s">
        <v>1688</v>
      </c>
      <c r="B330" s="51" t="s">
        <v>1689</v>
      </c>
      <c r="C330" s="51" t="s">
        <v>1690</v>
      </c>
      <c r="D330" s="51" t="s">
        <v>1453</v>
      </c>
      <c r="E330" s="51" t="s">
        <v>63</v>
      </c>
      <c r="F330" s="51" t="s">
        <v>1454</v>
      </c>
      <c r="G330" s="108" t="s">
        <v>63</v>
      </c>
      <c r="H330" s="52" t="s">
        <v>1691</v>
      </c>
      <c r="I330" s="51"/>
      <c r="J330" s="51" t="s">
        <v>1309</v>
      </c>
      <c r="K330" s="18"/>
      <c r="L330" s="110">
        <v>2674782</v>
      </c>
      <c r="M330" s="110">
        <v>2674782</v>
      </c>
      <c r="N330" s="18"/>
      <c r="O330" s="18" t="b">
        <f>VLOOKUP(A330,[1]Model!C$2:J$559,2,FALSE)=B330</f>
        <v>1</v>
      </c>
      <c r="P330" s="18" t="e">
        <f>VLOOKUP(A330,[2]Model!C$2:G$208,5,FALSE)=D330</f>
        <v>#N/A</v>
      </c>
      <c r="Q330" s="18" t="e">
        <f>VLOOKUP(A330,[2]Model!C$2:L$228,8,FALSE)</f>
        <v>#N/A</v>
      </c>
      <c r="R330" s="18" t="e">
        <f>VLOOKUP(A330,[2]Model!C$2:G$228,3,FALSE)=[3]!Table14[[#This Row],[Business Definition (To go into comments and into Meta Data Hub)]]</f>
        <v>#N/A</v>
      </c>
      <c r="S330" s="18" t="e">
        <f>IF([3]!Table14[[#This Row],[Nullable in Table and in Oracle View
NULL, NOT NULL]]="No","NOT NULL","NULL")=VLOOKUP(A330,[2]Model!C$2:I$228,6,FALSE)</f>
        <v>#REF!</v>
      </c>
      <c r="T330" s="58" t="e">
        <f>VLOOKUP(B330,[2]Table!A$2:F$415,1,FALSE)=[3]!Table14[[#This Row],[Physical Name of Attribute (Name of column in Table)
Supplied by DA Team]]</f>
        <v>#N/A</v>
      </c>
      <c r="U330" s="58" t="e">
        <f>VLOOKUP(B330,[2]Table!A$2:F$319,2,FALSE)=[4]!Table14[[#This Row],[Data type in Oracle
VARCHAR2(n), DATE, NUMBER(m,n), TIMETSTAMP(6)]]</f>
        <v>#N/A</v>
      </c>
      <c r="V330" s="58" t="e">
        <f>VLOOKUP(B330,[2]Table!A$2:F$231,3,FALSE)=[4]!Table14[[#This Row],[Nullable in Table and in Oracle View
NULL, NOT NULL]]</f>
        <v>#N/A</v>
      </c>
      <c r="W330" s="58" t="e">
        <f>VLOOKUP(B330,[2]Table!A$2:H$228,6,FALSE)=[4]!Table14[[#This Row],[Business Definition (To go into comments and into Meta Data Hub)]]</f>
        <v>#N/A</v>
      </c>
      <c r="X330" s="58" t="e">
        <f>VLOOKUP((UPPER(SUBSTITUTE(A330," ","_"))),'[2]Consumer View'!A$2:I$329,1,FALSE)</f>
        <v>#N/A</v>
      </c>
      <c r="Y330" s="51" t="s">
        <v>1503</v>
      </c>
      <c r="Z330" s="51" t="s">
        <v>203</v>
      </c>
      <c r="AA330" s="51" t="s">
        <v>1692</v>
      </c>
      <c r="AB330" s="18"/>
      <c r="AC330" s="18"/>
      <c r="AD330" s="51" t="s">
        <v>1571</v>
      </c>
      <c r="AE330" s="46"/>
      <c r="AF330" s="18"/>
      <c r="AG330" s="18" t="s">
        <v>1572</v>
      </c>
      <c r="AH330" s="18" t="s">
        <v>178</v>
      </c>
    </row>
    <row r="331" spans="1:34" ht="27" customHeight="1">
      <c r="A331" s="105" t="s">
        <v>1693</v>
      </c>
      <c r="B331" s="51" t="s">
        <v>1694</v>
      </c>
      <c r="C331" s="51" t="s">
        <v>1695</v>
      </c>
      <c r="D331" s="51" t="s">
        <v>120</v>
      </c>
      <c r="E331" s="51" t="s">
        <v>63</v>
      </c>
      <c r="F331" s="51" t="s">
        <v>121</v>
      </c>
      <c r="G331" s="108" t="s">
        <v>63</v>
      </c>
      <c r="H331" s="52" t="s">
        <v>1696</v>
      </c>
      <c r="I331" s="51"/>
      <c r="J331" s="51" t="s">
        <v>1309</v>
      </c>
      <c r="K331" s="18"/>
      <c r="L331" s="110">
        <v>2674782</v>
      </c>
      <c r="M331" s="110">
        <v>2674782</v>
      </c>
      <c r="N331" s="18"/>
      <c r="O331" s="18" t="b">
        <f>VLOOKUP(A331,[1]Model!C$2:J$559,2,FALSE)=B331</f>
        <v>1</v>
      </c>
      <c r="P331" s="18" t="e">
        <f>VLOOKUP(A331,[2]Model!C$2:G$208,5,FALSE)=D331</f>
        <v>#N/A</v>
      </c>
      <c r="Q331" s="18" t="e">
        <f>VLOOKUP(A331,[2]Model!C$2:L$228,8,FALSE)</f>
        <v>#N/A</v>
      </c>
      <c r="R331" s="18" t="e">
        <f>VLOOKUP(A331,[2]Model!C$2:G$228,3,FALSE)=[3]!Table14[[#This Row],[Business Definition (To go into comments and into Meta Data Hub)]]</f>
        <v>#N/A</v>
      </c>
      <c r="S331" s="18" t="e">
        <f>IF([3]!Table14[[#This Row],[Nullable in Table and in Oracle View
NULL, NOT NULL]]="No","NOT NULL","NULL")=VLOOKUP(A331,[2]Model!C$2:I$228,6,FALSE)</f>
        <v>#REF!</v>
      </c>
      <c r="T331" s="58" t="e">
        <f>VLOOKUP(B331,[2]Table!A$2:F$415,1,FALSE)=[3]!Table14[[#This Row],[Physical Name of Attribute (Name of column in Table)
Supplied by DA Team]]</f>
        <v>#N/A</v>
      </c>
      <c r="U331" s="58" t="e">
        <f>VLOOKUP(B331,[2]Table!A$2:F$319,2,FALSE)=[4]!Table14[[#This Row],[Data type in Oracle
VARCHAR2(n), DATE, NUMBER(m,n), TIMETSTAMP(6)]]</f>
        <v>#N/A</v>
      </c>
      <c r="V331" s="58" t="e">
        <f>VLOOKUP(B331,[2]Table!A$2:F$231,3,FALSE)=[4]!Table14[[#This Row],[Nullable in Table and in Oracle View
NULL, NOT NULL]]</f>
        <v>#N/A</v>
      </c>
      <c r="W331" s="58" t="e">
        <f>VLOOKUP(B331,[2]Table!A$2:H$228,6,FALSE)=[4]!Table14[[#This Row],[Business Definition (To go into comments and into Meta Data Hub)]]</f>
        <v>#N/A</v>
      </c>
      <c r="X331" s="58" t="e">
        <f>VLOOKUP((UPPER(SUBSTITUTE(A331," ","_"))),'[2]Consumer View'!A$2:I$329,1,FALSE)</f>
        <v>#N/A</v>
      </c>
      <c r="Y331" s="51" t="s">
        <v>1503</v>
      </c>
      <c r="Z331" s="51" t="s">
        <v>203</v>
      </c>
      <c r="AA331" s="51" t="s">
        <v>1697</v>
      </c>
      <c r="AB331" s="18"/>
      <c r="AC331" s="18"/>
      <c r="AD331" s="51" t="s">
        <v>1571</v>
      </c>
      <c r="AE331" s="46"/>
      <c r="AF331" s="18"/>
      <c r="AG331" s="18" t="s">
        <v>1572</v>
      </c>
      <c r="AH331" s="18" t="s">
        <v>178</v>
      </c>
    </row>
    <row r="332" spans="1:34" ht="27" customHeight="1">
      <c r="A332" s="105" t="s">
        <v>1698</v>
      </c>
      <c r="B332" s="51" t="s">
        <v>1699</v>
      </c>
      <c r="C332" s="51" t="s">
        <v>1700</v>
      </c>
      <c r="D332" s="51" t="s">
        <v>120</v>
      </c>
      <c r="E332" s="51" t="s">
        <v>63</v>
      </c>
      <c r="F332" s="51" t="s">
        <v>121</v>
      </c>
      <c r="G332" s="108" t="s">
        <v>63</v>
      </c>
      <c r="H332" s="52" t="s">
        <v>1701</v>
      </c>
      <c r="I332" s="51"/>
      <c r="J332" s="51" t="s">
        <v>1309</v>
      </c>
      <c r="K332" s="18"/>
      <c r="L332" s="110">
        <v>2674782</v>
      </c>
      <c r="M332" s="110">
        <v>2674782</v>
      </c>
      <c r="N332" s="18"/>
      <c r="O332" s="18" t="b">
        <f>VLOOKUP(A332,[1]Model!C$2:J$559,2,FALSE)=B332</f>
        <v>1</v>
      </c>
      <c r="P332" s="18" t="e">
        <f>VLOOKUP(A332,[2]Model!C$2:G$208,5,FALSE)=D332</f>
        <v>#N/A</v>
      </c>
      <c r="Q332" s="18" t="e">
        <f>VLOOKUP(A332,[2]Model!C$2:L$228,8,FALSE)</f>
        <v>#N/A</v>
      </c>
      <c r="R332" s="18" t="e">
        <f>VLOOKUP(A332,[2]Model!C$2:G$228,3,FALSE)=[3]!Table14[[#This Row],[Business Definition (To go into comments and into Meta Data Hub)]]</f>
        <v>#N/A</v>
      </c>
      <c r="S332" s="18" t="e">
        <f>IF([3]!Table14[[#This Row],[Nullable in Table and in Oracle View
NULL, NOT NULL]]="No","NOT NULL","NULL")=VLOOKUP(A332,[2]Model!C$2:I$228,6,FALSE)</f>
        <v>#REF!</v>
      </c>
      <c r="T332" s="58" t="e">
        <f>VLOOKUP(B332,[2]Table!A$2:F$415,1,FALSE)=[3]!Table14[[#This Row],[Physical Name of Attribute (Name of column in Table)
Supplied by DA Team]]</f>
        <v>#N/A</v>
      </c>
      <c r="U332" s="58" t="e">
        <f>VLOOKUP(B332,[2]Table!A$2:F$319,2,FALSE)=[4]!Table14[[#This Row],[Data type in Oracle
VARCHAR2(n), DATE, NUMBER(m,n), TIMETSTAMP(6)]]</f>
        <v>#N/A</v>
      </c>
      <c r="V332" s="58" t="e">
        <f>VLOOKUP(B332,[2]Table!A$2:F$231,3,FALSE)=[4]!Table14[[#This Row],[Nullable in Table and in Oracle View
NULL, NOT NULL]]</f>
        <v>#N/A</v>
      </c>
      <c r="W332" s="58" t="e">
        <f>VLOOKUP(B332,[2]Table!A$2:H$228,6,FALSE)=[4]!Table14[[#This Row],[Business Definition (To go into comments and into Meta Data Hub)]]</f>
        <v>#N/A</v>
      </c>
      <c r="X332" s="58" t="e">
        <f>VLOOKUP((UPPER(SUBSTITUTE(A332," ","_"))),'[2]Consumer View'!A$2:I$329,1,FALSE)</f>
        <v>#N/A</v>
      </c>
      <c r="Y332" s="51" t="s">
        <v>1503</v>
      </c>
      <c r="Z332" s="51" t="s">
        <v>203</v>
      </c>
      <c r="AA332" s="51" t="s">
        <v>1702</v>
      </c>
      <c r="AB332" s="18"/>
      <c r="AC332" s="18"/>
      <c r="AD332" s="51" t="s">
        <v>1571</v>
      </c>
      <c r="AE332" s="46"/>
      <c r="AF332" s="18"/>
      <c r="AG332" s="18" t="s">
        <v>1572</v>
      </c>
      <c r="AH332" s="18" t="s">
        <v>178</v>
      </c>
    </row>
    <row r="333" spans="1:34" ht="27" customHeight="1">
      <c r="A333" s="105" t="s">
        <v>1703</v>
      </c>
      <c r="B333" s="51" t="s">
        <v>1704</v>
      </c>
      <c r="C333" s="51" t="s">
        <v>1705</v>
      </c>
      <c r="D333" s="51" t="s">
        <v>120</v>
      </c>
      <c r="E333" s="51" t="s">
        <v>63</v>
      </c>
      <c r="F333" s="51" t="s">
        <v>121</v>
      </c>
      <c r="G333" s="108" t="s">
        <v>63</v>
      </c>
      <c r="H333" s="52" t="s">
        <v>1706</v>
      </c>
      <c r="I333" s="51"/>
      <c r="J333" s="51" t="s">
        <v>1309</v>
      </c>
      <c r="K333" s="18"/>
      <c r="L333" s="110">
        <v>2674782</v>
      </c>
      <c r="M333" s="110">
        <v>2674782</v>
      </c>
      <c r="N333" s="18"/>
      <c r="O333" s="18" t="b">
        <f>VLOOKUP(A333,[1]Model!C$2:J$559,2,FALSE)=B333</f>
        <v>1</v>
      </c>
      <c r="P333" s="18" t="e">
        <f>VLOOKUP(A333,[2]Model!C$2:G$208,5,FALSE)=D333</f>
        <v>#N/A</v>
      </c>
      <c r="Q333" s="18" t="e">
        <f>VLOOKUP(A333,[2]Model!C$2:L$228,8,FALSE)</f>
        <v>#N/A</v>
      </c>
      <c r="R333" s="18" t="e">
        <f>VLOOKUP(A333,[2]Model!C$2:G$228,3,FALSE)=[3]!Table14[[#This Row],[Business Definition (To go into comments and into Meta Data Hub)]]</f>
        <v>#N/A</v>
      </c>
      <c r="S333" s="18" t="e">
        <f>IF([3]!Table14[[#This Row],[Nullable in Table and in Oracle View
NULL, NOT NULL]]="No","NOT NULL","NULL")=VLOOKUP(A333,[2]Model!C$2:I$228,6,FALSE)</f>
        <v>#REF!</v>
      </c>
      <c r="T333" s="58" t="e">
        <f>VLOOKUP(B333,[2]Table!A$2:F$415,1,FALSE)=[3]!Table14[[#This Row],[Physical Name of Attribute (Name of column in Table)
Supplied by DA Team]]</f>
        <v>#N/A</v>
      </c>
      <c r="U333" s="58" t="e">
        <f>VLOOKUP(B333,[2]Table!A$2:F$319,2,FALSE)=[4]!Table14[[#This Row],[Data type in Oracle
VARCHAR2(n), DATE, NUMBER(m,n), TIMETSTAMP(6)]]</f>
        <v>#N/A</v>
      </c>
      <c r="V333" s="58" t="e">
        <f>VLOOKUP(B333,[2]Table!A$2:F$231,3,FALSE)=[4]!Table14[[#This Row],[Nullable in Table and in Oracle View
NULL, NOT NULL]]</f>
        <v>#N/A</v>
      </c>
      <c r="W333" s="58" t="e">
        <f>VLOOKUP(B333,[2]Table!A$2:H$228,6,FALSE)=[4]!Table14[[#This Row],[Business Definition (To go into comments and into Meta Data Hub)]]</f>
        <v>#N/A</v>
      </c>
      <c r="X333" s="58" t="e">
        <f>VLOOKUP((UPPER(SUBSTITUTE(A333," ","_"))),'[2]Consumer View'!A$2:I$329,1,FALSE)</f>
        <v>#N/A</v>
      </c>
      <c r="Y333" s="51" t="s">
        <v>1503</v>
      </c>
      <c r="Z333" s="51" t="s">
        <v>203</v>
      </c>
      <c r="AA333" s="51" t="s">
        <v>1707</v>
      </c>
      <c r="AB333" s="18"/>
      <c r="AC333" s="18"/>
      <c r="AD333" s="51" t="s">
        <v>1571</v>
      </c>
      <c r="AE333" s="46"/>
      <c r="AF333" s="18"/>
      <c r="AG333" s="18" t="s">
        <v>1572</v>
      </c>
      <c r="AH333" s="18" t="s">
        <v>178</v>
      </c>
    </row>
    <row r="334" spans="1:34" ht="27" customHeight="1">
      <c r="A334" s="105" t="s">
        <v>1708</v>
      </c>
      <c r="B334" s="51" t="s">
        <v>1709</v>
      </c>
      <c r="C334" s="51" t="s">
        <v>1710</v>
      </c>
      <c r="D334" s="51" t="s">
        <v>120</v>
      </c>
      <c r="E334" s="51" t="s">
        <v>63</v>
      </c>
      <c r="F334" s="51" t="s">
        <v>121</v>
      </c>
      <c r="G334" s="108" t="s">
        <v>63</v>
      </c>
      <c r="H334" s="52" t="s">
        <v>1711</v>
      </c>
      <c r="I334" s="51"/>
      <c r="J334" s="51" t="s">
        <v>1309</v>
      </c>
      <c r="K334" s="18"/>
      <c r="L334" s="110">
        <v>2674782</v>
      </c>
      <c r="M334" s="110">
        <v>2674782</v>
      </c>
      <c r="N334" s="18"/>
      <c r="O334" s="18" t="b">
        <f>VLOOKUP(A334,[1]Model!C$2:J$559,2,FALSE)=B334</f>
        <v>1</v>
      </c>
      <c r="P334" s="18" t="e">
        <f>VLOOKUP(A334,[2]Model!C$2:G$208,5,FALSE)=D334</f>
        <v>#N/A</v>
      </c>
      <c r="Q334" s="18" t="e">
        <f>VLOOKUP(A334,[2]Model!C$2:L$228,8,FALSE)</f>
        <v>#N/A</v>
      </c>
      <c r="R334" s="18" t="e">
        <f>VLOOKUP(A334,[2]Model!C$2:G$228,3,FALSE)=[3]!Table14[[#This Row],[Business Definition (To go into comments and into Meta Data Hub)]]</f>
        <v>#N/A</v>
      </c>
      <c r="S334" s="18" t="e">
        <f>IF([3]!Table14[[#This Row],[Nullable in Table and in Oracle View
NULL, NOT NULL]]="No","NOT NULL","NULL")=VLOOKUP(A334,[2]Model!C$2:I$228,6,FALSE)</f>
        <v>#REF!</v>
      </c>
      <c r="T334" s="58" t="e">
        <f>VLOOKUP(B334,[2]Table!A$2:F$415,1,FALSE)=[3]!Table14[[#This Row],[Physical Name of Attribute (Name of column in Table)
Supplied by DA Team]]</f>
        <v>#N/A</v>
      </c>
      <c r="U334" s="58" t="e">
        <f>VLOOKUP(B334,[2]Table!A$2:F$319,2,FALSE)=[4]!Table14[[#This Row],[Data type in Oracle
VARCHAR2(n), DATE, NUMBER(m,n), TIMETSTAMP(6)]]</f>
        <v>#N/A</v>
      </c>
      <c r="V334" s="58" t="e">
        <f>VLOOKUP(B334,[2]Table!A$2:F$231,3,FALSE)=[4]!Table14[[#This Row],[Nullable in Table and in Oracle View
NULL, NOT NULL]]</f>
        <v>#N/A</v>
      </c>
      <c r="W334" s="58" t="e">
        <f>VLOOKUP(B334,[2]Table!A$2:H$228,6,FALSE)=[4]!Table14[[#This Row],[Business Definition (To go into comments and into Meta Data Hub)]]</f>
        <v>#N/A</v>
      </c>
      <c r="X334" s="58" t="e">
        <f>VLOOKUP((UPPER(SUBSTITUTE(A334," ","_"))),'[2]Consumer View'!A$2:I$329,1,FALSE)</f>
        <v>#N/A</v>
      </c>
      <c r="Y334" s="51" t="s">
        <v>1503</v>
      </c>
      <c r="Z334" s="51" t="s">
        <v>203</v>
      </c>
      <c r="AA334" s="51" t="s">
        <v>1712</v>
      </c>
      <c r="AB334" s="18"/>
      <c r="AC334" s="18"/>
      <c r="AD334" s="51" t="s">
        <v>1571</v>
      </c>
      <c r="AE334" s="46"/>
      <c r="AF334" s="18"/>
      <c r="AG334" s="18" t="s">
        <v>1572</v>
      </c>
      <c r="AH334" s="18" t="s">
        <v>178</v>
      </c>
    </row>
    <row r="335" spans="1:34" ht="27" customHeight="1">
      <c r="A335" s="105" t="s">
        <v>1713</v>
      </c>
      <c r="B335" s="51" t="s">
        <v>1714</v>
      </c>
      <c r="C335" s="51" t="s">
        <v>1715</v>
      </c>
      <c r="D335" s="51" t="s">
        <v>82</v>
      </c>
      <c r="E335" s="51" t="s">
        <v>63</v>
      </c>
      <c r="F335" s="51" t="s">
        <v>83</v>
      </c>
      <c r="G335" s="108" t="s">
        <v>63</v>
      </c>
      <c r="H335" s="52" t="s">
        <v>1716</v>
      </c>
      <c r="I335" s="51"/>
      <c r="J335" s="51" t="s">
        <v>1309</v>
      </c>
      <c r="K335" s="18"/>
      <c r="L335" s="110">
        <v>2674782</v>
      </c>
      <c r="M335" s="110">
        <v>2674782</v>
      </c>
      <c r="N335" s="18"/>
      <c r="O335" s="18" t="b">
        <f>VLOOKUP(A335,[1]Model!C$2:J$559,2,FALSE)=B335</f>
        <v>1</v>
      </c>
      <c r="P335" s="18" t="e">
        <f>VLOOKUP(A335,[2]Model!C$2:G$208,5,FALSE)=D335</f>
        <v>#N/A</v>
      </c>
      <c r="Q335" s="18" t="e">
        <f>VLOOKUP(A335,[2]Model!C$2:L$228,8,FALSE)</f>
        <v>#N/A</v>
      </c>
      <c r="R335" s="18" t="e">
        <f>VLOOKUP(A335,[2]Model!C$2:G$228,3,FALSE)=[3]!Table14[[#This Row],[Business Definition (To go into comments and into Meta Data Hub)]]</f>
        <v>#N/A</v>
      </c>
      <c r="S335" s="18" t="e">
        <f>IF([3]!Table14[[#This Row],[Nullable in Table and in Oracle View
NULL, NOT NULL]]="No","NOT NULL","NULL")=VLOOKUP(A335,[2]Model!C$2:I$228,6,FALSE)</f>
        <v>#REF!</v>
      </c>
      <c r="T335" s="58" t="e">
        <f>VLOOKUP(B335,[2]Table!A$2:F$415,1,FALSE)=[3]!Table14[[#This Row],[Physical Name of Attribute (Name of column in Table)
Supplied by DA Team]]</f>
        <v>#N/A</v>
      </c>
      <c r="U335" s="58" t="e">
        <f>VLOOKUP(B335,[2]Table!A$2:F$319,2,FALSE)=[4]!Table14[[#This Row],[Data type in Oracle
VARCHAR2(n), DATE, NUMBER(m,n), TIMETSTAMP(6)]]</f>
        <v>#N/A</v>
      </c>
      <c r="V335" s="58" t="e">
        <f>VLOOKUP(B335,[2]Table!A$2:F$231,3,FALSE)=[4]!Table14[[#This Row],[Nullable in Table and in Oracle View
NULL, NOT NULL]]</f>
        <v>#N/A</v>
      </c>
      <c r="W335" s="58" t="e">
        <f>VLOOKUP(B335,[2]Table!A$2:H$228,6,FALSE)=[4]!Table14[[#This Row],[Business Definition (To go into comments and into Meta Data Hub)]]</f>
        <v>#N/A</v>
      </c>
      <c r="X335" s="58" t="e">
        <f>VLOOKUP((UPPER(SUBSTITUTE(A335," ","_"))),'[2]Consumer View'!A$2:I$329,1,FALSE)</f>
        <v>#N/A</v>
      </c>
      <c r="Y335" s="51" t="s">
        <v>1503</v>
      </c>
      <c r="Z335" s="51" t="s">
        <v>203</v>
      </c>
      <c r="AA335" s="51" t="s">
        <v>1717</v>
      </c>
      <c r="AB335" s="18"/>
      <c r="AC335" s="18"/>
      <c r="AD335" s="51" t="s">
        <v>1718</v>
      </c>
      <c r="AE335" s="46"/>
      <c r="AF335" s="18"/>
      <c r="AG335" s="18" t="s">
        <v>1572</v>
      </c>
      <c r="AH335" s="18" t="s">
        <v>178</v>
      </c>
    </row>
    <row r="336" spans="1:34" ht="27" customHeight="1">
      <c r="A336" s="105" t="s">
        <v>1719</v>
      </c>
      <c r="B336" s="51" t="s">
        <v>1720</v>
      </c>
      <c r="C336" s="51" t="s">
        <v>1721</v>
      </c>
      <c r="D336" s="51" t="s">
        <v>82</v>
      </c>
      <c r="E336" s="51" t="s">
        <v>63</v>
      </c>
      <c r="F336" s="51" t="s">
        <v>83</v>
      </c>
      <c r="G336" s="108" t="s">
        <v>63</v>
      </c>
      <c r="H336" s="52" t="s">
        <v>1722</v>
      </c>
      <c r="I336" s="51"/>
      <c r="J336" s="51" t="s">
        <v>1309</v>
      </c>
      <c r="K336" s="18"/>
      <c r="L336" s="110">
        <v>2674782</v>
      </c>
      <c r="M336" s="110">
        <v>2674782</v>
      </c>
      <c r="N336" s="18"/>
      <c r="O336" s="18" t="b">
        <f>VLOOKUP(A336,[1]Model!C$2:J$559,2,FALSE)=B336</f>
        <v>1</v>
      </c>
      <c r="P336" s="18" t="e">
        <f>VLOOKUP(A336,[2]Model!C$2:G$208,5,FALSE)=D336</f>
        <v>#N/A</v>
      </c>
      <c r="Q336" s="18" t="e">
        <f>VLOOKUP(A336,[2]Model!C$2:L$228,8,FALSE)</f>
        <v>#N/A</v>
      </c>
      <c r="R336" s="18" t="e">
        <f>VLOOKUP(A336,[2]Model!C$2:G$228,3,FALSE)=[3]!Table14[[#This Row],[Business Definition (To go into comments and into Meta Data Hub)]]</f>
        <v>#N/A</v>
      </c>
      <c r="S336" s="18" t="e">
        <f>IF([3]!Table14[[#This Row],[Nullable in Table and in Oracle View
NULL, NOT NULL]]="No","NOT NULL","NULL")=VLOOKUP(A336,[2]Model!C$2:I$228,6,FALSE)</f>
        <v>#REF!</v>
      </c>
      <c r="T336" s="58" t="e">
        <f>VLOOKUP(B336,[2]Table!A$2:F$415,1,FALSE)=[3]!Table14[[#This Row],[Physical Name of Attribute (Name of column in Table)
Supplied by DA Team]]</f>
        <v>#N/A</v>
      </c>
      <c r="U336" s="58" t="e">
        <f>VLOOKUP(B336,[2]Table!A$2:F$319,2,FALSE)=[4]!Table14[[#This Row],[Data type in Oracle
VARCHAR2(n), DATE, NUMBER(m,n), TIMETSTAMP(6)]]</f>
        <v>#N/A</v>
      </c>
      <c r="V336" s="58" t="e">
        <f>VLOOKUP(B336,[2]Table!A$2:F$231,3,FALSE)=[4]!Table14[[#This Row],[Nullable in Table and in Oracle View
NULL, NOT NULL]]</f>
        <v>#N/A</v>
      </c>
      <c r="W336" s="58" t="e">
        <f>VLOOKUP(B336,[2]Table!A$2:H$228,6,FALSE)=[4]!Table14[[#This Row],[Business Definition (To go into comments and into Meta Data Hub)]]</f>
        <v>#N/A</v>
      </c>
      <c r="X336" s="58" t="e">
        <f>VLOOKUP((UPPER(SUBSTITUTE(A336," ","_"))),'[2]Consumer View'!A$2:I$329,1,FALSE)</f>
        <v>#N/A</v>
      </c>
      <c r="Y336" s="51" t="s">
        <v>1503</v>
      </c>
      <c r="Z336" s="51" t="s">
        <v>203</v>
      </c>
      <c r="AA336" s="51" t="s">
        <v>1723</v>
      </c>
      <c r="AB336" s="18"/>
      <c r="AC336" s="18"/>
      <c r="AD336" s="51" t="s">
        <v>1724</v>
      </c>
      <c r="AE336" s="46"/>
      <c r="AF336" s="18"/>
      <c r="AG336" s="18" t="s">
        <v>1572</v>
      </c>
      <c r="AH336" s="18" t="s">
        <v>178</v>
      </c>
    </row>
    <row r="337" spans="1:34" ht="27" customHeight="1">
      <c r="A337" s="105" t="s">
        <v>1725</v>
      </c>
      <c r="B337" s="51" t="s">
        <v>1726</v>
      </c>
      <c r="C337" s="51" t="s">
        <v>1727</v>
      </c>
      <c r="D337" s="51" t="s">
        <v>139</v>
      </c>
      <c r="E337" s="51" t="s">
        <v>63</v>
      </c>
      <c r="F337" s="51" t="s">
        <v>140</v>
      </c>
      <c r="G337" s="108" t="s">
        <v>63</v>
      </c>
      <c r="H337" s="52" t="s">
        <v>1728</v>
      </c>
      <c r="I337" s="51"/>
      <c r="J337" s="51" t="s">
        <v>1309</v>
      </c>
      <c r="K337" s="18"/>
      <c r="L337" s="110">
        <v>2674782</v>
      </c>
      <c r="M337" s="110">
        <v>2674782</v>
      </c>
      <c r="N337" s="18"/>
      <c r="O337" s="18" t="b">
        <f>VLOOKUP(A337,[1]Model!C$2:J$559,2,FALSE)=B337</f>
        <v>1</v>
      </c>
      <c r="P337" s="18" t="e">
        <f>VLOOKUP(A337,[2]Model!C$2:G$208,5,FALSE)=D337</f>
        <v>#N/A</v>
      </c>
      <c r="Q337" s="18" t="e">
        <f>VLOOKUP(A337,[2]Model!C$2:L$228,8,FALSE)</f>
        <v>#N/A</v>
      </c>
      <c r="R337" s="18" t="e">
        <f>VLOOKUP(A337,[2]Model!C$2:G$228,3,FALSE)=[3]!Table14[[#This Row],[Business Definition (To go into comments and into Meta Data Hub)]]</f>
        <v>#N/A</v>
      </c>
      <c r="S337" s="18" t="e">
        <f>IF([3]!Table14[[#This Row],[Nullable in Table and in Oracle View
NULL, NOT NULL]]="No","NOT NULL","NULL")=VLOOKUP(A337,[2]Model!C$2:I$228,6,FALSE)</f>
        <v>#REF!</v>
      </c>
      <c r="T337" s="58" t="e">
        <f>VLOOKUP(B337,[2]Table!A$2:F$415,1,FALSE)=[3]!Table14[[#This Row],[Physical Name of Attribute (Name of column in Table)
Supplied by DA Team]]</f>
        <v>#N/A</v>
      </c>
      <c r="U337" s="58" t="e">
        <f>VLOOKUP(B337,[2]Table!A$2:F$319,2,FALSE)=[4]!Table14[[#This Row],[Data type in Oracle
VARCHAR2(n), DATE, NUMBER(m,n), TIMETSTAMP(6)]]</f>
        <v>#N/A</v>
      </c>
      <c r="V337" s="58" t="e">
        <f>VLOOKUP(B337,[2]Table!A$2:F$231,3,FALSE)=[4]!Table14[[#This Row],[Nullable in Table and in Oracle View
NULL, NOT NULL]]</f>
        <v>#N/A</v>
      </c>
      <c r="W337" s="58" t="e">
        <f>VLOOKUP(B337,[2]Table!A$2:H$228,6,FALSE)=[4]!Table14[[#This Row],[Business Definition (To go into comments and into Meta Data Hub)]]</f>
        <v>#N/A</v>
      </c>
      <c r="X337" s="58" t="e">
        <f>VLOOKUP((UPPER(SUBSTITUTE(A337," ","_"))),'[2]Consumer View'!A$2:I$329,1,FALSE)</f>
        <v>#N/A</v>
      </c>
      <c r="Y337" s="51" t="s">
        <v>1503</v>
      </c>
      <c r="Z337" s="51" t="s">
        <v>203</v>
      </c>
      <c r="AA337" s="51" t="s">
        <v>1729</v>
      </c>
      <c r="AB337" s="18"/>
      <c r="AC337" s="18"/>
      <c r="AD337" s="51" t="s">
        <v>1571</v>
      </c>
      <c r="AE337" s="46"/>
      <c r="AF337" s="18"/>
      <c r="AG337" s="18" t="s">
        <v>1572</v>
      </c>
      <c r="AH337" s="18" t="s">
        <v>178</v>
      </c>
    </row>
    <row r="338" spans="1:34" ht="27" customHeight="1">
      <c r="A338" s="105" t="s">
        <v>1730</v>
      </c>
      <c r="B338" s="51" t="s">
        <v>1731</v>
      </c>
      <c r="C338" s="51" t="s">
        <v>1732</v>
      </c>
      <c r="D338" s="51" t="s">
        <v>157</v>
      </c>
      <c r="E338" s="51" t="s">
        <v>63</v>
      </c>
      <c r="F338" s="51" t="s">
        <v>1323</v>
      </c>
      <c r="G338" s="108" t="s">
        <v>63</v>
      </c>
      <c r="H338" s="52" t="s">
        <v>1733</v>
      </c>
      <c r="I338" s="51"/>
      <c r="J338" s="51" t="s">
        <v>1309</v>
      </c>
      <c r="K338" s="18"/>
      <c r="L338" s="110">
        <v>2674782</v>
      </c>
      <c r="M338" s="110">
        <v>2674782</v>
      </c>
      <c r="N338" s="18"/>
      <c r="O338" s="18" t="b">
        <f>VLOOKUP(A338,[1]Model!C$2:J$559,2,FALSE)=B338</f>
        <v>1</v>
      </c>
      <c r="P338" s="18" t="e">
        <f>VLOOKUP(A338,[2]Model!C$2:G$208,5,FALSE)=D338</f>
        <v>#N/A</v>
      </c>
      <c r="Q338" s="18" t="e">
        <f>VLOOKUP(A338,[2]Model!C$2:L$228,8,FALSE)</f>
        <v>#N/A</v>
      </c>
      <c r="R338" s="18" t="e">
        <f>VLOOKUP(A338,[2]Model!C$2:G$228,3,FALSE)=[3]!Table14[[#This Row],[Business Definition (To go into comments and into Meta Data Hub)]]</f>
        <v>#N/A</v>
      </c>
      <c r="S338" s="18" t="e">
        <f>IF([3]!Table14[[#This Row],[Nullable in Table and in Oracle View
NULL, NOT NULL]]="No","NOT NULL","NULL")=VLOOKUP(A338,[2]Model!C$2:I$228,6,FALSE)</f>
        <v>#REF!</v>
      </c>
      <c r="T338" s="58" t="e">
        <f>VLOOKUP(B338,[2]Table!A$2:F$415,1,FALSE)=[3]!Table14[[#This Row],[Physical Name of Attribute (Name of column in Table)
Supplied by DA Team]]</f>
        <v>#N/A</v>
      </c>
      <c r="U338" s="58" t="e">
        <f>VLOOKUP(B338,[2]Table!A$2:F$319,2,FALSE)=[4]!Table14[[#This Row],[Data type in Oracle
VARCHAR2(n), DATE, NUMBER(m,n), TIMETSTAMP(6)]]</f>
        <v>#N/A</v>
      </c>
      <c r="V338" s="58" t="e">
        <f>VLOOKUP(B338,[2]Table!A$2:F$231,3,FALSE)=[4]!Table14[[#This Row],[Nullable in Table and in Oracle View
NULL, NOT NULL]]</f>
        <v>#N/A</v>
      </c>
      <c r="W338" s="58" t="e">
        <f>VLOOKUP(B338,[2]Table!A$2:H$228,6,FALSE)=[4]!Table14[[#This Row],[Business Definition (To go into comments and into Meta Data Hub)]]</f>
        <v>#N/A</v>
      </c>
      <c r="X338" s="58" t="e">
        <f>VLOOKUP((UPPER(SUBSTITUTE(A338," ","_"))),'[2]Consumer View'!A$2:I$329,1,FALSE)</f>
        <v>#N/A</v>
      </c>
      <c r="Y338" s="51" t="s">
        <v>1503</v>
      </c>
      <c r="Z338" s="51" t="s">
        <v>203</v>
      </c>
      <c r="AA338" s="51" t="s">
        <v>1734</v>
      </c>
      <c r="AB338" s="18"/>
      <c r="AC338" s="18"/>
      <c r="AD338" s="51" t="s">
        <v>1571</v>
      </c>
      <c r="AE338" s="46"/>
      <c r="AF338" s="18"/>
      <c r="AG338" s="51" t="s">
        <v>1572</v>
      </c>
      <c r="AH338" s="18" t="s">
        <v>178</v>
      </c>
    </row>
    <row r="339" spans="1:34" ht="27" customHeight="1">
      <c r="A339" s="105" t="s">
        <v>1735</v>
      </c>
      <c r="B339" s="51" t="s">
        <v>1736</v>
      </c>
      <c r="C339" s="51" t="s">
        <v>1737</v>
      </c>
      <c r="D339" s="51" t="s">
        <v>139</v>
      </c>
      <c r="E339" s="51" t="s">
        <v>63</v>
      </c>
      <c r="F339" s="51" t="s">
        <v>140</v>
      </c>
      <c r="G339" s="108" t="s">
        <v>63</v>
      </c>
      <c r="H339" s="52" t="s">
        <v>1738</v>
      </c>
      <c r="I339" s="51"/>
      <c r="J339" s="51" t="s">
        <v>1309</v>
      </c>
      <c r="K339" s="18"/>
      <c r="L339" s="110">
        <v>2674782</v>
      </c>
      <c r="M339" s="110">
        <v>2674782</v>
      </c>
      <c r="N339" s="18"/>
      <c r="O339" s="18" t="b">
        <f>VLOOKUP(A339,[1]Model!C$2:J$559,2,FALSE)=B339</f>
        <v>1</v>
      </c>
      <c r="P339" s="18" t="e">
        <f>VLOOKUP(A339,[2]Model!C$2:G$208,5,FALSE)=D339</f>
        <v>#N/A</v>
      </c>
      <c r="Q339" s="18" t="e">
        <f>VLOOKUP(A339,[2]Model!C$2:L$228,8,FALSE)</f>
        <v>#N/A</v>
      </c>
      <c r="R339" s="18" t="e">
        <f>VLOOKUP(A339,[2]Model!C$2:G$228,3,FALSE)=[3]!Table14[[#This Row],[Business Definition (To go into comments and into Meta Data Hub)]]</f>
        <v>#N/A</v>
      </c>
      <c r="S339" s="18" t="e">
        <f>IF([3]!Table14[[#This Row],[Nullable in Table and in Oracle View
NULL, NOT NULL]]="No","NOT NULL","NULL")=VLOOKUP(A339,[2]Model!C$2:I$228,6,FALSE)</f>
        <v>#REF!</v>
      </c>
      <c r="T339" s="58" t="e">
        <f>VLOOKUP(B339,[2]Table!A$2:F$415,1,FALSE)=[3]!Table14[[#This Row],[Physical Name of Attribute (Name of column in Table)
Supplied by DA Team]]</f>
        <v>#N/A</v>
      </c>
      <c r="U339" s="58" t="e">
        <f>VLOOKUP(B339,[2]Table!A$2:F$319,2,FALSE)=[4]!Table14[[#This Row],[Data type in Oracle
VARCHAR2(n), DATE, NUMBER(m,n), TIMETSTAMP(6)]]</f>
        <v>#N/A</v>
      </c>
      <c r="V339" s="58" t="e">
        <f>VLOOKUP(B339,[2]Table!A$2:F$231,3,FALSE)=[4]!Table14[[#This Row],[Nullable in Table and in Oracle View
NULL, NOT NULL]]</f>
        <v>#N/A</v>
      </c>
      <c r="W339" s="58" t="e">
        <f>VLOOKUP(B339,[2]Table!A$2:H$228,6,FALSE)=[4]!Table14[[#This Row],[Business Definition (To go into comments and into Meta Data Hub)]]</f>
        <v>#N/A</v>
      </c>
      <c r="X339" s="58" t="e">
        <f>VLOOKUP((UPPER(SUBSTITUTE(A339," ","_"))),'[2]Consumer View'!A$2:I$329,1,FALSE)</f>
        <v>#N/A</v>
      </c>
      <c r="Y339" s="51" t="s">
        <v>1503</v>
      </c>
      <c r="Z339" s="51" t="s">
        <v>203</v>
      </c>
      <c r="AA339" s="51" t="s">
        <v>1739</v>
      </c>
      <c r="AB339" s="18"/>
      <c r="AC339" s="18"/>
      <c r="AD339" s="51" t="s">
        <v>1571</v>
      </c>
      <c r="AE339" s="46"/>
      <c r="AF339" s="18"/>
      <c r="AG339" s="51" t="s">
        <v>1572</v>
      </c>
      <c r="AH339" s="18" t="s">
        <v>178</v>
      </c>
    </row>
    <row r="340" spans="1:34" ht="27" customHeight="1">
      <c r="A340" s="105" t="s">
        <v>1740</v>
      </c>
      <c r="B340" s="51" t="s">
        <v>1741</v>
      </c>
      <c r="C340" s="51" t="s">
        <v>1742</v>
      </c>
      <c r="D340" s="51" t="s">
        <v>139</v>
      </c>
      <c r="E340" s="51" t="s">
        <v>63</v>
      </c>
      <c r="F340" s="51" t="s">
        <v>140</v>
      </c>
      <c r="G340" s="108" t="s">
        <v>63</v>
      </c>
      <c r="H340" s="52" t="s">
        <v>1743</v>
      </c>
      <c r="I340" s="51"/>
      <c r="J340" s="51" t="s">
        <v>1309</v>
      </c>
      <c r="K340" s="18"/>
      <c r="L340" s="110">
        <v>2674782</v>
      </c>
      <c r="M340" s="110">
        <v>2674782</v>
      </c>
      <c r="N340" s="18"/>
      <c r="O340" s="18" t="b">
        <f>VLOOKUP(A340,[1]Model!C$2:J$559,2,FALSE)=B340</f>
        <v>1</v>
      </c>
      <c r="P340" s="18" t="e">
        <f>VLOOKUP(A340,[2]Model!C$2:G$208,5,FALSE)=D340</f>
        <v>#N/A</v>
      </c>
      <c r="Q340" s="18" t="e">
        <f>VLOOKUP(A340,[2]Model!C$2:L$228,8,FALSE)</f>
        <v>#N/A</v>
      </c>
      <c r="R340" s="18" t="e">
        <f>VLOOKUP(A340,[2]Model!C$2:G$228,3,FALSE)=[3]!Table14[[#This Row],[Business Definition (To go into comments and into Meta Data Hub)]]</f>
        <v>#N/A</v>
      </c>
      <c r="S340" s="18" t="e">
        <f>IF([3]!Table14[[#This Row],[Nullable in Table and in Oracle View
NULL, NOT NULL]]="No","NOT NULL","NULL")=VLOOKUP(A340,[2]Model!C$2:I$228,6,FALSE)</f>
        <v>#REF!</v>
      </c>
      <c r="T340" s="58" t="e">
        <f>VLOOKUP(B340,[2]Table!A$2:F$415,1,FALSE)=[3]!Table14[[#This Row],[Physical Name of Attribute (Name of column in Table)
Supplied by DA Team]]</f>
        <v>#N/A</v>
      </c>
      <c r="U340" s="58" t="e">
        <f>VLOOKUP(B340,[2]Table!A$2:F$319,2,FALSE)=[4]!Table14[[#This Row],[Data type in Oracle
VARCHAR2(n), DATE, NUMBER(m,n), TIMETSTAMP(6)]]</f>
        <v>#N/A</v>
      </c>
      <c r="V340" s="58" t="e">
        <f>VLOOKUP(B340,[2]Table!A$2:F$231,3,FALSE)=[4]!Table14[[#This Row],[Nullable in Table and in Oracle View
NULL, NOT NULL]]</f>
        <v>#N/A</v>
      </c>
      <c r="W340" s="58" t="e">
        <f>VLOOKUP(B340,[2]Table!A$2:H$228,6,FALSE)=[4]!Table14[[#This Row],[Business Definition (To go into comments and into Meta Data Hub)]]</f>
        <v>#N/A</v>
      </c>
      <c r="X340" s="58" t="e">
        <f>VLOOKUP((UPPER(SUBSTITUTE(A340," ","_"))),'[2]Consumer View'!A$2:I$329,1,FALSE)</f>
        <v>#N/A</v>
      </c>
      <c r="Y340" s="51" t="s">
        <v>1503</v>
      </c>
      <c r="Z340" s="51" t="s">
        <v>203</v>
      </c>
      <c r="AA340" s="51" t="s">
        <v>1744</v>
      </c>
      <c r="AB340" s="18"/>
      <c r="AC340" s="18"/>
      <c r="AD340" s="51" t="s">
        <v>1571</v>
      </c>
      <c r="AE340" s="46"/>
      <c r="AF340" s="18"/>
      <c r="AG340" s="51" t="s">
        <v>1572</v>
      </c>
      <c r="AH340" s="18" t="s">
        <v>178</v>
      </c>
    </row>
    <row r="341" spans="1:34" ht="27" customHeight="1">
      <c r="A341" s="105" t="s">
        <v>1745</v>
      </c>
      <c r="B341" s="51" t="s">
        <v>1746</v>
      </c>
      <c r="C341" s="51" t="s">
        <v>1747</v>
      </c>
      <c r="D341" s="51" t="s">
        <v>120</v>
      </c>
      <c r="E341" s="51" t="s">
        <v>63</v>
      </c>
      <c r="F341" s="51" t="s">
        <v>121</v>
      </c>
      <c r="G341" s="108" t="s">
        <v>63</v>
      </c>
      <c r="H341" s="52" t="s">
        <v>1748</v>
      </c>
      <c r="I341" s="51"/>
      <c r="J341" s="51" t="s">
        <v>1309</v>
      </c>
      <c r="K341" s="18"/>
      <c r="L341" s="110">
        <v>2674782</v>
      </c>
      <c r="M341" s="110">
        <v>2674782</v>
      </c>
      <c r="N341" s="18"/>
      <c r="O341" s="18" t="b">
        <f>VLOOKUP(A341,[1]Model!C$2:J$559,2,FALSE)=B341</f>
        <v>1</v>
      </c>
      <c r="P341" s="18" t="e">
        <f>VLOOKUP(A341,[2]Model!C$2:G$208,5,FALSE)=D341</f>
        <v>#N/A</v>
      </c>
      <c r="Q341" s="18" t="e">
        <f>VLOOKUP(A341,[2]Model!C$2:L$228,8,FALSE)</f>
        <v>#N/A</v>
      </c>
      <c r="R341" s="18" t="e">
        <f>VLOOKUP(A341,[2]Model!C$2:G$228,3,FALSE)=[3]!Table14[[#This Row],[Business Definition (To go into comments and into Meta Data Hub)]]</f>
        <v>#N/A</v>
      </c>
      <c r="S341" s="18" t="e">
        <f>IF([3]!Table14[[#This Row],[Nullable in Table and in Oracle View
NULL, NOT NULL]]="No","NOT NULL","NULL")=VLOOKUP(A341,[2]Model!C$2:I$228,6,FALSE)</f>
        <v>#REF!</v>
      </c>
      <c r="T341" s="58" t="e">
        <f>VLOOKUP(B341,[2]Table!A$2:F$415,1,FALSE)=[3]!Table14[[#This Row],[Physical Name of Attribute (Name of column in Table)
Supplied by DA Team]]</f>
        <v>#N/A</v>
      </c>
      <c r="U341" s="58" t="e">
        <f>VLOOKUP(B341,[2]Table!A$2:F$319,2,FALSE)=[4]!Table14[[#This Row],[Data type in Oracle
VARCHAR2(n), DATE, NUMBER(m,n), TIMETSTAMP(6)]]</f>
        <v>#N/A</v>
      </c>
      <c r="V341" s="58" t="e">
        <f>VLOOKUP(B341,[2]Table!A$2:F$231,3,FALSE)=[4]!Table14[[#This Row],[Nullable in Table and in Oracle View
NULL, NOT NULL]]</f>
        <v>#N/A</v>
      </c>
      <c r="W341" s="58" t="e">
        <f>VLOOKUP(B341,[2]Table!A$2:H$228,6,FALSE)=[4]!Table14[[#This Row],[Business Definition (To go into comments and into Meta Data Hub)]]</f>
        <v>#N/A</v>
      </c>
      <c r="X341" s="58" t="e">
        <f>VLOOKUP((UPPER(SUBSTITUTE(A341," ","_"))),'[2]Consumer View'!A$2:I$329,1,FALSE)</f>
        <v>#N/A</v>
      </c>
      <c r="Y341" s="51" t="s">
        <v>1503</v>
      </c>
      <c r="Z341" s="51" t="s">
        <v>203</v>
      </c>
      <c r="AA341" s="51" t="s">
        <v>1749</v>
      </c>
      <c r="AB341" s="18"/>
      <c r="AC341" s="18"/>
      <c r="AD341" s="51" t="s">
        <v>1571</v>
      </c>
      <c r="AE341" s="46"/>
      <c r="AF341" s="18"/>
      <c r="AG341" s="51" t="s">
        <v>1572</v>
      </c>
      <c r="AH341" s="18" t="s">
        <v>178</v>
      </c>
    </row>
    <row r="342" spans="1:34" ht="27" customHeight="1">
      <c r="A342" s="105" t="s">
        <v>1750</v>
      </c>
      <c r="B342" s="51" t="s">
        <v>1751</v>
      </c>
      <c r="C342" s="51" t="s">
        <v>1752</v>
      </c>
      <c r="D342" s="51" t="s">
        <v>120</v>
      </c>
      <c r="E342" s="51" t="s">
        <v>63</v>
      </c>
      <c r="F342" s="51" t="s">
        <v>121</v>
      </c>
      <c r="G342" s="108" t="s">
        <v>63</v>
      </c>
      <c r="H342" s="52" t="s">
        <v>1753</v>
      </c>
      <c r="I342" s="51"/>
      <c r="J342" s="51" t="s">
        <v>1309</v>
      </c>
      <c r="K342" s="18"/>
      <c r="L342" s="110">
        <v>2674782</v>
      </c>
      <c r="M342" s="110">
        <v>2674782</v>
      </c>
      <c r="N342" s="18"/>
      <c r="O342" s="18" t="b">
        <f>VLOOKUP(A342,[1]Model!C$2:J$559,2,FALSE)=B342</f>
        <v>1</v>
      </c>
      <c r="P342" s="18" t="e">
        <f>VLOOKUP(A342,[2]Model!C$2:G$208,5,FALSE)=D342</f>
        <v>#N/A</v>
      </c>
      <c r="Q342" s="18" t="e">
        <f>VLOOKUP(A342,[2]Model!C$2:L$228,8,FALSE)</f>
        <v>#N/A</v>
      </c>
      <c r="R342" s="18" t="e">
        <f>VLOOKUP(A342,[2]Model!C$2:G$228,3,FALSE)=[3]!Table14[[#This Row],[Business Definition (To go into comments and into Meta Data Hub)]]</f>
        <v>#N/A</v>
      </c>
      <c r="S342" s="18" t="e">
        <f>IF([3]!Table14[[#This Row],[Nullable in Table and in Oracle View
NULL, NOT NULL]]="No","NOT NULL","NULL")=VLOOKUP(A342,[2]Model!C$2:I$228,6,FALSE)</f>
        <v>#REF!</v>
      </c>
      <c r="T342" s="58" t="e">
        <f>VLOOKUP(B342,[2]Table!A$2:F$415,1,FALSE)=[3]!Table14[[#This Row],[Physical Name of Attribute (Name of column in Table)
Supplied by DA Team]]</f>
        <v>#N/A</v>
      </c>
      <c r="U342" s="58" t="e">
        <f>VLOOKUP(B342,[2]Table!A$2:F$319,2,FALSE)=[4]!Table14[[#This Row],[Data type in Oracle
VARCHAR2(n), DATE, NUMBER(m,n), TIMETSTAMP(6)]]</f>
        <v>#N/A</v>
      </c>
      <c r="V342" s="58" t="e">
        <f>VLOOKUP(B342,[2]Table!A$2:F$231,3,FALSE)=[4]!Table14[[#This Row],[Nullable in Table and in Oracle View
NULL, NOT NULL]]</f>
        <v>#N/A</v>
      </c>
      <c r="W342" s="58" t="e">
        <f>VLOOKUP(B342,[2]Table!A$2:H$228,6,FALSE)=[4]!Table14[[#This Row],[Business Definition (To go into comments and into Meta Data Hub)]]</f>
        <v>#N/A</v>
      </c>
      <c r="X342" s="58" t="e">
        <f>VLOOKUP((UPPER(SUBSTITUTE(A342," ","_"))),'[2]Consumer View'!A$2:I$329,1,FALSE)</f>
        <v>#N/A</v>
      </c>
      <c r="Y342" s="51" t="s">
        <v>1503</v>
      </c>
      <c r="Z342" s="51" t="s">
        <v>1607</v>
      </c>
      <c r="AA342" s="51" t="s">
        <v>1754</v>
      </c>
      <c r="AB342" s="18"/>
      <c r="AC342" s="18"/>
      <c r="AD342" s="51" t="s">
        <v>1609</v>
      </c>
      <c r="AE342" s="46"/>
      <c r="AF342" s="18"/>
      <c r="AG342" s="18" t="s">
        <v>1572</v>
      </c>
      <c r="AH342" s="18" t="s">
        <v>178</v>
      </c>
    </row>
    <row r="343" spans="1:34" ht="27" customHeight="1">
      <c r="A343" s="105" t="s">
        <v>1755</v>
      </c>
      <c r="B343" s="51" t="s">
        <v>1756</v>
      </c>
      <c r="C343" s="51" t="s">
        <v>1757</v>
      </c>
      <c r="D343" s="51" t="s">
        <v>90</v>
      </c>
      <c r="E343" s="51" t="s">
        <v>63</v>
      </c>
      <c r="F343" s="51" t="s">
        <v>91</v>
      </c>
      <c r="G343" s="108" t="s">
        <v>63</v>
      </c>
      <c r="H343" s="52" t="s">
        <v>1758</v>
      </c>
      <c r="I343" s="51"/>
      <c r="J343" s="51" t="s">
        <v>1309</v>
      </c>
      <c r="K343" s="18"/>
      <c r="L343" s="110">
        <v>2674782</v>
      </c>
      <c r="M343" s="110">
        <v>2674782</v>
      </c>
      <c r="N343" s="18"/>
      <c r="O343" s="18" t="b">
        <f>VLOOKUP(A343,[1]Model!C$2:J$559,2,FALSE)=B343</f>
        <v>1</v>
      </c>
      <c r="P343" s="18" t="e">
        <f>VLOOKUP(A343,[2]Model!C$2:G$208,5,FALSE)=D343</f>
        <v>#N/A</v>
      </c>
      <c r="Q343" s="18" t="e">
        <f>VLOOKUP(A343,[2]Model!C$2:L$228,8,FALSE)</f>
        <v>#N/A</v>
      </c>
      <c r="R343" s="18" t="e">
        <f>VLOOKUP(A343,[2]Model!C$2:G$228,3,FALSE)=[3]!Table14[[#This Row],[Business Definition (To go into comments and into Meta Data Hub)]]</f>
        <v>#N/A</v>
      </c>
      <c r="S343" s="18" t="e">
        <f>IF([3]!Table14[[#This Row],[Nullable in Table and in Oracle View
NULL, NOT NULL]]="No","NOT NULL","NULL")=VLOOKUP(A343,[2]Model!C$2:I$228,6,FALSE)</f>
        <v>#REF!</v>
      </c>
      <c r="T343" s="58" t="e">
        <f>VLOOKUP(B343,[2]Table!A$2:F$415,1,FALSE)=[3]!Table14[[#This Row],[Physical Name of Attribute (Name of column in Table)
Supplied by DA Team]]</f>
        <v>#N/A</v>
      </c>
      <c r="U343" s="58" t="e">
        <f>VLOOKUP(B343,[2]Table!A$2:F$319,2,FALSE)=[4]!Table14[[#This Row],[Data type in Oracle
VARCHAR2(n), DATE, NUMBER(m,n), TIMETSTAMP(6)]]</f>
        <v>#N/A</v>
      </c>
      <c r="V343" s="58" t="e">
        <f>VLOOKUP(B343,[2]Table!A$2:F$231,3,FALSE)=[4]!Table14[[#This Row],[Nullable in Table and in Oracle View
NULL, NOT NULL]]</f>
        <v>#N/A</v>
      </c>
      <c r="W343" s="58" t="e">
        <f>VLOOKUP(B343,[2]Table!A$2:H$228,6,FALSE)=[4]!Table14[[#This Row],[Business Definition (To go into comments and into Meta Data Hub)]]</f>
        <v>#N/A</v>
      </c>
      <c r="X343" s="58" t="e">
        <f>VLOOKUP((UPPER(SUBSTITUTE(A343," ","_"))),'[2]Consumer View'!A$2:I$329,1,FALSE)</f>
        <v>#N/A</v>
      </c>
      <c r="Y343" s="51" t="s">
        <v>1759</v>
      </c>
      <c r="Z343" s="51" t="s">
        <v>1760</v>
      </c>
      <c r="AA343" s="51" t="s">
        <v>1761</v>
      </c>
      <c r="AB343" s="18"/>
      <c r="AC343" s="18"/>
      <c r="AD343" s="51" t="s">
        <v>1762</v>
      </c>
      <c r="AE343" s="46"/>
      <c r="AF343" s="18"/>
      <c r="AG343" s="18" t="s">
        <v>1763</v>
      </c>
      <c r="AH343" s="18" t="s">
        <v>178</v>
      </c>
    </row>
    <row r="344" spans="1:34" ht="27" customHeight="1">
      <c r="A344" s="105" t="s">
        <v>1764</v>
      </c>
      <c r="B344" s="51" t="s">
        <v>1765</v>
      </c>
      <c r="C344" s="51" t="s">
        <v>1766</v>
      </c>
      <c r="D344" s="51" t="s">
        <v>1453</v>
      </c>
      <c r="E344" s="51" t="s">
        <v>63</v>
      </c>
      <c r="F344" s="51" t="s">
        <v>1454</v>
      </c>
      <c r="G344" s="108" t="s">
        <v>63</v>
      </c>
      <c r="H344" s="52" t="s">
        <v>1758</v>
      </c>
      <c r="I344" s="51"/>
      <c r="J344" s="51" t="s">
        <v>1309</v>
      </c>
      <c r="K344" s="18"/>
      <c r="L344" s="110">
        <v>2674782</v>
      </c>
      <c r="M344" s="110">
        <v>2674782</v>
      </c>
      <c r="N344" s="18"/>
      <c r="O344" s="18" t="b">
        <f>VLOOKUP(A344,[1]Model!C$2:J$559,2,FALSE)=B344</f>
        <v>1</v>
      </c>
      <c r="P344" s="18" t="e">
        <f>VLOOKUP(A344,[2]Model!C$2:G$208,5,FALSE)=D344</f>
        <v>#N/A</v>
      </c>
      <c r="Q344" s="18" t="e">
        <f>VLOOKUP(A344,[2]Model!C$2:L$228,8,FALSE)</f>
        <v>#N/A</v>
      </c>
      <c r="R344" s="18" t="e">
        <f>VLOOKUP(A344,[2]Model!C$2:G$228,3,FALSE)=[3]!Table14[[#This Row],[Business Definition (To go into comments and into Meta Data Hub)]]</f>
        <v>#N/A</v>
      </c>
      <c r="S344" s="18" t="e">
        <f>IF([3]!Table14[[#This Row],[Nullable in Table and in Oracle View
NULL, NOT NULL]]="No","NOT NULL","NULL")=VLOOKUP(A344,[2]Model!C$2:I$228,6,FALSE)</f>
        <v>#REF!</v>
      </c>
      <c r="T344" s="58" t="e">
        <f>VLOOKUP(B344,[2]Table!A$2:F$415,1,FALSE)=[3]!Table14[[#This Row],[Physical Name of Attribute (Name of column in Table)
Supplied by DA Team]]</f>
        <v>#N/A</v>
      </c>
      <c r="U344" s="58" t="e">
        <f>VLOOKUP(B344,[2]Table!A$2:F$319,2,FALSE)=[4]!Table14[[#This Row],[Data type in Oracle
VARCHAR2(n), DATE, NUMBER(m,n), TIMETSTAMP(6)]]</f>
        <v>#N/A</v>
      </c>
      <c r="V344" s="58" t="e">
        <f>VLOOKUP(B344,[2]Table!A$2:F$231,3,FALSE)=[4]!Table14[[#This Row],[Nullable in Table and in Oracle View
NULL, NOT NULL]]</f>
        <v>#N/A</v>
      </c>
      <c r="W344" s="58" t="e">
        <f>VLOOKUP(B344,[2]Table!A$2:H$228,6,FALSE)=[4]!Table14[[#This Row],[Business Definition (To go into comments and into Meta Data Hub)]]</f>
        <v>#N/A</v>
      </c>
      <c r="X344" s="58" t="e">
        <f>VLOOKUP((UPPER(SUBSTITUTE(A344," ","_"))),'[2]Consumer View'!A$2:I$329,1,FALSE)</f>
        <v>#N/A</v>
      </c>
      <c r="Y344" s="51" t="s">
        <v>1759</v>
      </c>
      <c r="Z344" s="51" t="s">
        <v>1760</v>
      </c>
      <c r="AA344" s="51" t="s">
        <v>1767</v>
      </c>
      <c r="AB344" s="18"/>
      <c r="AC344" s="18"/>
      <c r="AD344" s="51" t="s">
        <v>1762</v>
      </c>
      <c r="AE344" s="46"/>
      <c r="AF344" s="18"/>
      <c r="AG344" s="18" t="s">
        <v>1763</v>
      </c>
      <c r="AH344" s="18" t="s">
        <v>178</v>
      </c>
    </row>
    <row r="345" spans="1:34" ht="27" customHeight="1">
      <c r="A345" s="105" t="s">
        <v>1768</v>
      </c>
      <c r="B345" s="51" t="s">
        <v>1769</v>
      </c>
      <c r="C345" s="51" t="s">
        <v>1770</v>
      </c>
      <c r="D345" s="51" t="s">
        <v>90</v>
      </c>
      <c r="E345" s="51" t="s">
        <v>63</v>
      </c>
      <c r="F345" s="51" t="s">
        <v>91</v>
      </c>
      <c r="G345" s="108" t="s">
        <v>63</v>
      </c>
      <c r="H345" s="52" t="s">
        <v>1771</v>
      </c>
      <c r="I345" s="51"/>
      <c r="J345" s="51" t="s">
        <v>1309</v>
      </c>
      <c r="K345" s="18"/>
      <c r="L345" s="110">
        <v>2674782</v>
      </c>
      <c r="M345" s="110">
        <v>2674782</v>
      </c>
      <c r="N345" s="18"/>
      <c r="O345" s="18" t="b">
        <f>VLOOKUP(A345,[1]Model!C$2:J$559,2,FALSE)=B345</f>
        <v>1</v>
      </c>
      <c r="P345" s="18" t="e">
        <f>VLOOKUP(A345,[2]Model!C$2:G$208,5,FALSE)=D345</f>
        <v>#N/A</v>
      </c>
      <c r="Q345" s="18" t="e">
        <f>VLOOKUP(A345,[2]Model!C$2:L$228,8,FALSE)</f>
        <v>#N/A</v>
      </c>
      <c r="R345" s="18" t="e">
        <f>VLOOKUP(A345,[2]Model!C$2:G$228,3,FALSE)=[3]!Table14[[#This Row],[Business Definition (To go into comments and into Meta Data Hub)]]</f>
        <v>#N/A</v>
      </c>
      <c r="S345" s="18" t="e">
        <f>IF([3]!Table14[[#This Row],[Nullable in Table and in Oracle View
NULL, NOT NULL]]="No","NOT NULL","NULL")=VLOOKUP(A345,[2]Model!C$2:I$228,6,FALSE)</f>
        <v>#REF!</v>
      </c>
      <c r="T345" s="58" t="e">
        <f>VLOOKUP(B345,[2]Table!A$2:F$415,1,FALSE)=[3]!Table14[[#This Row],[Physical Name of Attribute (Name of column in Table)
Supplied by DA Team]]</f>
        <v>#N/A</v>
      </c>
      <c r="U345" s="58" t="e">
        <f>VLOOKUP(B345,[2]Table!A$2:F$319,2,FALSE)=[4]!Table14[[#This Row],[Data type in Oracle
VARCHAR2(n), DATE, NUMBER(m,n), TIMETSTAMP(6)]]</f>
        <v>#N/A</v>
      </c>
      <c r="V345" s="58" t="e">
        <f>VLOOKUP(B345,[2]Table!A$2:F$231,3,FALSE)=[4]!Table14[[#This Row],[Nullable in Table and in Oracle View
NULL, NOT NULL]]</f>
        <v>#N/A</v>
      </c>
      <c r="W345" s="58" t="e">
        <f>VLOOKUP(B345,[2]Table!A$2:H$228,6,FALSE)=[4]!Table14[[#This Row],[Business Definition (To go into comments and into Meta Data Hub)]]</f>
        <v>#N/A</v>
      </c>
      <c r="X345" s="58" t="e">
        <f>VLOOKUP((UPPER(SUBSTITUTE(A345," ","_"))),'[2]Consumer View'!A$2:I$329,1,FALSE)</f>
        <v>#N/A</v>
      </c>
      <c r="Y345" s="51" t="s">
        <v>1759</v>
      </c>
      <c r="Z345" s="51" t="s">
        <v>1760</v>
      </c>
      <c r="AA345" s="51" t="s">
        <v>1772</v>
      </c>
      <c r="AB345" s="18"/>
      <c r="AC345" s="18"/>
      <c r="AD345" s="51" t="s">
        <v>1762</v>
      </c>
      <c r="AE345" s="46"/>
      <c r="AF345" s="18"/>
      <c r="AG345" s="18" t="s">
        <v>1763</v>
      </c>
      <c r="AH345" s="18" t="s">
        <v>178</v>
      </c>
    </row>
    <row r="346" spans="1:34" ht="27" customHeight="1">
      <c r="A346" s="105" t="s">
        <v>1773</v>
      </c>
      <c r="B346" s="51" t="s">
        <v>1774</v>
      </c>
      <c r="C346" s="51" t="s">
        <v>1775</v>
      </c>
      <c r="D346" s="51" t="s">
        <v>1453</v>
      </c>
      <c r="E346" s="51" t="s">
        <v>63</v>
      </c>
      <c r="F346" s="51" t="s">
        <v>1454</v>
      </c>
      <c r="G346" s="108" t="s">
        <v>63</v>
      </c>
      <c r="H346" s="52" t="s">
        <v>1771</v>
      </c>
      <c r="I346" s="51"/>
      <c r="J346" s="51" t="s">
        <v>1309</v>
      </c>
      <c r="K346" s="18"/>
      <c r="L346" s="110">
        <v>2674782</v>
      </c>
      <c r="M346" s="110">
        <v>2674782</v>
      </c>
      <c r="N346" s="18"/>
      <c r="O346" s="18" t="b">
        <f>VLOOKUP(A346,[1]Model!C$2:J$559,2,FALSE)=B346</f>
        <v>1</v>
      </c>
      <c r="P346" s="18" t="e">
        <f>VLOOKUP(A346,[2]Model!C$2:G$208,5,FALSE)=D346</f>
        <v>#N/A</v>
      </c>
      <c r="Q346" s="18" t="e">
        <f>VLOOKUP(A346,[2]Model!C$2:L$228,8,FALSE)</f>
        <v>#N/A</v>
      </c>
      <c r="R346" s="18" t="e">
        <f>VLOOKUP(A346,[2]Model!C$2:G$228,3,FALSE)=[3]!Table14[[#This Row],[Business Definition (To go into comments and into Meta Data Hub)]]</f>
        <v>#N/A</v>
      </c>
      <c r="S346" s="18" t="e">
        <f>IF([3]!Table14[[#This Row],[Nullable in Table and in Oracle View
NULL, NOT NULL]]="No","NOT NULL","NULL")=VLOOKUP(A346,[2]Model!C$2:I$228,6,FALSE)</f>
        <v>#REF!</v>
      </c>
      <c r="T346" s="58" t="e">
        <f>VLOOKUP(B346,[2]Table!A$2:F$415,1,FALSE)=[3]!Table14[[#This Row],[Physical Name of Attribute (Name of column in Table)
Supplied by DA Team]]</f>
        <v>#N/A</v>
      </c>
      <c r="U346" s="58" t="e">
        <f>VLOOKUP(B346,[2]Table!A$2:F$319,2,FALSE)=[4]!Table14[[#This Row],[Data type in Oracle
VARCHAR2(n), DATE, NUMBER(m,n), TIMETSTAMP(6)]]</f>
        <v>#N/A</v>
      </c>
      <c r="V346" s="58" t="e">
        <f>VLOOKUP(B346,[2]Table!A$2:F$231,3,FALSE)=[4]!Table14[[#This Row],[Nullable in Table and in Oracle View
NULL, NOT NULL]]</f>
        <v>#N/A</v>
      </c>
      <c r="W346" s="58" t="e">
        <f>VLOOKUP(B346,[2]Table!A$2:H$228,6,FALSE)=[4]!Table14[[#This Row],[Business Definition (To go into comments and into Meta Data Hub)]]</f>
        <v>#N/A</v>
      </c>
      <c r="X346" s="58" t="e">
        <f>VLOOKUP((UPPER(SUBSTITUTE(A346," ","_"))),'[2]Consumer View'!A$2:I$329,1,FALSE)</f>
        <v>#N/A</v>
      </c>
      <c r="Y346" s="51" t="s">
        <v>1759</v>
      </c>
      <c r="Z346" s="51" t="s">
        <v>1760</v>
      </c>
      <c r="AA346" s="51" t="s">
        <v>1776</v>
      </c>
      <c r="AB346" s="18"/>
      <c r="AC346" s="18"/>
      <c r="AD346" s="51" t="s">
        <v>1762</v>
      </c>
      <c r="AE346" s="46"/>
      <c r="AF346" s="18"/>
      <c r="AG346" s="18" t="s">
        <v>1763</v>
      </c>
      <c r="AH346" s="18" t="s">
        <v>178</v>
      </c>
    </row>
    <row r="347" spans="1:34" ht="27" customHeight="1">
      <c r="A347" s="105" t="s">
        <v>1777</v>
      </c>
      <c r="B347" s="51" t="s">
        <v>1778</v>
      </c>
      <c r="C347" s="51" t="s">
        <v>1779</v>
      </c>
      <c r="D347" s="51" t="s">
        <v>90</v>
      </c>
      <c r="E347" s="51" t="s">
        <v>63</v>
      </c>
      <c r="F347" s="51" t="s">
        <v>91</v>
      </c>
      <c r="G347" s="108" t="s">
        <v>63</v>
      </c>
      <c r="H347" s="52" t="s">
        <v>1780</v>
      </c>
      <c r="I347" s="51"/>
      <c r="J347" s="51" t="s">
        <v>1309</v>
      </c>
      <c r="K347" s="18"/>
      <c r="L347" s="110">
        <v>2674782</v>
      </c>
      <c r="M347" s="110">
        <v>2674782</v>
      </c>
      <c r="N347" s="18"/>
      <c r="O347" s="18" t="b">
        <f>VLOOKUP(A347,[1]Model!C$2:J$559,2,FALSE)=B347</f>
        <v>1</v>
      </c>
      <c r="P347" s="18" t="e">
        <f>VLOOKUP(A347,[2]Model!C$2:G$208,5,FALSE)=D347</f>
        <v>#N/A</v>
      </c>
      <c r="Q347" s="18" t="e">
        <f>VLOOKUP(A347,[2]Model!C$2:L$228,8,FALSE)</f>
        <v>#N/A</v>
      </c>
      <c r="R347" s="18" t="e">
        <f>VLOOKUP(A347,[2]Model!C$2:G$228,3,FALSE)=[3]!Table14[[#This Row],[Business Definition (To go into comments and into Meta Data Hub)]]</f>
        <v>#N/A</v>
      </c>
      <c r="S347" s="18" t="e">
        <f>IF([3]!Table14[[#This Row],[Nullable in Table and in Oracle View
NULL, NOT NULL]]="No","NOT NULL","NULL")=VLOOKUP(A347,[2]Model!C$2:I$228,6,FALSE)</f>
        <v>#REF!</v>
      </c>
      <c r="T347" s="58" t="e">
        <f>VLOOKUP(B347,[2]Table!A$2:F$415,1,FALSE)=[3]!Table14[[#This Row],[Physical Name of Attribute (Name of column in Table)
Supplied by DA Team]]</f>
        <v>#N/A</v>
      </c>
      <c r="U347" s="58" t="e">
        <f>VLOOKUP(B347,[2]Table!A$2:F$319,2,FALSE)=[4]!Table14[[#This Row],[Data type in Oracle
VARCHAR2(n), DATE, NUMBER(m,n), TIMETSTAMP(6)]]</f>
        <v>#N/A</v>
      </c>
      <c r="V347" s="58" t="e">
        <f>VLOOKUP(B347,[2]Table!A$2:F$231,3,FALSE)=[4]!Table14[[#This Row],[Nullable in Table and in Oracle View
NULL, NOT NULL]]</f>
        <v>#N/A</v>
      </c>
      <c r="W347" s="58" t="e">
        <f>VLOOKUP(B347,[2]Table!A$2:H$228,6,FALSE)=[4]!Table14[[#This Row],[Business Definition (To go into comments and into Meta Data Hub)]]</f>
        <v>#N/A</v>
      </c>
      <c r="X347" s="58" t="e">
        <f>VLOOKUP((UPPER(SUBSTITUTE(A347," ","_"))),'[2]Consumer View'!A$2:I$329,1,FALSE)</f>
        <v>#N/A</v>
      </c>
      <c r="Y347" s="51" t="s">
        <v>1759</v>
      </c>
      <c r="Z347" s="51" t="s">
        <v>1760</v>
      </c>
      <c r="AA347" s="51" t="s">
        <v>1781</v>
      </c>
      <c r="AB347" s="18"/>
      <c r="AC347" s="18"/>
      <c r="AD347" s="51" t="s">
        <v>1762</v>
      </c>
      <c r="AE347" s="46"/>
      <c r="AF347" s="18"/>
      <c r="AG347" s="18" t="s">
        <v>1763</v>
      </c>
      <c r="AH347" s="18" t="s">
        <v>178</v>
      </c>
    </row>
    <row r="348" spans="1:34" ht="27" customHeight="1">
      <c r="A348" s="105" t="s">
        <v>1782</v>
      </c>
      <c r="B348" s="51" t="s">
        <v>1783</v>
      </c>
      <c r="C348" s="51" t="s">
        <v>1784</v>
      </c>
      <c r="D348" s="51" t="s">
        <v>1453</v>
      </c>
      <c r="E348" s="51" t="s">
        <v>63</v>
      </c>
      <c r="F348" s="51" t="s">
        <v>1454</v>
      </c>
      <c r="G348" s="108" t="s">
        <v>63</v>
      </c>
      <c r="H348" s="52" t="s">
        <v>1780</v>
      </c>
      <c r="I348" s="51"/>
      <c r="J348" s="51" t="s">
        <v>1309</v>
      </c>
      <c r="K348" s="18"/>
      <c r="L348" s="110">
        <v>2674782</v>
      </c>
      <c r="M348" s="110">
        <v>2674782</v>
      </c>
      <c r="N348" s="18"/>
      <c r="O348" s="18" t="b">
        <f>VLOOKUP(A348,[1]Model!C$2:J$559,2,FALSE)=B348</f>
        <v>1</v>
      </c>
      <c r="P348" s="18" t="e">
        <f>VLOOKUP(A348,[2]Model!C$2:G$208,5,FALSE)=D348</f>
        <v>#N/A</v>
      </c>
      <c r="Q348" s="18" t="e">
        <f>VLOOKUP(A348,[2]Model!C$2:L$228,8,FALSE)</f>
        <v>#N/A</v>
      </c>
      <c r="R348" s="18" t="e">
        <f>VLOOKUP(A348,[2]Model!C$2:G$228,3,FALSE)=[3]!Table14[[#This Row],[Business Definition (To go into comments and into Meta Data Hub)]]</f>
        <v>#N/A</v>
      </c>
      <c r="S348" s="18" t="e">
        <f>IF([3]!Table14[[#This Row],[Nullable in Table and in Oracle View
NULL, NOT NULL]]="No","NOT NULL","NULL")=VLOOKUP(A348,[2]Model!C$2:I$228,6,FALSE)</f>
        <v>#REF!</v>
      </c>
      <c r="T348" s="58" t="e">
        <f>VLOOKUP(B348,[2]Table!A$2:F$415,1,FALSE)=[3]!Table14[[#This Row],[Physical Name of Attribute (Name of column in Table)
Supplied by DA Team]]</f>
        <v>#N/A</v>
      </c>
      <c r="U348" s="58" t="e">
        <f>VLOOKUP(B348,[2]Table!A$2:F$319,2,FALSE)=[4]!Table14[[#This Row],[Data type in Oracle
VARCHAR2(n), DATE, NUMBER(m,n), TIMETSTAMP(6)]]</f>
        <v>#N/A</v>
      </c>
      <c r="V348" s="58" t="e">
        <f>VLOOKUP(B348,[2]Table!A$2:F$231,3,FALSE)=[4]!Table14[[#This Row],[Nullable in Table and in Oracle View
NULL, NOT NULL]]</f>
        <v>#N/A</v>
      </c>
      <c r="W348" s="58" t="e">
        <f>VLOOKUP(B348,[2]Table!A$2:H$228,6,FALSE)=[4]!Table14[[#This Row],[Business Definition (To go into comments and into Meta Data Hub)]]</f>
        <v>#N/A</v>
      </c>
      <c r="X348" s="58" t="e">
        <f>VLOOKUP((UPPER(SUBSTITUTE(A348," ","_"))),'[2]Consumer View'!A$2:I$329,1,FALSE)</f>
        <v>#N/A</v>
      </c>
      <c r="Y348" s="51" t="s">
        <v>1759</v>
      </c>
      <c r="Z348" s="51" t="s">
        <v>1760</v>
      </c>
      <c r="AA348" s="51" t="s">
        <v>1785</v>
      </c>
      <c r="AB348" s="18"/>
      <c r="AC348" s="18"/>
      <c r="AD348" s="51" t="s">
        <v>1762</v>
      </c>
      <c r="AE348" s="46"/>
      <c r="AF348" s="18"/>
      <c r="AG348" s="18" t="s">
        <v>1763</v>
      </c>
      <c r="AH348" s="18" t="s">
        <v>178</v>
      </c>
    </row>
    <row r="349" spans="1:34" ht="27" customHeight="1">
      <c r="A349" s="105" t="s">
        <v>1786</v>
      </c>
      <c r="B349" s="51" t="s">
        <v>1787</v>
      </c>
      <c r="C349" s="51" t="s">
        <v>1788</v>
      </c>
      <c r="D349" s="51" t="s">
        <v>90</v>
      </c>
      <c r="E349" s="51" t="s">
        <v>63</v>
      </c>
      <c r="F349" s="51" t="s">
        <v>91</v>
      </c>
      <c r="G349" s="108" t="s">
        <v>63</v>
      </c>
      <c r="H349" s="52" t="s">
        <v>1789</v>
      </c>
      <c r="I349" s="51"/>
      <c r="J349" s="51" t="s">
        <v>1309</v>
      </c>
      <c r="K349" s="18"/>
      <c r="L349" s="110">
        <v>2674782</v>
      </c>
      <c r="M349" s="110">
        <v>2674782</v>
      </c>
      <c r="N349" s="18"/>
      <c r="O349" s="18" t="b">
        <f>VLOOKUP(A349,[1]Model!C$2:J$559,2,FALSE)=B349</f>
        <v>1</v>
      </c>
      <c r="P349" s="18" t="e">
        <f>VLOOKUP(A349,[2]Model!C$2:G$208,5,FALSE)=D349</f>
        <v>#N/A</v>
      </c>
      <c r="Q349" s="18" t="e">
        <f>VLOOKUP(A349,[2]Model!C$2:L$228,8,FALSE)</f>
        <v>#N/A</v>
      </c>
      <c r="R349" s="18" t="e">
        <f>VLOOKUP(A349,[2]Model!C$2:G$228,3,FALSE)=[3]!Table14[[#This Row],[Business Definition (To go into comments and into Meta Data Hub)]]</f>
        <v>#N/A</v>
      </c>
      <c r="S349" s="18" t="e">
        <f>IF([3]!Table14[[#This Row],[Nullable in Table and in Oracle View
NULL, NOT NULL]]="No","NOT NULL","NULL")=VLOOKUP(A349,[2]Model!C$2:I$228,6,FALSE)</f>
        <v>#REF!</v>
      </c>
      <c r="T349" s="58" t="e">
        <f>VLOOKUP(B349,[2]Table!A$2:F$415,1,FALSE)=[3]!Table14[[#This Row],[Physical Name of Attribute (Name of column in Table)
Supplied by DA Team]]</f>
        <v>#N/A</v>
      </c>
      <c r="U349" s="58" t="e">
        <f>VLOOKUP(B349,[2]Table!A$2:F$319,2,FALSE)=[4]!Table14[[#This Row],[Data type in Oracle
VARCHAR2(n), DATE, NUMBER(m,n), TIMETSTAMP(6)]]</f>
        <v>#N/A</v>
      </c>
      <c r="V349" s="58" t="e">
        <f>VLOOKUP(B349,[2]Table!A$2:F$231,3,FALSE)=[4]!Table14[[#This Row],[Nullable in Table and in Oracle View
NULL, NOT NULL]]</f>
        <v>#N/A</v>
      </c>
      <c r="W349" s="58" t="e">
        <f>VLOOKUP(B349,[2]Table!A$2:H$228,6,FALSE)=[4]!Table14[[#This Row],[Business Definition (To go into comments and into Meta Data Hub)]]</f>
        <v>#N/A</v>
      </c>
      <c r="X349" s="58" t="e">
        <f>VLOOKUP((UPPER(SUBSTITUTE(A349," ","_"))),'[2]Consumer View'!A$2:I$329,1,FALSE)</f>
        <v>#N/A</v>
      </c>
      <c r="Y349" s="51" t="s">
        <v>1759</v>
      </c>
      <c r="Z349" s="51" t="s">
        <v>1760</v>
      </c>
      <c r="AA349" s="51" t="s">
        <v>1790</v>
      </c>
      <c r="AB349" s="18"/>
      <c r="AC349" s="18"/>
      <c r="AD349" s="51" t="s">
        <v>1762</v>
      </c>
      <c r="AE349" s="46"/>
      <c r="AF349" s="18"/>
      <c r="AG349" s="18" t="s">
        <v>1763</v>
      </c>
      <c r="AH349" s="18" t="s">
        <v>178</v>
      </c>
    </row>
    <row r="350" spans="1:34" ht="27" customHeight="1">
      <c r="A350" s="105" t="s">
        <v>1791</v>
      </c>
      <c r="B350" s="51" t="s">
        <v>1792</v>
      </c>
      <c r="C350" s="51" t="s">
        <v>1793</v>
      </c>
      <c r="D350" s="51" t="s">
        <v>1453</v>
      </c>
      <c r="E350" s="51" t="s">
        <v>63</v>
      </c>
      <c r="F350" s="51" t="s">
        <v>1454</v>
      </c>
      <c r="G350" s="108" t="s">
        <v>63</v>
      </c>
      <c r="H350" s="52" t="s">
        <v>1789</v>
      </c>
      <c r="I350" s="51"/>
      <c r="J350" s="51" t="s">
        <v>1309</v>
      </c>
      <c r="K350" s="18"/>
      <c r="L350" s="110">
        <v>2674782</v>
      </c>
      <c r="M350" s="110">
        <v>2674782</v>
      </c>
      <c r="N350" s="18"/>
      <c r="O350" s="18" t="b">
        <f>VLOOKUP(A350,[1]Model!C$2:J$559,2,FALSE)=B350</f>
        <v>1</v>
      </c>
      <c r="P350" s="18" t="e">
        <f>VLOOKUP(A350,[2]Model!C$2:G$208,5,FALSE)=D350</f>
        <v>#N/A</v>
      </c>
      <c r="Q350" s="18" t="e">
        <f>VLOOKUP(A350,[2]Model!C$2:L$228,8,FALSE)</f>
        <v>#N/A</v>
      </c>
      <c r="R350" s="18" t="e">
        <f>VLOOKUP(A350,[2]Model!C$2:G$228,3,FALSE)=[3]!Table14[[#This Row],[Business Definition (To go into comments and into Meta Data Hub)]]</f>
        <v>#N/A</v>
      </c>
      <c r="S350" s="18" t="e">
        <f>IF([3]!Table14[[#This Row],[Nullable in Table and in Oracle View
NULL, NOT NULL]]="No","NOT NULL","NULL")=VLOOKUP(A350,[2]Model!C$2:I$228,6,FALSE)</f>
        <v>#REF!</v>
      </c>
      <c r="T350" s="58" t="e">
        <f>VLOOKUP(B350,[2]Table!A$2:F$415,1,FALSE)=[3]!Table14[[#This Row],[Physical Name of Attribute (Name of column in Table)
Supplied by DA Team]]</f>
        <v>#N/A</v>
      </c>
      <c r="U350" s="58" t="e">
        <f>VLOOKUP(B350,[2]Table!A$2:F$319,2,FALSE)=[4]!Table14[[#This Row],[Data type in Oracle
VARCHAR2(n), DATE, NUMBER(m,n), TIMETSTAMP(6)]]</f>
        <v>#N/A</v>
      </c>
      <c r="V350" s="58" t="e">
        <f>VLOOKUP(B350,[2]Table!A$2:F$231,3,FALSE)=[4]!Table14[[#This Row],[Nullable in Table and in Oracle View
NULL, NOT NULL]]</f>
        <v>#N/A</v>
      </c>
      <c r="W350" s="58" t="e">
        <f>VLOOKUP(B350,[2]Table!A$2:H$228,6,FALSE)=[4]!Table14[[#This Row],[Business Definition (To go into comments and into Meta Data Hub)]]</f>
        <v>#N/A</v>
      </c>
      <c r="X350" s="58" t="e">
        <f>VLOOKUP((UPPER(SUBSTITUTE(A350," ","_"))),'[2]Consumer View'!A$2:I$329,1,FALSE)</f>
        <v>#N/A</v>
      </c>
      <c r="Y350" s="51" t="s">
        <v>1759</v>
      </c>
      <c r="Z350" s="51" t="s">
        <v>1760</v>
      </c>
      <c r="AA350" s="51" t="s">
        <v>1794</v>
      </c>
      <c r="AB350" s="18"/>
      <c r="AC350" s="18"/>
      <c r="AD350" s="51" t="s">
        <v>1762</v>
      </c>
      <c r="AE350" s="46"/>
      <c r="AF350" s="18"/>
      <c r="AG350" s="18" t="s">
        <v>1763</v>
      </c>
      <c r="AH350" s="18" t="s">
        <v>178</v>
      </c>
    </row>
    <row r="351" spans="1:34" ht="27" customHeight="1">
      <c r="A351" s="105" t="s">
        <v>1795</v>
      </c>
      <c r="B351" s="51" t="s">
        <v>1796</v>
      </c>
      <c r="C351" s="51" t="s">
        <v>1797</v>
      </c>
      <c r="D351" s="51" t="s">
        <v>90</v>
      </c>
      <c r="E351" s="51" t="s">
        <v>63</v>
      </c>
      <c r="F351" s="51" t="s">
        <v>91</v>
      </c>
      <c r="G351" s="108" t="s">
        <v>63</v>
      </c>
      <c r="H351" s="52" t="s">
        <v>1798</v>
      </c>
      <c r="I351" s="51"/>
      <c r="J351" s="51" t="s">
        <v>1309</v>
      </c>
      <c r="K351" s="18"/>
      <c r="L351" s="110">
        <v>2674782</v>
      </c>
      <c r="M351" s="110">
        <v>2674782</v>
      </c>
      <c r="N351" s="18"/>
      <c r="O351" s="18" t="b">
        <f>VLOOKUP(A351,[1]Model!C$2:J$559,2,FALSE)=B351</f>
        <v>1</v>
      </c>
      <c r="P351" s="18" t="e">
        <f>VLOOKUP(A351,[2]Model!C$2:G$208,5,FALSE)=D351</f>
        <v>#N/A</v>
      </c>
      <c r="Q351" s="18" t="e">
        <f>VLOOKUP(A351,[2]Model!C$2:L$228,8,FALSE)</f>
        <v>#N/A</v>
      </c>
      <c r="R351" s="18" t="e">
        <f>VLOOKUP(A351,[2]Model!C$2:G$228,3,FALSE)=[3]!Table14[[#This Row],[Business Definition (To go into comments and into Meta Data Hub)]]</f>
        <v>#N/A</v>
      </c>
      <c r="S351" s="18" t="e">
        <f>IF([3]!Table14[[#This Row],[Nullable in Table and in Oracle View
NULL, NOT NULL]]="No","NOT NULL","NULL")=VLOOKUP(A351,[2]Model!C$2:I$228,6,FALSE)</f>
        <v>#REF!</v>
      </c>
      <c r="T351" s="58" t="e">
        <f>VLOOKUP(B351,[2]Table!A$2:F$415,1,FALSE)=[3]!Table14[[#This Row],[Physical Name of Attribute (Name of column in Table)
Supplied by DA Team]]</f>
        <v>#N/A</v>
      </c>
      <c r="U351" s="58" t="e">
        <f>VLOOKUP(B351,[2]Table!A$2:F$319,2,FALSE)=[4]!Table14[[#This Row],[Data type in Oracle
VARCHAR2(n), DATE, NUMBER(m,n), TIMETSTAMP(6)]]</f>
        <v>#N/A</v>
      </c>
      <c r="V351" s="58" t="e">
        <f>VLOOKUP(B351,[2]Table!A$2:F$231,3,FALSE)=[4]!Table14[[#This Row],[Nullable in Table and in Oracle View
NULL, NOT NULL]]</f>
        <v>#N/A</v>
      </c>
      <c r="W351" s="58" t="e">
        <f>VLOOKUP(B351,[2]Table!A$2:H$228,6,FALSE)=[4]!Table14[[#This Row],[Business Definition (To go into comments and into Meta Data Hub)]]</f>
        <v>#N/A</v>
      </c>
      <c r="X351" s="58" t="e">
        <f>VLOOKUP((UPPER(SUBSTITUTE(A351," ","_"))),'[2]Consumer View'!A$2:I$329,1,FALSE)</f>
        <v>#N/A</v>
      </c>
      <c r="Y351" s="51" t="s">
        <v>1759</v>
      </c>
      <c r="Z351" s="51" t="s">
        <v>1760</v>
      </c>
      <c r="AA351" s="51" t="s">
        <v>1799</v>
      </c>
      <c r="AB351" s="18"/>
      <c r="AC351" s="18"/>
      <c r="AD351" s="51" t="s">
        <v>1762</v>
      </c>
      <c r="AE351" s="46"/>
      <c r="AF351" s="18"/>
      <c r="AG351" s="18" t="s">
        <v>1763</v>
      </c>
      <c r="AH351" s="18" t="s">
        <v>178</v>
      </c>
    </row>
    <row r="352" spans="1:34" ht="27" customHeight="1">
      <c r="A352" s="105" t="s">
        <v>1800</v>
      </c>
      <c r="B352" s="51" t="s">
        <v>1801</v>
      </c>
      <c r="C352" s="51" t="s">
        <v>1802</v>
      </c>
      <c r="D352" s="51" t="s">
        <v>1453</v>
      </c>
      <c r="E352" s="51" t="s">
        <v>63</v>
      </c>
      <c r="F352" s="51" t="s">
        <v>1454</v>
      </c>
      <c r="G352" s="108" t="s">
        <v>63</v>
      </c>
      <c r="H352" s="52" t="s">
        <v>1798</v>
      </c>
      <c r="I352" s="51"/>
      <c r="J352" s="51" t="s">
        <v>1309</v>
      </c>
      <c r="K352" s="18"/>
      <c r="L352" s="110">
        <v>2674782</v>
      </c>
      <c r="M352" s="110">
        <v>2674782</v>
      </c>
      <c r="N352" s="18"/>
      <c r="O352" s="18" t="b">
        <f>VLOOKUP(A352,[1]Model!C$2:J$559,2,FALSE)=B352</f>
        <v>1</v>
      </c>
      <c r="P352" s="18" t="e">
        <f>VLOOKUP(A352,[2]Model!C$2:G$208,5,FALSE)=D352</f>
        <v>#N/A</v>
      </c>
      <c r="Q352" s="18" t="e">
        <f>VLOOKUP(A352,[2]Model!C$2:L$228,8,FALSE)</f>
        <v>#N/A</v>
      </c>
      <c r="R352" s="18" t="e">
        <f>VLOOKUP(A352,[2]Model!C$2:G$228,3,FALSE)=[3]!Table14[[#This Row],[Business Definition (To go into comments and into Meta Data Hub)]]</f>
        <v>#N/A</v>
      </c>
      <c r="S352" s="18" t="e">
        <f>IF([3]!Table14[[#This Row],[Nullable in Table and in Oracle View
NULL, NOT NULL]]="No","NOT NULL","NULL")=VLOOKUP(A352,[2]Model!C$2:I$228,6,FALSE)</f>
        <v>#REF!</v>
      </c>
      <c r="T352" s="58" t="e">
        <f>VLOOKUP(B352,[2]Table!A$2:F$415,1,FALSE)=[3]!Table14[[#This Row],[Physical Name of Attribute (Name of column in Table)
Supplied by DA Team]]</f>
        <v>#N/A</v>
      </c>
      <c r="U352" s="58" t="e">
        <f>VLOOKUP(B352,[2]Table!A$2:F$319,2,FALSE)=[4]!Table14[[#This Row],[Data type in Oracle
VARCHAR2(n), DATE, NUMBER(m,n), TIMETSTAMP(6)]]</f>
        <v>#N/A</v>
      </c>
      <c r="V352" s="58" t="e">
        <f>VLOOKUP(B352,[2]Table!A$2:F$231,3,FALSE)=[4]!Table14[[#This Row],[Nullable in Table and in Oracle View
NULL, NOT NULL]]</f>
        <v>#N/A</v>
      </c>
      <c r="W352" s="58" t="e">
        <f>VLOOKUP(B352,[2]Table!A$2:H$228,6,FALSE)=[4]!Table14[[#This Row],[Business Definition (To go into comments and into Meta Data Hub)]]</f>
        <v>#N/A</v>
      </c>
      <c r="X352" s="58" t="e">
        <f>VLOOKUP((UPPER(SUBSTITUTE(A352," ","_"))),'[2]Consumer View'!A$2:I$329,1,FALSE)</f>
        <v>#N/A</v>
      </c>
      <c r="Y352" s="51" t="s">
        <v>1759</v>
      </c>
      <c r="Z352" s="51" t="s">
        <v>1760</v>
      </c>
      <c r="AA352" s="51" t="s">
        <v>1803</v>
      </c>
      <c r="AB352" s="18"/>
      <c r="AC352" s="18"/>
      <c r="AD352" s="51" t="s">
        <v>1762</v>
      </c>
      <c r="AE352" s="46"/>
      <c r="AF352" s="18"/>
      <c r="AG352" s="18" t="s">
        <v>1763</v>
      </c>
      <c r="AH352" s="18" t="s">
        <v>178</v>
      </c>
    </row>
    <row r="353" spans="1:34" ht="27" customHeight="1">
      <c r="A353" s="105" t="s">
        <v>1804</v>
      </c>
      <c r="B353" s="51" t="s">
        <v>1805</v>
      </c>
      <c r="C353" s="51" t="s">
        <v>1806</v>
      </c>
      <c r="D353" s="51" t="s">
        <v>90</v>
      </c>
      <c r="E353" s="51" t="s">
        <v>63</v>
      </c>
      <c r="F353" s="51" t="s">
        <v>91</v>
      </c>
      <c r="G353" s="108" t="s">
        <v>63</v>
      </c>
      <c r="H353" s="52" t="s">
        <v>1807</v>
      </c>
      <c r="I353" s="51"/>
      <c r="J353" s="51" t="s">
        <v>1309</v>
      </c>
      <c r="K353" s="18"/>
      <c r="L353" s="110">
        <v>2674782</v>
      </c>
      <c r="M353" s="110">
        <v>2674782</v>
      </c>
      <c r="N353" s="18"/>
      <c r="O353" s="18" t="b">
        <f>VLOOKUP(A353,[1]Model!C$2:J$559,2,FALSE)=B353</f>
        <v>1</v>
      </c>
      <c r="P353" s="18" t="e">
        <f>VLOOKUP(A353,[2]Model!C$2:G$208,5,FALSE)=D353</f>
        <v>#N/A</v>
      </c>
      <c r="Q353" s="18" t="e">
        <f>VLOOKUP(A353,[2]Model!C$2:L$228,8,FALSE)</f>
        <v>#N/A</v>
      </c>
      <c r="R353" s="18" t="e">
        <f>VLOOKUP(A353,[2]Model!C$2:G$228,3,FALSE)=[3]!Table14[[#This Row],[Business Definition (To go into comments and into Meta Data Hub)]]</f>
        <v>#N/A</v>
      </c>
      <c r="S353" s="18" t="e">
        <f>IF([3]!Table14[[#This Row],[Nullable in Table and in Oracle View
NULL, NOT NULL]]="No","NOT NULL","NULL")=VLOOKUP(A353,[2]Model!C$2:I$228,6,FALSE)</f>
        <v>#REF!</v>
      </c>
      <c r="T353" s="58" t="e">
        <f>VLOOKUP(B353,[2]Table!A$2:F$415,1,FALSE)=[3]!Table14[[#This Row],[Physical Name of Attribute (Name of column in Table)
Supplied by DA Team]]</f>
        <v>#N/A</v>
      </c>
      <c r="U353" s="58" t="e">
        <f>VLOOKUP(B353,[2]Table!A$2:F$319,2,FALSE)=[4]!Table14[[#This Row],[Data type in Oracle
VARCHAR2(n), DATE, NUMBER(m,n), TIMETSTAMP(6)]]</f>
        <v>#N/A</v>
      </c>
      <c r="V353" s="58" t="e">
        <f>VLOOKUP(B353,[2]Table!A$2:F$231,3,FALSE)=[4]!Table14[[#This Row],[Nullable in Table and in Oracle View
NULL, NOT NULL]]</f>
        <v>#N/A</v>
      </c>
      <c r="W353" s="58" t="e">
        <f>VLOOKUP(B353,[2]Table!A$2:H$228,6,FALSE)=[4]!Table14[[#This Row],[Business Definition (To go into comments and into Meta Data Hub)]]</f>
        <v>#N/A</v>
      </c>
      <c r="X353" s="58" t="e">
        <f>VLOOKUP((UPPER(SUBSTITUTE(A353," ","_"))),'[2]Consumer View'!A$2:I$329,1,FALSE)</f>
        <v>#N/A</v>
      </c>
      <c r="Y353" s="51" t="s">
        <v>1759</v>
      </c>
      <c r="Z353" s="51" t="s">
        <v>1760</v>
      </c>
      <c r="AA353" s="51" t="s">
        <v>1808</v>
      </c>
      <c r="AB353" s="18"/>
      <c r="AC353" s="18"/>
      <c r="AD353" s="51" t="s">
        <v>1762</v>
      </c>
      <c r="AE353" s="46"/>
      <c r="AF353" s="18"/>
      <c r="AG353" s="18" t="s">
        <v>1763</v>
      </c>
      <c r="AH353" s="18" t="s">
        <v>178</v>
      </c>
    </row>
    <row r="354" spans="1:34" ht="27" customHeight="1">
      <c r="A354" s="105" t="s">
        <v>1809</v>
      </c>
      <c r="B354" s="51" t="s">
        <v>1810</v>
      </c>
      <c r="C354" s="51" t="s">
        <v>1811</v>
      </c>
      <c r="D354" s="51" t="s">
        <v>1453</v>
      </c>
      <c r="E354" s="51" t="s">
        <v>63</v>
      </c>
      <c r="F354" s="51" t="s">
        <v>1454</v>
      </c>
      <c r="G354" s="108" t="s">
        <v>63</v>
      </c>
      <c r="H354" s="52" t="s">
        <v>1807</v>
      </c>
      <c r="I354" s="51"/>
      <c r="J354" s="51" t="s">
        <v>1309</v>
      </c>
      <c r="K354" s="18"/>
      <c r="L354" s="110">
        <v>2674782</v>
      </c>
      <c r="M354" s="110">
        <v>2674782</v>
      </c>
      <c r="N354" s="18"/>
      <c r="O354" s="18" t="b">
        <f>VLOOKUP(A354,[1]Model!C$2:J$559,2,FALSE)=B354</f>
        <v>1</v>
      </c>
      <c r="P354" s="18" t="e">
        <f>VLOOKUP(A354,[2]Model!C$2:G$208,5,FALSE)=D354</f>
        <v>#N/A</v>
      </c>
      <c r="Q354" s="18" t="e">
        <f>VLOOKUP(A354,[2]Model!C$2:L$228,8,FALSE)</f>
        <v>#N/A</v>
      </c>
      <c r="R354" s="18" t="e">
        <f>VLOOKUP(A354,[2]Model!C$2:G$228,3,FALSE)=[3]!Table14[[#This Row],[Business Definition (To go into comments and into Meta Data Hub)]]</f>
        <v>#N/A</v>
      </c>
      <c r="S354" s="18" t="e">
        <f>IF([3]!Table14[[#This Row],[Nullable in Table and in Oracle View
NULL, NOT NULL]]="No","NOT NULL","NULL")=VLOOKUP(A354,[2]Model!C$2:I$228,6,FALSE)</f>
        <v>#REF!</v>
      </c>
      <c r="T354" s="58" t="e">
        <f>VLOOKUP(B354,[2]Table!A$2:F$415,1,FALSE)=[3]!Table14[[#This Row],[Physical Name of Attribute (Name of column in Table)
Supplied by DA Team]]</f>
        <v>#N/A</v>
      </c>
      <c r="U354" s="58" t="e">
        <f>VLOOKUP(B354,[2]Table!A$2:F$319,2,FALSE)=[4]!Table14[[#This Row],[Data type in Oracle
VARCHAR2(n), DATE, NUMBER(m,n), TIMETSTAMP(6)]]</f>
        <v>#N/A</v>
      </c>
      <c r="V354" s="58" t="e">
        <f>VLOOKUP(B354,[2]Table!A$2:F$231,3,FALSE)=[4]!Table14[[#This Row],[Nullable in Table and in Oracle View
NULL, NOT NULL]]</f>
        <v>#N/A</v>
      </c>
      <c r="W354" s="58" t="e">
        <f>VLOOKUP(B354,[2]Table!A$2:H$228,6,FALSE)=[4]!Table14[[#This Row],[Business Definition (To go into comments and into Meta Data Hub)]]</f>
        <v>#N/A</v>
      </c>
      <c r="X354" s="58" t="e">
        <f>VLOOKUP((UPPER(SUBSTITUTE(A354," ","_"))),'[2]Consumer View'!A$2:I$329,1,FALSE)</f>
        <v>#N/A</v>
      </c>
      <c r="Y354" s="51" t="s">
        <v>1759</v>
      </c>
      <c r="Z354" s="51" t="s">
        <v>1760</v>
      </c>
      <c r="AA354" s="51" t="s">
        <v>1812</v>
      </c>
      <c r="AB354" s="18"/>
      <c r="AC354" s="18"/>
      <c r="AD354" s="51" t="s">
        <v>1762</v>
      </c>
      <c r="AE354" s="46"/>
      <c r="AF354" s="18"/>
      <c r="AG354" s="18" t="s">
        <v>1763</v>
      </c>
      <c r="AH354" s="18" t="s">
        <v>178</v>
      </c>
    </row>
    <row r="355" spans="1:34" ht="27" customHeight="1">
      <c r="A355" s="105" t="s">
        <v>1813</v>
      </c>
      <c r="B355" s="51" t="s">
        <v>1814</v>
      </c>
      <c r="C355" s="51" t="s">
        <v>1815</v>
      </c>
      <c r="D355" s="51" t="s">
        <v>1816</v>
      </c>
      <c r="E355" s="51" t="s">
        <v>63</v>
      </c>
      <c r="F355" s="51" t="s">
        <v>1817</v>
      </c>
      <c r="G355" s="108" t="s">
        <v>63</v>
      </c>
      <c r="H355" s="52" t="s">
        <v>1818</v>
      </c>
      <c r="I355" s="51"/>
      <c r="J355" s="51" t="s">
        <v>1309</v>
      </c>
      <c r="K355" s="18"/>
      <c r="L355" s="110">
        <v>2674782</v>
      </c>
      <c r="M355" s="110">
        <v>2674782</v>
      </c>
      <c r="N355" s="18"/>
      <c r="O355" s="18" t="b">
        <f>VLOOKUP(A355,[1]Model!C$2:J$559,2,FALSE)=B355</f>
        <v>1</v>
      </c>
      <c r="P355" s="18" t="e">
        <f>VLOOKUP(A355,[2]Model!C$2:G$208,5,FALSE)=D355</f>
        <v>#N/A</v>
      </c>
      <c r="Q355" s="18" t="e">
        <f>VLOOKUP(A355,[2]Model!C$2:L$228,8,FALSE)</f>
        <v>#N/A</v>
      </c>
      <c r="R355" s="18" t="e">
        <f>VLOOKUP(A355,[2]Model!C$2:G$228,3,FALSE)=[3]!Table14[[#This Row],[Business Definition (To go into comments and into Meta Data Hub)]]</f>
        <v>#N/A</v>
      </c>
      <c r="S355" s="18" t="e">
        <f>IF([3]!Table14[[#This Row],[Nullable in Table and in Oracle View
NULL, NOT NULL]]="No","NOT NULL","NULL")=VLOOKUP(A355,[2]Model!C$2:I$228,6,FALSE)</f>
        <v>#REF!</v>
      </c>
      <c r="T355" s="58" t="e">
        <f>VLOOKUP(B355,[2]Table!A$2:F$415,1,FALSE)=[3]!Table14[[#This Row],[Physical Name of Attribute (Name of column in Table)
Supplied by DA Team]]</f>
        <v>#N/A</v>
      </c>
      <c r="U355" s="58" t="e">
        <f>VLOOKUP(B355,[2]Table!A$2:F$319,2,FALSE)=[4]!Table14[[#This Row],[Data type in Oracle
VARCHAR2(n), DATE, NUMBER(m,n), TIMETSTAMP(6)]]</f>
        <v>#N/A</v>
      </c>
      <c r="V355" s="58" t="e">
        <f>VLOOKUP(B355,[2]Table!A$2:F$231,3,FALSE)=[4]!Table14[[#This Row],[Nullable in Table and in Oracle View
NULL, NOT NULL]]</f>
        <v>#N/A</v>
      </c>
      <c r="W355" s="58" t="e">
        <f>VLOOKUP(B355,[2]Table!A$2:H$228,6,FALSE)=[4]!Table14[[#This Row],[Business Definition (To go into comments and into Meta Data Hub)]]</f>
        <v>#N/A</v>
      </c>
      <c r="X355" s="58" t="e">
        <f>VLOOKUP((UPPER(SUBSTITUTE(A355," ","_"))),'[2]Consumer View'!A$2:I$329,1,FALSE)</f>
        <v>#N/A</v>
      </c>
      <c r="Y355" s="18" t="s">
        <v>68</v>
      </c>
      <c r="Z355" s="47" t="s">
        <v>375</v>
      </c>
      <c r="AA355" s="18" t="s">
        <v>1814</v>
      </c>
      <c r="AB355" s="18"/>
      <c r="AC355" s="18"/>
      <c r="AD355" s="46" t="s">
        <v>1819</v>
      </c>
      <c r="AE355" s="46"/>
      <c r="AF355" s="18"/>
      <c r="AG355" s="18"/>
      <c r="AH355" s="18" t="s">
        <v>71</v>
      </c>
    </row>
    <row r="356" spans="1:34" ht="27" customHeight="1">
      <c r="A356" s="105" t="s">
        <v>1820</v>
      </c>
      <c r="B356" s="51" t="s">
        <v>1821</v>
      </c>
      <c r="C356" s="51" t="s">
        <v>1822</v>
      </c>
      <c r="D356" s="51" t="s">
        <v>617</v>
      </c>
      <c r="E356" s="51" t="s">
        <v>63</v>
      </c>
      <c r="F356" s="51" t="s">
        <v>618</v>
      </c>
      <c r="G356" s="108" t="s">
        <v>63</v>
      </c>
      <c r="H356" s="52" t="s">
        <v>1823</v>
      </c>
      <c r="I356" s="51"/>
      <c r="J356" s="51" t="s">
        <v>1309</v>
      </c>
      <c r="K356" s="18"/>
      <c r="L356" s="110">
        <v>2674782</v>
      </c>
      <c r="M356" s="110">
        <v>2674782</v>
      </c>
      <c r="N356" s="18"/>
      <c r="O356" s="18" t="b">
        <f>VLOOKUP(A356,[1]Model!C$2:J$559,2,FALSE)=B356</f>
        <v>1</v>
      </c>
      <c r="P356" s="18" t="e">
        <f>VLOOKUP(A356,[2]Model!C$2:G$208,5,FALSE)=D356</f>
        <v>#N/A</v>
      </c>
      <c r="Q356" s="18" t="e">
        <f>VLOOKUP(A356,[2]Model!C$2:L$228,8,FALSE)</f>
        <v>#N/A</v>
      </c>
      <c r="R356" s="18" t="e">
        <f>VLOOKUP(A356,[2]Model!C$2:G$228,3,FALSE)=[3]!Table14[[#This Row],[Business Definition (To go into comments and into Meta Data Hub)]]</f>
        <v>#N/A</v>
      </c>
      <c r="S356" s="18" t="e">
        <f>IF([3]!Table14[[#This Row],[Nullable in Table and in Oracle View
NULL, NOT NULL]]="No","NOT NULL","NULL")=VLOOKUP(A356,[2]Model!C$2:I$228,6,FALSE)</f>
        <v>#REF!</v>
      </c>
      <c r="T356" s="58" t="e">
        <f>VLOOKUP(B356,[2]Table!A$2:F$415,1,FALSE)=[3]!Table14[[#This Row],[Physical Name of Attribute (Name of column in Table)
Supplied by DA Team]]</f>
        <v>#N/A</v>
      </c>
      <c r="U356" s="58" t="e">
        <f>VLOOKUP(B356,[2]Table!A$2:F$319,2,FALSE)=[4]!Table14[[#This Row],[Data type in Oracle
VARCHAR2(n), DATE, NUMBER(m,n), TIMETSTAMP(6)]]</f>
        <v>#N/A</v>
      </c>
      <c r="V356" s="58" t="e">
        <f>VLOOKUP(B356,[2]Table!A$2:F$231,3,FALSE)=[4]!Table14[[#This Row],[Nullable in Table and in Oracle View
NULL, NOT NULL]]</f>
        <v>#N/A</v>
      </c>
      <c r="W356" s="58" t="e">
        <f>VLOOKUP(B356,[2]Table!A$2:H$228,6,FALSE)=[4]!Table14[[#This Row],[Business Definition (To go into comments and into Meta Data Hub)]]</f>
        <v>#N/A</v>
      </c>
      <c r="X356" s="58" t="e">
        <f>VLOOKUP((UPPER(SUBSTITUTE(A356," ","_"))),'[2]Consumer View'!A$2:I$329,1,FALSE)</f>
        <v>#N/A</v>
      </c>
      <c r="Y356" s="51" t="s">
        <v>1759</v>
      </c>
      <c r="Z356" s="51" t="s">
        <v>1760</v>
      </c>
      <c r="AA356" s="51" t="s">
        <v>1824</v>
      </c>
      <c r="AB356" s="18"/>
      <c r="AC356" s="18"/>
      <c r="AD356" s="52" t="s">
        <v>1825</v>
      </c>
      <c r="AE356" s="46"/>
      <c r="AF356" s="18"/>
      <c r="AG356" s="18" t="s">
        <v>1763</v>
      </c>
      <c r="AH356" s="18" t="s">
        <v>178</v>
      </c>
    </row>
    <row r="357" spans="1:34" ht="27" customHeight="1">
      <c r="A357" s="105" t="s">
        <v>1826</v>
      </c>
      <c r="B357" s="51" t="s">
        <v>1827</v>
      </c>
      <c r="C357" s="51" t="s">
        <v>1828</v>
      </c>
      <c r="D357" s="51" t="s">
        <v>1816</v>
      </c>
      <c r="E357" s="51" t="s">
        <v>63</v>
      </c>
      <c r="F357" s="51" t="s">
        <v>1817</v>
      </c>
      <c r="G357" s="108" t="s">
        <v>63</v>
      </c>
      <c r="H357" s="52" t="s">
        <v>1818</v>
      </c>
      <c r="I357" s="51"/>
      <c r="J357" s="51" t="s">
        <v>1309</v>
      </c>
      <c r="K357" s="18"/>
      <c r="L357" s="110">
        <v>2674782</v>
      </c>
      <c r="M357" s="110">
        <v>2674782</v>
      </c>
      <c r="N357" s="18"/>
      <c r="O357" s="18" t="b">
        <f>VLOOKUP(A357,[1]Model!C$2:J$559,2,FALSE)=B357</f>
        <v>1</v>
      </c>
      <c r="P357" s="18" t="e">
        <f>VLOOKUP(A357,[2]Model!C$2:G$208,5,FALSE)=D357</f>
        <v>#N/A</v>
      </c>
      <c r="Q357" s="18" t="e">
        <f>VLOOKUP(A357,[2]Model!C$2:L$228,8,FALSE)</f>
        <v>#N/A</v>
      </c>
      <c r="R357" s="18" t="e">
        <f>VLOOKUP(A357,[2]Model!C$2:G$228,3,FALSE)=[3]!Table14[[#This Row],[Business Definition (To go into comments and into Meta Data Hub)]]</f>
        <v>#N/A</v>
      </c>
      <c r="S357" s="18" t="e">
        <f>IF([3]!Table14[[#This Row],[Nullable in Table and in Oracle View
NULL, NOT NULL]]="No","NOT NULL","NULL")=VLOOKUP(A357,[2]Model!C$2:I$228,6,FALSE)</f>
        <v>#REF!</v>
      </c>
      <c r="T357" s="58" t="e">
        <f>VLOOKUP(B357,[2]Table!A$2:F$415,1,FALSE)=[3]!Table14[[#This Row],[Physical Name of Attribute (Name of column in Table)
Supplied by DA Team]]</f>
        <v>#N/A</v>
      </c>
      <c r="U357" s="58" t="e">
        <f>VLOOKUP(B357,[2]Table!A$2:F$319,2,FALSE)=[4]!Table14[[#This Row],[Data type in Oracle
VARCHAR2(n), DATE, NUMBER(m,n), TIMETSTAMP(6)]]</f>
        <v>#N/A</v>
      </c>
      <c r="V357" s="58" t="e">
        <f>VLOOKUP(B357,[2]Table!A$2:F$231,3,FALSE)=[4]!Table14[[#This Row],[Nullable in Table and in Oracle View
NULL, NOT NULL]]</f>
        <v>#N/A</v>
      </c>
      <c r="W357" s="58" t="e">
        <f>VLOOKUP(B357,[2]Table!A$2:H$228,6,FALSE)=[4]!Table14[[#This Row],[Business Definition (To go into comments and into Meta Data Hub)]]</f>
        <v>#N/A</v>
      </c>
      <c r="X357" s="58" t="e">
        <f>VLOOKUP((UPPER(SUBSTITUTE(A357," ","_"))),'[2]Consumer View'!A$2:I$329,1,FALSE)</f>
        <v>#N/A</v>
      </c>
      <c r="Y357" s="51" t="s">
        <v>1759</v>
      </c>
      <c r="Z357" s="51" t="s">
        <v>1760</v>
      </c>
      <c r="AA357" s="51" t="s">
        <v>1829</v>
      </c>
      <c r="AB357" s="18"/>
      <c r="AC357" s="18"/>
      <c r="AD357" s="52" t="s">
        <v>1825</v>
      </c>
      <c r="AE357" s="46"/>
      <c r="AF357" s="18"/>
      <c r="AG357" s="18" t="s">
        <v>1763</v>
      </c>
      <c r="AH357" s="18" t="s">
        <v>178</v>
      </c>
    </row>
    <row r="358" spans="1:34" ht="27" customHeight="1">
      <c r="A358" s="105" t="s">
        <v>1830</v>
      </c>
      <c r="B358" s="51" t="s">
        <v>1831</v>
      </c>
      <c r="C358" s="51" t="s">
        <v>1832</v>
      </c>
      <c r="D358" s="51" t="s">
        <v>90</v>
      </c>
      <c r="E358" s="51" t="s">
        <v>63</v>
      </c>
      <c r="F358" s="51" t="s">
        <v>91</v>
      </c>
      <c r="G358" s="108" t="s">
        <v>63</v>
      </c>
      <c r="H358" s="52" t="s">
        <v>1833</v>
      </c>
      <c r="I358" s="51"/>
      <c r="J358" s="51" t="s">
        <v>1309</v>
      </c>
      <c r="K358" s="18"/>
      <c r="L358" s="110">
        <v>2674782</v>
      </c>
      <c r="M358" s="110">
        <v>2674782</v>
      </c>
      <c r="N358" s="18"/>
      <c r="O358" s="18" t="b">
        <f>VLOOKUP(A358,[1]Model!C$2:J$559,2,FALSE)=B358</f>
        <v>1</v>
      </c>
      <c r="P358" s="18" t="e">
        <f>VLOOKUP(A358,[2]Model!C$2:G$208,5,FALSE)=D358</f>
        <v>#N/A</v>
      </c>
      <c r="Q358" s="18" t="e">
        <f>VLOOKUP(A358,[2]Model!C$2:L$228,8,FALSE)</f>
        <v>#N/A</v>
      </c>
      <c r="R358" s="18" t="e">
        <f>VLOOKUP(A358,[2]Model!C$2:G$228,3,FALSE)=[3]!Table14[[#This Row],[Business Definition (To go into comments and into Meta Data Hub)]]</f>
        <v>#N/A</v>
      </c>
      <c r="S358" s="18" t="e">
        <f>IF([3]!Table14[[#This Row],[Nullable in Table and in Oracle View
NULL, NOT NULL]]="No","NOT NULL","NULL")=VLOOKUP(A358,[2]Model!C$2:I$228,6,FALSE)</f>
        <v>#REF!</v>
      </c>
      <c r="T358" s="58" t="e">
        <f>VLOOKUP(B358,[2]Table!A$2:F$415,1,FALSE)=[3]!Table14[[#This Row],[Physical Name of Attribute (Name of column in Table)
Supplied by DA Team]]</f>
        <v>#N/A</v>
      </c>
      <c r="U358" s="58" t="e">
        <f>VLOOKUP(B358,[2]Table!A$2:F$319,2,FALSE)=[4]!Table14[[#This Row],[Data type in Oracle
VARCHAR2(n), DATE, NUMBER(m,n), TIMETSTAMP(6)]]</f>
        <v>#N/A</v>
      </c>
      <c r="V358" s="58" t="e">
        <f>VLOOKUP(B358,[2]Table!A$2:F$231,3,FALSE)=[4]!Table14[[#This Row],[Nullable in Table and in Oracle View
NULL, NOT NULL]]</f>
        <v>#N/A</v>
      </c>
      <c r="W358" s="58" t="e">
        <f>VLOOKUP(B358,[2]Table!A$2:H$228,6,FALSE)=[4]!Table14[[#This Row],[Business Definition (To go into comments and into Meta Data Hub)]]</f>
        <v>#N/A</v>
      </c>
      <c r="X358" s="58" t="e">
        <f>VLOOKUP((UPPER(SUBSTITUTE(A358," ","_"))),'[2]Consumer View'!A$2:I$329,1,FALSE)</f>
        <v>#N/A</v>
      </c>
      <c r="Y358" s="51" t="s">
        <v>1759</v>
      </c>
      <c r="Z358" s="51" t="s">
        <v>1760</v>
      </c>
      <c r="AA358" s="51" t="s">
        <v>1834</v>
      </c>
      <c r="AB358" s="18"/>
      <c r="AC358" s="18"/>
      <c r="AD358" s="51" t="s">
        <v>1762</v>
      </c>
      <c r="AE358" s="46"/>
      <c r="AF358" s="18"/>
      <c r="AG358" s="18" t="s">
        <v>1763</v>
      </c>
      <c r="AH358" s="18" t="s">
        <v>178</v>
      </c>
    </row>
    <row r="359" spans="1:34" ht="27" customHeight="1">
      <c r="A359" s="105" t="s">
        <v>1835</v>
      </c>
      <c r="B359" s="51" t="s">
        <v>1836</v>
      </c>
      <c r="C359" s="51" t="s">
        <v>1837</v>
      </c>
      <c r="D359" s="51" t="s">
        <v>90</v>
      </c>
      <c r="E359" s="51" t="s">
        <v>63</v>
      </c>
      <c r="F359" s="51" t="s">
        <v>91</v>
      </c>
      <c r="G359" s="108" t="s">
        <v>63</v>
      </c>
      <c r="H359" s="52" t="s">
        <v>1838</v>
      </c>
      <c r="I359" s="51"/>
      <c r="J359" s="51" t="s">
        <v>1309</v>
      </c>
      <c r="K359" s="18"/>
      <c r="L359" s="110">
        <v>2674782</v>
      </c>
      <c r="M359" s="110">
        <v>2674782</v>
      </c>
      <c r="N359" s="18"/>
      <c r="O359" s="18" t="b">
        <f>VLOOKUP(A359,[1]Model!C$2:J$559,2,FALSE)=B359</f>
        <v>1</v>
      </c>
      <c r="P359" s="18" t="e">
        <f>VLOOKUP(A359,[2]Model!C$2:G$208,5,FALSE)=D359</f>
        <v>#N/A</v>
      </c>
      <c r="Q359" s="18" t="e">
        <f>VLOOKUP(A359,[2]Model!C$2:L$228,8,FALSE)</f>
        <v>#N/A</v>
      </c>
      <c r="R359" s="18" t="e">
        <f>VLOOKUP(A359,[2]Model!C$2:G$228,3,FALSE)=[3]!Table14[[#This Row],[Business Definition (To go into comments and into Meta Data Hub)]]</f>
        <v>#N/A</v>
      </c>
      <c r="S359" s="18" t="e">
        <f>IF([3]!Table14[[#This Row],[Nullable in Table and in Oracle View
NULL, NOT NULL]]="No","NOT NULL","NULL")=VLOOKUP(A359,[2]Model!C$2:I$228,6,FALSE)</f>
        <v>#REF!</v>
      </c>
      <c r="T359" s="58" t="e">
        <f>VLOOKUP(B359,[2]Table!A$2:F$415,1,FALSE)=[3]!Table14[[#This Row],[Physical Name of Attribute (Name of column in Table)
Supplied by DA Team]]</f>
        <v>#N/A</v>
      </c>
      <c r="U359" s="58" t="e">
        <f>VLOOKUP(B359,[2]Table!A$2:F$319,2,FALSE)=[4]!Table14[[#This Row],[Data type in Oracle
VARCHAR2(n), DATE, NUMBER(m,n), TIMETSTAMP(6)]]</f>
        <v>#N/A</v>
      </c>
      <c r="V359" s="58" t="e">
        <f>VLOOKUP(B359,[2]Table!A$2:F$231,3,FALSE)=[4]!Table14[[#This Row],[Nullable in Table and in Oracle View
NULL, NOT NULL]]</f>
        <v>#N/A</v>
      </c>
      <c r="W359" s="58" t="e">
        <f>VLOOKUP(B359,[2]Table!A$2:H$228,6,FALSE)=[4]!Table14[[#This Row],[Business Definition (To go into comments and into Meta Data Hub)]]</f>
        <v>#N/A</v>
      </c>
      <c r="X359" s="58" t="e">
        <f>VLOOKUP((UPPER(SUBSTITUTE(A359," ","_"))),'[2]Consumer View'!A$2:I$329,1,FALSE)</f>
        <v>#N/A</v>
      </c>
      <c r="Y359" s="51" t="s">
        <v>1759</v>
      </c>
      <c r="Z359" s="51" t="s">
        <v>1760</v>
      </c>
      <c r="AA359" s="51" t="s">
        <v>1839</v>
      </c>
      <c r="AB359" s="18"/>
      <c r="AC359" s="18"/>
      <c r="AD359" s="51" t="s">
        <v>1762</v>
      </c>
      <c r="AE359" s="46"/>
      <c r="AF359" s="18"/>
      <c r="AG359" s="18" t="s">
        <v>1763</v>
      </c>
      <c r="AH359" s="18" t="s">
        <v>178</v>
      </c>
    </row>
    <row r="360" spans="1:34" ht="27" customHeight="1">
      <c r="A360" s="105" t="s">
        <v>1840</v>
      </c>
      <c r="B360" s="51" t="s">
        <v>1841</v>
      </c>
      <c r="C360" s="51" t="s">
        <v>1842</v>
      </c>
      <c r="D360" s="51" t="s">
        <v>90</v>
      </c>
      <c r="E360" s="51" t="s">
        <v>63</v>
      </c>
      <c r="F360" s="51" t="s">
        <v>91</v>
      </c>
      <c r="G360" s="108" t="s">
        <v>63</v>
      </c>
      <c r="H360" s="52" t="s">
        <v>1843</v>
      </c>
      <c r="I360" s="51"/>
      <c r="J360" s="51" t="s">
        <v>1309</v>
      </c>
      <c r="K360" s="18"/>
      <c r="L360" s="110">
        <v>2674782</v>
      </c>
      <c r="M360" s="110">
        <v>2674782</v>
      </c>
      <c r="N360" s="18"/>
      <c r="O360" s="18" t="b">
        <f>VLOOKUP(A360,[1]Model!C$2:J$559,2,FALSE)=B360</f>
        <v>1</v>
      </c>
      <c r="P360" s="18" t="e">
        <f>VLOOKUP(A360,[2]Model!C$2:G$208,5,FALSE)=D360</f>
        <v>#N/A</v>
      </c>
      <c r="Q360" s="18" t="e">
        <f>VLOOKUP(A360,[2]Model!C$2:L$228,8,FALSE)</f>
        <v>#N/A</v>
      </c>
      <c r="R360" s="18" t="e">
        <f>VLOOKUP(A360,[2]Model!C$2:G$228,3,FALSE)=[3]!Table14[[#This Row],[Business Definition (To go into comments and into Meta Data Hub)]]</f>
        <v>#N/A</v>
      </c>
      <c r="S360" s="18" t="e">
        <f>IF([3]!Table14[[#This Row],[Nullable in Table and in Oracle View
NULL, NOT NULL]]="No","NOT NULL","NULL")=VLOOKUP(A360,[2]Model!C$2:I$228,6,FALSE)</f>
        <v>#REF!</v>
      </c>
      <c r="T360" s="58" t="e">
        <f>VLOOKUP(B360,[2]Table!A$2:F$415,1,FALSE)=[3]!Table14[[#This Row],[Physical Name of Attribute (Name of column in Table)
Supplied by DA Team]]</f>
        <v>#N/A</v>
      </c>
      <c r="U360" s="58" t="e">
        <f>VLOOKUP(B360,[2]Table!A$2:F$319,2,FALSE)=[4]!Table14[[#This Row],[Data type in Oracle
VARCHAR2(n), DATE, NUMBER(m,n), TIMETSTAMP(6)]]</f>
        <v>#N/A</v>
      </c>
      <c r="V360" s="58" t="e">
        <f>VLOOKUP(B360,[2]Table!A$2:F$231,3,FALSE)=[4]!Table14[[#This Row],[Nullable in Table and in Oracle View
NULL, NOT NULL]]</f>
        <v>#N/A</v>
      </c>
      <c r="W360" s="58" t="e">
        <f>VLOOKUP(B360,[2]Table!A$2:H$228,6,FALSE)=[4]!Table14[[#This Row],[Business Definition (To go into comments and into Meta Data Hub)]]</f>
        <v>#N/A</v>
      </c>
      <c r="X360" s="58" t="e">
        <f>VLOOKUP((UPPER(SUBSTITUTE(A360," ","_"))),'[2]Consumer View'!A$2:I$329,1,FALSE)</f>
        <v>#N/A</v>
      </c>
      <c r="Y360" s="51" t="s">
        <v>1759</v>
      </c>
      <c r="Z360" s="51" t="s">
        <v>1760</v>
      </c>
      <c r="AA360" s="51" t="s">
        <v>1844</v>
      </c>
      <c r="AB360" s="18"/>
      <c r="AC360" s="18"/>
      <c r="AD360" s="51" t="s">
        <v>1762</v>
      </c>
      <c r="AE360" s="46"/>
      <c r="AF360" s="18"/>
      <c r="AG360" s="18" t="s">
        <v>1763</v>
      </c>
      <c r="AH360" s="18" t="s">
        <v>178</v>
      </c>
    </row>
    <row r="361" spans="1:34" ht="27" customHeight="1">
      <c r="A361" s="105" t="s">
        <v>1845</v>
      </c>
      <c r="B361" s="51" t="s">
        <v>1846</v>
      </c>
      <c r="C361" s="51" t="s">
        <v>1847</v>
      </c>
      <c r="D361" s="51" t="s">
        <v>1453</v>
      </c>
      <c r="E361" s="51" t="s">
        <v>63</v>
      </c>
      <c r="F361" s="51" t="s">
        <v>1454</v>
      </c>
      <c r="G361" s="108" t="s">
        <v>63</v>
      </c>
      <c r="H361" s="52" t="s">
        <v>1843</v>
      </c>
      <c r="I361" s="51"/>
      <c r="J361" s="51" t="s">
        <v>1309</v>
      </c>
      <c r="K361" s="18"/>
      <c r="L361" s="110">
        <v>2674782</v>
      </c>
      <c r="M361" s="110">
        <v>2674782</v>
      </c>
      <c r="N361" s="18"/>
      <c r="O361" s="18" t="b">
        <f>VLOOKUP(A361,[1]Model!C$2:J$559,2,FALSE)=B361</f>
        <v>1</v>
      </c>
      <c r="P361" s="18" t="e">
        <f>VLOOKUP(A361,[2]Model!C$2:G$208,5,FALSE)=D361</f>
        <v>#N/A</v>
      </c>
      <c r="Q361" s="18" t="e">
        <f>VLOOKUP(A361,[2]Model!C$2:L$228,8,FALSE)</f>
        <v>#N/A</v>
      </c>
      <c r="R361" s="18" t="e">
        <f>VLOOKUP(A361,[2]Model!C$2:G$228,3,FALSE)=[3]!Table14[[#This Row],[Business Definition (To go into comments and into Meta Data Hub)]]</f>
        <v>#N/A</v>
      </c>
      <c r="S361" s="18" t="e">
        <f>IF([3]!Table14[[#This Row],[Nullable in Table and in Oracle View
NULL, NOT NULL]]="No","NOT NULL","NULL")=VLOOKUP(A361,[2]Model!C$2:I$228,6,FALSE)</f>
        <v>#REF!</v>
      </c>
      <c r="T361" s="58" t="e">
        <f>VLOOKUP(B361,[2]Table!A$2:F$415,1,FALSE)=[3]!Table14[[#This Row],[Physical Name of Attribute (Name of column in Table)
Supplied by DA Team]]</f>
        <v>#N/A</v>
      </c>
      <c r="U361" s="58" t="e">
        <f>VLOOKUP(B361,[2]Table!A$2:F$319,2,FALSE)=[4]!Table14[[#This Row],[Data type in Oracle
VARCHAR2(n), DATE, NUMBER(m,n), TIMETSTAMP(6)]]</f>
        <v>#N/A</v>
      </c>
      <c r="V361" s="58" t="e">
        <f>VLOOKUP(B361,[2]Table!A$2:F$231,3,FALSE)=[4]!Table14[[#This Row],[Nullable in Table and in Oracle View
NULL, NOT NULL]]</f>
        <v>#N/A</v>
      </c>
      <c r="W361" s="58" t="e">
        <f>VLOOKUP(B361,[2]Table!A$2:H$228,6,FALSE)=[4]!Table14[[#This Row],[Business Definition (To go into comments and into Meta Data Hub)]]</f>
        <v>#N/A</v>
      </c>
      <c r="X361" s="58" t="e">
        <f>VLOOKUP((UPPER(SUBSTITUTE(A361," ","_"))),'[2]Consumer View'!A$2:I$329,1,FALSE)</f>
        <v>#N/A</v>
      </c>
      <c r="Y361" s="51" t="s">
        <v>1759</v>
      </c>
      <c r="Z361" s="51" t="s">
        <v>1760</v>
      </c>
      <c r="AA361" s="51" t="s">
        <v>1848</v>
      </c>
      <c r="AB361" s="18"/>
      <c r="AC361" s="18"/>
      <c r="AD361" s="51" t="s">
        <v>1762</v>
      </c>
      <c r="AE361" s="46"/>
      <c r="AF361" s="18"/>
      <c r="AG361" s="18" t="s">
        <v>1763</v>
      </c>
      <c r="AH361" s="18" t="s">
        <v>178</v>
      </c>
    </row>
    <row r="362" spans="1:34" ht="27" customHeight="1">
      <c r="A362" s="105" t="s">
        <v>1849</v>
      </c>
      <c r="B362" s="51" t="s">
        <v>1850</v>
      </c>
      <c r="C362" s="51" t="s">
        <v>1851</v>
      </c>
      <c r="D362" s="51" t="s">
        <v>90</v>
      </c>
      <c r="E362" s="51" t="s">
        <v>63</v>
      </c>
      <c r="F362" s="51" t="s">
        <v>91</v>
      </c>
      <c r="G362" s="108" t="s">
        <v>63</v>
      </c>
      <c r="H362" s="52" t="s">
        <v>1852</v>
      </c>
      <c r="I362" s="51"/>
      <c r="J362" s="51" t="s">
        <v>1309</v>
      </c>
      <c r="K362" s="18"/>
      <c r="L362" s="110">
        <v>2674782</v>
      </c>
      <c r="M362" s="110">
        <v>2674782</v>
      </c>
      <c r="N362" s="18"/>
      <c r="O362" s="18" t="b">
        <f>VLOOKUP(A362,[1]Model!C$2:J$559,2,FALSE)=B362</f>
        <v>1</v>
      </c>
      <c r="P362" s="18" t="e">
        <f>VLOOKUP(A362,[2]Model!C$2:G$208,5,FALSE)=D362</f>
        <v>#N/A</v>
      </c>
      <c r="Q362" s="18" t="e">
        <f>VLOOKUP(A362,[2]Model!C$2:L$228,8,FALSE)</f>
        <v>#N/A</v>
      </c>
      <c r="R362" s="18" t="e">
        <f>VLOOKUP(A362,[2]Model!C$2:G$228,3,FALSE)=[3]!Table14[[#This Row],[Business Definition (To go into comments and into Meta Data Hub)]]</f>
        <v>#N/A</v>
      </c>
      <c r="S362" s="18" t="e">
        <f>IF([3]!Table14[[#This Row],[Nullable in Table and in Oracle View
NULL, NOT NULL]]="No","NOT NULL","NULL")=VLOOKUP(A362,[2]Model!C$2:I$228,6,FALSE)</f>
        <v>#REF!</v>
      </c>
      <c r="T362" s="58" t="e">
        <f>VLOOKUP(B362,[2]Table!A$2:F$415,1,FALSE)=[3]!Table14[[#This Row],[Physical Name of Attribute (Name of column in Table)
Supplied by DA Team]]</f>
        <v>#N/A</v>
      </c>
      <c r="U362" s="58" t="e">
        <f>VLOOKUP(B362,[2]Table!A$2:F$319,2,FALSE)=[4]!Table14[[#This Row],[Data type in Oracle
VARCHAR2(n), DATE, NUMBER(m,n), TIMETSTAMP(6)]]</f>
        <v>#N/A</v>
      </c>
      <c r="V362" s="58" t="e">
        <f>VLOOKUP(B362,[2]Table!A$2:F$231,3,FALSE)=[4]!Table14[[#This Row],[Nullable in Table and in Oracle View
NULL, NOT NULL]]</f>
        <v>#N/A</v>
      </c>
      <c r="W362" s="58" t="e">
        <f>VLOOKUP(B362,[2]Table!A$2:H$228,6,FALSE)=[4]!Table14[[#This Row],[Business Definition (To go into comments and into Meta Data Hub)]]</f>
        <v>#N/A</v>
      </c>
      <c r="X362" s="58" t="e">
        <f>VLOOKUP((UPPER(SUBSTITUTE(A362," ","_"))),'[2]Consumer View'!A$2:I$329,1,FALSE)</f>
        <v>#N/A</v>
      </c>
      <c r="Y362" s="51" t="s">
        <v>1759</v>
      </c>
      <c r="Z362" s="51" t="s">
        <v>1760</v>
      </c>
      <c r="AA362" s="51" t="s">
        <v>1853</v>
      </c>
      <c r="AB362" s="18"/>
      <c r="AC362" s="18"/>
      <c r="AD362" s="51" t="s">
        <v>1762</v>
      </c>
      <c r="AE362" s="46"/>
      <c r="AF362" s="18"/>
      <c r="AG362" s="18" t="s">
        <v>1763</v>
      </c>
      <c r="AH362" s="18" t="s">
        <v>178</v>
      </c>
    </row>
    <row r="363" spans="1:34" ht="27" customHeight="1">
      <c r="A363" s="105" t="s">
        <v>1854</v>
      </c>
      <c r="B363" s="51" t="s">
        <v>1855</v>
      </c>
      <c r="C363" s="51" t="s">
        <v>1856</v>
      </c>
      <c r="D363" s="51" t="s">
        <v>1453</v>
      </c>
      <c r="E363" s="51" t="s">
        <v>63</v>
      </c>
      <c r="F363" s="51" t="s">
        <v>1454</v>
      </c>
      <c r="G363" s="108" t="s">
        <v>63</v>
      </c>
      <c r="H363" s="52" t="s">
        <v>1852</v>
      </c>
      <c r="I363" s="51"/>
      <c r="J363" s="51" t="s">
        <v>1309</v>
      </c>
      <c r="K363" s="18"/>
      <c r="L363" s="110">
        <v>2674782</v>
      </c>
      <c r="M363" s="110">
        <v>2674782</v>
      </c>
      <c r="N363" s="18"/>
      <c r="O363" s="18" t="b">
        <f>VLOOKUP(A363,[1]Model!C$2:J$559,2,FALSE)=B363</f>
        <v>1</v>
      </c>
      <c r="P363" s="18" t="e">
        <f>VLOOKUP(A363,[2]Model!C$2:G$208,5,FALSE)=D363</f>
        <v>#N/A</v>
      </c>
      <c r="Q363" s="18" t="e">
        <f>VLOOKUP(A363,[2]Model!C$2:L$228,8,FALSE)</f>
        <v>#N/A</v>
      </c>
      <c r="R363" s="18" t="e">
        <f>VLOOKUP(A363,[2]Model!C$2:G$228,3,FALSE)=[3]!Table14[[#This Row],[Business Definition (To go into comments and into Meta Data Hub)]]</f>
        <v>#N/A</v>
      </c>
      <c r="S363" s="18" t="e">
        <f>IF([3]!Table14[[#This Row],[Nullable in Table and in Oracle View
NULL, NOT NULL]]="No","NOT NULL","NULL")=VLOOKUP(A363,[2]Model!C$2:I$228,6,FALSE)</f>
        <v>#REF!</v>
      </c>
      <c r="T363" s="58" t="e">
        <f>VLOOKUP(B363,[2]Table!A$2:F$415,1,FALSE)=[3]!Table14[[#This Row],[Physical Name of Attribute (Name of column in Table)
Supplied by DA Team]]</f>
        <v>#N/A</v>
      </c>
      <c r="U363" s="58" t="e">
        <f>VLOOKUP(B363,[2]Table!A$2:F$319,2,FALSE)=[4]!Table14[[#This Row],[Data type in Oracle
VARCHAR2(n), DATE, NUMBER(m,n), TIMETSTAMP(6)]]</f>
        <v>#N/A</v>
      </c>
      <c r="V363" s="58" t="e">
        <f>VLOOKUP(B363,[2]Table!A$2:F$231,3,FALSE)=[4]!Table14[[#This Row],[Nullable in Table and in Oracle View
NULL, NOT NULL]]</f>
        <v>#N/A</v>
      </c>
      <c r="W363" s="58" t="e">
        <f>VLOOKUP(B363,[2]Table!A$2:H$228,6,FALSE)=[4]!Table14[[#This Row],[Business Definition (To go into comments and into Meta Data Hub)]]</f>
        <v>#N/A</v>
      </c>
      <c r="X363" s="58" t="e">
        <f>VLOOKUP((UPPER(SUBSTITUTE(A363," ","_"))),'[2]Consumer View'!A$2:I$329,1,FALSE)</f>
        <v>#N/A</v>
      </c>
      <c r="Y363" s="51" t="s">
        <v>1759</v>
      </c>
      <c r="Z363" s="51" t="s">
        <v>1760</v>
      </c>
      <c r="AA363" s="51" t="s">
        <v>1857</v>
      </c>
      <c r="AB363" s="18"/>
      <c r="AC363" s="18"/>
      <c r="AD363" s="51" t="s">
        <v>1762</v>
      </c>
      <c r="AE363" s="46"/>
      <c r="AF363" s="18"/>
      <c r="AG363" s="18" t="s">
        <v>1763</v>
      </c>
      <c r="AH363" s="18" t="s">
        <v>178</v>
      </c>
    </row>
    <row r="364" spans="1:34" ht="27" customHeight="1">
      <c r="A364" s="105" t="s">
        <v>1858</v>
      </c>
      <c r="B364" s="51" t="s">
        <v>1859</v>
      </c>
      <c r="C364" s="51" t="s">
        <v>1860</v>
      </c>
      <c r="D364" s="51" t="s">
        <v>617</v>
      </c>
      <c r="E364" s="51" t="s">
        <v>63</v>
      </c>
      <c r="F364" s="51" t="s">
        <v>618</v>
      </c>
      <c r="G364" s="108" t="s">
        <v>63</v>
      </c>
      <c r="H364" s="52" t="s">
        <v>1861</v>
      </c>
      <c r="I364" s="51"/>
      <c r="J364" s="51" t="s">
        <v>1309</v>
      </c>
      <c r="K364" s="18"/>
      <c r="L364" s="110">
        <v>2674782</v>
      </c>
      <c r="M364" s="110">
        <v>2674782</v>
      </c>
      <c r="N364" s="18"/>
      <c r="O364" s="18" t="b">
        <f>VLOOKUP(A364,[1]Model!C$2:J$559,2,FALSE)=B364</f>
        <v>1</v>
      </c>
      <c r="P364" s="18" t="e">
        <f>VLOOKUP(A364,[2]Model!C$2:G$208,5,FALSE)=D364</f>
        <v>#N/A</v>
      </c>
      <c r="Q364" s="18" t="e">
        <f>VLOOKUP(A364,[2]Model!C$2:L$228,8,FALSE)</f>
        <v>#N/A</v>
      </c>
      <c r="R364" s="18" t="e">
        <f>VLOOKUP(A364,[2]Model!C$2:G$228,3,FALSE)=[3]!Table14[[#This Row],[Business Definition (To go into comments and into Meta Data Hub)]]</f>
        <v>#N/A</v>
      </c>
      <c r="S364" s="18" t="e">
        <f>IF([3]!Table14[[#This Row],[Nullable in Table and in Oracle View
NULL, NOT NULL]]="No","NOT NULL","NULL")=VLOOKUP(A364,[2]Model!C$2:I$228,6,FALSE)</f>
        <v>#REF!</v>
      </c>
      <c r="T364" s="58" t="e">
        <f>VLOOKUP(B364,[2]Table!A$2:F$415,1,FALSE)=[3]!Table14[[#This Row],[Physical Name of Attribute (Name of column in Table)
Supplied by DA Team]]</f>
        <v>#N/A</v>
      </c>
      <c r="U364" s="58" t="e">
        <f>VLOOKUP(B364,[2]Table!A$2:F$319,2,FALSE)=[4]!Table14[[#This Row],[Data type in Oracle
VARCHAR2(n), DATE, NUMBER(m,n), TIMETSTAMP(6)]]</f>
        <v>#N/A</v>
      </c>
      <c r="V364" s="58" t="e">
        <f>VLOOKUP(B364,[2]Table!A$2:F$231,3,FALSE)=[4]!Table14[[#This Row],[Nullable in Table and in Oracle View
NULL, NOT NULL]]</f>
        <v>#N/A</v>
      </c>
      <c r="W364" s="58" t="e">
        <f>VLOOKUP(B364,[2]Table!A$2:H$228,6,FALSE)=[4]!Table14[[#This Row],[Business Definition (To go into comments and into Meta Data Hub)]]</f>
        <v>#N/A</v>
      </c>
      <c r="X364" s="58" t="e">
        <f>VLOOKUP((UPPER(SUBSTITUTE(A364," ","_"))),'[2]Consumer View'!A$2:I$329,1,FALSE)</f>
        <v>#N/A</v>
      </c>
      <c r="Y364" s="51" t="s">
        <v>1759</v>
      </c>
      <c r="Z364" s="51" t="s">
        <v>1760</v>
      </c>
      <c r="AA364" s="51" t="s">
        <v>1862</v>
      </c>
      <c r="AB364" s="18"/>
      <c r="AC364" s="18"/>
      <c r="AD364" s="51" t="s">
        <v>1762</v>
      </c>
      <c r="AE364" s="46"/>
      <c r="AF364" s="18"/>
      <c r="AG364" s="18" t="s">
        <v>1763</v>
      </c>
      <c r="AH364" s="18" t="s">
        <v>178</v>
      </c>
    </row>
    <row r="365" spans="1:34" ht="27" customHeight="1">
      <c r="A365" s="105" t="s">
        <v>1863</v>
      </c>
      <c r="B365" s="51" t="s">
        <v>1864</v>
      </c>
      <c r="C365" s="51" t="s">
        <v>1865</v>
      </c>
      <c r="D365" s="51" t="s">
        <v>302</v>
      </c>
      <c r="E365" s="51" t="s">
        <v>63</v>
      </c>
      <c r="F365" s="51" t="s">
        <v>303</v>
      </c>
      <c r="G365" s="108" t="s">
        <v>63</v>
      </c>
      <c r="H365" s="52" t="s">
        <v>1866</v>
      </c>
      <c r="I365" s="51"/>
      <c r="J365" s="51" t="s">
        <v>1309</v>
      </c>
      <c r="K365" s="18"/>
      <c r="L365" s="110">
        <v>2674782</v>
      </c>
      <c r="M365" s="110">
        <v>2674782</v>
      </c>
      <c r="N365" s="18"/>
      <c r="O365" s="18" t="b">
        <f>VLOOKUP(A365,[1]Model!C$2:J$559,2,FALSE)=B365</f>
        <v>1</v>
      </c>
      <c r="P365" s="18" t="e">
        <f>VLOOKUP(A365,[2]Model!C$2:G$208,5,FALSE)=D365</f>
        <v>#N/A</v>
      </c>
      <c r="Q365" s="18" t="e">
        <f>VLOOKUP(A365,[2]Model!C$2:L$228,8,FALSE)</f>
        <v>#N/A</v>
      </c>
      <c r="R365" s="18" t="e">
        <f>VLOOKUP(A365,[2]Model!C$2:G$228,3,FALSE)=[3]!Table14[[#This Row],[Business Definition (To go into comments and into Meta Data Hub)]]</f>
        <v>#N/A</v>
      </c>
      <c r="S365" s="18" t="e">
        <f>IF([3]!Table14[[#This Row],[Nullable in Table and in Oracle View
NULL, NOT NULL]]="No","NOT NULL","NULL")=VLOOKUP(A365,[2]Model!C$2:I$228,6,FALSE)</f>
        <v>#REF!</v>
      </c>
      <c r="T365" s="58" t="e">
        <f>VLOOKUP(B365,[2]Table!A$2:F$415,1,FALSE)=[3]!Table14[[#This Row],[Physical Name of Attribute (Name of column in Table)
Supplied by DA Team]]</f>
        <v>#N/A</v>
      </c>
      <c r="U365" s="58" t="e">
        <f>VLOOKUP(B365,[2]Table!A$2:F$319,2,FALSE)=[4]!Table14[[#This Row],[Data type in Oracle
VARCHAR2(n), DATE, NUMBER(m,n), TIMETSTAMP(6)]]</f>
        <v>#N/A</v>
      </c>
      <c r="V365" s="58" t="e">
        <f>VLOOKUP(B365,[2]Table!A$2:F$231,3,FALSE)=[4]!Table14[[#This Row],[Nullable in Table and in Oracle View
NULL, NOT NULL]]</f>
        <v>#N/A</v>
      </c>
      <c r="W365" s="58" t="e">
        <f>VLOOKUP(B365,[2]Table!A$2:H$228,6,FALSE)=[4]!Table14[[#This Row],[Business Definition (To go into comments and into Meta Data Hub)]]</f>
        <v>#N/A</v>
      </c>
      <c r="X365" s="58" t="e">
        <f>VLOOKUP((UPPER(SUBSTITUTE(A365," ","_"))),'[2]Consumer View'!A$2:I$329,1,FALSE)</f>
        <v>#N/A</v>
      </c>
      <c r="Y365" s="51" t="s">
        <v>1759</v>
      </c>
      <c r="Z365" s="51" t="s">
        <v>1760</v>
      </c>
      <c r="AA365" s="51" t="s">
        <v>1867</v>
      </c>
      <c r="AB365" s="18"/>
      <c r="AC365" s="18"/>
      <c r="AD365" s="51" t="s">
        <v>1762</v>
      </c>
      <c r="AE365" s="46"/>
      <c r="AF365" s="18"/>
      <c r="AG365" s="18" t="s">
        <v>1763</v>
      </c>
      <c r="AH365" s="18" t="s">
        <v>178</v>
      </c>
    </row>
    <row r="366" spans="1:34" ht="27" customHeight="1">
      <c r="A366" s="105" t="s">
        <v>1868</v>
      </c>
      <c r="B366" s="51" t="s">
        <v>1869</v>
      </c>
      <c r="C366" s="51" t="s">
        <v>1870</v>
      </c>
      <c r="D366" s="51" t="s">
        <v>120</v>
      </c>
      <c r="E366" s="51" t="s">
        <v>63</v>
      </c>
      <c r="F366" s="51" t="s">
        <v>121</v>
      </c>
      <c r="G366" s="108" t="s">
        <v>63</v>
      </c>
      <c r="H366" s="52" t="s">
        <v>1871</v>
      </c>
      <c r="I366" s="51"/>
      <c r="J366" s="51" t="s">
        <v>1309</v>
      </c>
      <c r="K366" s="18"/>
      <c r="L366" s="110">
        <v>2674782</v>
      </c>
      <c r="M366" s="110">
        <v>2674782</v>
      </c>
      <c r="N366" s="18"/>
      <c r="O366" s="18" t="b">
        <f>VLOOKUP(A366,[1]Model!C$2:J$559,2,FALSE)=B366</f>
        <v>1</v>
      </c>
      <c r="P366" s="18" t="e">
        <f>VLOOKUP(A366,[2]Model!C$2:G$208,5,FALSE)=D366</f>
        <v>#N/A</v>
      </c>
      <c r="Q366" s="18" t="e">
        <f>VLOOKUP(A366,[2]Model!C$2:L$228,8,FALSE)</f>
        <v>#N/A</v>
      </c>
      <c r="R366" s="18" t="e">
        <f>VLOOKUP(A366,[2]Model!C$2:G$228,3,FALSE)=[3]!Table14[[#This Row],[Business Definition (To go into comments and into Meta Data Hub)]]</f>
        <v>#N/A</v>
      </c>
      <c r="S366" s="18" t="e">
        <f>IF([3]!Table14[[#This Row],[Nullable in Table and in Oracle View
NULL, NOT NULL]]="No","NOT NULL","NULL")=VLOOKUP(A366,[2]Model!C$2:I$228,6,FALSE)</f>
        <v>#REF!</v>
      </c>
      <c r="T366" s="58" t="e">
        <f>VLOOKUP(B366,[2]Table!A$2:F$415,1,FALSE)=[3]!Table14[[#This Row],[Physical Name of Attribute (Name of column in Table)
Supplied by DA Team]]</f>
        <v>#N/A</v>
      </c>
      <c r="U366" s="58" t="e">
        <f>VLOOKUP(B366,[2]Table!A$2:F$319,2,FALSE)=[4]!Table14[[#This Row],[Data type in Oracle
VARCHAR2(n), DATE, NUMBER(m,n), TIMETSTAMP(6)]]</f>
        <v>#N/A</v>
      </c>
      <c r="V366" s="58" t="e">
        <f>VLOOKUP(B366,[2]Table!A$2:F$231,3,FALSE)=[4]!Table14[[#This Row],[Nullable in Table and in Oracle View
NULL, NOT NULL]]</f>
        <v>#N/A</v>
      </c>
      <c r="W366" s="58" t="e">
        <f>VLOOKUP(B366,[2]Table!A$2:H$228,6,FALSE)=[4]!Table14[[#This Row],[Business Definition (To go into comments and into Meta Data Hub)]]</f>
        <v>#N/A</v>
      </c>
      <c r="X366" s="58" t="e">
        <f>VLOOKUP((UPPER(SUBSTITUTE(A366," ","_"))),'[2]Consumer View'!A$2:I$329,1,FALSE)</f>
        <v>#N/A</v>
      </c>
      <c r="Y366" s="51" t="s">
        <v>1759</v>
      </c>
      <c r="Z366" s="51" t="s">
        <v>1760</v>
      </c>
      <c r="AA366" s="51" t="s">
        <v>1872</v>
      </c>
      <c r="AB366" s="18"/>
      <c r="AC366" s="18"/>
      <c r="AD366" s="51" t="s">
        <v>1762</v>
      </c>
      <c r="AE366" s="46"/>
      <c r="AF366" s="18"/>
      <c r="AG366" s="18" t="s">
        <v>1763</v>
      </c>
      <c r="AH366" s="18" t="s">
        <v>178</v>
      </c>
    </row>
    <row r="367" spans="1:34" ht="27" customHeight="1">
      <c r="A367" s="105" t="s">
        <v>1873</v>
      </c>
      <c r="B367" s="51" t="s">
        <v>1874</v>
      </c>
      <c r="C367" s="51" t="s">
        <v>1875</v>
      </c>
      <c r="D367" s="105" t="s">
        <v>90</v>
      </c>
      <c r="E367" s="105" t="s">
        <v>63</v>
      </c>
      <c r="F367" s="105" t="s">
        <v>91</v>
      </c>
      <c r="G367" s="108" t="s">
        <v>63</v>
      </c>
      <c r="H367" s="52" t="s">
        <v>1876</v>
      </c>
      <c r="I367" s="18"/>
      <c r="J367" s="51" t="s">
        <v>1309</v>
      </c>
      <c r="K367" s="18"/>
      <c r="L367" s="110">
        <v>2674782</v>
      </c>
      <c r="M367" s="110">
        <v>2674782</v>
      </c>
      <c r="N367" s="18"/>
      <c r="O367" s="18" t="b">
        <f>VLOOKUP(A367,[1]Model!C$2:J$559,2,FALSE)=B367</f>
        <v>1</v>
      </c>
      <c r="P367" s="18" t="e">
        <f>VLOOKUP(A367,[2]Model!C$2:G$208,5,FALSE)=D367</f>
        <v>#N/A</v>
      </c>
      <c r="Q367" s="18" t="e">
        <f>VLOOKUP(A367,[2]Model!C$2:L$228,8,FALSE)</f>
        <v>#N/A</v>
      </c>
      <c r="R367" s="18" t="e">
        <f>VLOOKUP(A367,[2]Model!C$2:G$228,3,FALSE)=[3]!Table14[[#This Row],[Business Definition (To go into comments and into Meta Data Hub)]]</f>
        <v>#N/A</v>
      </c>
      <c r="S367" s="18" t="e">
        <f>IF([3]!Table14[[#This Row],[Nullable in Table and in Oracle View
NULL, NOT NULL]]="No","NOT NULL","NULL")=VLOOKUP(A367,[2]Model!C$2:I$228,6,FALSE)</f>
        <v>#REF!</v>
      </c>
      <c r="T367" s="58" t="e">
        <f>VLOOKUP(B367,[2]Table!A$2:F$415,1,FALSE)=[3]!Table14[[#This Row],[Physical Name of Attribute (Name of column in Table)
Supplied by DA Team]]</f>
        <v>#N/A</v>
      </c>
      <c r="U367" s="58" t="e">
        <f>VLOOKUP(B367,[2]Table!A$2:F$319,2,FALSE)=[4]!Table14[[#This Row],[Data type in Oracle
VARCHAR2(n), DATE, NUMBER(m,n), TIMETSTAMP(6)]]</f>
        <v>#N/A</v>
      </c>
      <c r="V367" s="58" t="e">
        <f>VLOOKUP(B367,[2]Table!A$2:F$231,3,FALSE)=[4]!Table14[[#This Row],[Nullable in Table and in Oracle View
NULL, NOT NULL]]</f>
        <v>#N/A</v>
      </c>
      <c r="W367" s="58" t="e">
        <f>VLOOKUP(B367,[2]Table!A$2:H$228,6,FALSE)=[4]!Table14[[#This Row],[Business Definition (To go into comments and into Meta Data Hub)]]</f>
        <v>#N/A</v>
      </c>
      <c r="X367" s="58" t="e">
        <f>VLOOKUP((UPPER(SUBSTITUTE(A367," ","_"))),'[2]Consumer View'!A$2:I$329,1,FALSE)</f>
        <v>#N/A</v>
      </c>
      <c r="Y367" s="51" t="s">
        <v>1759</v>
      </c>
      <c r="Z367" s="18" t="s">
        <v>548</v>
      </c>
      <c r="AA367" s="18" t="s">
        <v>1877</v>
      </c>
      <c r="AB367" s="18"/>
      <c r="AC367" s="18"/>
      <c r="AD367" s="51" t="s">
        <v>1762</v>
      </c>
      <c r="AE367" s="46"/>
      <c r="AF367" s="18"/>
      <c r="AG367" s="18" t="s">
        <v>1763</v>
      </c>
      <c r="AH367" s="18" t="s">
        <v>178</v>
      </c>
    </row>
    <row r="368" spans="1:34" ht="27" customHeight="1">
      <c r="A368" s="105" t="s">
        <v>1878</v>
      </c>
      <c r="B368" s="51" t="s">
        <v>1879</v>
      </c>
      <c r="C368" s="51" t="s">
        <v>1880</v>
      </c>
      <c r="D368" s="105" t="s">
        <v>1453</v>
      </c>
      <c r="E368" s="105" t="s">
        <v>63</v>
      </c>
      <c r="F368" s="105" t="s">
        <v>1454</v>
      </c>
      <c r="G368" s="108" t="s">
        <v>63</v>
      </c>
      <c r="H368" s="52" t="s">
        <v>1881</v>
      </c>
      <c r="I368" s="18"/>
      <c r="J368" s="51" t="s">
        <v>1309</v>
      </c>
      <c r="K368" s="18"/>
      <c r="L368" s="110">
        <v>2674782</v>
      </c>
      <c r="M368" s="110">
        <v>2674782</v>
      </c>
      <c r="N368" s="18"/>
      <c r="O368" s="18" t="b">
        <f>VLOOKUP(A368,[1]Model!C$2:J$559,2,FALSE)=B368</f>
        <v>1</v>
      </c>
      <c r="P368" s="18" t="e">
        <f>VLOOKUP(A368,[2]Model!C$2:G$208,5,FALSE)=D368</f>
        <v>#N/A</v>
      </c>
      <c r="Q368" s="18" t="e">
        <f>VLOOKUP(A368,[2]Model!C$2:L$228,8,FALSE)</f>
        <v>#N/A</v>
      </c>
      <c r="R368" s="18" t="e">
        <f>VLOOKUP(A368,[2]Model!C$2:G$228,3,FALSE)=[3]!Table14[[#This Row],[Business Definition (To go into comments and into Meta Data Hub)]]</f>
        <v>#N/A</v>
      </c>
      <c r="S368" s="18" t="e">
        <f>IF([3]!Table14[[#This Row],[Nullable in Table and in Oracle View
NULL, NOT NULL]]="No","NOT NULL","NULL")=VLOOKUP(A368,[2]Model!C$2:I$228,6,FALSE)</f>
        <v>#REF!</v>
      </c>
      <c r="T368" s="58" t="e">
        <f>VLOOKUP(B368,[2]Table!A$2:F$415,1,FALSE)=[3]!Table14[[#This Row],[Physical Name of Attribute (Name of column in Table)
Supplied by DA Team]]</f>
        <v>#N/A</v>
      </c>
      <c r="U368" s="58" t="e">
        <f>VLOOKUP(B368,[2]Table!A$2:F$319,2,FALSE)=[4]!Table14[[#This Row],[Data type in Oracle
VARCHAR2(n), DATE, NUMBER(m,n), TIMETSTAMP(6)]]</f>
        <v>#N/A</v>
      </c>
      <c r="V368" s="58" t="e">
        <f>VLOOKUP(B368,[2]Table!A$2:F$231,3,FALSE)=[4]!Table14[[#This Row],[Nullable in Table and in Oracle View
NULL, NOT NULL]]</f>
        <v>#N/A</v>
      </c>
      <c r="W368" s="58" t="e">
        <f>VLOOKUP(B368,[2]Table!A$2:H$228,6,FALSE)=[4]!Table14[[#This Row],[Business Definition (To go into comments and into Meta Data Hub)]]</f>
        <v>#N/A</v>
      </c>
      <c r="X368" s="58" t="e">
        <f>VLOOKUP((UPPER(SUBSTITUTE(A368," ","_"))),'[2]Consumer View'!A$2:I$329,1,FALSE)</f>
        <v>#N/A</v>
      </c>
      <c r="Y368" s="51" t="s">
        <v>1759</v>
      </c>
      <c r="Z368" s="18" t="s">
        <v>548</v>
      </c>
      <c r="AA368" s="18" t="s">
        <v>1882</v>
      </c>
      <c r="AB368" s="18"/>
      <c r="AC368" s="18"/>
      <c r="AD368" s="51" t="s">
        <v>1762</v>
      </c>
      <c r="AE368" s="46"/>
      <c r="AF368" s="18"/>
      <c r="AG368" s="18" t="s">
        <v>1763</v>
      </c>
      <c r="AH368" s="18" t="s">
        <v>178</v>
      </c>
    </row>
    <row r="369" spans="1:34" ht="27" customHeight="1">
      <c r="A369" s="105" t="s">
        <v>1883</v>
      </c>
      <c r="B369" s="51" t="s">
        <v>1884</v>
      </c>
      <c r="C369" s="51" t="s">
        <v>1885</v>
      </c>
      <c r="D369" s="105" t="s">
        <v>90</v>
      </c>
      <c r="E369" s="105" t="s">
        <v>63</v>
      </c>
      <c r="F369" s="105" t="s">
        <v>91</v>
      </c>
      <c r="G369" s="108" t="s">
        <v>63</v>
      </c>
      <c r="H369" s="52" t="s">
        <v>1886</v>
      </c>
      <c r="I369" s="18"/>
      <c r="J369" s="51" t="s">
        <v>1309</v>
      </c>
      <c r="K369" s="18"/>
      <c r="L369" s="110">
        <v>2674782</v>
      </c>
      <c r="M369" s="110">
        <v>2674782</v>
      </c>
      <c r="N369" s="18"/>
      <c r="O369" s="18" t="b">
        <f>VLOOKUP(A369,[1]Model!C$2:J$559,2,FALSE)=B369</f>
        <v>1</v>
      </c>
      <c r="P369" s="18" t="e">
        <f>VLOOKUP(A369,[2]Model!C$2:G$208,5,FALSE)=D369</f>
        <v>#N/A</v>
      </c>
      <c r="Q369" s="18" t="e">
        <f>VLOOKUP(A369,[2]Model!C$2:L$228,8,FALSE)</f>
        <v>#N/A</v>
      </c>
      <c r="R369" s="18" t="e">
        <f>VLOOKUP(A369,[2]Model!C$2:G$228,3,FALSE)=[3]!Table14[[#This Row],[Business Definition (To go into comments and into Meta Data Hub)]]</f>
        <v>#N/A</v>
      </c>
      <c r="S369" s="18" t="e">
        <f>IF([3]!Table14[[#This Row],[Nullable in Table and in Oracle View
NULL, NOT NULL]]="No","NOT NULL","NULL")=VLOOKUP(A369,[2]Model!C$2:I$228,6,FALSE)</f>
        <v>#REF!</v>
      </c>
      <c r="T369" s="58" t="e">
        <f>VLOOKUP(B369,[2]Table!A$2:F$415,1,FALSE)=[3]!Table14[[#This Row],[Physical Name of Attribute (Name of column in Table)
Supplied by DA Team]]</f>
        <v>#N/A</v>
      </c>
      <c r="U369" s="58" t="e">
        <f>VLOOKUP(B369,[2]Table!A$2:F$319,2,FALSE)=[4]!Table14[[#This Row],[Data type in Oracle
VARCHAR2(n), DATE, NUMBER(m,n), TIMETSTAMP(6)]]</f>
        <v>#N/A</v>
      </c>
      <c r="V369" s="58" t="e">
        <f>VLOOKUP(B369,[2]Table!A$2:F$231,3,FALSE)=[4]!Table14[[#This Row],[Nullable in Table and in Oracle View
NULL, NOT NULL]]</f>
        <v>#N/A</v>
      </c>
      <c r="W369" s="58" t="e">
        <f>VLOOKUP(B369,[2]Table!A$2:H$228,6,FALSE)=[4]!Table14[[#This Row],[Business Definition (To go into comments and into Meta Data Hub)]]</f>
        <v>#N/A</v>
      </c>
      <c r="X369" s="58" t="e">
        <f>VLOOKUP((UPPER(SUBSTITUTE(A369," ","_"))),'[2]Consumer View'!A$2:I$329,1,FALSE)</f>
        <v>#N/A</v>
      </c>
      <c r="Y369" s="51" t="s">
        <v>1759</v>
      </c>
      <c r="Z369" s="18" t="s">
        <v>548</v>
      </c>
      <c r="AA369" s="18" t="s">
        <v>1887</v>
      </c>
      <c r="AB369" s="18"/>
      <c r="AC369" s="18"/>
      <c r="AD369" s="51" t="s">
        <v>1762</v>
      </c>
      <c r="AE369" s="46"/>
      <c r="AF369" s="18"/>
      <c r="AG369" s="18" t="s">
        <v>1763</v>
      </c>
      <c r="AH369" s="18" t="s">
        <v>178</v>
      </c>
    </row>
    <row r="370" spans="1:34" ht="27" customHeight="1">
      <c r="A370" s="105" t="s">
        <v>1888</v>
      </c>
      <c r="B370" s="51" t="s">
        <v>1889</v>
      </c>
      <c r="C370" s="51" t="s">
        <v>1890</v>
      </c>
      <c r="D370" s="105" t="s">
        <v>1453</v>
      </c>
      <c r="E370" s="105" t="s">
        <v>63</v>
      </c>
      <c r="F370" s="105" t="s">
        <v>1454</v>
      </c>
      <c r="G370" s="108" t="s">
        <v>63</v>
      </c>
      <c r="H370" s="52" t="s">
        <v>1891</v>
      </c>
      <c r="I370" s="18"/>
      <c r="J370" s="51" t="s">
        <v>1309</v>
      </c>
      <c r="K370" s="18"/>
      <c r="L370" s="110">
        <v>2674782</v>
      </c>
      <c r="M370" s="110">
        <v>2674782</v>
      </c>
      <c r="N370" s="18"/>
      <c r="O370" s="18" t="b">
        <f>VLOOKUP(A370,[1]Model!C$2:J$559,2,FALSE)=B370</f>
        <v>1</v>
      </c>
      <c r="P370" s="18" t="e">
        <f>VLOOKUP(A370,[2]Model!C$2:G$208,5,FALSE)=D370</f>
        <v>#N/A</v>
      </c>
      <c r="Q370" s="18" t="e">
        <f>VLOOKUP(A370,[2]Model!C$2:L$228,8,FALSE)</f>
        <v>#N/A</v>
      </c>
      <c r="R370" s="18" t="e">
        <f>VLOOKUP(A370,[2]Model!C$2:G$228,3,FALSE)=[3]!Table14[[#This Row],[Business Definition (To go into comments and into Meta Data Hub)]]</f>
        <v>#N/A</v>
      </c>
      <c r="S370" s="18" t="e">
        <f>IF([3]!Table14[[#This Row],[Nullable in Table and in Oracle View
NULL, NOT NULL]]="No","NOT NULL","NULL")=VLOOKUP(A370,[2]Model!C$2:I$228,6,FALSE)</f>
        <v>#REF!</v>
      </c>
      <c r="T370" s="58" t="e">
        <f>VLOOKUP(B370,[2]Table!A$2:F$415,1,FALSE)=[3]!Table14[[#This Row],[Physical Name of Attribute (Name of column in Table)
Supplied by DA Team]]</f>
        <v>#N/A</v>
      </c>
      <c r="U370" s="58" t="e">
        <f>VLOOKUP(B370,[2]Table!A$2:F$319,2,FALSE)=[4]!Table14[[#This Row],[Data type in Oracle
VARCHAR2(n), DATE, NUMBER(m,n), TIMETSTAMP(6)]]</f>
        <v>#N/A</v>
      </c>
      <c r="V370" s="58" t="e">
        <f>VLOOKUP(B370,[2]Table!A$2:F$231,3,FALSE)=[4]!Table14[[#This Row],[Nullable in Table and in Oracle View
NULL, NOT NULL]]</f>
        <v>#N/A</v>
      </c>
      <c r="W370" s="58" t="e">
        <f>VLOOKUP(B370,[2]Table!A$2:H$228,6,FALSE)=[4]!Table14[[#This Row],[Business Definition (To go into comments and into Meta Data Hub)]]</f>
        <v>#N/A</v>
      </c>
      <c r="X370" s="58" t="e">
        <f>VLOOKUP((UPPER(SUBSTITUTE(A370," ","_"))),'[2]Consumer View'!A$2:I$329,1,FALSE)</f>
        <v>#N/A</v>
      </c>
      <c r="Y370" s="51" t="s">
        <v>1759</v>
      </c>
      <c r="Z370" s="18" t="s">
        <v>548</v>
      </c>
      <c r="AA370" s="18" t="s">
        <v>1892</v>
      </c>
      <c r="AB370" s="18"/>
      <c r="AC370" s="18"/>
      <c r="AD370" s="51" t="s">
        <v>1762</v>
      </c>
      <c r="AE370" s="46"/>
      <c r="AF370" s="18"/>
      <c r="AG370" s="18" t="s">
        <v>1763</v>
      </c>
      <c r="AH370" s="18" t="s">
        <v>178</v>
      </c>
    </row>
    <row r="371" spans="1:34" ht="27" customHeight="1">
      <c r="A371" s="105" t="s">
        <v>1893</v>
      </c>
      <c r="B371" s="51" t="s">
        <v>1894</v>
      </c>
      <c r="C371" s="51" t="s">
        <v>1895</v>
      </c>
      <c r="D371" s="105" t="s">
        <v>90</v>
      </c>
      <c r="E371" s="105" t="s">
        <v>63</v>
      </c>
      <c r="F371" s="105" t="s">
        <v>91</v>
      </c>
      <c r="G371" s="108" t="s">
        <v>63</v>
      </c>
      <c r="H371" s="52" t="s">
        <v>1896</v>
      </c>
      <c r="I371" s="18"/>
      <c r="J371" s="51" t="s">
        <v>1309</v>
      </c>
      <c r="K371" s="18"/>
      <c r="L371" s="110">
        <v>2674782</v>
      </c>
      <c r="M371" s="110">
        <v>2674782</v>
      </c>
      <c r="N371" s="18"/>
      <c r="O371" s="18" t="b">
        <f>VLOOKUP(A371,[1]Model!C$2:J$559,2,FALSE)=B371</f>
        <v>1</v>
      </c>
      <c r="P371" s="18" t="e">
        <f>VLOOKUP(A371,[2]Model!C$2:G$208,5,FALSE)=D371</f>
        <v>#N/A</v>
      </c>
      <c r="Q371" s="18" t="e">
        <f>VLOOKUP(A371,[2]Model!C$2:L$228,8,FALSE)</f>
        <v>#N/A</v>
      </c>
      <c r="R371" s="18" t="e">
        <f>VLOOKUP(A371,[2]Model!C$2:G$228,3,FALSE)=[3]!Table14[[#This Row],[Business Definition (To go into comments and into Meta Data Hub)]]</f>
        <v>#N/A</v>
      </c>
      <c r="S371" s="18" t="e">
        <f>IF([3]!Table14[[#This Row],[Nullable in Table and in Oracle View
NULL, NOT NULL]]="No","NOT NULL","NULL")=VLOOKUP(A371,[2]Model!C$2:I$228,6,FALSE)</f>
        <v>#REF!</v>
      </c>
      <c r="T371" s="58" t="e">
        <f>VLOOKUP(B371,[2]Table!A$2:F$415,1,FALSE)=[3]!Table14[[#This Row],[Physical Name of Attribute (Name of column in Table)
Supplied by DA Team]]</f>
        <v>#N/A</v>
      </c>
      <c r="U371" s="58" t="e">
        <f>VLOOKUP(B371,[2]Table!A$2:F$319,2,FALSE)=[4]!Table14[[#This Row],[Data type in Oracle
VARCHAR2(n), DATE, NUMBER(m,n), TIMETSTAMP(6)]]</f>
        <v>#N/A</v>
      </c>
      <c r="V371" s="58" t="e">
        <f>VLOOKUP(B371,[2]Table!A$2:F$231,3,FALSE)=[4]!Table14[[#This Row],[Nullable in Table and in Oracle View
NULL, NOT NULL]]</f>
        <v>#N/A</v>
      </c>
      <c r="W371" s="58" t="e">
        <f>VLOOKUP(B371,[2]Table!A$2:H$228,6,FALSE)=[4]!Table14[[#This Row],[Business Definition (To go into comments and into Meta Data Hub)]]</f>
        <v>#N/A</v>
      </c>
      <c r="X371" s="58" t="e">
        <f>VLOOKUP((UPPER(SUBSTITUTE(A371," ","_"))),'[2]Consumer View'!A$2:I$329,1,FALSE)</f>
        <v>#N/A</v>
      </c>
      <c r="Y371" s="51" t="s">
        <v>1759</v>
      </c>
      <c r="Z371" s="18" t="s">
        <v>548</v>
      </c>
      <c r="AA371" s="18" t="s">
        <v>1897</v>
      </c>
      <c r="AB371" s="18"/>
      <c r="AC371" s="18"/>
      <c r="AD371" s="51" t="s">
        <v>1762</v>
      </c>
      <c r="AE371" s="46"/>
      <c r="AF371" s="18"/>
      <c r="AG371" s="18" t="s">
        <v>1763</v>
      </c>
      <c r="AH371" s="18" t="s">
        <v>178</v>
      </c>
    </row>
    <row r="372" spans="1:34" ht="27" customHeight="1">
      <c r="A372" s="105" t="s">
        <v>1898</v>
      </c>
      <c r="B372" s="51" t="s">
        <v>1899</v>
      </c>
      <c r="C372" s="51" t="s">
        <v>1900</v>
      </c>
      <c r="D372" s="105" t="s">
        <v>1453</v>
      </c>
      <c r="E372" s="105" t="s">
        <v>63</v>
      </c>
      <c r="F372" s="105" t="s">
        <v>1454</v>
      </c>
      <c r="G372" s="108" t="s">
        <v>63</v>
      </c>
      <c r="H372" s="52" t="s">
        <v>1901</v>
      </c>
      <c r="I372" s="18"/>
      <c r="J372" s="51" t="s">
        <v>1309</v>
      </c>
      <c r="K372" s="18"/>
      <c r="L372" s="110">
        <v>2674782</v>
      </c>
      <c r="M372" s="110">
        <v>2674782</v>
      </c>
      <c r="N372" s="18"/>
      <c r="O372" s="18" t="b">
        <f>VLOOKUP(A372,[1]Model!C$2:J$559,2,FALSE)=B372</f>
        <v>1</v>
      </c>
      <c r="P372" s="18" t="e">
        <f>VLOOKUP(A372,[2]Model!C$2:G$208,5,FALSE)=D372</f>
        <v>#N/A</v>
      </c>
      <c r="Q372" s="18" t="e">
        <f>VLOOKUP(A372,[2]Model!C$2:L$228,8,FALSE)</f>
        <v>#N/A</v>
      </c>
      <c r="R372" s="18" t="e">
        <f>VLOOKUP(A372,[2]Model!C$2:G$228,3,FALSE)=[3]!Table14[[#This Row],[Business Definition (To go into comments and into Meta Data Hub)]]</f>
        <v>#N/A</v>
      </c>
      <c r="S372" s="18" t="e">
        <f>IF([3]!Table14[[#This Row],[Nullable in Table and in Oracle View
NULL, NOT NULL]]="No","NOT NULL","NULL")=VLOOKUP(A372,[2]Model!C$2:I$228,6,FALSE)</f>
        <v>#REF!</v>
      </c>
      <c r="T372" s="58" t="e">
        <f>VLOOKUP(B372,[2]Table!A$2:F$415,1,FALSE)=[3]!Table14[[#This Row],[Physical Name of Attribute (Name of column in Table)
Supplied by DA Team]]</f>
        <v>#N/A</v>
      </c>
      <c r="U372" s="58" t="e">
        <f>VLOOKUP(B372,[2]Table!A$2:F$319,2,FALSE)=[4]!Table14[[#This Row],[Data type in Oracle
VARCHAR2(n), DATE, NUMBER(m,n), TIMETSTAMP(6)]]</f>
        <v>#N/A</v>
      </c>
      <c r="V372" s="58" t="e">
        <f>VLOOKUP(B372,[2]Table!A$2:F$231,3,FALSE)=[4]!Table14[[#This Row],[Nullable in Table and in Oracle View
NULL, NOT NULL]]</f>
        <v>#N/A</v>
      </c>
      <c r="W372" s="58" t="e">
        <f>VLOOKUP(B372,[2]Table!A$2:H$228,6,FALSE)=[4]!Table14[[#This Row],[Business Definition (To go into comments and into Meta Data Hub)]]</f>
        <v>#N/A</v>
      </c>
      <c r="X372" s="58" t="e">
        <f>VLOOKUP((UPPER(SUBSTITUTE(A372," ","_"))),'[2]Consumer View'!A$2:I$329,1,FALSE)</f>
        <v>#N/A</v>
      </c>
      <c r="Y372" s="51" t="s">
        <v>1759</v>
      </c>
      <c r="Z372" s="18" t="s">
        <v>548</v>
      </c>
      <c r="AA372" s="18" t="s">
        <v>1902</v>
      </c>
      <c r="AB372" s="18"/>
      <c r="AC372" s="18"/>
      <c r="AD372" s="51" t="s">
        <v>1762</v>
      </c>
      <c r="AE372" s="46"/>
      <c r="AF372" s="18"/>
      <c r="AG372" s="18" t="s">
        <v>1763</v>
      </c>
      <c r="AH372" s="18" t="s">
        <v>178</v>
      </c>
    </row>
    <row r="373" spans="1:34" ht="27" customHeight="1">
      <c r="A373" s="105" t="s">
        <v>1903</v>
      </c>
      <c r="B373" s="51" t="s">
        <v>1904</v>
      </c>
      <c r="C373" s="51" t="s">
        <v>1905</v>
      </c>
      <c r="D373" s="105" t="s">
        <v>90</v>
      </c>
      <c r="E373" s="105" t="s">
        <v>63</v>
      </c>
      <c r="F373" s="105" t="s">
        <v>91</v>
      </c>
      <c r="G373" s="108" t="s">
        <v>63</v>
      </c>
      <c r="H373" s="52" t="s">
        <v>1906</v>
      </c>
      <c r="I373" s="18"/>
      <c r="J373" s="51" t="s">
        <v>1309</v>
      </c>
      <c r="K373" s="18"/>
      <c r="L373" s="110">
        <v>2674782</v>
      </c>
      <c r="M373" s="110">
        <v>2674782</v>
      </c>
      <c r="N373" s="18"/>
      <c r="O373" s="18" t="b">
        <f>VLOOKUP(A373,[1]Model!C$2:J$559,2,FALSE)=B373</f>
        <v>1</v>
      </c>
      <c r="P373" s="18" t="e">
        <f>VLOOKUP(A373,[2]Model!C$2:G$208,5,FALSE)=D373</f>
        <v>#N/A</v>
      </c>
      <c r="Q373" s="18" t="e">
        <f>VLOOKUP(A373,[2]Model!C$2:L$228,8,FALSE)</f>
        <v>#N/A</v>
      </c>
      <c r="R373" s="18" t="e">
        <f>VLOOKUP(A373,[2]Model!C$2:G$228,3,FALSE)=[3]!Table14[[#This Row],[Business Definition (To go into comments and into Meta Data Hub)]]</f>
        <v>#N/A</v>
      </c>
      <c r="S373" s="18" t="e">
        <f>IF([3]!Table14[[#This Row],[Nullable in Table and in Oracle View
NULL, NOT NULL]]="No","NOT NULL","NULL")=VLOOKUP(A373,[2]Model!C$2:I$228,6,FALSE)</f>
        <v>#REF!</v>
      </c>
      <c r="T373" s="58" t="e">
        <f>VLOOKUP(B373,[2]Table!A$2:F$415,1,FALSE)=[3]!Table14[[#This Row],[Physical Name of Attribute (Name of column in Table)
Supplied by DA Team]]</f>
        <v>#N/A</v>
      </c>
      <c r="U373" s="58" t="e">
        <f>VLOOKUP(B373,[2]Table!A$2:F$319,2,FALSE)=[4]!Table14[[#This Row],[Data type in Oracle
VARCHAR2(n), DATE, NUMBER(m,n), TIMETSTAMP(6)]]</f>
        <v>#N/A</v>
      </c>
      <c r="V373" s="58" t="e">
        <f>VLOOKUP(B373,[2]Table!A$2:F$231,3,FALSE)=[4]!Table14[[#This Row],[Nullable in Table and in Oracle View
NULL, NOT NULL]]</f>
        <v>#N/A</v>
      </c>
      <c r="W373" s="58" t="e">
        <f>VLOOKUP(B373,[2]Table!A$2:H$228,6,FALSE)=[4]!Table14[[#This Row],[Business Definition (To go into comments and into Meta Data Hub)]]</f>
        <v>#N/A</v>
      </c>
      <c r="X373" s="58" t="e">
        <f>VLOOKUP((UPPER(SUBSTITUTE(A373," ","_"))),'[2]Consumer View'!A$2:I$329,1,FALSE)</f>
        <v>#N/A</v>
      </c>
      <c r="Y373" s="51" t="s">
        <v>1759</v>
      </c>
      <c r="Z373" s="18" t="s">
        <v>548</v>
      </c>
      <c r="AA373" s="18" t="s">
        <v>1907</v>
      </c>
      <c r="AB373" s="18"/>
      <c r="AC373" s="18"/>
      <c r="AD373" s="51" t="s">
        <v>1762</v>
      </c>
      <c r="AE373" s="46"/>
      <c r="AF373" s="18"/>
      <c r="AG373" s="18" t="s">
        <v>1763</v>
      </c>
      <c r="AH373" s="18" t="s">
        <v>178</v>
      </c>
    </row>
    <row r="374" spans="1:34" ht="27" customHeight="1">
      <c r="A374" s="105" t="s">
        <v>1908</v>
      </c>
      <c r="B374" s="51" t="s">
        <v>1909</v>
      </c>
      <c r="C374" s="51" t="s">
        <v>1910</v>
      </c>
      <c r="D374" s="105" t="s">
        <v>1453</v>
      </c>
      <c r="E374" s="105" t="s">
        <v>63</v>
      </c>
      <c r="F374" s="105" t="s">
        <v>1454</v>
      </c>
      <c r="G374" s="108" t="s">
        <v>63</v>
      </c>
      <c r="H374" s="52" t="s">
        <v>1911</v>
      </c>
      <c r="I374" s="18"/>
      <c r="J374" s="51" t="s">
        <v>1309</v>
      </c>
      <c r="K374" s="18"/>
      <c r="L374" s="110">
        <v>2674782</v>
      </c>
      <c r="M374" s="110">
        <v>2674782</v>
      </c>
      <c r="N374" s="18"/>
      <c r="O374" s="18" t="b">
        <f>VLOOKUP(A374,[1]Model!C$2:J$559,2,FALSE)=B374</f>
        <v>1</v>
      </c>
      <c r="P374" s="18" t="e">
        <f>VLOOKUP(A374,[2]Model!C$2:G$208,5,FALSE)=D374</f>
        <v>#N/A</v>
      </c>
      <c r="Q374" s="18" t="e">
        <f>VLOOKUP(A374,[2]Model!C$2:L$228,8,FALSE)</f>
        <v>#N/A</v>
      </c>
      <c r="R374" s="18" t="e">
        <f>VLOOKUP(A374,[2]Model!C$2:G$228,3,FALSE)=[3]!Table14[[#This Row],[Business Definition (To go into comments and into Meta Data Hub)]]</f>
        <v>#N/A</v>
      </c>
      <c r="S374" s="18" t="e">
        <f>IF([3]!Table14[[#This Row],[Nullable in Table and in Oracle View
NULL, NOT NULL]]="No","NOT NULL","NULL")=VLOOKUP(A374,[2]Model!C$2:I$228,6,FALSE)</f>
        <v>#REF!</v>
      </c>
      <c r="T374" s="58" t="e">
        <f>VLOOKUP(B374,[2]Table!A$2:F$415,1,FALSE)=[3]!Table14[[#This Row],[Physical Name of Attribute (Name of column in Table)
Supplied by DA Team]]</f>
        <v>#N/A</v>
      </c>
      <c r="U374" s="58" t="e">
        <f>VLOOKUP(B374,[2]Table!A$2:F$319,2,FALSE)=[4]!Table14[[#This Row],[Data type in Oracle
VARCHAR2(n), DATE, NUMBER(m,n), TIMETSTAMP(6)]]</f>
        <v>#N/A</v>
      </c>
      <c r="V374" s="58" t="e">
        <f>VLOOKUP(B374,[2]Table!A$2:F$231,3,FALSE)=[4]!Table14[[#This Row],[Nullable in Table and in Oracle View
NULL, NOT NULL]]</f>
        <v>#N/A</v>
      </c>
      <c r="W374" s="58" t="e">
        <f>VLOOKUP(B374,[2]Table!A$2:H$228,6,FALSE)=[4]!Table14[[#This Row],[Business Definition (To go into comments and into Meta Data Hub)]]</f>
        <v>#N/A</v>
      </c>
      <c r="X374" s="58" t="e">
        <f>VLOOKUP((UPPER(SUBSTITUTE(A374," ","_"))),'[2]Consumer View'!A$2:I$329,1,FALSE)</f>
        <v>#N/A</v>
      </c>
      <c r="Y374" s="51" t="s">
        <v>1759</v>
      </c>
      <c r="Z374" s="18" t="s">
        <v>548</v>
      </c>
      <c r="AA374" s="18" t="s">
        <v>1912</v>
      </c>
      <c r="AB374" s="18"/>
      <c r="AC374" s="18"/>
      <c r="AD374" s="51" t="s">
        <v>1762</v>
      </c>
      <c r="AE374" s="46"/>
      <c r="AF374" s="18"/>
      <c r="AG374" s="18" t="s">
        <v>1763</v>
      </c>
      <c r="AH374" s="18" t="s">
        <v>178</v>
      </c>
    </row>
    <row r="375" spans="1:34" ht="27" customHeight="1">
      <c r="A375" s="105" t="s">
        <v>1913</v>
      </c>
      <c r="B375" s="51" t="s">
        <v>1914</v>
      </c>
      <c r="C375" s="51" t="s">
        <v>1915</v>
      </c>
      <c r="D375" s="105" t="s">
        <v>90</v>
      </c>
      <c r="E375" s="105" t="s">
        <v>63</v>
      </c>
      <c r="F375" s="105" t="s">
        <v>91</v>
      </c>
      <c r="G375" s="108" t="s">
        <v>63</v>
      </c>
      <c r="H375" s="52" t="s">
        <v>1916</v>
      </c>
      <c r="I375" s="18"/>
      <c r="J375" s="51" t="s">
        <v>1309</v>
      </c>
      <c r="K375" s="18"/>
      <c r="L375" s="110">
        <v>2674782</v>
      </c>
      <c r="M375" s="110">
        <v>2674782</v>
      </c>
      <c r="N375" s="18"/>
      <c r="O375" s="18" t="b">
        <f>VLOOKUP(A375,[1]Model!C$2:J$559,2,FALSE)=B375</f>
        <v>1</v>
      </c>
      <c r="P375" s="18" t="e">
        <f>VLOOKUP(A375,[2]Model!C$2:G$208,5,FALSE)=D375</f>
        <v>#N/A</v>
      </c>
      <c r="Q375" s="18" t="e">
        <f>VLOOKUP(A375,[2]Model!C$2:L$228,8,FALSE)</f>
        <v>#N/A</v>
      </c>
      <c r="R375" s="18" t="e">
        <f>VLOOKUP(A375,[2]Model!C$2:G$228,3,FALSE)=[3]!Table14[[#This Row],[Business Definition (To go into comments and into Meta Data Hub)]]</f>
        <v>#N/A</v>
      </c>
      <c r="S375" s="18" t="e">
        <f>IF([3]!Table14[[#This Row],[Nullable in Table and in Oracle View
NULL, NOT NULL]]="No","NOT NULL","NULL")=VLOOKUP(A375,[2]Model!C$2:I$228,6,FALSE)</f>
        <v>#REF!</v>
      </c>
      <c r="T375" s="58" t="e">
        <f>VLOOKUP(B375,[2]Table!A$2:F$415,1,FALSE)=[3]!Table14[[#This Row],[Physical Name of Attribute (Name of column in Table)
Supplied by DA Team]]</f>
        <v>#N/A</v>
      </c>
      <c r="U375" s="58" t="e">
        <f>VLOOKUP(B375,[2]Table!A$2:F$319,2,FALSE)=[4]!Table14[[#This Row],[Data type in Oracle
VARCHAR2(n), DATE, NUMBER(m,n), TIMETSTAMP(6)]]</f>
        <v>#N/A</v>
      </c>
      <c r="V375" s="58" t="e">
        <f>VLOOKUP(B375,[2]Table!A$2:F$231,3,FALSE)=[4]!Table14[[#This Row],[Nullable in Table and in Oracle View
NULL, NOT NULL]]</f>
        <v>#N/A</v>
      </c>
      <c r="W375" s="58" t="e">
        <f>VLOOKUP(B375,[2]Table!A$2:H$228,6,FALSE)=[4]!Table14[[#This Row],[Business Definition (To go into comments and into Meta Data Hub)]]</f>
        <v>#N/A</v>
      </c>
      <c r="X375" s="58" t="e">
        <f>VLOOKUP((UPPER(SUBSTITUTE(A375," ","_"))),'[2]Consumer View'!A$2:I$329,1,FALSE)</f>
        <v>#N/A</v>
      </c>
      <c r="Y375" s="51" t="s">
        <v>1759</v>
      </c>
      <c r="Z375" s="18" t="s">
        <v>548</v>
      </c>
      <c r="AA375" s="18" t="s">
        <v>1917</v>
      </c>
      <c r="AB375" s="18"/>
      <c r="AC375" s="18"/>
      <c r="AD375" s="51" t="s">
        <v>1762</v>
      </c>
      <c r="AE375" s="46"/>
      <c r="AF375" s="18"/>
      <c r="AG375" s="18" t="s">
        <v>1763</v>
      </c>
      <c r="AH375" s="18" t="s">
        <v>178</v>
      </c>
    </row>
    <row r="376" spans="1:34" ht="27" customHeight="1">
      <c r="A376" s="105" t="s">
        <v>1918</v>
      </c>
      <c r="B376" s="94" t="s">
        <v>1919</v>
      </c>
      <c r="C376" s="51" t="s">
        <v>1920</v>
      </c>
      <c r="D376" s="107" t="s">
        <v>1453</v>
      </c>
      <c r="E376" s="107" t="s">
        <v>63</v>
      </c>
      <c r="F376" s="107" t="s">
        <v>1454</v>
      </c>
      <c r="G376" s="111" t="s">
        <v>63</v>
      </c>
      <c r="H376" s="102" t="s">
        <v>1921</v>
      </c>
      <c r="I376" s="87"/>
      <c r="J376" s="51" t="s">
        <v>1309</v>
      </c>
      <c r="K376" s="87"/>
      <c r="L376" s="110">
        <v>2674782</v>
      </c>
      <c r="M376" s="110">
        <v>2674782</v>
      </c>
      <c r="N376" s="87"/>
      <c r="O376" s="87" t="b">
        <f>VLOOKUP(A376,[1]Model!C$2:J$559,2,FALSE)=B376</f>
        <v>1</v>
      </c>
      <c r="P376" s="87" t="e">
        <f>VLOOKUP(A376,[2]Model!C$2:G$208,5,FALSE)=D376</f>
        <v>#N/A</v>
      </c>
      <c r="Q376" s="87" t="e">
        <f>VLOOKUP(A376,[2]Model!C$2:L$228,8,FALSE)</f>
        <v>#N/A</v>
      </c>
      <c r="R376" s="87" t="e">
        <f>VLOOKUP(A376,[2]Model!C$2:G$228,3,FALSE)=[3]!Table14[[#This Row],[Business Definition (To go into comments and into Meta Data Hub)]]</f>
        <v>#N/A</v>
      </c>
      <c r="S376" s="87" t="e">
        <f>IF([3]!Table14[[#This Row],[Nullable in Table and in Oracle View
NULL, NOT NULL]]="No","NOT NULL","NULL")=VLOOKUP(A376,[2]Model!C$2:I$228,6,FALSE)</f>
        <v>#REF!</v>
      </c>
      <c r="T376" s="88" t="e">
        <f>VLOOKUP(B376,[2]Table!A$2:F$415,1,FALSE)=[3]!Table14[[#This Row],[Physical Name of Attribute (Name of column in Table)
Supplied by DA Team]]</f>
        <v>#N/A</v>
      </c>
      <c r="U376" s="88" t="e">
        <f>VLOOKUP(B376,[2]Table!A$2:F$319,2,FALSE)=[4]!Table14[[#This Row],[Data type in Oracle
VARCHAR2(n), DATE, NUMBER(m,n), TIMETSTAMP(6)]]</f>
        <v>#N/A</v>
      </c>
      <c r="V376" s="88" t="e">
        <f>VLOOKUP(B376,[2]Table!A$2:F$231,3,FALSE)=[4]!Table14[[#This Row],[Nullable in Table and in Oracle View
NULL, NOT NULL]]</f>
        <v>#N/A</v>
      </c>
      <c r="W376" s="88" t="e">
        <f>VLOOKUP(B376,[2]Table!A$2:H$228,6,FALSE)=[4]!Table14[[#This Row],[Business Definition (To go into comments and into Meta Data Hub)]]</f>
        <v>#N/A</v>
      </c>
      <c r="X376" s="88" t="e">
        <f>VLOOKUP((UPPER(SUBSTITUTE(A376," ","_"))),'[2]Consumer View'!A$2:I$329,1,FALSE)</f>
        <v>#N/A</v>
      </c>
      <c r="Y376" s="94" t="s">
        <v>1759</v>
      </c>
      <c r="Z376" s="87" t="s">
        <v>548</v>
      </c>
      <c r="AA376" s="87" t="s">
        <v>1922</v>
      </c>
      <c r="AB376" s="87"/>
      <c r="AC376" s="87"/>
      <c r="AD376" s="94" t="s">
        <v>1762</v>
      </c>
      <c r="AE376" s="83"/>
      <c r="AF376" s="87"/>
      <c r="AG376" s="87" t="s">
        <v>1763</v>
      </c>
      <c r="AH376" s="87" t="s">
        <v>178</v>
      </c>
    </row>
    <row r="377" spans="1:34" ht="27" customHeight="1">
      <c r="A377" s="105" t="s">
        <v>1923</v>
      </c>
      <c r="B377" s="51" t="s">
        <v>1924</v>
      </c>
      <c r="C377" s="51" t="s">
        <v>1925</v>
      </c>
      <c r="D377" s="116" t="s">
        <v>268</v>
      </c>
      <c r="E377" s="116" t="s">
        <v>63</v>
      </c>
      <c r="F377" s="116" t="s">
        <v>269</v>
      </c>
      <c r="G377" s="116" t="s">
        <v>63</v>
      </c>
      <c r="H377" s="91" t="s">
        <v>1926</v>
      </c>
      <c r="I377" s="94"/>
      <c r="J377" s="51" t="s">
        <v>1309</v>
      </c>
      <c r="K377" s="87"/>
      <c r="L377" s="109">
        <v>2674782</v>
      </c>
      <c r="M377" s="109">
        <v>2674782</v>
      </c>
      <c r="N377" s="87"/>
      <c r="O377" s="87" t="b">
        <f>VLOOKUP(A377,[1]Model!C$2:J$559,2,FALSE)=B377</f>
        <v>1</v>
      </c>
      <c r="P377" s="87" t="e">
        <f>VLOOKUP(A377,[2]Model!C$2:G$208,5,FALSE)=D377</f>
        <v>#N/A</v>
      </c>
      <c r="Q377" s="87" t="e">
        <f>VLOOKUP(A377,[2]Model!C$2:L$228,8,FALSE)</f>
        <v>#N/A</v>
      </c>
      <c r="R377" s="87" t="e">
        <f>VLOOKUP(A377,[2]Model!C$2:G$228,3,FALSE)=[3]!Table14[[#This Row],[Business Definition (To go into comments and into Meta Data Hub)]]</f>
        <v>#N/A</v>
      </c>
      <c r="S377" s="87" t="e">
        <f>IF([3]!Table14[[#This Row],[Nullable in Table and in Oracle View
NULL, NOT NULL]]="No","NOT NULL","NULL")=VLOOKUP(A377,[2]Model!C$2:I$228,6,FALSE)</f>
        <v>#REF!</v>
      </c>
      <c r="T377" s="88" t="e">
        <f>VLOOKUP(B377,[2]Table!A$2:F$415,1,FALSE)=[3]!Table14[[#This Row],[Physical Name of Attribute (Name of column in Table)
Supplied by DA Team]]</f>
        <v>#N/A</v>
      </c>
      <c r="U377" s="88" t="e">
        <f>VLOOKUP(B377,[2]Table!A$2:F$319,2,FALSE)=[4]!Table14[[#This Row],[Data type in Oracle
VARCHAR2(n), DATE, NUMBER(m,n), TIMETSTAMP(6)]]</f>
        <v>#N/A</v>
      </c>
      <c r="V377" s="88" t="e">
        <f>VLOOKUP(B377,[2]Table!A$2:F$231,3,FALSE)=[4]!Table14[[#This Row],[Nullable in Table and in Oracle View
NULL, NOT NULL]]</f>
        <v>#N/A</v>
      </c>
      <c r="W377" s="88" t="e">
        <f>VLOOKUP(B377,[2]Table!A$2:H$228,6,FALSE)=[4]!Table14[[#This Row],[Business Definition (To go into comments and into Meta Data Hub)]]</f>
        <v>#N/A</v>
      </c>
      <c r="X377" s="88" t="e">
        <f>VLOOKUP((UPPER(SUBSTITUTE(A377," ","_"))),'[2]Consumer View'!A$2:I$329,1,FALSE)</f>
        <v>#N/A</v>
      </c>
      <c r="Y377" s="94" t="s">
        <v>6</v>
      </c>
      <c r="Z377" s="94" t="s">
        <v>184</v>
      </c>
      <c r="AA377" s="94" t="s">
        <v>1927</v>
      </c>
      <c r="AB377" s="87"/>
      <c r="AC377" s="87"/>
      <c r="AD377" s="102" t="s">
        <v>1928</v>
      </c>
      <c r="AE377" s="83"/>
      <c r="AF377" s="87"/>
      <c r="AG377" s="87" t="s">
        <v>1507</v>
      </c>
      <c r="AH377" s="87" t="s">
        <v>178</v>
      </c>
    </row>
    <row r="378" spans="1:34" ht="27" customHeight="1">
      <c r="A378" s="105" t="s">
        <v>1929</v>
      </c>
      <c r="B378" s="51" t="s">
        <v>1930</v>
      </c>
      <c r="C378" s="51" t="s">
        <v>1931</v>
      </c>
      <c r="D378" s="116" t="s">
        <v>464</v>
      </c>
      <c r="E378" s="116" t="s">
        <v>63</v>
      </c>
      <c r="F378" s="116" t="s">
        <v>465</v>
      </c>
      <c r="G378" s="116" t="s">
        <v>63</v>
      </c>
      <c r="H378" s="91" t="s">
        <v>1932</v>
      </c>
      <c r="I378" s="94"/>
      <c r="J378" s="51" t="s">
        <v>1309</v>
      </c>
      <c r="K378" s="87"/>
      <c r="L378" s="109">
        <v>2674782</v>
      </c>
      <c r="M378" s="109">
        <v>2674782</v>
      </c>
      <c r="N378" s="87"/>
      <c r="O378" s="87" t="b">
        <f>VLOOKUP(A378,[1]Model!C$2:J$559,2,FALSE)=B378</f>
        <v>1</v>
      </c>
      <c r="P378" s="87" t="e">
        <f>VLOOKUP(A378,[2]Model!C$2:G$208,5,FALSE)=D378</f>
        <v>#N/A</v>
      </c>
      <c r="Q378" s="87" t="e">
        <f>VLOOKUP(A378,[2]Model!C$2:L$228,8,FALSE)</f>
        <v>#N/A</v>
      </c>
      <c r="R378" s="87" t="e">
        <f>VLOOKUP(A378,[2]Model!C$2:G$228,3,FALSE)=[3]!Table14[[#This Row],[Business Definition (To go into comments and into Meta Data Hub)]]</f>
        <v>#N/A</v>
      </c>
      <c r="S378" s="87" t="e">
        <f>IF([3]!Table14[[#This Row],[Nullable in Table and in Oracle View
NULL, NOT NULL]]="No","NOT NULL","NULL")=VLOOKUP(A378,[2]Model!C$2:I$228,6,FALSE)</f>
        <v>#REF!</v>
      </c>
      <c r="T378" s="88" t="e">
        <f>VLOOKUP(B378,[2]Table!A$2:F$415,1,FALSE)=[3]!Table14[[#This Row],[Physical Name of Attribute (Name of column in Table)
Supplied by DA Team]]</f>
        <v>#N/A</v>
      </c>
      <c r="U378" s="88" t="e">
        <f>VLOOKUP(B378,[2]Table!A$2:F$319,2,FALSE)=[4]!Table14[[#This Row],[Data type in Oracle
VARCHAR2(n), DATE, NUMBER(m,n), TIMETSTAMP(6)]]</f>
        <v>#N/A</v>
      </c>
      <c r="V378" s="88" t="e">
        <f>VLOOKUP(B378,[2]Table!A$2:F$231,3,FALSE)=[4]!Table14[[#This Row],[Nullable in Table and in Oracle View
NULL, NOT NULL]]</f>
        <v>#N/A</v>
      </c>
      <c r="W378" s="88" t="e">
        <f>VLOOKUP(B378,[2]Table!A$2:H$228,6,FALSE)=[4]!Table14[[#This Row],[Business Definition (To go into comments and into Meta Data Hub)]]</f>
        <v>#N/A</v>
      </c>
      <c r="X378" s="88" t="e">
        <f>VLOOKUP((UPPER(SUBSTITUTE(A378," ","_"))),'[2]Consumer View'!A$2:I$329,1,FALSE)</f>
        <v>#N/A</v>
      </c>
      <c r="Y378" s="94" t="s">
        <v>6</v>
      </c>
      <c r="Z378" s="94" t="s">
        <v>1933</v>
      </c>
      <c r="AA378" s="94" t="s">
        <v>1934</v>
      </c>
      <c r="AB378" s="87"/>
      <c r="AC378" s="87"/>
      <c r="AD378" s="102" t="s">
        <v>1935</v>
      </c>
      <c r="AE378" s="83"/>
      <c r="AF378" s="87"/>
      <c r="AG378" s="87" t="s">
        <v>1507</v>
      </c>
      <c r="AH378" s="87" t="s">
        <v>178</v>
      </c>
    </row>
    <row r="379" spans="1:34" ht="58.2" hidden="1" thickBot="1">
      <c r="A379" s="51" t="s">
        <v>1936</v>
      </c>
      <c r="B379" s="51" t="s">
        <v>1937</v>
      </c>
      <c r="C379" s="51" t="s">
        <v>1938</v>
      </c>
      <c r="D379" s="18" t="s">
        <v>559</v>
      </c>
      <c r="E379" s="18" t="s">
        <v>63</v>
      </c>
      <c r="F379" s="18" t="s">
        <v>560</v>
      </c>
      <c r="G379" s="45" t="s">
        <v>63</v>
      </c>
      <c r="H379" s="137" t="s">
        <v>1939</v>
      </c>
      <c r="I379" s="18"/>
      <c r="J379" s="51" t="s">
        <v>1309</v>
      </c>
      <c r="K379" s="18"/>
      <c r="L379">
        <v>2737245</v>
      </c>
      <c r="M379" s="18">
        <v>2674782</v>
      </c>
      <c r="N379" s="18"/>
      <c r="O379" s="18" t="e">
        <f>VLOOKUP(A379,[1]Model!C$2:J$559,2,FALSE)=B379</f>
        <v>#N/A</v>
      </c>
      <c r="P379" s="18" t="e">
        <f>VLOOKUP(A379,[1]Model!C$2:G$228,5,FALSE)=D379</f>
        <v>#N/A</v>
      </c>
      <c r="Q379" s="18" t="e">
        <f>VLOOKUP(A379,[2]Model!C$2:L$228,8,FALSE)</f>
        <v>#N/A</v>
      </c>
      <c r="R379" s="18" t="e">
        <f>VLOOKUP(A379,[2]Model!C$2:G$228,3,FALSE)=[3]!Table14[[#This Row],[Business Definition (To go into comments and into Meta Data Hub)]]</f>
        <v>#N/A</v>
      </c>
      <c r="S379" s="18" t="e">
        <f>IF([3]!Table14[[#This Row],[Nullable in Table and in Oracle View
NULL, NOT NULL]]="No","NOT NULL","NULL")=VLOOKUP(A379,[2]Model!C$2:I$228,6,FALSE)</f>
        <v>#REF!</v>
      </c>
      <c r="T379" s="58" t="e">
        <f>VLOOKUP(B379,[2]Table!A$2:F$415,1,FALSE)=[3]!Table14[[#This Row],[Physical Name of Attribute (Name of column in Table)
Supplied by DA Team]]</f>
        <v>#N/A</v>
      </c>
      <c r="U379" s="58" t="e">
        <f>VLOOKUP(B379,[1]Table!A$2:F$319,2,FALSE)=[1]!Table1[[#This Row],[Data type in Oracle
VARCHAR2(n), DATE, NUMBER(m,n), TIMETSTAMP(6)]]</f>
        <v>#N/A</v>
      </c>
      <c r="V379" s="58" t="e">
        <f>VLOOKUP(B379,[1]Table!A$2:F$231,3,FALSE)=[1]!Table1[[#This Row],[Nullable in Table and in Oracle View
NULL, NOT NULL]]</f>
        <v>#N/A</v>
      </c>
      <c r="W379" s="58" t="e">
        <f>VLOOKUP(B379,[1]Table!A$2:H$228,6,FALSE)=[1]!Table1[[#This Row],[Business Definition (To go into comments and into Meta Data Hub)]]</f>
        <v>#N/A</v>
      </c>
      <c r="X379" s="58" t="e">
        <f>VLOOKUP((UPPER(SUBSTITUTE(A379," ","_"))),'[2]Consumer View'!A$2:I$329,1,FALSE)</f>
        <v>#N/A</v>
      </c>
      <c r="Y379" s="18" t="s">
        <v>68</v>
      </c>
      <c r="Z379" s="18" t="s">
        <v>375</v>
      </c>
      <c r="AA379" s="18" t="s">
        <v>907</v>
      </c>
      <c r="AB379" s="18"/>
      <c r="AC379" s="18"/>
      <c r="AD379" s="46" t="s">
        <v>1940</v>
      </c>
      <c r="AE379" s="46"/>
      <c r="AF379" s="18"/>
      <c r="AG379" s="18"/>
      <c r="AH379" s="18" t="s">
        <v>71</v>
      </c>
    </row>
    <row r="380" spans="1:34" ht="58.2" hidden="1" thickBot="1">
      <c r="A380" s="51" t="s">
        <v>1941</v>
      </c>
      <c r="B380" s="51" t="s">
        <v>1942</v>
      </c>
      <c r="C380" s="51" t="s">
        <v>1943</v>
      </c>
      <c r="D380" s="18" t="s">
        <v>559</v>
      </c>
      <c r="E380" s="18" t="s">
        <v>63</v>
      </c>
      <c r="F380" s="18" t="s">
        <v>560</v>
      </c>
      <c r="G380" s="45" t="s">
        <v>63</v>
      </c>
      <c r="H380" s="137" t="s">
        <v>1944</v>
      </c>
      <c r="I380" s="18"/>
      <c r="J380" s="51" t="s">
        <v>1309</v>
      </c>
      <c r="K380" s="18"/>
      <c r="L380">
        <v>2737245</v>
      </c>
      <c r="M380" s="18">
        <v>2674782</v>
      </c>
      <c r="N380" s="18"/>
      <c r="O380" s="18" t="e">
        <f>VLOOKUP(A380,[1]Model!C$2:J$559,2,FALSE)=B380</f>
        <v>#N/A</v>
      </c>
      <c r="P380" s="18" t="e">
        <f>VLOOKUP(A380,[1]Model!C$2:G$228,5,FALSE)=D380</f>
        <v>#N/A</v>
      </c>
      <c r="Q380" s="18" t="e">
        <f>VLOOKUP(A380,[2]Model!C$2:L$228,8,FALSE)</f>
        <v>#N/A</v>
      </c>
      <c r="R380" s="18" t="e">
        <f>VLOOKUP(A380,[2]Model!C$2:G$228,3,FALSE)=[3]!Table14[[#This Row],[Business Definition (To go into comments and into Meta Data Hub)]]</f>
        <v>#N/A</v>
      </c>
      <c r="S380" s="18" t="e">
        <f>IF([3]!Table14[[#This Row],[Nullable in Table and in Oracle View
NULL, NOT NULL]]="No","NOT NULL","NULL")=VLOOKUP(A380,[2]Model!C$2:I$228,6,FALSE)</f>
        <v>#REF!</v>
      </c>
      <c r="T380" s="58" t="e">
        <f>VLOOKUP(B380,[2]Table!A$2:F$415,1,FALSE)=[3]!Table14[[#This Row],[Physical Name of Attribute (Name of column in Table)
Supplied by DA Team]]</f>
        <v>#N/A</v>
      </c>
      <c r="U380" s="58" t="e">
        <f>VLOOKUP(B380,[1]Table!A$2:F$319,2,FALSE)=[1]!Table1[[#This Row],[Data type in Oracle
VARCHAR2(n), DATE, NUMBER(m,n), TIMETSTAMP(6)]]</f>
        <v>#N/A</v>
      </c>
      <c r="V380" s="58" t="e">
        <f>VLOOKUP(B380,[1]Table!A$2:F$231,3,FALSE)=[1]!Table1[[#This Row],[Nullable in Table and in Oracle View
NULL, NOT NULL]]</f>
        <v>#N/A</v>
      </c>
      <c r="W380" s="58" t="e">
        <f>VLOOKUP(B380,[1]Table!A$2:H$228,6,FALSE)=[1]!Table1[[#This Row],[Business Definition (To go into comments and into Meta Data Hub)]]</f>
        <v>#N/A</v>
      </c>
      <c r="X380" s="58" t="e">
        <f>VLOOKUP((UPPER(SUBSTITUTE(A380," ","_"))),'[2]Consumer View'!A$2:I$329,1,FALSE)</f>
        <v>#N/A</v>
      </c>
      <c r="Y380" s="18" t="s">
        <v>68</v>
      </c>
      <c r="Z380" s="18" t="s">
        <v>375</v>
      </c>
      <c r="AA380" s="18" t="s">
        <v>907</v>
      </c>
      <c r="AB380" s="18"/>
      <c r="AC380" s="18"/>
      <c r="AD380" s="46" t="s">
        <v>1945</v>
      </c>
      <c r="AE380" s="46"/>
      <c r="AF380" s="18"/>
      <c r="AG380" s="18"/>
      <c r="AH380" s="18" t="s">
        <v>71</v>
      </c>
    </row>
    <row r="381" spans="1:34" ht="72.599999999999994" hidden="1" thickBot="1">
      <c r="A381" s="51" t="s">
        <v>1946</v>
      </c>
      <c r="B381" s="51" t="s">
        <v>1947</v>
      </c>
      <c r="C381" s="51" t="s">
        <v>1948</v>
      </c>
      <c r="D381" s="18" t="s">
        <v>559</v>
      </c>
      <c r="E381" s="18" t="s">
        <v>63</v>
      </c>
      <c r="F381" s="18" t="s">
        <v>560</v>
      </c>
      <c r="G381" s="45" t="s">
        <v>63</v>
      </c>
      <c r="H381" s="137" t="s">
        <v>1949</v>
      </c>
      <c r="I381" s="18"/>
      <c r="J381" s="51" t="s">
        <v>1309</v>
      </c>
      <c r="K381" s="18"/>
      <c r="L381">
        <v>2737245</v>
      </c>
      <c r="M381" s="18">
        <v>2674782</v>
      </c>
      <c r="N381" s="18"/>
      <c r="O381" s="18" t="e">
        <f>VLOOKUP(A381,[1]Model!C$2:J$559,2,FALSE)=B381</f>
        <v>#N/A</v>
      </c>
      <c r="P381" s="18" t="e">
        <f>VLOOKUP(A381,[1]Model!C$2:G$228,5,FALSE)=D381</f>
        <v>#N/A</v>
      </c>
      <c r="Q381" s="18" t="e">
        <f>VLOOKUP(A381,[2]Model!C$2:L$228,8,FALSE)</f>
        <v>#N/A</v>
      </c>
      <c r="R381" s="18" t="e">
        <f>VLOOKUP(A381,[2]Model!C$2:G$228,3,FALSE)=[3]!Table14[[#This Row],[Business Definition (To go into comments and into Meta Data Hub)]]</f>
        <v>#N/A</v>
      </c>
      <c r="S381" s="18" t="e">
        <f>IF([3]!Table14[[#This Row],[Nullable in Table and in Oracle View
NULL, NOT NULL]]="No","NOT NULL","NULL")=VLOOKUP(A381,[2]Model!C$2:I$228,6,FALSE)</f>
        <v>#REF!</v>
      </c>
      <c r="T381" s="58" t="e">
        <f>VLOOKUP(B381,[2]Table!A$2:F$415,1,FALSE)=[3]!Table14[[#This Row],[Physical Name of Attribute (Name of column in Table)
Supplied by DA Team]]</f>
        <v>#N/A</v>
      </c>
      <c r="U381" s="58" t="e">
        <f>VLOOKUP(B381,[1]Table!A$2:F$319,2,FALSE)=[1]!Table1[[#This Row],[Data type in Oracle
VARCHAR2(n), DATE, NUMBER(m,n), TIMETSTAMP(6)]]</f>
        <v>#N/A</v>
      </c>
      <c r="V381" s="58" t="e">
        <f>VLOOKUP(B381,[1]Table!A$2:F$231,3,FALSE)=[1]!Table1[[#This Row],[Nullable in Table and in Oracle View
NULL, NOT NULL]]</f>
        <v>#N/A</v>
      </c>
      <c r="W381" s="58" t="e">
        <f>VLOOKUP(B381,[1]Table!A$2:H$228,6,FALSE)=[1]!Table1[[#This Row],[Business Definition (To go into comments and into Meta Data Hub)]]</f>
        <v>#N/A</v>
      </c>
      <c r="X381" s="58" t="e">
        <f>VLOOKUP((UPPER(SUBSTITUTE(A381," ","_"))),'[2]Consumer View'!A$2:I$329,1,FALSE)</f>
        <v>#N/A</v>
      </c>
      <c r="Y381" s="18" t="s">
        <v>68</v>
      </c>
      <c r="Z381" s="18" t="s">
        <v>375</v>
      </c>
      <c r="AA381" s="18" t="s">
        <v>907</v>
      </c>
      <c r="AB381" s="18"/>
      <c r="AC381" s="18"/>
      <c r="AD381" s="46" t="s">
        <v>1950</v>
      </c>
      <c r="AE381" s="46"/>
      <c r="AF381" s="18"/>
      <c r="AG381" s="18"/>
      <c r="AH381" s="18" t="s">
        <v>71</v>
      </c>
    </row>
    <row r="382" spans="1:34" ht="58.2" hidden="1" thickBot="1">
      <c r="A382" s="51" t="s">
        <v>1951</v>
      </c>
      <c r="B382" s="51" t="s">
        <v>1952</v>
      </c>
      <c r="C382" s="51" t="s">
        <v>1953</v>
      </c>
      <c r="D382" s="18" t="s">
        <v>559</v>
      </c>
      <c r="E382" s="18" t="s">
        <v>63</v>
      </c>
      <c r="F382" s="18" t="s">
        <v>560</v>
      </c>
      <c r="G382" s="45" t="s">
        <v>63</v>
      </c>
      <c r="H382" s="137" t="s">
        <v>1954</v>
      </c>
      <c r="I382" s="18"/>
      <c r="J382" s="51" t="s">
        <v>1309</v>
      </c>
      <c r="K382" s="18"/>
      <c r="L382">
        <v>2737245</v>
      </c>
      <c r="M382" s="18">
        <v>2674782</v>
      </c>
      <c r="N382" s="18"/>
      <c r="O382" s="18" t="e">
        <f>VLOOKUP(A382,[1]Model!C$2:J$559,2,FALSE)=B382</f>
        <v>#N/A</v>
      </c>
      <c r="P382" s="18" t="e">
        <f>VLOOKUP(A382,[1]Model!C$2:G$228,5,FALSE)=D382</f>
        <v>#N/A</v>
      </c>
      <c r="Q382" s="18" t="e">
        <f>VLOOKUP(A382,[2]Model!C$2:L$228,8,FALSE)</f>
        <v>#N/A</v>
      </c>
      <c r="R382" s="18" t="e">
        <f>VLOOKUP(A382,[2]Model!C$2:G$228,3,FALSE)=[3]!Table14[[#This Row],[Business Definition (To go into comments and into Meta Data Hub)]]</f>
        <v>#N/A</v>
      </c>
      <c r="S382" s="18" t="e">
        <f>IF([3]!Table14[[#This Row],[Nullable in Table and in Oracle View
NULL, NOT NULL]]="No","NOT NULL","NULL")=VLOOKUP(A382,[2]Model!C$2:I$228,6,FALSE)</f>
        <v>#REF!</v>
      </c>
      <c r="T382" s="58" t="e">
        <f>VLOOKUP(B382,[2]Table!A$2:F$415,1,FALSE)=[3]!Table14[[#This Row],[Physical Name of Attribute (Name of column in Table)
Supplied by DA Team]]</f>
        <v>#N/A</v>
      </c>
      <c r="U382" s="58" t="e">
        <f>VLOOKUP(B382,[1]Table!A$2:F$319,2,FALSE)=[1]!Table1[[#This Row],[Data type in Oracle
VARCHAR2(n), DATE, NUMBER(m,n), TIMETSTAMP(6)]]</f>
        <v>#N/A</v>
      </c>
      <c r="V382" s="58" t="e">
        <f>VLOOKUP(B382,[1]Table!A$2:F$231,3,FALSE)=[1]!Table1[[#This Row],[Nullable in Table and in Oracle View
NULL, NOT NULL]]</f>
        <v>#N/A</v>
      </c>
      <c r="W382" s="58" t="e">
        <f>VLOOKUP(B382,[1]Table!A$2:H$228,6,FALSE)=[1]!Table1[[#This Row],[Business Definition (To go into comments and into Meta Data Hub)]]</f>
        <v>#N/A</v>
      </c>
      <c r="X382" s="58" t="e">
        <f>VLOOKUP((UPPER(SUBSTITUTE(A382," ","_"))),'[2]Consumer View'!A$2:I$329,1,FALSE)</f>
        <v>#N/A</v>
      </c>
      <c r="Y382" s="18" t="s">
        <v>68</v>
      </c>
      <c r="Z382" s="18" t="s">
        <v>375</v>
      </c>
      <c r="AA382" s="18" t="s">
        <v>907</v>
      </c>
      <c r="AB382" s="18"/>
      <c r="AC382" s="18"/>
      <c r="AD382" s="46" t="s">
        <v>1955</v>
      </c>
      <c r="AE382" s="46"/>
      <c r="AF382" s="18"/>
      <c r="AG382" s="18"/>
      <c r="AH382" s="18" t="s">
        <v>71</v>
      </c>
    </row>
    <row r="383" spans="1:34" ht="58.2" hidden="1" thickBot="1">
      <c r="A383" s="51" t="s">
        <v>1956</v>
      </c>
      <c r="B383" s="51" t="s">
        <v>1957</v>
      </c>
      <c r="C383" s="51" t="s">
        <v>1958</v>
      </c>
      <c r="D383" s="18" t="s">
        <v>559</v>
      </c>
      <c r="E383" s="18" t="s">
        <v>63</v>
      </c>
      <c r="F383" s="18" t="s">
        <v>560</v>
      </c>
      <c r="G383" s="45" t="s">
        <v>63</v>
      </c>
      <c r="H383" s="137" t="s">
        <v>1959</v>
      </c>
      <c r="I383" s="18"/>
      <c r="J383" s="51" t="s">
        <v>1309</v>
      </c>
      <c r="K383" s="18"/>
      <c r="L383">
        <v>2737245</v>
      </c>
      <c r="M383" s="18">
        <v>2674782</v>
      </c>
      <c r="N383" s="18"/>
      <c r="O383" s="18" t="e">
        <f>VLOOKUP(A383,[1]Model!C$2:J$559,2,FALSE)=B383</f>
        <v>#N/A</v>
      </c>
      <c r="P383" s="18" t="e">
        <f>VLOOKUP(A383,[1]Model!C$2:G$228,5,FALSE)=D383</f>
        <v>#N/A</v>
      </c>
      <c r="Q383" s="18" t="e">
        <f>VLOOKUP(A383,[2]Model!C$2:L$228,8,FALSE)</f>
        <v>#N/A</v>
      </c>
      <c r="R383" s="18" t="e">
        <f>VLOOKUP(A383,[2]Model!C$2:G$228,3,FALSE)=[3]!Table14[[#This Row],[Business Definition (To go into comments and into Meta Data Hub)]]</f>
        <v>#N/A</v>
      </c>
      <c r="S383" s="18" t="e">
        <f>IF([3]!Table14[[#This Row],[Nullable in Table and in Oracle View
NULL, NOT NULL]]="No","NOT NULL","NULL")=VLOOKUP(A383,[2]Model!C$2:I$228,6,FALSE)</f>
        <v>#REF!</v>
      </c>
      <c r="T383" s="58" t="e">
        <f>VLOOKUP(B383,[2]Table!A$2:F$415,1,FALSE)=[3]!Table14[[#This Row],[Physical Name of Attribute (Name of column in Table)
Supplied by DA Team]]</f>
        <v>#N/A</v>
      </c>
      <c r="U383" s="58" t="e">
        <f>VLOOKUP(B383,[1]Table!A$2:F$319,2,FALSE)=[1]!Table1[[#This Row],[Data type in Oracle
VARCHAR2(n), DATE, NUMBER(m,n), TIMETSTAMP(6)]]</f>
        <v>#N/A</v>
      </c>
      <c r="V383" s="58" t="e">
        <f>VLOOKUP(B383,[1]Table!A$2:F$231,3,FALSE)=[1]!Table1[[#This Row],[Nullable in Table and in Oracle View
NULL, NOT NULL]]</f>
        <v>#N/A</v>
      </c>
      <c r="W383" s="58" t="e">
        <f>VLOOKUP(B383,[1]Table!A$2:H$228,6,FALSE)=[1]!Table1[[#This Row],[Business Definition (To go into comments and into Meta Data Hub)]]</f>
        <v>#N/A</v>
      </c>
      <c r="X383" s="58" t="e">
        <f>VLOOKUP((UPPER(SUBSTITUTE(A383," ","_"))),'[2]Consumer View'!A$2:I$329,1,FALSE)</f>
        <v>#N/A</v>
      </c>
      <c r="Y383" s="18" t="s">
        <v>68</v>
      </c>
      <c r="Z383" s="18" t="s">
        <v>375</v>
      </c>
      <c r="AA383" s="18" t="s">
        <v>907</v>
      </c>
      <c r="AB383" s="18"/>
      <c r="AC383" s="18"/>
      <c r="AD383" s="46" t="s">
        <v>1960</v>
      </c>
      <c r="AE383" s="46"/>
      <c r="AF383" s="18"/>
      <c r="AG383" s="18"/>
      <c r="AH383" s="18" t="s">
        <v>71</v>
      </c>
    </row>
    <row r="384" spans="1:34" ht="58.2" hidden="1" thickBot="1">
      <c r="A384" s="51" t="s">
        <v>1961</v>
      </c>
      <c r="B384" s="51" t="s">
        <v>1962</v>
      </c>
      <c r="C384" s="51" t="s">
        <v>1963</v>
      </c>
      <c r="D384" s="18" t="s">
        <v>559</v>
      </c>
      <c r="E384" s="18" t="s">
        <v>63</v>
      </c>
      <c r="F384" s="18" t="s">
        <v>560</v>
      </c>
      <c r="G384" s="45" t="s">
        <v>63</v>
      </c>
      <c r="H384" s="137" t="s">
        <v>1964</v>
      </c>
      <c r="I384" s="18"/>
      <c r="J384" s="51" t="s">
        <v>1309</v>
      </c>
      <c r="K384" s="18"/>
      <c r="L384">
        <v>2737245</v>
      </c>
      <c r="M384" s="18">
        <v>2674782</v>
      </c>
      <c r="N384" s="18"/>
      <c r="O384" s="18" t="e">
        <f>VLOOKUP(A384,[1]Model!C$2:J$559,2,FALSE)=B384</f>
        <v>#N/A</v>
      </c>
      <c r="P384" s="18" t="e">
        <f>VLOOKUP(A384,[1]Model!C$2:G$228,5,FALSE)=D384</f>
        <v>#N/A</v>
      </c>
      <c r="Q384" s="18" t="e">
        <f>VLOOKUP(A384,[2]Model!C$2:L$228,8,FALSE)</f>
        <v>#N/A</v>
      </c>
      <c r="R384" s="18" t="e">
        <f>VLOOKUP(A384,[2]Model!C$2:G$228,3,FALSE)=[3]!Table14[[#This Row],[Business Definition (To go into comments and into Meta Data Hub)]]</f>
        <v>#N/A</v>
      </c>
      <c r="S384" s="18" t="e">
        <f>IF([3]!Table14[[#This Row],[Nullable in Table and in Oracle View
NULL, NOT NULL]]="No","NOT NULL","NULL")=VLOOKUP(A384,[2]Model!C$2:I$228,6,FALSE)</f>
        <v>#REF!</v>
      </c>
      <c r="T384" s="58" t="e">
        <f>VLOOKUP(B384,[2]Table!A$2:F$415,1,FALSE)=[3]!Table14[[#This Row],[Physical Name of Attribute (Name of column in Table)
Supplied by DA Team]]</f>
        <v>#N/A</v>
      </c>
      <c r="U384" s="58" t="e">
        <f>VLOOKUP(B384,[1]Table!A$2:F$319,2,FALSE)=[1]!Table1[[#This Row],[Data type in Oracle
VARCHAR2(n), DATE, NUMBER(m,n), TIMETSTAMP(6)]]</f>
        <v>#N/A</v>
      </c>
      <c r="V384" s="58" t="e">
        <f>VLOOKUP(B384,[1]Table!A$2:F$231,3,FALSE)=[1]!Table1[[#This Row],[Nullable in Table and in Oracle View
NULL, NOT NULL]]</f>
        <v>#N/A</v>
      </c>
      <c r="W384" s="58" t="e">
        <f>VLOOKUP(B384,[1]Table!A$2:H$228,6,FALSE)=[1]!Table1[[#This Row],[Business Definition (To go into comments and into Meta Data Hub)]]</f>
        <v>#N/A</v>
      </c>
      <c r="X384" s="58" t="e">
        <f>VLOOKUP((UPPER(SUBSTITUTE(A384," ","_"))),'[2]Consumer View'!A$2:I$329,1,FALSE)</f>
        <v>#N/A</v>
      </c>
      <c r="Y384" s="18" t="s">
        <v>68</v>
      </c>
      <c r="Z384" s="18" t="s">
        <v>375</v>
      </c>
      <c r="AA384" s="18" t="s">
        <v>907</v>
      </c>
      <c r="AB384" s="18"/>
      <c r="AC384" s="18"/>
      <c r="AD384" s="46" t="s">
        <v>1965</v>
      </c>
      <c r="AE384" s="46"/>
      <c r="AF384" s="18"/>
      <c r="AG384" s="18"/>
      <c r="AH384" s="18" t="s">
        <v>71</v>
      </c>
    </row>
    <row r="385" spans="1:34" ht="58.2" hidden="1" thickBot="1">
      <c r="A385" s="51" t="s">
        <v>1966</v>
      </c>
      <c r="B385" s="51" t="s">
        <v>1967</v>
      </c>
      <c r="C385" s="51" t="s">
        <v>1968</v>
      </c>
      <c r="D385" s="18" t="s">
        <v>559</v>
      </c>
      <c r="E385" s="18" t="s">
        <v>63</v>
      </c>
      <c r="F385" s="18" t="s">
        <v>560</v>
      </c>
      <c r="G385" s="45" t="s">
        <v>63</v>
      </c>
      <c r="H385" s="137" t="s">
        <v>1969</v>
      </c>
      <c r="I385" s="18"/>
      <c r="J385" s="51" t="s">
        <v>1309</v>
      </c>
      <c r="K385" s="18"/>
      <c r="L385">
        <v>2737245</v>
      </c>
      <c r="M385" s="18">
        <v>2674782</v>
      </c>
      <c r="N385" s="18"/>
      <c r="O385" s="18" t="e">
        <f>VLOOKUP(A385,[1]Model!C$2:J$559,2,FALSE)=B385</f>
        <v>#N/A</v>
      </c>
      <c r="P385" s="18" t="e">
        <f>VLOOKUP(A385,[1]Model!C$2:G$228,5,FALSE)=D385</f>
        <v>#N/A</v>
      </c>
      <c r="Q385" s="18" t="e">
        <f>VLOOKUP(A385,[2]Model!C$2:L$228,8,FALSE)</f>
        <v>#N/A</v>
      </c>
      <c r="R385" s="18" t="e">
        <f>VLOOKUP(A385,[2]Model!C$2:G$228,3,FALSE)=[3]!Table14[[#This Row],[Business Definition (To go into comments and into Meta Data Hub)]]</f>
        <v>#N/A</v>
      </c>
      <c r="S385" s="18" t="e">
        <f>IF([3]!Table14[[#This Row],[Nullable in Table and in Oracle View
NULL, NOT NULL]]="No","NOT NULL","NULL")=VLOOKUP(A385,[2]Model!C$2:I$228,6,FALSE)</f>
        <v>#REF!</v>
      </c>
      <c r="T385" s="58" t="e">
        <f>VLOOKUP(B385,[2]Table!A$2:F$415,1,FALSE)=[3]!Table14[[#This Row],[Physical Name of Attribute (Name of column in Table)
Supplied by DA Team]]</f>
        <v>#N/A</v>
      </c>
      <c r="U385" s="58" t="e">
        <f>VLOOKUP(B385,[1]Table!A$2:F$319,2,FALSE)=[1]!Table1[[#This Row],[Data type in Oracle
VARCHAR2(n), DATE, NUMBER(m,n), TIMETSTAMP(6)]]</f>
        <v>#N/A</v>
      </c>
      <c r="V385" s="58" t="e">
        <f>VLOOKUP(B385,[1]Table!A$2:F$231,3,FALSE)=[1]!Table1[[#This Row],[Nullable in Table and in Oracle View
NULL, NOT NULL]]</f>
        <v>#N/A</v>
      </c>
      <c r="W385" s="58" t="e">
        <f>VLOOKUP(B385,[1]Table!A$2:H$228,6,FALSE)=[1]!Table1[[#This Row],[Business Definition (To go into comments and into Meta Data Hub)]]</f>
        <v>#N/A</v>
      </c>
      <c r="X385" s="58" t="e">
        <f>VLOOKUP((UPPER(SUBSTITUTE(A385," ","_"))),'[2]Consumer View'!A$2:I$329,1,FALSE)</f>
        <v>#N/A</v>
      </c>
      <c r="Y385" s="18" t="s">
        <v>68</v>
      </c>
      <c r="Z385" s="18" t="s">
        <v>375</v>
      </c>
      <c r="AA385" s="18" t="s">
        <v>907</v>
      </c>
      <c r="AB385" s="18"/>
      <c r="AC385" s="18"/>
      <c r="AD385" s="46" t="s">
        <v>1970</v>
      </c>
      <c r="AE385" s="46"/>
      <c r="AF385" s="18"/>
      <c r="AG385" s="18"/>
      <c r="AH385" s="18" t="s">
        <v>71</v>
      </c>
    </row>
    <row r="386" spans="1:34" ht="72.599999999999994" hidden="1" thickBot="1">
      <c r="A386" s="51" t="s">
        <v>1971</v>
      </c>
      <c r="B386" s="51" t="s">
        <v>1972</v>
      </c>
      <c r="C386" s="51" t="s">
        <v>1973</v>
      </c>
      <c r="D386" s="18" t="s">
        <v>559</v>
      </c>
      <c r="E386" s="18" t="s">
        <v>63</v>
      </c>
      <c r="F386" s="18" t="s">
        <v>560</v>
      </c>
      <c r="G386" s="45" t="s">
        <v>63</v>
      </c>
      <c r="H386" s="137" t="s">
        <v>1974</v>
      </c>
      <c r="I386" s="18"/>
      <c r="J386" s="51" t="s">
        <v>1309</v>
      </c>
      <c r="K386" s="18"/>
      <c r="L386">
        <v>2737245</v>
      </c>
      <c r="M386" s="18">
        <v>2674782</v>
      </c>
      <c r="N386" s="18"/>
      <c r="O386" s="18" t="e">
        <f>VLOOKUP(A386,[1]Model!C$2:J$559,2,FALSE)=B386</f>
        <v>#N/A</v>
      </c>
      <c r="P386" s="18" t="e">
        <f>VLOOKUP(A386,[1]Model!C$2:G$228,5,FALSE)=D386</f>
        <v>#N/A</v>
      </c>
      <c r="Q386" s="18" t="e">
        <f>VLOOKUP(A386,[2]Model!C$2:L$228,8,FALSE)</f>
        <v>#N/A</v>
      </c>
      <c r="R386" s="18" t="e">
        <f>VLOOKUP(A386,[2]Model!C$2:G$228,3,FALSE)=[3]!Table14[[#This Row],[Business Definition (To go into comments and into Meta Data Hub)]]</f>
        <v>#N/A</v>
      </c>
      <c r="S386" s="18" t="e">
        <f>IF([3]!Table14[[#This Row],[Nullable in Table and in Oracle View
NULL, NOT NULL]]="No","NOT NULL","NULL")=VLOOKUP(A386,[2]Model!C$2:I$228,6,FALSE)</f>
        <v>#REF!</v>
      </c>
      <c r="T386" s="58" t="e">
        <f>VLOOKUP(B386,[2]Table!A$2:F$415,1,FALSE)=[3]!Table14[[#This Row],[Physical Name of Attribute (Name of column in Table)
Supplied by DA Team]]</f>
        <v>#N/A</v>
      </c>
      <c r="U386" s="58" t="e">
        <f>VLOOKUP(B386,[1]Table!A$2:F$319,2,FALSE)=[1]!Table1[[#This Row],[Data type in Oracle
VARCHAR2(n), DATE, NUMBER(m,n), TIMETSTAMP(6)]]</f>
        <v>#N/A</v>
      </c>
      <c r="V386" s="58" t="e">
        <f>VLOOKUP(B386,[1]Table!A$2:F$231,3,FALSE)=[1]!Table1[[#This Row],[Nullable in Table and in Oracle View
NULL, NOT NULL]]</f>
        <v>#N/A</v>
      </c>
      <c r="W386" s="58" t="e">
        <f>VLOOKUP(B386,[1]Table!A$2:H$228,6,FALSE)=[1]!Table1[[#This Row],[Business Definition (To go into comments and into Meta Data Hub)]]</f>
        <v>#N/A</v>
      </c>
      <c r="X386" s="58" t="e">
        <f>VLOOKUP((UPPER(SUBSTITUTE(A386," ","_"))),'[2]Consumer View'!A$2:I$329,1,FALSE)</f>
        <v>#N/A</v>
      </c>
      <c r="Y386" s="18" t="s">
        <v>68</v>
      </c>
      <c r="Z386" s="18" t="s">
        <v>375</v>
      </c>
      <c r="AA386" s="18" t="s">
        <v>907</v>
      </c>
      <c r="AB386" s="18"/>
      <c r="AC386" s="18"/>
      <c r="AD386" s="46" t="s">
        <v>1975</v>
      </c>
      <c r="AE386" s="46"/>
      <c r="AF386" s="18"/>
      <c r="AG386" s="18"/>
      <c r="AH386" s="18" t="s">
        <v>71</v>
      </c>
    </row>
    <row r="387" spans="1:34" ht="58.2" hidden="1" thickBot="1">
      <c r="A387" s="51" t="s">
        <v>1976</v>
      </c>
      <c r="B387" s="51" t="s">
        <v>1977</v>
      </c>
      <c r="C387" s="51" t="s">
        <v>1978</v>
      </c>
      <c r="D387" s="18" t="s">
        <v>927</v>
      </c>
      <c r="E387" s="18" t="s">
        <v>63</v>
      </c>
      <c r="F387" s="18" t="s">
        <v>928</v>
      </c>
      <c r="G387" s="45" t="s">
        <v>63</v>
      </c>
      <c r="H387" s="137" t="s">
        <v>1979</v>
      </c>
      <c r="I387" s="18"/>
      <c r="J387" s="51" t="s">
        <v>1309</v>
      </c>
      <c r="K387" s="18"/>
      <c r="L387">
        <v>2737245</v>
      </c>
      <c r="M387" s="18">
        <v>2674782</v>
      </c>
      <c r="N387" s="18"/>
      <c r="O387" s="18" t="e">
        <f>VLOOKUP(A387,[1]Model!C$2:J$559,2,FALSE)=B387</f>
        <v>#N/A</v>
      </c>
      <c r="P387" s="18" t="e">
        <f>VLOOKUP(A387,[1]Model!C$2:G$228,5,FALSE)=D387</f>
        <v>#N/A</v>
      </c>
      <c r="Q387" s="18" t="e">
        <f>VLOOKUP(A387,[2]Model!C$2:L$228,8,FALSE)</f>
        <v>#N/A</v>
      </c>
      <c r="R387" s="18" t="e">
        <f>VLOOKUP(A387,[2]Model!C$2:G$228,3,FALSE)=[3]!Table14[[#This Row],[Business Definition (To go into comments and into Meta Data Hub)]]</f>
        <v>#N/A</v>
      </c>
      <c r="S387" s="18" t="e">
        <f>IF([3]!Table14[[#This Row],[Nullable in Table and in Oracle View
NULL, NOT NULL]]="No","NOT NULL","NULL")=VLOOKUP(A387,[2]Model!C$2:I$228,6,FALSE)</f>
        <v>#REF!</v>
      </c>
      <c r="T387" s="58" t="e">
        <f>VLOOKUP(B387,[2]Table!A$2:F$415,1,FALSE)=[3]!Table14[[#This Row],[Physical Name of Attribute (Name of column in Table)
Supplied by DA Team]]</f>
        <v>#N/A</v>
      </c>
      <c r="U387" s="58" t="e">
        <f>VLOOKUP(B387,[1]Table!A$2:F$319,2,FALSE)=[1]!Table1[[#This Row],[Data type in Oracle
VARCHAR2(n), DATE, NUMBER(m,n), TIMETSTAMP(6)]]</f>
        <v>#N/A</v>
      </c>
      <c r="V387" s="58" t="e">
        <f>VLOOKUP(B387,[1]Table!A$2:F$231,3,FALSE)=[1]!Table1[[#This Row],[Nullable in Table and in Oracle View
NULL, NOT NULL]]</f>
        <v>#N/A</v>
      </c>
      <c r="W387" s="58" t="e">
        <f>VLOOKUP(B387,[1]Table!A$2:H$228,6,FALSE)=[1]!Table1[[#This Row],[Business Definition (To go into comments and into Meta Data Hub)]]</f>
        <v>#N/A</v>
      </c>
      <c r="X387" s="58" t="e">
        <f>VLOOKUP((UPPER(SUBSTITUTE(A387," ","_"))),'[2]Consumer View'!A$2:I$329,1,FALSE)</f>
        <v>#N/A</v>
      </c>
      <c r="Y387" s="18" t="s">
        <v>68</v>
      </c>
      <c r="Z387" s="18" t="s">
        <v>375</v>
      </c>
      <c r="AA387" s="18" t="s">
        <v>930</v>
      </c>
      <c r="AB387" s="18"/>
      <c r="AC387" s="18"/>
      <c r="AD387" s="46" t="s">
        <v>1975</v>
      </c>
      <c r="AE387" s="46"/>
      <c r="AF387" s="18"/>
      <c r="AG387" s="18"/>
      <c r="AH387" s="18" t="s">
        <v>71</v>
      </c>
    </row>
    <row r="388" spans="1:34" ht="58.2" hidden="1" thickBot="1">
      <c r="A388" s="51" t="s">
        <v>1980</v>
      </c>
      <c r="B388" s="51" t="s">
        <v>1981</v>
      </c>
      <c r="C388" s="51" t="s">
        <v>1982</v>
      </c>
      <c r="D388" s="18" t="s">
        <v>559</v>
      </c>
      <c r="E388" s="18" t="s">
        <v>63</v>
      </c>
      <c r="F388" s="18" t="s">
        <v>560</v>
      </c>
      <c r="G388" s="45" t="s">
        <v>63</v>
      </c>
      <c r="H388" s="137" t="s">
        <v>1983</v>
      </c>
      <c r="I388" s="18"/>
      <c r="J388" s="51" t="s">
        <v>1309</v>
      </c>
      <c r="K388" s="18"/>
      <c r="L388">
        <v>2737245</v>
      </c>
      <c r="M388" s="18">
        <v>2674782</v>
      </c>
      <c r="N388" s="18"/>
      <c r="O388" s="18" t="e">
        <f>VLOOKUP(A388,[1]Model!C$2:J$559,2,FALSE)=B388</f>
        <v>#N/A</v>
      </c>
      <c r="P388" s="18" t="e">
        <f>VLOOKUP(A388,[1]Model!C$2:G$228,5,FALSE)=D388</f>
        <v>#N/A</v>
      </c>
      <c r="Q388" s="18" t="e">
        <f>VLOOKUP(A388,[2]Model!C$2:L$228,8,FALSE)</f>
        <v>#N/A</v>
      </c>
      <c r="R388" s="18" t="e">
        <f>VLOOKUP(A388,[2]Model!C$2:G$228,3,FALSE)=[3]!Table14[[#This Row],[Business Definition (To go into comments and into Meta Data Hub)]]</f>
        <v>#N/A</v>
      </c>
      <c r="S388" s="18" t="e">
        <f>IF([3]!Table14[[#This Row],[Nullable in Table and in Oracle View
NULL, NOT NULL]]="No","NOT NULL","NULL")=VLOOKUP(A388,[2]Model!C$2:I$228,6,FALSE)</f>
        <v>#REF!</v>
      </c>
      <c r="T388" s="58" t="e">
        <f>VLOOKUP(B388,[2]Table!A$2:F$415,1,FALSE)=[3]!Table14[[#This Row],[Physical Name of Attribute (Name of column in Table)
Supplied by DA Team]]</f>
        <v>#N/A</v>
      </c>
      <c r="U388" s="58" t="e">
        <f>VLOOKUP(B388,[1]Table!A$2:F$319,2,FALSE)=[1]!Table1[[#This Row],[Data type in Oracle
VARCHAR2(n), DATE, NUMBER(m,n), TIMETSTAMP(6)]]</f>
        <v>#N/A</v>
      </c>
      <c r="V388" s="58" t="e">
        <f>VLOOKUP(B388,[1]Table!A$2:F$231,3,FALSE)=[1]!Table1[[#This Row],[Nullable in Table and in Oracle View
NULL, NOT NULL]]</f>
        <v>#N/A</v>
      </c>
      <c r="W388" s="58" t="e">
        <f>VLOOKUP(B388,[1]Table!A$2:H$228,6,FALSE)=[1]!Table1[[#This Row],[Business Definition (To go into comments and into Meta Data Hub)]]</f>
        <v>#N/A</v>
      </c>
      <c r="X388" s="58" t="e">
        <f>VLOOKUP((UPPER(SUBSTITUTE(A388," ","_"))),'[2]Consumer View'!A$2:I$329,1,FALSE)</f>
        <v>#N/A</v>
      </c>
      <c r="Y388" s="18" t="s">
        <v>68</v>
      </c>
      <c r="Z388" s="18" t="s">
        <v>375</v>
      </c>
      <c r="AA388" s="18" t="s">
        <v>907</v>
      </c>
      <c r="AB388" s="18"/>
      <c r="AC388" s="18"/>
      <c r="AD388" s="46" t="s">
        <v>1984</v>
      </c>
      <c r="AE388" s="46"/>
      <c r="AF388" s="18"/>
      <c r="AG388" s="18"/>
      <c r="AH388" s="18" t="s">
        <v>71</v>
      </c>
    </row>
    <row r="389" spans="1:34" ht="58.2" hidden="1" thickBot="1">
      <c r="A389" s="51" t="s">
        <v>1985</v>
      </c>
      <c r="B389" s="51" t="s">
        <v>1986</v>
      </c>
      <c r="C389" s="51" t="s">
        <v>1987</v>
      </c>
      <c r="D389" s="87" t="s">
        <v>927</v>
      </c>
      <c r="E389" s="87" t="s">
        <v>63</v>
      </c>
      <c r="F389" s="87" t="s">
        <v>928</v>
      </c>
      <c r="G389" s="89" t="s">
        <v>63</v>
      </c>
      <c r="H389" s="137" t="s">
        <v>1988</v>
      </c>
      <c r="I389" s="87"/>
      <c r="J389" s="51" t="s">
        <v>1309</v>
      </c>
      <c r="K389" s="87"/>
      <c r="L389">
        <v>2737245</v>
      </c>
      <c r="M389" s="87">
        <v>2674782</v>
      </c>
      <c r="N389" s="87"/>
      <c r="O389" s="87" t="e">
        <f>VLOOKUP(A389,[1]Model!C$2:J$559,2,FALSE)=B389</f>
        <v>#N/A</v>
      </c>
      <c r="P389" s="87" t="e">
        <f>VLOOKUP(A389,[1]Model!C$2:G$228,5,FALSE)=D389</f>
        <v>#N/A</v>
      </c>
      <c r="Q389" s="87" t="e">
        <f>VLOOKUP(A389,[2]Model!C$2:L$228,8,FALSE)</f>
        <v>#N/A</v>
      </c>
      <c r="R389" s="87" t="e">
        <f>VLOOKUP(A389,[2]Model!C$2:G$228,3,FALSE)=[3]!Table14[[#This Row],[Business Definition (To go into comments and into Meta Data Hub)]]</f>
        <v>#N/A</v>
      </c>
      <c r="S389" s="87" t="e">
        <f>IF([3]!Table14[[#This Row],[Nullable in Table and in Oracle View
NULL, NOT NULL]]="No","NOT NULL","NULL")=VLOOKUP(A389,[2]Model!C$2:I$228,6,FALSE)</f>
        <v>#REF!</v>
      </c>
      <c r="T389" s="88" t="e">
        <f>VLOOKUP(B389,[2]Table!A$2:F$415,1,FALSE)=[3]!Table14[[#This Row],[Physical Name of Attribute (Name of column in Table)
Supplied by DA Team]]</f>
        <v>#N/A</v>
      </c>
      <c r="U389" s="88" t="e">
        <f>VLOOKUP(B389,[1]Table!A$2:F$319,2,FALSE)=[1]!Table1[[#This Row],[Data type in Oracle
VARCHAR2(n), DATE, NUMBER(m,n), TIMETSTAMP(6)]]</f>
        <v>#N/A</v>
      </c>
      <c r="V389" s="88" t="e">
        <f>VLOOKUP(B389,[1]Table!A$2:F$231,3,FALSE)=[1]!Table1[[#This Row],[Nullable in Table and in Oracle View
NULL, NOT NULL]]</f>
        <v>#N/A</v>
      </c>
      <c r="W389" s="88" t="e">
        <f>VLOOKUP(B389,[1]Table!A$2:H$228,6,FALSE)=[1]!Table1[[#This Row],[Business Definition (To go into comments and into Meta Data Hub)]]</f>
        <v>#N/A</v>
      </c>
      <c r="X389" s="88" t="e">
        <f>VLOOKUP((UPPER(SUBSTITUTE(A389," ","_"))),'[2]Consumer View'!A$2:I$329,1,FALSE)</f>
        <v>#N/A</v>
      </c>
      <c r="Y389" s="87" t="s">
        <v>68</v>
      </c>
      <c r="Z389" s="87" t="s">
        <v>375</v>
      </c>
      <c r="AA389" s="87" t="s">
        <v>930</v>
      </c>
      <c r="AB389" s="87"/>
      <c r="AC389" s="87"/>
      <c r="AD389" s="83" t="s">
        <v>1984</v>
      </c>
      <c r="AE389" s="83"/>
      <c r="AF389" s="87"/>
      <c r="AG389" s="87"/>
      <c r="AH389" s="87" t="s">
        <v>71</v>
      </c>
    </row>
    <row r="390" spans="1:34" ht="27" hidden="1" customHeight="1">
      <c r="A390" s="51" t="s">
        <v>1989</v>
      </c>
      <c r="B390" s="18" t="s">
        <v>1990</v>
      </c>
      <c r="C390" s="51" t="s">
        <v>1991</v>
      </c>
      <c r="D390" s="116" t="s">
        <v>82</v>
      </c>
      <c r="E390" s="116" t="s">
        <v>63</v>
      </c>
      <c r="F390" s="116" t="s">
        <v>83</v>
      </c>
      <c r="G390" s="116" t="s">
        <v>63</v>
      </c>
      <c r="H390" s="46" t="s">
        <v>1992</v>
      </c>
      <c r="I390" s="18"/>
      <c r="J390" s="51" t="s">
        <v>1309</v>
      </c>
      <c r="K390" s="18"/>
      <c r="L390" s="18">
        <v>2695993</v>
      </c>
      <c r="M390" s="18">
        <v>2695993</v>
      </c>
      <c r="N390" s="18"/>
      <c r="O390" s="18" t="e">
        <f>VLOOKUP(A390,[1]Model!C$2:J$559,2,FALSE)=B390</f>
        <v>#N/A</v>
      </c>
      <c r="P390" s="18" t="e">
        <f>VLOOKUP(A390,Model!C$2:G$208,5,FALSE)=D390</f>
        <v>#N/A</v>
      </c>
      <c r="Q390" s="18" t="e">
        <f>VLOOKUP(A390,[2]Model!C$2:L$228,8,FALSE)</f>
        <v>#N/A</v>
      </c>
      <c r="R390" s="18" t="e">
        <f>VLOOKUP(A390,[2]Model!C$2:G$228,3,FALSE)=[3]!Table14[[#This Row],[Business Definition (To go into comments and into Meta Data Hub)]]</f>
        <v>#N/A</v>
      </c>
      <c r="S390" s="18" t="e">
        <f>IF([3]!Table14[[#This Row],[Nullable in Table and in Oracle View
NULL, NOT NULL]]="No","NOT NULL","NULL")=VLOOKUP(A390,[2]Model!C$2:I$228,6,FALSE)</f>
        <v>#REF!</v>
      </c>
      <c r="T390" s="58" t="e">
        <f>VLOOKUP(B390,[2]Table!A$2:F$415,1,FALSE)=[3]!Table14[[#This Row],[Physical Name of Attribute (Name of column in Table)
Supplied by DA Team]]</f>
        <v>#N/A</v>
      </c>
      <c r="U390" s="58" t="e">
        <f>VLOOKUP(B390,Table!A$2:F$319,2,FALSE)=Table1[[#This Row],[Data type in Oracle
VARCHAR2(n), DATE, NUMBER(m,n), TIMETSTAMP(6)]]</f>
        <v>#N/A</v>
      </c>
      <c r="V390" s="58" t="e">
        <f>VLOOKUP(B390,Table!A$2:F$231,3,FALSE)=Table1[[#This Row],[Nullable in Table and in Oracle View
NULL, NOT NULL]]</f>
        <v>#N/A</v>
      </c>
      <c r="W390" s="58" t="e">
        <f>VLOOKUP(B390,Table!A$2:H$228,6,FALSE)=Table1[[#This Row],[Business Definition (To go into comments and into Meta Data Hub)]]</f>
        <v>#N/A</v>
      </c>
      <c r="X390" s="58" t="e">
        <f>VLOOKUP((UPPER(SUBSTITUTE(A390," ","_"))),'[2]Consumer View'!A$2:I$329,1,FALSE)</f>
        <v>#N/A</v>
      </c>
      <c r="Y390" s="18" t="s">
        <v>68</v>
      </c>
      <c r="Z390" s="18" t="s">
        <v>113</v>
      </c>
      <c r="AA390" s="18" t="s">
        <v>143</v>
      </c>
      <c r="AB390" s="18"/>
      <c r="AC390" s="18" t="s">
        <v>1993</v>
      </c>
      <c r="AD390" s="83" t="s">
        <v>1994</v>
      </c>
      <c r="AE390" s="46"/>
      <c r="AF390" s="18"/>
      <c r="AG390" s="18"/>
      <c r="AH390" s="18"/>
    </row>
    <row r="391" spans="1:34" ht="86.4" hidden="1">
      <c r="A391" s="51" t="s">
        <v>1995</v>
      </c>
      <c r="B391" s="18" t="s">
        <v>1996</v>
      </c>
      <c r="C391" s="51" t="s">
        <v>1997</v>
      </c>
      <c r="D391" s="105" t="s">
        <v>1453</v>
      </c>
      <c r="E391" s="105" t="s">
        <v>63</v>
      </c>
      <c r="F391" s="105" t="s">
        <v>1454</v>
      </c>
      <c r="G391" s="105" t="s">
        <v>63</v>
      </c>
      <c r="H391" s="46" t="s">
        <v>1998</v>
      </c>
      <c r="I391" s="18"/>
      <c r="J391" s="51" t="s">
        <v>1309</v>
      </c>
      <c r="K391" s="18"/>
      <c r="L391" s="18">
        <v>2695993</v>
      </c>
      <c r="M391" s="18">
        <v>2695993</v>
      </c>
      <c r="N391" s="18"/>
      <c r="O391" s="18" t="e">
        <f>VLOOKUP(A391,[1]Model!C$2:J$559,2,FALSE)=B391</f>
        <v>#N/A</v>
      </c>
      <c r="P391" s="18" t="e">
        <f>VLOOKUP(A391,Model!C$2:G$208,5,FALSE)=D391</f>
        <v>#N/A</v>
      </c>
      <c r="Q391" s="18" t="e">
        <f>VLOOKUP(A391,[2]Model!C$2:L$228,8,FALSE)</f>
        <v>#N/A</v>
      </c>
      <c r="R391" s="18" t="e">
        <f>VLOOKUP(A391,[2]Model!C$2:G$228,3,FALSE)=[3]!Table14[[#This Row],[Business Definition (To go into comments and into Meta Data Hub)]]</f>
        <v>#N/A</v>
      </c>
      <c r="S391" s="18" t="e">
        <f>IF([3]!Table14[[#This Row],[Nullable in Table and in Oracle View
NULL, NOT NULL]]="No","NOT NULL","NULL")=VLOOKUP(A391,[2]Model!C$2:I$228,6,FALSE)</f>
        <v>#REF!</v>
      </c>
      <c r="T391" s="58" t="e">
        <f>VLOOKUP(B391,[2]Table!A$2:F$415,1,FALSE)=[3]!Table14[[#This Row],[Physical Name of Attribute (Name of column in Table)
Supplied by DA Team]]</f>
        <v>#N/A</v>
      </c>
      <c r="U391" s="58" t="e">
        <f>VLOOKUP(B391,Table!A$2:F$319,2,FALSE)=Table1[[#This Row],[Data type in Oracle
VARCHAR2(n), DATE, NUMBER(m,n), TIMETSTAMP(6)]]</f>
        <v>#N/A</v>
      </c>
      <c r="V391" s="58" t="e">
        <f>VLOOKUP(B391,Table!A$2:F$231,3,FALSE)=Table1[[#This Row],[Nullable in Table and in Oracle View
NULL, NOT NULL]]</f>
        <v>#N/A</v>
      </c>
      <c r="W391" s="58" t="e">
        <f>VLOOKUP(B391,Table!A$2:H$228,6,FALSE)=Table1[[#This Row],[Business Definition (To go into comments and into Meta Data Hub)]]</f>
        <v>#N/A</v>
      </c>
      <c r="X391" s="58" t="e">
        <f>VLOOKUP((UPPER(SUBSTITUTE(A391," ","_"))),'[2]Consumer View'!A$2:I$329,1,FALSE)</f>
        <v>#N/A</v>
      </c>
      <c r="Y391" s="18" t="s">
        <v>68</v>
      </c>
      <c r="Z391" s="18" t="s">
        <v>113</v>
      </c>
      <c r="AA391" s="18" t="s">
        <v>114</v>
      </c>
      <c r="AB391" s="18"/>
      <c r="AC391" s="18" t="s">
        <v>1993</v>
      </c>
      <c r="AD391" s="83" t="s">
        <v>1999</v>
      </c>
      <c r="AE391" s="46"/>
      <c r="AF391" s="18"/>
      <c r="AG391" s="18"/>
      <c r="AH391" s="18"/>
    </row>
    <row r="392" spans="1:34" ht="86.4" hidden="1">
      <c r="A392" s="94" t="s">
        <v>2000</v>
      </c>
      <c r="B392" s="87" t="s">
        <v>2001</v>
      </c>
      <c r="C392" s="94" t="s">
        <v>2002</v>
      </c>
      <c r="D392" s="105" t="s">
        <v>82</v>
      </c>
      <c r="E392" s="105" t="s">
        <v>63</v>
      </c>
      <c r="F392" s="105" t="s">
        <v>83</v>
      </c>
      <c r="G392" s="105" t="s">
        <v>63</v>
      </c>
      <c r="H392" s="83" t="s">
        <v>2003</v>
      </c>
      <c r="I392" s="87"/>
      <c r="J392" s="51" t="s">
        <v>1309</v>
      </c>
      <c r="K392" s="87"/>
      <c r="L392" s="18">
        <v>2695993</v>
      </c>
      <c r="M392" s="18">
        <v>2695993</v>
      </c>
      <c r="N392" s="87"/>
      <c r="O392" s="87" t="e">
        <f>VLOOKUP(A392,[1]Model!C$2:J$559,2,FALSE)=B392</f>
        <v>#N/A</v>
      </c>
      <c r="P392" s="87" t="e">
        <f>VLOOKUP(A392,Model!C$2:G$208,5,FALSE)=D392</f>
        <v>#N/A</v>
      </c>
      <c r="Q392" s="87" t="e">
        <f>VLOOKUP(A392,[2]Model!C$2:L$228,8,FALSE)</f>
        <v>#N/A</v>
      </c>
      <c r="R392" s="87" t="e">
        <f>VLOOKUP(A392,[2]Model!C$2:G$228,3,FALSE)=[3]!Table14[[#This Row],[Business Definition (To go into comments and into Meta Data Hub)]]</f>
        <v>#N/A</v>
      </c>
      <c r="S392" s="87" t="e">
        <f>IF([3]!Table14[[#This Row],[Nullable in Table and in Oracle View
NULL, NOT NULL]]="No","NOT NULL","NULL")=VLOOKUP(A392,[2]Model!C$2:I$228,6,FALSE)</f>
        <v>#REF!</v>
      </c>
      <c r="T392" s="88" t="e">
        <f>VLOOKUP(B392,[2]Table!A$2:F$415,1,FALSE)=[3]!Table14[[#This Row],[Physical Name of Attribute (Name of column in Table)
Supplied by DA Team]]</f>
        <v>#N/A</v>
      </c>
      <c r="U392" s="88" t="e">
        <f>VLOOKUP(B392,Table!A$2:F$319,2,FALSE)=Table1[[#This Row],[Data type in Oracle
VARCHAR2(n), DATE, NUMBER(m,n), TIMETSTAMP(6)]]</f>
        <v>#N/A</v>
      </c>
      <c r="V392" s="88" t="e">
        <f>VLOOKUP(B392,Table!A$2:F$231,3,FALSE)=Table1[[#This Row],[Nullable in Table and in Oracle View
NULL, NOT NULL]]</f>
        <v>#N/A</v>
      </c>
      <c r="W392" s="88" t="e">
        <f>VLOOKUP(B392,Table!A$2:H$228,6,FALSE)=Table1[[#This Row],[Business Definition (To go into comments and into Meta Data Hub)]]</f>
        <v>#N/A</v>
      </c>
      <c r="X392" s="88" t="e">
        <f>VLOOKUP((UPPER(SUBSTITUTE(A392," ","_"))),'[2]Consumer View'!A$2:I$329,1,FALSE)</f>
        <v>#N/A</v>
      </c>
      <c r="Y392" s="18" t="s">
        <v>68</v>
      </c>
      <c r="Z392" s="18" t="s">
        <v>113</v>
      </c>
      <c r="AA392" s="18" t="s">
        <v>143</v>
      </c>
      <c r="AB392" s="87"/>
      <c r="AC392" s="18" t="s">
        <v>1993</v>
      </c>
      <c r="AD392" s="83" t="s">
        <v>1994</v>
      </c>
      <c r="AE392" s="83"/>
      <c r="AF392" s="87"/>
      <c r="AG392" s="87"/>
      <c r="AH392" s="87"/>
    </row>
    <row r="393" spans="1:34" ht="86.4" hidden="1">
      <c r="A393" s="51" t="s">
        <v>2004</v>
      </c>
      <c r="B393" s="18" t="s">
        <v>2005</v>
      </c>
      <c r="C393" s="94" t="s">
        <v>2006</v>
      </c>
      <c r="D393" s="105" t="s">
        <v>1453</v>
      </c>
      <c r="E393" s="105" t="s">
        <v>63</v>
      </c>
      <c r="F393" s="105" t="s">
        <v>1454</v>
      </c>
      <c r="G393" s="105" t="s">
        <v>63</v>
      </c>
      <c r="H393" s="46" t="s">
        <v>2007</v>
      </c>
      <c r="I393" s="18"/>
      <c r="J393" s="51" t="s">
        <v>1309</v>
      </c>
      <c r="K393" s="18"/>
      <c r="L393" s="18">
        <v>2695993</v>
      </c>
      <c r="M393" s="18">
        <v>2695993</v>
      </c>
      <c r="N393" s="18"/>
      <c r="O393" s="18" t="e">
        <f>VLOOKUP(A393,[1]Model!C$2:J$559,2,FALSE)=B393</f>
        <v>#N/A</v>
      </c>
      <c r="P393" s="18" t="e">
        <f>VLOOKUP(A393,Model!C$2:G$208,5,FALSE)=D393</f>
        <v>#N/A</v>
      </c>
      <c r="Q393" s="18" t="e">
        <f>VLOOKUP(A393,[2]Model!C$2:L$228,8,FALSE)</f>
        <v>#N/A</v>
      </c>
      <c r="R393" s="18" t="e">
        <f>VLOOKUP(A393,[2]Model!C$2:G$228,3,FALSE)=[3]!Table14[[#This Row],[Business Definition (To go into comments and into Meta Data Hub)]]</f>
        <v>#N/A</v>
      </c>
      <c r="S393" s="18" t="e">
        <f>IF([3]!Table14[[#This Row],[Nullable in Table and in Oracle View
NULL, NOT NULL]]="No","NOT NULL","NULL")=VLOOKUP(A393,[2]Model!C$2:I$228,6,FALSE)</f>
        <v>#REF!</v>
      </c>
      <c r="T393" s="58" t="e">
        <f>VLOOKUP(B393,[2]Table!A$2:F$415,1,FALSE)=[3]!Table14[[#This Row],[Physical Name of Attribute (Name of column in Table)
Supplied by DA Team]]</f>
        <v>#N/A</v>
      </c>
      <c r="U393" s="58" t="e">
        <f>VLOOKUP(B393,Table!A$2:F$319,2,FALSE)=Table1[[#This Row],[Data type in Oracle
VARCHAR2(n), DATE, NUMBER(m,n), TIMETSTAMP(6)]]</f>
        <v>#N/A</v>
      </c>
      <c r="V393" s="58" t="e">
        <f>VLOOKUP(B393,Table!A$2:F$231,3,FALSE)=Table1[[#This Row],[Nullable in Table and in Oracle View
NULL, NOT NULL]]</f>
        <v>#N/A</v>
      </c>
      <c r="W393" s="58" t="e">
        <f>VLOOKUP(B393,Table!A$2:H$228,6,FALSE)=Table1[[#This Row],[Business Definition (To go into comments and into Meta Data Hub)]]</f>
        <v>#N/A</v>
      </c>
      <c r="X393" s="58" t="e">
        <f>VLOOKUP((UPPER(SUBSTITUTE(A393," ","_"))),'[2]Consumer View'!A$2:I$329,1,FALSE)</f>
        <v>#N/A</v>
      </c>
      <c r="Y393" s="18" t="s">
        <v>68</v>
      </c>
      <c r="Z393" s="18" t="s">
        <v>113</v>
      </c>
      <c r="AA393" s="18" t="s">
        <v>114</v>
      </c>
      <c r="AB393" s="18"/>
      <c r="AC393" s="18" t="s">
        <v>1993</v>
      </c>
      <c r="AD393" s="83" t="s">
        <v>2008</v>
      </c>
      <c r="AE393" s="46"/>
      <c r="AF393" s="18"/>
      <c r="AG393" s="18"/>
      <c r="AH393" s="18"/>
    </row>
  </sheetData>
  <mergeCells count="4">
    <mergeCell ref="A11:I11"/>
    <mergeCell ref="Y11:AC11"/>
    <mergeCell ref="AD11:AE11"/>
    <mergeCell ref="I1:AD4"/>
  </mergeCells>
  <phoneticPr fontId="242" type="noConversion"/>
  <conditionalFormatting sqref="B243:C243">
    <cfRule type="duplicateValues" dxfId="3" priority="8"/>
  </conditionalFormatting>
  <conditionalFormatting sqref="B244:C244">
    <cfRule type="duplicateValues" dxfId="2" priority="7"/>
  </conditionalFormatting>
  <conditionalFormatting sqref="H296">
    <cfRule type="duplicateValues" dxfId="1" priority="5"/>
    <cfRule type="expression" dxfId="0" priority="6">
      <formula>H296&lt;&gt;#REF!</formula>
    </cfRule>
  </conditionalFormatting>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B98DF-F42A-467C-A142-3CFD93FF08C5}">
  <dimension ref="A1:I199"/>
  <sheetViews>
    <sheetView workbookViewId="0"/>
  </sheetViews>
  <sheetFormatPr defaultRowHeight="14.4"/>
  <cols>
    <col min="1" max="1" width="62.44140625" bestFit="1" customWidth="1"/>
    <col min="2" max="2" width="15.6640625" bestFit="1" customWidth="1"/>
    <col min="6" max="6" width="72.6640625" customWidth="1"/>
  </cols>
  <sheetData>
    <row r="1" spans="1:9">
      <c r="A1" t="s">
        <v>2009</v>
      </c>
      <c r="B1" t="s">
        <v>2010</v>
      </c>
      <c r="C1" t="s">
        <v>2011</v>
      </c>
      <c r="D1" t="s">
        <v>2012</v>
      </c>
      <c r="E1" t="s">
        <v>2013</v>
      </c>
      <c r="F1" t="s">
        <v>2014</v>
      </c>
      <c r="G1" t="s">
        <v>2015</v>
      </c>
      <c r="H1" t="s">
        <v>2016</v>
      </c>
      <c r="I1" t="s">
        <v>2017</v>
      </c>
    </row>
    <row r="2" spans="1:9">
      <c r="A2" t="s">
        <v>2018</v>
      </c>
      <c r="B2" t="s">
        <v>82</v>
      </c>
      <c r="C2" t="s">
        <v>63</v>
      </c>
      <c r="E2">
        <v>142</v>
      </c>
      <c r="F2" t="s">
        <v>234</v>
      </c>
      <c r="G2" t="s">
        <v>2019</v>
      </c>
      <c r="H2" t="s">
        <v>2019</v>
      </c>
      <c r="I2" t="s">
        <v>2019</v>
      </c>
    </row>
    <row r="3" spans="1:9">
      <c r="A3" t="s">
        <v>2020</v>
      </c>
      <c r="B3" t="s">
        <v>211</v>
      </c>
      <c r="C3" t="s">
        <v>63</v>
      </c>
      <c r="E3">
        <v>143</v>
      </c>
      <c r="F3" t="s">
        <v>2021</v>
      </c>
      <c r="G3" t="s">
        <v>2019</v>
      </c>
      <c r="H3" t="s">
        <v>2019</v>
      </c>
      <c r="I3" t="s">
        <v>2019</v>
      </c>
    </row>
    <row r="4" spans="1:9">
      <c r="A4" t="s">
        <v>2022</v>
      </c>
      <c r="B4" t="s">
        <v>62</v>
      </c>
      <c r="C4" t="s">
        <v>63</v>
      </c>
      <c r="E4">
        <v>144</v>
      </c>
      <c r="F4" t="s">
        <v>220</v>
      </c>
      <c r="G4" t="s">
        <v>2019</v>
      </c>
      <c r="H4" t="s">
        <v>2019</v>
      </c>
      <c r="I4" t="s">
        <v>2019</v>
      </c>
    </row>
    <row r="5" spans="1:9">
      <c r="A5" t="s">
        <v>2023</v>
      </c>
      <c r="B5" t="s">
        <v>227</v>
      </c>
      <c r="C5" t="s">
        <v>63</v>
      </c>
      <c r="E5">
        <v>145</v>
      </c>
      <c r="F5" t="s">
        <v>229</v>
      </c>
      <c r="G5" t="s">
        <v>2019</v>
      </c>
      <c r="H5" t="s">
        <v>2019</v>
      </c>
      <c r="I5" t="s">
        <v>2019</v>
      </c>
    </row>
    <row r="6" spans="1:9">
      <c r="A6" t="s">
        <v>2024</v>
      </c>
      <c r="B6" t="s">
        <v>82</v>
      </c>
      <c r="C6" t="s">
        <v>63</v>
      </c>
      <c r="E6">
        <v>110</v>
      </c>
      <c r="F6" t="s">
        <v>362</v>
      </c>
      <c r="G6" t="s">
        <v>2019</v>
      </c>
      <c r="H6" t="s">
        <v>2019</v>
      </c>
      <c r="I6" t="s">
        <v>2019</v>
      </c>
    </row>
    <row r="7" spans="1:9">
      <c r="A7" t="s">
        <v>2025</v>
      </c>
      <c r="B7" t="s">
        <v>2026</v>
      </c>
      <c r="C7" t="s">
        <v>345</v>
      </c>
      <c r="E7">
        <v>1</v>
      </c>
      <c r="F7" t="s">
        <v>367</v>
      </c>
      <c r="G7" t="s">
        <v>2019</v>
      </c>
      <c r="H7" t="s">
        <v>2019</v>
      </c>
      <c r="I7" t="s">
        <v>2019</v>
      </c>
    </row>
    <row r="8" spans="1:9">
      <c r="A8" t="s">
        <v>2027</v>
      </c>
      <c r="B8" t="s">
        <v>2026</v>
      </c>
      <c r="C8" t="s">
        <v>63</v>
      </c>
      <c r="E8">
        <v>146</v>
      </c>
      <c r="F8" t="s">
        <v>374</v>
      </c>
      <c r="G8" t="s">
        <v>2019</v>
      </c>
      <c r="H8" t="s">
        <v>2019</v>
      </c>
      <c r="I8" t="s">
        <v>2019</v>
      </c>
    </row>
    <row r="9" spans="1:9">
      <c r="A9" t="s">
        <v>2028</v>
      </c>
      <c r="B9" t="s">
        <v>302</v>
      </c>
      <c r="C9" t="s">
        <v>63</v>
      </c>
      <c r="E9">
        <v>111</v>
      </c>
      <c r="F9" t="s">
        <v>371</v>
      </c>
      <c r="G9" t="s">
        <v>2019</v>
      </c>
      <c r="H9" t="s">
        <v>2019</v>
      </c>
      <c r="I9" t="s">
        <v>2019</v>
      </c>
    </row>
    <row r="10" spans="1:9">
      <c r="A10" t="s">
        <v>2029</v>
      </c>
      <c r="B10" t="s">
        <v>1263</v>
      </c>
      <c r="C10" t="s">
        <v>345</v>
      </c>
      <c r="E10">
        <v>133</v>
      </c>
      <c r="F10" t="s">
        <v>380</v>
      </c>
      <c r="G10" t="s">
        <v>2019</v>
      </c>
      <c r="H10" t="s">
        <v>2019</v>
      </c>
      <c r="I10" t="s">
        <v>2019</v>
      </c>
    </row>
    <row r="11" spans="1:9">
      <c r="A11" t="s">
        <v>2030</v>
      </c>
      <c r="B11" t="s">
        <v>385</v>
      </c>
      <c r="C11" t="s">
        <v>63</v>
      </c>
      <c r="E11">
        <v>2</v>
      </c>
      <c r="G11" t="s">
        <v>2019</v>
      </c>
      <c r="H11" t="s">
        <v>2019</v>
      </c>
      <c r="I11" t="s">
        <v>2019</v>
      </c>
    </row>
    <row r="12" spans="1:9">
      <c r="A12" t="s">
        <v>2031</v>
      </c>
      <c r="B12" t="s">
        <v>385</v>
      </c>
      <c r="C12" t="s">
        <v>63</v>
      </c>
      <c r="E12">
        <v>3</v>
      </c>
      <c r="G12" t="s">
        <v>2019</v>
      </c>
      <c r="H12" t="s">
        <v>2019</v>
      </c>
      <c r="I12" t="s">
        <v>2019</v>
      </c>
    </row>
    <row r="13" spans="1:9">
      <c r="A13" t="s">
        <v>2032</v>
      </c>
      <c r="B13" t="s">
        <v>2026</v>
      </c>
      <c r="C13" t="s">
        <v>63</v>
      </c>
      <c r="E13">
        <v>4</v>
      </c>
      <c r="F13" t="s">
        <v>399</v>
      </c>
      <c r="G13" t="s">
        <v>2019</v>
      </c>
      <c r="H13" t="s">
        <v>2019</v>
      </c>
      <c r="I13" t="s">
        <v>2019</v>
      </c>
    </row>
    <row r="14" spans="1:9">
      <c r="A14" t="s">
        <v>2033</v>
      </c>
      <c r="B14" t="s">
        <v>139</v>
      </c>
      <c r="C14" t="s">
        <v>63</v>
      </c>
      <c r="E14">
        <v>147</v>
      </c>
      <c r="F14" t="s">
        <v>246</v>
      </c>
      <c r="G14" t="s">
        <v>2019</v>
      </c>
      <c r="H14" t="s">
        <v>2019</v>
      </c>
      <c r="I14" t="s">
        <v>2019</v>
      </c>
    </row>
    <row r="15" spans="1:9">
      <c r="A15" t="s">
        <v>2034</v>
      </c>
      <c r="B15" t="s">
        <v>139</v>
      </c>
      <c r="C15" t="s">
        <v>63</v>
      </c>
      <c r="E15">
        <v>148</v>
      </c>
      <c r="F15" t="s">
        <v>331</v>
      </c>
      <c r="G15" t="s">
        <v>2019</v>
      </c>
      <c r="H15" t="s">
        <v>2019</v>
      </c>
      <c r="I15" t="s">
        <v>2019</v>
      </c>
    </row>
    <row r="16" spans="1:9">
      <c r="A16" t="s">
        <v>2035</v>
      </c>
      <c r="B16" t="s">
        <v>90</v>
      </c>
      <c r="C16" t="s">
        <v>63</v>
      </c>
      <c r="E16">
        <v>149</v>
      </c>
      <c r="F16" t="s">
        <v>335</v>
      </c>
      <c r="G16" t="s">
        <v>2019</v>
      </c>
      <c r="H16" t="s">
        <v>2019</v>
      </c>
      <c r="I16" t="s">
        <v>2019</v>
      </c>
    </row>
    <row r="17" spans="1:9">
      <c r="A17" t="s">
        <v>2036</v>
      </c>
      <c r="B17" t="s">
        <v>157</v>
      </c>
      <c r="C17" t="s">
        <v>63</v>
      </c>
      <c r="E17">
        <v>130</v>
      </c>
      <c r="F17" t="s">
        <v>2037</v>
      </c>
      <c r="G17" t="s">
        <v>2019</v>
      </c>
      <c r="H17" t="s">
        <v>2019</v>
      </c>
      <c r="I17" t="s">
        <v>2019</v>
      </c>
    </row>
    <row r="18" spans="1:9">
      <c r="A18" t="s">
        <v>2038</v>
      </c>
      <c r="B18" t="s">
        <v>157</v>
      </c>
      <c r="C18" t="s">
        <v>63</v>
      </c>
      <c r="E18">
        <v>5</v>
      </c>
      <c r="F18" t="s">
        <v>410</v>
      </c>
      <c r="G18" t="s">
        <v>2019</v>
      </c>
      <c r="H18" t="s">
        <v>2019</v>
      </c>
      <c r="I18" t="s">
        <v>2019</v>
      </c>
    </row>
    <row r="19" spans="1:9">
      <c r="A19" t="s">
        <v>2039</v>
      </c>
      <c r="B19" t="s">
        <v>139</v>
      </c>
      <c r="C19" t="s">
        <v>63</v>
      </c>
      <c r="E19">
        <v>94</v>
      </c>
      <c r="F19" t="s">
        <v>414</v>
      </c>
      <c r="G19" t="s">
        <v>2019</v>
      </c>
      <c r="H19" t="s">
        <v>2019</v>
      </c>
      <c r="I19" t="s">
        <v>2019</v>
      </c>
    </row>
    <row r="20" spans="1:9">
      <c r="A20" t="s">
        <v>2040</v>
      </c>
      <c r="B20" t="s">
        <v>2026</v>
      </c>
      <c r="C20" t="s">
        <v>63</v>
      </c>
      <c r="E20">
        <v>6</v>
      </c>
      <c r="F20" t="s">
        <v>419</v>
      </c>
      <c r="G20" t="s">
        <v>2019</v>
      </c>
      <c r="H20" t="s">
        <v>2019</v>
      </c>
      <c r="I20" t="s">
        <v>2019</v>
      </c>
    </row>
    <row r="21" spans="1:9">
      <c r="A21" t="s">
        <v>2041</v>
      </c>
      <c r="B21" t="s">
        <v>139</v>
      </c>
      <c r="C21" t="s">
        <v>63</v>
      </c>
      <c r="E21">
        <v>7</v>
      </c>
      <c r="F21" t="s">
        <v>429</v>
      </c>
      <c r="G21" t="s">
        <v>2019</v>
      </c>
      <c r="H21" t="s">
        <v>2019</v>
      </c>
      <c r="I21" t="s">
        <v>2019</v>
      </c>
    </row>
    <row r="22" spans="1:9">
      <c r="A22" t="s">
        <v>2042</v>
      </c>
      <c r="B22" t="s">
        <v>139</v>
      </c>
      <c r="C22" t="s">
        <v>63</v>
      </c>
      <c r="E22">
        <v>12</v>
      </c>
      <c r="F22" t="s">
        <v>2043</v>
      </c>
      <c r="G22" t="s">
        <v>2019</v>
      </c>
      <c r="H22" t="s">
        <v>2019</v>
      </c>
      <c r="I22" t="s">
        <v>2019</v>
      </c>
    </row>
    <row r="23" spans="1:9">
      <c r="A23" t="s">
        <v>2044</v>
      </c>
      <c r="B23" t="s">
        <v>2026</v>
      </c>
      <c r="C23" t="s">
        <v>63</v>
      </c>
      <c r="E23">
        <v>26</v>
      </c>
      <c r="F23" t="s">
        <v>2045</v>
      </c>
      <c r="G23" t="s">
        <v>2019</v>
      </c>
      <c r="H23" t="s">
        <v>2019</v>
      </c>
      <c r="I23" t="s">
        <v>2019</v>
      </c>
    </row>
    <row r="24" spans="1:9">
      <c r="A24" t="s">
        <v>2046</v>
      </c>
      <c r="B24" t="s">
        <v>90</v>
      </c>
      <c r="C24" t="s">
        <v>63</v>
      </c>
      <c r="E24">
        <v>13</v>
      </c>
      <c r="F24" t="s">
        <v>2047</v>
      </c>
      <c r="G24" t="s">
        <v>2019</v>
      </c>
      <c r="H24" t="s">
        <v>2019</v>
      </c>
      <c r="I24" t="s">
        <v>2019</v>
      </c>
    </row>
    <row r="25" spans="1:9">
      <c r="A25" t="s">
        <v>2048</v>
      </c>
      <c r="B25" t="s">
        <v>464</v>
      </c>
      <c r="C25" t="s">
        <v>63</v>
      </c>
      <c r="E25">
        <v>8</v>
      </c>
      <c r="F25" t="s">
        <v>2049</v>
      </c>
      <c r="G25" t="s">
        <v>2019</v>
      </c>
      <c r="H25" t="s">
        <v>2019</v>
      </c>
      <c r="I25" t="s">
        <v>2019</v>
      </c>
    </row>
    <row r="26" spans="1:9" ht="28.8">
      <c r="A26" t="s">
        <v>2050</v>
      </c>
      <c r="B26" t="s">
        <v>62</v>
      </c>
      <c r="C26" t="s">
        <v>63</v>
      </c>
      <c r="E26">
        <v>150</v>
      </c>
      <c r="F26" s="2" t="s">
        <v>2051</v>
      </c>
      <c r="G26" t="s">
        <v>2019</v>
      </c>
      <c r="H26" t="s">
        <v>2019</v>
      </c>
      <c r="I26" t="s">
        <v>2019</v>
      </c>
    </row>
    <row r="27" spans="1:9">
      <c r="A27" t="s">
        <v>2052</v>
      </c>
      <c r="B27" t="s">
        <v>2026</v>
      </c>
      <c r="C27" t="s">
        <v>63</v>
      </c>
      <c r="E27">
        <v>24</v>
      </c>
      <c r="F27" t="s">
        <v>2053</v>
      </c>
      <c r="G27" t="s">
        <v>2019</v>
      </c>
      <c r="H27" t="s">
        <v>2019</v>
      </c>
      <c r="I27" t="s">
        <v>2019</v>
      </c>
    </row>
    <row r="28" spans="1:9">
      <c r="A28" t="s">
        <v>2054</v>
      </c>
      <c r="B28" t="s">
        <v>139</v>
      </c>
      <c r="C28" t="s">
        <v>63</v>
      </c>
      <c r="E28">
        <v>9</v>
      </c>
      <c r="F28" t="s">
        <v>2055</v>
      </c>
      <c r="G28" t="s">
        <v>2019</v>
      </c>
      <c r="H28" t="s">
        <v>2019</v>
      </c>
      <c r="I28" t="s">
        <v>2019</v>
      </c>
    </row>
    <row r="29" spans="1:9">
      <c r="A29" t="s">
        <v>2056</v>
      </c>
      <c r="B29" t="s">
        <v>485</v>
      </c>
      <c r="C29" t="s">
        <v>63</v>
      </c>
      <c r="E29">
        <v>10</v>
      </c>
      <c r="F29" t="s">
        <v>2057</v>
      </c>
      <c r="G29" t="s">
        <v>2019</v>
      </c>
      <c r="H29" t="s">
        <v>2019</v>
      </c>
      <c r="I29" t="s">
        <v>2019</v>
      </c>
    </row>
    <row r="30" spans="1:9">
      <c r="A30" t="s">
        <v>2058</v>
      </c>
      <c r="B30" t="s">
        <v>2026</v>
      </c>
      <c r="C30" t="s">
        <v>63</v>
      </c>
      <c r="E30">
        <v>25</v>
      </c>
      <c r="F30" t="s">
        <v>2059</v>
      </c>
      <c r="G30" t="s">
        <v>2019</v>
      </c>
      <c r="H30" t="s">
        <v>2019</v>
      </c>
      <c r="I30" t="s">
        <v>2019</v>
      </c>
    </row>
    <row r="31" spans="1:9">
      <c r="A31" t="s">
        <v>2060</v>
      </c>
      <c r="B31" t="s">
        <v>617</v>
      </c>
      <c r="C31" t="s">
        <v>63</v>
      </c>
      <c r="E31">
        <v>11</v>
      </c>
      <c r="F31" t="s">
        <v>2061</v>
      </c>
      <c r="G31" t="s">
        <v>2019</v>
      </c>
      <c r="H31" t="s">
        <v>2019</v>
      </c>
      <c r="I31" t="s">
        <v>2019</v>
      </c>
    </row>
    <row r="32" spans="1:9">
      <c r="A32" t="s">
        <v>499</v>
      </c>
      <c r="B32" t="s">
        <v>2026</v>
      </c>
      <c r="C32" t="s">
        <v>63</v>
      </c>
      <c r="E32">
        <v>132</v>
      </c>
      <c r="F32" t="s">
        <v>2062</v>
      </c>
      <c r="G32" t="s">
        <v>2019</v>
      </c>
      <c r="H32" t="s">
        <v>2019</v>
      </c>
      <c r="I32" t="s">
        <v>2019</v>
      </c>
    </row>
    <row r="33" spans="1:9">
      <c r="A33" t="s">
        <v>2063</v>
      </c>
      <c r="B33" t="s">
        <v>82</v>
      </c>
      <c r="C33" t="s">
        <v>63</v>
      </c>
      <c r="E33">
        <v>14</v>
      </c>
      <c r="F33" t="s">
        <v>2064</v>
      </c>
      <c r="G33" t="s">
        <v>2019</v>
      </c>
      <c r="H33" t="s">
        <v>2019</v>
      </c>
      <c r="I33" t="s">
        <v>2019</v>
      </c>
    </row>
    <row r="34" spans="1:9">
      <c r="A34" t="s">
        <v>2065</v>
      </c>
      <c r="B34" t="s">
        <v>109</v>
      </c>
      <c r="C34" t="s">
        <v>63</v>
      </c>
      <c r="E34">
        <v>127</v>
      </c>
      <c r="F34" t="s">
        <v>2066</v>
      </c>
      <c r="G34" t="s">
        <v>2019</v>
      </c>
      <c r="H34" t="s">
        <v>2019</v>
      </c>
      <c r="I34" t="s">
        <v>2019</v>
      </c>
    </row>
    <row r="35" spans="1:9">
      <c r="A35" t="s">
        <v>2067</v>
      </c>
      <c r="B35" t="s">
        <v>464</v>
      </c>
      <c r="C35" t="s">
        <v>63</v>
      </c>
      <c r="E35">
        <v>15</v>
      </c>
      <c r="F35" t="s">
        <v>2068</v>
      </c>
      <c r="G35" t="s">
        <v>2019</v>
      </c>
      <c r="H35" t="s">
        <v>2019</v>
      </c>
      <c r="I35" t="s">
        <v>2019</v>
      </c>
    </row>
    <row r="36" spans="1:9">
      <c r="A36" t="s">
        <v>2069</v>
      </c>
      <c r="B36" t="s">
        <v>519</v>
      </c>
      <c r="C36" t="s">
        <v>63</v>
      </c>
      <c r="E36">
        <v>21</v>
      </c>
      <c r="F36" t="s">
        <v>517</v>
      </c>
      <c r="G36" t="s">
        <v>2019</v>
      </c>
      <c r="H36" t="s">
        <v>2019</v>
      </c>
      <c r="I36" t="s">
        <v>2019</v>
      </c>
    </row>
    <row r="37" spans="1:9">
      <c r="A37" t="s">
        <v>2070</v>
      </c>
      <c r="B37" t="s">
        <v>427</v>
      </c>
      <c r="C37" t="s">
        <v>63</v>
      </c>
      <c r="E37">
        <v>112</v>
      </c>
      <c r="F37" t="s">
        <v>524</v>
      </c>
      <c r="G37" t="s">
        <v>2019</v>
      </c>
      <c r="H37" t="s">
        <v>2019</v>
      </c>
      <c r="I37" t="s">
        <v>2019</v>
      </c>
    </row>
    <row r="38" spans="1:9">
      <c r="A38" t="s">
        <v>2071</v>
      </c>
      <c r="B38" t="s">
        <v>2026</v>
      </c>
      <c r="C38" t="s">
        <v>345</v>
      </c>
      <c r="E38">
        <v>17</v>
      </c>
      <c r="F38" t="s">
        <v>529</v>
      </c>
      <c r="G38" t="s">
        <v>2019</v>
      </c>
      <c r="H38" t="s">
        <v>2019</v>
      </c>
      <c r="I38" t="s">
        <v>2019</v>
      </c>
    </row>
    <row r="39" spans="1:9">
      <c r="A39" t="s">
        <v>2072</v>
      </c>
      <c r="B39" t="s">
        <v>2026</v>
      </c>
      <c r="C39" t="s">
        <v>63</v>
      </c>
      <c r="E39">
        <v>151</v>
      </c>
      <c r="F39" t="s">
        <v>538</v>
      </c>
      <c r="G39" t="s">
        <v>2019</v>
      </c>
      <c r="H39" t="s">
        <v>2019</v>
      </c>
      <c r="I39" t="s">
        <v>2019</v>
      </c>
    </row>
    <row r="40" spans="1:9">
      <c r="A40" t="s">
        <v>2073</v>
      </c>
      <c r="B40" t="s">
        <v>533</v>
      </c>
      <c r="C40" t="s">
        <v>63</v>
      </c>
      <c r="E40">
        <v>113</v>
      </c>
      <c r="F40" t="s">
        <v>535</v>
      </c>
      <c r="G40" t="s">
        <v>2019</v>
      </c>
      <c r="H40" t="s">
        <v>2019</v>
      </c>
      <c r="I40" t="s">
        <v>2019</v>
      </c>
    </row>
    <row r="41" spans="1:9">
      <c r="A41" t="s">
        <v>2074</v>
      </c>
      <c r="B41" t="s">
        <v>2026</v>
      </c>
      <c r="C41" t="s">
        <v>63</v>
      </c>
      <c r="E41">
        <v>16</v>
      </c>
      <c r="F41" t="s">
        <v>543</v>
      </c>
      <c r="G41" t="s">
        <v>2019</v>
      </c>
      <c r="H41" t="s">
        <v>2019</v>
      </c>
      <c r="I41" t="s">
        <v>2019</v>
      </c>
    </row>
    <row r="42" spans="1:9">
      <c r="A42" t="s">
        <v>2075</v>
      </c>
      <c r="B42" t="s">
        <v>433</v>
      </c>
      <c r="C42" t="s">
        <v>63</v>
      </c>
      <c r="E42">
        <v>152</v>
      </c>
      <c r="F42" t="s">
        <v>2076</v>
      </c>
      <c r="G42" t="s">
        <v>2019</v>
      </c>
      <c r="H42" t="s">
        <v>2019</v>
      </c>
      <c r="I42" t="s">
        <v>2019</v>
      </c>
    </row>
    <row r="43" spans="1:9">
      <c r="A43" t="s">
        <v>2077</v>
      </c>
      <c r="B43" t="s">
        <v>90</v>
      </c>
      <c r="C43" t="s">
        <v>63</v>
      </c>
      <c r="E43">
        <v>153</v>
      </c>
      <c r="F43" t="s">
        <v>2078</v>
      </c>
      <c r="G43" t="s">
        <v>2019</v>
      </c>
      <c r="H43" t="s">
        <v>2019</v>
      </c>
      <c r="I43" t="s">
        <v>2019</v>
      </c>
    </row>
    <row r="44" spans="1:9">
      <c r="A44" t="s">
        <v>2079</v>
      </c>
      <c r="B44" t="s">
        <v>385</v>
      </c>
      <c r="C44" t="s">
        <v>63</v>
      </c>
      <c r="E44">
        <v>19</v>
      </c>
      <c r="F44" t="s">
        <v>2080</v>
      </c>
      <c r="G44" t="s">
        <v>2019</v>
      </c>
      <c r="H44" t="s">
        <v>2019</v>
      </c>
      <c r="I44" t="s">
        <v>2019</v>
      </c>
    </row>
    <row r="45" spans="1:9">
      <c r="A45" t="s">
        <v>2081</v>
      </c>
      <c r="B45" t="s">
        <v>385</v>
      </c>
      <c r="C45" t="s">
        <v>63</v>
      </c>
      <c r="E45">
        <v>18</v>
      </c>
      <c r="F45" t="s">
        <v>2082</v>
      </c>
      <c r="G45" t="s">
        <v>2019</v>
      </c>
      <c r="H45" t="s">
        <v>2019</v>
      </c>
      <c r="I45" t="s">
        <v>2019</v>
      </c>
    </row>
    <row r="46" spans="1:9">
      <c r="A46" t="s">
        <v>2083</v>
      </c>
      <c r="B46" t="s">
        <v>2084</v>
      </c>
      <c r="C46" t="s">
        <v>63</v>
      </c>
      <c r="E46">
        <v>20</v>
      </c>
      <c r="F46" t="s">
        <v>2085</v>
      </c>
      <c r="G46" t="s">
        <v>2019</v>
      </c>
      <c r="H46" t="s">
        <v>2019</v>
      </c>
      <c r="I46" t="s">
        <v>2019</v>
      </c>
    </row>
    <row r="47" spans="1:9">
      <c r="A47" t="s">
        <v>2086</v>
      </c>
      <c r="B47" t="s">
        <v>464</v>
      </c>
      <c r="C47" t="s">
        <v>63</v>
      </c>
      <c r="E47">
        <v>139</v>
      </c>
      <c r="F47" t="s">
        <v>572</v>
      </c>
      <c r="G47" t="s">
        <v>2019</v>
      </c>
      <c r="H47" t="s">
        <v>2019</v>
      </c>
      <c r="I47" t="s">
        <v>2019</v>
      </c>
    </row>
    <row r="48" spans="1:9">
      <c r="A48" t="s">
        <v>2087</v>
      </c>
      <c r="B48" t="s">
        <v>157</v>
      </c>
      <c r="C48" t="s">
        <v>345</v>
      </c>
      <c r="E48">
        <v>22</v>
      </c>
      <c r="F48" t="s">
        <v>578</v>
      </c>
      <c r="G48" t="s">
        <v>2019</v>
      </c>
      <c r="H48" t="s">
        <v>2019</v>
      </c>
      <c r="I48" t="s">
        <v>2019</v>
      </c>
    </row>
    <row r="49" spans="1:9">
      <c r="A49" t="s">
        <v>2088</v>
      </c>
      <c r="B49" t="s">
        <v>120</v>
      </c>
      <c r="C49" t="s">
        <v>345</v>
      </c>
      <c r="E49">
        <v>23</v>
      </c>
      <c r="F49" t="s">
        <v>582</v>
      </c>
      <c r="G49" t="s">
        <v>2019</v>
      </c>
      <c r="H49" t="s">
        <v>2019</v>
      </c>
      <c r="I49" t="s">
        <v>2019</v>
      </c>
    </row>
    <row r="50" spans="1:9">
      <c r="A50" t="s">
        <v>2089</v>
      </c>
      <c r="B50" t="s">
        <v>268</v>
      </c>
      <c r="C50" t="s">
        <v>63</v>
      </c>
      <c r="E50">
        <v>101</v>
      </c>
      <c r="F50" t="s">
        <v>586</v>
      </c>
      <c r="G50" t="s">
        <v>2019</v>
      </c>
      <c r="H50" t="s">
        <v>2019</v>
      </c>
      <c r="I50" t="s">
        <v>2019</v>
      </c>
    </row>
    <row r="51" spans="1:9">
      <c r="A51" t="s">
        <v>2090</v>
      </c>
      <c r="B51" t="s">
        <v>2026</v>
      </c>
      <c r="C51" t="s">
        <v>63</v>
      </c>
      <c r="E51">
        <v>100</v>
      </c>
      <c r="F51" t="s">
        <v>591</v>
      </c>
      <c r="G51" t="s">
        <v>2019</v>
      </c>
      <c r="H51" t="s">
        <v>2019</v>
      </c>
      <c r="I51" t="s">
        <v>2019</v>
      </c>
    </row>
    <row r="52" spans="1:9">
      <c r="A52" t="s">
        <v>2091</v>
      </c>
      <c r="B52" t="s">
        <v>139</v>
      </c>
      <c r="C52" t="s">
        <v>63</v>
      </c>
      <c r="E52">
        <v>105</v>
      </c>
      <c r="F52" t="s">
        <v>597</v>
      </c>
      <c r="G52" t="s">
        <v>2019</v>
      </c>
      <c r="H52" t="s">
        <v>2019</v>
      </c>
      <c r="I52" t="s">
        <v>2019</v>
      </c>
    </row>
    <row r="53" spans="1:9">
      <c r="A53" t="s">
        <v>2092</v>
      </c>
      <c r="B53" t="s">
        <v>2026</v>
      </c>
      <c r="C53" t="s">
        <v>63</v>
      </c>
      <c r="E53">
        <v>104</v>
      </c>
      <c r="F53" t="s">
        <v>602</v>
      </c>
      <c r="G53" t="s">
        <v>2019</v>
      </c>
      <c r="H53" t="s">
        <v>2019</v>
      </c>
      <c r="I53" t="s">
        <v>2019</v>
      </c>
    </row>
    <row r="54" spans="1:9">
      <c r="A54" t="s">
        <v>2093</v>
      </c>
      <c r="B54" t="s">
        <v>109</v>
      </c>
      <c r="C54" t="s">
        <v>63</v>
      </c>
      <c r="E54">
        <v>106</v>
      </c>
      <c r="F54" t="s">
        <v>606</v>
      </c>
      <c r="G54" t="s">
        <v>2019</v>
      </c>
      <c r="H54" t="s">
        <v>2019</v>
      </c>
      <c r="I54" t="s">
        <v>2019</v>
      </c>
    </row>
    <row r="55" spans="1:9">
      <c r="A55" t="s">
        <v>2094</v>
      </c>
      <c r="B55" t="s">
        <v>157</v>
      </c>
      <c r="C55" t="s">
        <v>63</v>
      </c>
      <c r="E55">
        <v>154</v>
      </c>
      <c r="F55" t="s">
        <v>159</v>
      </c>
      <c r="G55" t="s">
        <v>2019</v>
      </c>
      <c r="H55" t="s">
        <v>2019</v>
      </c>
      <c r="I55" t="s">
        <v>2019</v>
      </c>
    </row>
    <row r="56" spans="1:9">
      <c r="A56" t="s">
        <v>2095</v>
      </c>
      <c r="B56" t="s">
        <v>302</v>
      </c>
      <c r="C56" t="s">
        <v>63</v>
      </c>
      <c r="E56">
        <v>108</v>
      </c>
      <c r="F56" t="s">
        <v>611</v>
      </c>
      <c r="G56" t="s">
        <v>2019</v>
      </c>
      <c r="H56" t="s">
        <v>2019</v>
      </c>
      <c r="I56" t="s">
        <v>2019</v>
      </c>
    </row>
    <row r="57" spans="1:9">
      <c r="A57" t="s">
        <v>2096</v>
      </c>
      <c r="B57" t="s">
        <v>2026</v>
      </c>
      <c r="C57" t="s">
        <v>345</v>
      </c>
      <c r="E57">
        <v>36</v>
      </c>
      <c r="F57" t="s">
        <v>354</v>
      </c>
      <c r="G57" t="s">
        <v>2019</v>
      </c>
      <c r="H57" t="s">
        <v>2019</v>
      </c>
      <c r="I57" t="s">
        <v>2019</v>
      </c>
    </row>
    <row r="58" spans="1:9">
      <c r="A58" t="s">
        <v>2097</v>
      </c>
      <c r="B58" t="s">
        <v>617</v>
      </c>
      <c r="C58" t="s">
        <v>63</v>
      </c>
      <c r="E58">
        <v>109</v>
      </c>
      <c r="F58" t="s">
        <v>619</v>
      </c>
      <c r="G58" t="s">
        <v>2019</v>
      </c>
      <c r="H58" t="s">
        <v>2019</v>
      </c>
      <c r="I58" t="s">
        <v>2019</v>
      </c>
    </row>
    <row r="59" spans="1:9">
      <c r="A59" t="s">
        <v>2098</v>
      </c>
      <c r="B59" t="s">
        <v>624</v>
      </c>
      <c r="C59" t="s">
        <v>63</v>
      </c>
      <c r="E59">
        <v>27</v>
      </c>
      <c r="F59" t="s">
        <v>625</v>
      </c>
      <c r="G59" t="s">
        <v>2019</v>
      </c>
      <c r="H59" t="s">
        <v>2019</v>
      </c>
      <c r="I59" t="s">
        <v>2019</v>
      </c>
    </row>
    <row r="60" spans="1:9">
      <c r="A60" t="s">
        <v>2099</v>
      </c>
      <c r="B60" t="s">
        <v>139</v>
      </c>
      <c r="C60" t="s">
        <v>63</v>
      </c>
      <c r="E60">
        <v>28</v>
      </c>
      <c r="F60" t="s">
        <v>2100</v>
      </c>
      <c r="G60" t="s">
        <v>2019</v>
      </c>
      <c r="H60" t="s">
        <v>2019</v>
      </c>
      <c r="I60" t="s">
        <v>2019</v>
      </c>
    </row>
    <row r="61" spans="1:9">
      <c r="A61" t="s">
        <v>2101</v>
      </c>
      <c r="B61" t="s">
        <v>485</v>
      </c>
      <c r="C61" t="s">
        <v>63</v>
      </c>
      <c r="E61">
        <v>29</v>
      </c>
      <c r="F61" t="s">
        <v>2102</v>
      </c>
      <c r="G61" t="s">
        <v>2019</v>
      </c>
      <c r="H61" t="s">
        <v>2019</v>
      </c>
      <c r="I61" t="s">
        <v>2019</v>
      </c>
    </row>
    <row r="62" spans="1:9">
      <c r="A62" t="s">
        <v>2103</v>
      </c>
      <c r="B62" t="s">
        <v>2026</v>
      </c>
      <c r="C62" t="s">
        <v>63</v>
      </c>
      <c r="E62">
        <v>30</v>
      </c>
      <c r="F62" t="s">
        <v>2104</v>
      </c>
      <c r="G62" t="s">
        <v>2019</v>
      </c>
      <c r="H62" t="s">
        <v>2019</v>
      </c>
      <c r="I62" t="s">
        <v>2019</v>
      </c>
    </row>
    <row r="63" spans="1:9">
      <c r="A63" t="s">
        <v>2105</v>
      </c>
      <c r="B63" t="s">
        <v>109</v>
      </c>
      <c r="C63" t="s">
        <v>63</v>
      </c>
      <c r="E63">
        <v>31</v>
      </c>
      <c r="F63" t="s">
        <v>2106</v>
      </c>
      <c r="G63" t="s">
        <v>2019</v>
      </c>
      <c r="H63" t="s">
        <v>2019</v>
      </c>
      <c r="I63" t="s">
        <v>2019</v>
      </c>
    </row>
    <row r="64" spans="1:9">
      <c r="A64" t="s">
        <v>2107</v>
      </c>
      <c r="B64" t="s">
        <v>139</v>
      </c>
      <c r="C64" t="s">
        <v>63</v>
      </c>
      <c r="E64">
        <v>32</v>
      </c>
      <c r="F64" t="s">
        <v>645</v>
      </c>
      <c r="G64" t="s">
        <v>2019</v>
      </c>
      <c r="H64" t="s">
        <v>2019</v>
      </c>
      <c r="I64" t="s">
        <v>2019</v>
      </c>
    </row>
    <row r="65" spans="1:9">
      <c r="A65" t="s">
        <v>2108</v>
      </c>
      <c r="B65" t="s">
        <v>485</v>
      </c>
      <c r="C65" t="s">
        <v>63</v>
      </c>
      <c r="E65">
        <v>33</v>
      </c>
      <c r="F65" t="s">
        <v>650</v>
      </c>
      <c r="G65" t="s">
        <v>2019</v>
      </c>
      <c r="H65" t="s">
        <v>2019</v>
      </c>
      <c r="I65" t="s">
        <v>2019</v>
      </c>
    </row>
    <row r="66" spans="1:9">
      <c r="A66" t="s">
        <v>2109</v>
      </c>
      <c r="B66" t="s">
        <v>2026</v>
      </c>
      <c r="C66" t="s">
        <v>63</v>
      </c>
      <c r="E66">
        <v>34</v>
      </c>
      <c r="F66" t="s">
        <v>653</v>
      </c>
      <c r="G66" t="s">
        <v>2019</v>
      </c>
      <c r="H66" t="s">
        <v>2019</v>
      </c>
      <c r="I66" t="s">
        <v>2019</v>
      </c>
    </row>
    <row r="67" spans="1:9">
      <c r="A67" t="s">
        <v>2110</v>
      </c>
      <c r="B67" t="s">
        <v>109</v>
      </c>
      <c r="C67" t="s">
        <v>63</v>
      </c>
      <c r="E67">
        <v>35</v>
      </c>
      <c r="F67" t="s">
        <v>657</v>
      </c>
      <c r="G67" t="s">
        <v>2019</v>
      </c>
      <c r="H67" t="s">
        <v>2019</v>
      </c>
      <c r="I67" t="s">
        <v>2019</v>
      </c>
    </row>
    <row r="68" spans="1:9">
      <c r="A68" t="s">
        <v>2111</v>
      </c>
      <c r="B68" t="s">
        <v>139</v>
      </c>
      <c r="C68" t="s">
        <v>63</v>
      </c>
      <c r="E68">
        <v>95</v>
      </c>
      <c r="F68" t="s">
        <v>660</v>
      </c>
      <c r="G68" t="s">
        <v>2019</v>
      </c>
      <c r="H68" t="s">
        <v>2019</v>
      </c>
      <c r="I68" t="s">
        <v>2019</v>
      </c>
    </row>
    <row r="69" spans="1:9">
      <c r="A69" t="s">
        <v>2112</v>
      </c>
      <c r="B69" t="s">
        <v>82</v>
      </c>
      <c r="C69" t="s">
        <v>63</v>
      </c>
      <c r="E69">
        <v>156</v>
      </c>
      <c r="F69" t="s">
        <v>84</v>
      </c>
      <c r="G69" t="s">
        <v>2019</v>
      </c>
      <c r="H69" t="s">
        <v>2019</v>
      </c>
      <c r="I69" t="s">
        <v>2019</v>
      </c>
    </row>
    <row r="70" spans="1:9">
      <c r="A70" t="s">
        <v>2113</v>
      </c>
      <c r="B70" t="s">
        <v>90</v>
      </c>
      <c r="C70" t="s">
        <v>63</v>
      </c>
      <c r="E70">
        <v>157</v>
      </c>
      <c r="F70" t="s">
        <v>92</v>
      </c>
      <c r="G70" t="s">
        <v>2019</v>
      </c>
      <c r="H70" t="s">
        <v>2019</v>
      </c>
      <c r="I70" t="s">
        <v>2019</v>
      </c>
    </row>
    <row r="71" spans="1:9">
      <c r="A71" t="s">
        <v>2114</v>
      </c>
      <c r="B71" t="s">
        <v>157</v>
      </c>
      <c r="C71" t="s">
        <v>63</v>
      </c>
      <c r="E71">
        <v>158</v>
      </c>
      <c r="F71" t="s">
        <v>1138</v>
      </c>
      <c r="G71" t="s">
        <v>2019</v>
      </c>
      <c r="H71" t="s">
        <v>2019</v>
      </c>
      <c r="I71" t="s">
        <v>2019</v>
      </c>
    </row>
    <row r="72" spans="1:9">
      <c r="A72" t="s">
        <v>2115</v>
      </c>
      <c r="B72" t="s">
        <v>464</v>
      </c>
      <c r="C72" t="s">
        <v>63</v>
      </c>
      <c r="E72">
        <v>159</v>
      </c>
      <c r="F72" t="s">
        <v>1133</v>
      </c>
      <c r="G72" t="s">
        <v>2019</v>
      </c>
      <c r="H72" t="s">
        <v>2019</v>
      </c>
      <c r="I72" t="s">
        <v>2019</v>
      </c>
    </row>
    <row r="73" spans="1:9">
      <c r="A73" t="s">
        <v>2116</v>
      </c>
      <c r="B73" t="s">
        <v>139</v>
      </c>
      <c r="C73" t="s">
        <v>63</v>
      </c>
      <c r="E73">
        <v>114</v>
      </c>
      <c r="F73" t="s">
        <v>664</v>
      </c>
      <c r="G73" t="s">
        <v>2019</v>
      </c>
      <c r="H73" t="s">
        <v>2019</v>
      </c>
      <c r="I73" t="s">
        <v>2019</v>
      </c>
    </row>
    <row r="74" spans="1:9">
      <c r="A74" t="s">
        <v>2117</v>
      </c>
      <c r="B74" t="s">
        <v>2026</v>
      </c>
      <c r="C74" t="s">
        <v>345</v>
      </c>
      <c r="E74">
        <v>37</v>
      </c>
      <c r="F74" t="s">
        <v>669</v>
      </c>
      <c r="G74" t="s">
        <v>2019</v>
      </c>
      <c r="H74" t="s">
        <v>2019</v>
      </c>
      <c r="I74" t="s">
        <v>2019</v>
      </c>
    </row>
    <row r="75" spans="1:9">
      <c r="A75" t="s">
        <v>2118</v>
      </c>
      <c r="B75" t="s">
        <v>2026</v>
      </c>
      <c r="C75" t="s">
        <v>63</v>
      </c>
      <c r="E75">
        <v>160</v>
      </c>
      <c r="F75" t="s">
        <v>678</v>
      </c>
      <c r="G75" t="s">
        <v>2019</v>
      </c>
      <c r="H75" t="s">
        <v>2019</v>
      </c>
      <c r="I75" t="s">
        <v>2019</v>
      </c>
    </row>
    <row r="76" spans="1:9">
      <c r="A76" t="s">
        <v>2119</v>
      </c>
      <c r="B76" t="s">
        <v>109</v>
      </c>
      <c r="C76" t="s">
        <v>63</v>
      </c>
      <c r="E76">
        <v>115</v>
      </c>
      <c r="F76" t="s">
        <v>2120</v>
      </c>
      <c r="G76" t="s">
        <v>2019</v>
      </c>
      <c r="H76" t="s">
        <v>2019</v>
      </c>
      <c r="I76" t="s">
        <v>2019</v>
      </c>
    </row>
    <row r="77" spans="1:9">
      <c r="A77" t="s">
        <v>2121</v>
      </c>
      <c r="B77" t="s">
        <v>139</v>
      </c>
      <c r="C77" t="s">
        <v>63</v>
      </c>
      <c r="E77">
        <v>116</v>
      </c>
      <c r="F77" t="s">
        <v>682</v>
      </c>
      <c r="G77" t="s">
        <v>2019</v>
      </c>
      <c r="H77" t="s">
        <v>2019</v>
      </c>
      <c r="I77" t="s">
        <v>2019</v>
      </c>
    </row>
    <row r="78" spans="1:9">
      <c r="A78" t="s">
        <v>2122</v>
      </c>
      <c r="B78" t="s">
        <v>2026</v>
      </c>
      <c r="C78" t="s">
        <v>345</v>
      </c>
      <c r="E78">
        <v>38</v>
      </c>
      <c r="F78" t="s">
        <v>687</v>
      </c>
      <c r="G78" t="s">
        <v>2019</v>
      </c>
      <c r="H78" t="s">
        <v>2019</v>
      </c>
      <c r="I78" t="s">
        <v>2019</v>
      </c>
    </row>
    <row r="79" spans="1:9">
      <c r="A79" t="s">
        <v>2123</v>
      </c>
      <c r="B79" t="s">
        <v>2026</v>
      </c>
      <c r="C79" t="s">
        <v>63</v>
      </c>
      <c r="E79">
        <v>161</v>
      </c>
      <c r="F79" t="s">
        <v>696</v>
      </c>
      <c r="G79" t="s">
        <v>2019</v>
      </c>
      <c r="H79" t="s">
        <v>2019</v>
      </c>
      <c r="I79" t="s">
        <v>2019</v>
      </c>
    </row>
    <row r="80" spans="1:9">
      <c r="A80" t="s">
        <v>2124</v>
      </c>
      <c r="B80" t="s">
        <v>109</v>
      </c>
      <c r="C80" t="s">
        <v>63</v>
      </c>
      <c r="E80">
        <v>117</v>
      </c>
      <c r="F80" t="s">
        <v>2125</v>
      </c>
      <c r="G80" t="s">
        <v>2019</v>
      </c>
      <c r="H80" t="s">
        <v>2019</v>
      </c>
      <c r="I80" t="s">
        <v>2019</v>
      </c>
    </row>
    <row r="81" spans="1:9">
      <c r="A81" t="s">
        <v>2126</v>
      </c>
      <c r="B81" t="s">
        <v>139</v>
      </c>
      <c r="C81" t="s">
        <v>63</v>
      </c>
      <c r="E81">
        <v>118</v>
      </c>
      <c r="F81" t="s">
        <v>700</v>
      </c>
      <c r="G81" t="s">
        <v>2019</v>
      </c>
      <c r="H81" t="s">
        <v>2019</v>
      </c>
      <c r="I81" t="s">
        <v>2019</v>
      </c>
    </row>
    <row r="82" spans="1:9">
      <c r="A82" t="s">
        <v>2127</v>
      </c>
      <c r="B82" t="s">
        <v>2026</v>
      </c>
      <c r="C82" t="s">
        <v>345</v>
      </c>
      <c r="E82">
        <v>39</v>
      </c>
      <c r="F82" t="s">
        <v>705</v>
      </c>
      <c r="G82" t="s">
        <v>2019</v>
      </c>
      <c r="H82" t="s">
        <v>2019</v>
      </c>
      <c r="I82" t="s">
        <v>2019</v>
      </c>
    </row>
    <row r="83" spans="1:9">
      <c r="A83" t="s">
        <v>2128</v>
      </c>
      <c r="B83" t="s">
        <v>2026</v>
      </c>
      <c r="C83" t="s">
        <v>63</v>
      </c>
      <c r="E83">
        <v>162</v>
      </c>
      <c r="F83" t="s">
        <v>712</v>
      </c>
      <c r="G83" t="s">
        <v>2019</v>
      </c>
      <c r="H83" t="s">
        <v>2019</v>
      </c>
      <c r="I83" t="s">
        <v>2019</v>
      </c>
    </row>
    <row r="84" spans="1:9">
      <c r="A84" t="s">
        <v>2129</v>
      </c>
      <c r="B84" t="s">
        <v>109</v>
      </c>
      <c r="C84" t="s">
        <v>63</v>
      </c>
      <c r="E84">
        <v>119</v>
      </c>
      <c r="F84" t="s">
        <v>709</v>
      </c>
      <c r="G84" t="s">
        <v>2019</v>
      </c>
      <c r="H84" t="s">
        <v>2019</v>
      </c>
      <c r="I84" t="s">
        <v>2019</v>
      </c>
    </row>
    <row r="85" spans="1:9">
      <c r="A85" t="s">
        <v>2130</v>
      </c>
      <c r="B85" t="s">
        <v>139</v>
      </c>
      <c r="C85" t="s">
        <v>63</v>
      </c>
      <c r="E85">
        <v>120</v>
      </c>
      <c r="F85" t="s">
        <v>716</v>
      </c>
      <c r="G85" t="s">
        <v>2019</v>
      </c>
      <c r="H85" t="s">
        <v>2019</v>
      </c>
      <c r="I85" t="s">
        <v>2019</v>
      </c>
    </row>
    <row r="86" spans="1:9">
      <c r="A86" t="s">
        <v>2131</v>
      </c>
      <c r="B86" t="s">
        <v>2026</v>
      </c>
      <c r="C86" t="s">
        <v>345</v>
      </c>
      <c r="E86">
        <v>40</v>
      </c>
      <c r="F86" t="s">
        <v>724</v>
      </c>
      <c r="G86" t="s">
        <v>2019</v>
      </c>
      <c r="H86" t="s">
        <v>2019</v>
      </c>
      <c r="I86" t="s">
        <v>2019</v>
      </c>
    </row>
    <row r="87" spans="1:9">
      <c r="A87" t="s">
        <v>2132</v>
      </c>
      <c r="B87" t="s">
        <v>2026</v>
      </c>
      <c r="C87" t="s">
        <v>63</v>
      </c>
      <c r="E87">
        <v>163</v>
      </c>
      <c r="F87" t="s">
        <v>735</v>
      </c>
      <c r="G87" t="s">
        <v>2019</v>
      </c>
      <c r="H87" t="s">
        <v>2019</v>
      </c>
      <c r="I87" t="s">
        <v>2019</v>
      </c>
    </row>
    <row r="88" spans="1:9">
      <c r="A88" t="s">
        <v>2133</v>
      </c>
      <c r="B88" t="s">
        <v>109</v>
      </c>
      <c r="C88" t="s">
        <v>63</v>
      </c>
      <c r="E88">
        <v>121</v>
      </c>
      <c r="F88" t="s">
        <v>731</v>
      </c>
      <c r="G88" t="s">
        <v>2019</v>
      </c>
      <c r="H88" t="s">
        <v>2019</v>
      </c>
      <c r="I88" t="s">
        <v>2019</v>
      </c>
    </row>
    <row r="89" spans="1:9">
      <c r="A89" t="s">
        <v>2134</v>
      </c>
      <c r="B89" t="s">
        <v>302</v>
      </c>
      <c r="C89" t="s">
        <v>63</v>
      </c>
      <c r="E89">
        <v>164</v>
      </c>
      <c r="F89" t="s">
        <v>304</v>
      </c>
      <c r="G89" t="s">
        <v>2019</v>
      </c>
      <c r="H89" t="s">
        <v>2019</v>
      </c>
      <c r="I89" t="s">
        <v>2019</v>
      </c>
    </row>
    <row r="90" spans="1:9">
      <c r="A90" t="s">
        <v>2135</v>
      </c>
      <c r="B90" t="s">
        <v>62</v>
      </c>
      <c r="C90" t="s">
        <v>63</v>
      </c>
      <c r="E90">
        <v>165</v>
      </c>
      <c r="F90" t="s">
        <v>240</v>
      </c>
      <c r="G90" t="s">
        <v>2019</v>
      </c>
      <c r="H90" t="s">
        <v>2019</v>
      </c>
      <c r="I90" t="s">
        <v>2019</v>
      </c>
    </row>
    <row r="91" spans="1:9">
      <c r="A91" t="s">
        <v>2136</v>
      </c>
      <c r="B91" t="s">
        <v>2026</v>
      </c>
      <c r="C91" t="s">
        <v>63</v>
      </c>
      <c r="E91">
        <v>41</v>
      </c>
      <c r="F91" t="s">
        <v>739</v>
      </c>
      <c r="G91" t="s">
        <v>2019</v>
      </c>
      <c r="H91" t="s">
        <v>2019</v>
      </c>
      <c r="I91" t="s">
        <v>2019</v>
      </c>
    </row>
    <row r="92" spans="1:9">
      <c r="A92" t="s">
        <v>2137</v>
      </c>
      <c r="B92" t="s">
        <v>139</v>
      </c>
      <c r="C92" t="s">
        <v>63</v>
      </c>
      <c r="E92">
        <v>166</v>
      </c>
      <c r="F92" t="s">
        <v>317</v>
      </c>
      <c r="G92" t="s">
        <v>2019</v>
      </c>
      <c r="H92" t="s">
        <v>2019</v>
      </c>
      <c r="I92" t="s">
        <v>2019</v>
      </c>
    </row>
    <row r="93" spans="1:9">
      <c r="A93" t="s">
        <v>2138</v>
      </c>
      <c r="B93" t="s">
        <v>139</v>
      </c>
      <c r="C93" t="s">
        <v>63</v>
      </c>
      <c r="E93">
        <v>167</v>
      </c>
      <c r="F93" t="s">
        <v>2139</v>
      </c>
      <c r="G93" t="s">
        <v>2019</v>
      </c>
      <c r="H93" t="s">
        <v>2019</v>
      </c>
      <c r="I93" t="s">
        <v>2019</v>
      </c>
    </row>
    <row r="94" spans="1:9">
      <c r="A94" t="s">
        <v>2140</v>
      </c>
      <c r="B94" t="s">
        <v>90</v>
      </c>
      <c r="C94" t="s">
        <v>63</v>
      </c>
      <c r="E94">
        <v>168</v>
      </c>
      <c r="F94" t="s">
        <v>2141</v>
      </c>
      <c r="G94" t="s">
        <v>2019</v>
      </c>
      <c r="H94" t="s">
        <v>2019</v>
      </c>
      <c r="I94" t="s">
        <v>2019</v>
      </c>
    </row>
    <row r="95" spans="1:9">
      <c r="A95" t="s">
        <v>2142</v>
      </c>
      <c r="B95" t="s">
        <v>62</v>
      </c>
      <c r="C95" t="s">
        <v>63</v>
      </c>
      <c r="E95">
        <v>169</v>
      </c>
      <c r="F95" t="s">
        <v>310</v>
      </c>
      <c r="G95" t="s">
        <v>2019</v>
      </c>
      <c r="H95" t="s">
        <v>2019</v>
      </c>
      <c r="I95" t="s">
        <v>2019</v>
      </c>
    </row>
    <row r="96" spans="1:9">
      <c r="A96" t="s">
        <v>2143</v>
      </c>
      <c r="B96" t="s">
        <v>139</v>
      </c>
      <c r="C96" t="s">
        <v>63</v>
      </c>
      <c r="E96">
        <v>42</v>
      </c>
      <c r="F96" t="s">
        <v>743</v>
      </c>
      <c r="G96" t="s">
        <v>2019</v>
      </c>
      <c r="H96" t="s">
        <v>2019</v>
      </c>
      <c r="I96" t="s">
        <v>2019</v>
      </c>
    </row>
    <row r="97" spans="1:9">
      <c r="A97" t="s">
        <v>2144</v>
      </c>
      <c r="B97" t="s">
        <v>139</v>
      </c>
      <c r="C97" t="s">
        <v>63</v>
      </c>
      <c r="E97">
        <v>136</v>
      </c>
      <c r="F97" t="s">
        <v>748</v>
      </c>
      <c r="G97" t="s">
        <v>2019</v>
      </c>
      <c r="H97" t="s">
        <v>2019</v>
      </c>
      <c r="I97" t="s">
        <v>2019</v>
      </c>
    </row>
    <row r="98" spans="1:9">
      <c r="A98" t="s">
        <v>2145</v>
      </c>
      <c r="B98" t="s">
        <v>485</v>
      </c>
      <c r="C98" t="s">
        <v>63</v>
      </c>
      <c r="E98">
        <v>138</v>
      </c>
      <c r="F98" t="s">
        <v>753</v>
      </c>
      <c r="G98" t="s">
        <v>2019</v>
      </c>
      <c r="H98" t="s">
        <v>2019</v>
      </c>
      <c r="I98" t="s">
        <v>2019</v>
      </c>
    </row>
    <row r="99" spans="1:9">
      <c r="A99" t="s">
        <v>2146</v>
      </c>
      <c r="B99" t="s">
        <v>2026</v>
      </c>
      <c r="C99" t="s">
        <v>63</v>
      </c>
      <c r="E99">
        <v>135</v>
      </c>
      <c r="F99" t="s">
        <v>757</v>
      </c>
      <c r="G99" t="s">
        <v>2019</v>
      </c>
      <c r="H99" t="s">
        <v>2019</v>
      </c>
      <c r="I99" t="s">
        <v>2019</v>
      </c>
    </row>
    <row r="100" spans="1:9">
      <c r="A100" t="s">
        <v>2147</v>
      </c>
      <c r="B100" t="s">
        <v>617</v>
      </c>
      <c r="C100" t="s">
        <v>63</v>
      </c>
      <c r="E100">
        <v>137</v>
      </c>
      <c r="F100" t="s">
        <v>761</v>
      </c>
      <c r="G100" t="s">
        <v>2019</v>
      </c>
      <c r="H100" t="s">
        <v>2019</v>
      </c>
      <c r="I100" t="s">
        <v>2019</v>
      </c>
    </row>
    <row r="101" spans="1:9">
      <c r="A101" t="s">
        <v>2148</v>
      </c>
      <c r="B101" t="s">
        <v>139</v>
      </c>
      <c r="C101" t="s">
        <v>63</v>
      </c>
      <c r="E101">
        <v>107</v>
      </c>
      <c r="F101" t="s">
        <v>765</v>
      </c>
      <c r="G101" t="s">
        <v>2019</v>
      </c>
      <c r="H101" t="s">
        <v>2019</v>
      </c>
      <c r="I101" t="s">
        <v>2019</v>
      </c>
    </row>
    <row r="102" spans="1:9">
      <c r="A102" t="s">
        <v>2149</v>
      </c>
      <c r="B102" t="s">
        <v>157</v>
      </c>
      <c r="C102" t="s">
        <v>63</v>
      </c>
      <c r="E102">
        <v>43</v>
      </c>
      <c r="F102" t="s">
        <v>2150</v>
      </c>
      <c r="G102" t="s">
        <v>2019</v>
      </c>
      <c r="H102" t="s">
        <v>2019</v>
      </c>
      <c r="I102" t="s">
        <v>2019</v>
      </c>
    </row>
    <row r="103" spans="1:9">
      <c r="A103" t="s">
        <v>2151</v>
      </c>
      <c r="B103" t="s">
        <v>139</v>
      </c>
      <c r="C103" t="s">
        <v>63</v>
      </c>
      <c r="E103">
        <v>140</v>
      </c>
      <c r="F103" t="s">
        <v>1115</v>
      </c>
      <c r="G103" t="s">
        <v>2019</v>
      </c>
      <c r="H103" t="s">
        <v>2019</v>
      </c>
      <c r="I103" t="s">
        <v>2019</v>
      </c>
    </row>
    <row r="104" spans="1:9">
      <c r="A104" t="s">
        <v>2152</v>
      </c>
      <c r="B104" t="s">
        <v>2026</v>
      </c>
      <c r="C104" t="s">
        <v>63</v>
      </c>
      <c r="E104">
        <v>141</v>
      </c>
      <c r="F104" t="s">
        <v>1112</v>
      </c>
      <c r="G104" t="s">
        <v>2019</v>
      </c>
      <c r="H104" t="s">
        <v>2019</v>
      </c>
      <c r="I104" t="s">
        <v>2019</v>
      </c>
    </row>
    <row r="105" spans="1:9">
      <c r="A105" t="s">
        <v>2153</v>
      </c>
      <c r="B105" t="s">
        <v>227</v>
      </c>
      <c r="C105" t="s">
        <v>63</v>
      </c>
      <c r="E105">
        <v>44</v>
      </c>
      <c r="F105" t="s">
        <v>773</v>
      </c>
      <c r="G105" t="s">
        <v>2019</v>
      </c>
      <c r="H105" t="s">
        <v>2019</v>
      </c>
      <c r="I105" t="s">
        <v>2019</v>
      </c>
    </row>
    <row r="106" spans="1:9">
      <c r="A106" t="s">
        <v>2154</v>
      </c>
      <c r="B106" t="s">
        <v>62</v>
      </c>
      <c r="C106" t="s">
        <v>63</v>
      </c>
      <c r="E106">
        <v>170</v>
      </c>
      <c r="F106" t="s">
        <v>338</v>
      </c>
      <c r="G106" t="s">
        <v>2019</v>
      </c>
      <c r="H106" t="s">
        <v>2019</v>
      </c>
      <c r="I106" t="s">
        <v>2019</v>
      </c>
    </row>
    <row r="107" spans="1:9">
      <c r="A107" t="s">
        <v>2155</v>
      </c>
      <c r="B107" t="s">
        <v>157</v>
      </c>
      <c r="C107" t="s">
        <v>63</v>
      </c>
      <c r="E107">
        <v>97</v>
      </c>
      <c r="F107" t="s">
        <v>777</v>
      </c>
      <c r="G107" t="s">
        <v>2019</v>
      </c>
      <c r="H107" t="s">
        <v>2019</v>
      </c>
      <c r="I107" t="s">
        <v>2019</v>
      </c>
    </row>
    <row r="108" spans="1:9">
      <c r="A108" t="s">
        <v>2156</v>
      </c>
      <c r="B108" t="s">
        <v>191</v>
      </c>
      <c r="C108" t="s">
        <v>63</v>
      </c>
      <c r="E108">
        <v>155</v>
      </c>
      <c r="F108" t="s">
        <v>193</v>
      </c>
      <c r="G108" t="s">
        <v>2019</v>
      </c>
      <c r="H108" t="s">
        <v>2019</v>
      </c>
      <c r="I108" t="s">
        <v>2019</v>
      </c>
    </row>
    <row r="109" spans="1:9">
      <c r="A109" t="s">
        <v>2157</v>
      </c>
      <c r="B109" t="s">
        <v>169</v>
      </c>
      <c r="C109" t="s">
        <v>63</v>
      </c>
      <c r="E109">
        <v>171</v>
      </c>
      <c r="F109" t="s">
        <v>171</v>
      </c>
      <c r="G109" t="s">
        <v>2019</v>
      </c>
      <c r="H109" t="s">
        <v>2019</v>
      </c>
      <c r="I109" t="s">
        <v>2019</v>
      </c>
    </row>
    <row r="110" spans="1:9">
      <c r="A110" t="s">
        <v>2158</v>
      </c>
      <c r="B110" t="s">
        <v>139</v>
      </c>
      <c r="C110" t="s">
        <v>63</v>
      </c>
      <c r="E110">
        <v>172</v>
      </c>
      <c r="F110" t="s">
        <v>182</v>
      </c>
      <c r="G110" t="s">
        <v>2019</v>
      </c>
      <c r="H110" t="s">
        <v>2019</v>
      </c>
      <c r="I110" t="s">
        <v>2019</v>
      </c>
    </row>
    <row r="111" spans="1:9">
      <c r="A111" t="s">
        <v>2159</v>
      </c>
      <c r="B111" t="s">
        <v>2160</v>
      </c>
      <c r="C111" t="s">
        <v>63</v>
      </c>
      <c r="E111">
        <v>173</v>
      </c>
      <c r="F111" t="s">
        <v>201</v>
      </c>
      <c r="G111" t="s">
        <v>2019</v>
      </c>
      <c r="H111" t="s">
        <v>2019</v>
      </c>
      <c r="I111" t="s">
        <v>2019</v>
      </c>
    </row>
    <row r="112" spans="1:9">
      <c r="A112" t="s">
        <v>2161</v>
      </c>
      <c r="B112" t="s">
        <v>139</v>
      </c>
      <c r="C112" t="s">
        <v>63</v>
      </c>
      <c r="E112">
        <v>174</v>
      </c>
      <c r="F112" t="s">
        <v>163</v>
      </c>
      <c r="G112" t="s">
        <v>2019</v>
      </c>
      <c r="H112" t="s">
        <v>2019</v>
      </c>
      <c r="I112" t="s">
        <v>2019</v>
      </c>
    </row>
    <row r="113" spans="1:9">
      <c r="A113" t="s">
        <v>2162</v>
      </c>
      <c r="B113" t="s">
        <v>139</v>
      </c>
      <c r="C113" t="s">
        <v>63</v>
      </c>
      <c r="E113">
        <v>175</v>
      </c>
      <c r="F113" t="s">
        <v>802</v>
      </c>
      <c r="G113" t="s">
        <v>2019</v>
      </c>
      <c r="H113" t="s">
        <v>2019</v>
      </c>
      <c r="I113" t="s">
        <v>2019</v>
      </c>
    </row>
    <row r="114" spans="1:9">
      <c r="A114" t="s">
        <v>2163</v>
      </c>
      <c r="B114" t="s">
        <v>2026</v>
      </c>
      <c r="C114" t="s">
        <v>63</v>
      </c>
      <c r="E114">
        <v>176</v>
      </c>
      <c r="F114" t="s">
        <v>795</v>
      </c>
      <c r="G114" t="s">
        <v>2019</v>
      </c>
      <c r="H114" t="s">
        <v>2019</v>
      </c>
      <c r="I114" t="s">
        <v>2019</v>
      </c>
    </row>
    <row r="115" spans="1:9">
      <c r="A115" t="s">
        <v>2164</v>
      </c>
      <c r="B115" t="s">
        <v>90</v>
      </c>
      <c r="C115" t="s">
        <v>63</v>
      </c>
      <c r="E115">
        <v>177</v>
      </c>
      <c r="F115" t="s">
        <v>807</v>
      </c>
      <c r="G115" t="s">
        <v>2019</v>
      </c>
      <c r="H115" t="s">
        <v>2019</v>
      </c>
      <c r="I115" t="s">
        <v>2019</v>
      </c>
    </row>
    <row r="116" spans="1:9">
      <c r="A116" t="s">
        <v>2165</v>
      </c>
      <c r="B116" t="s">
        <v>2026</v>
      </c>
      <c r="C116" t="s">
        <v>345</v>
      </c>
      <c r="E116">
        <v>45</v>
      </c>
      <c r="F116" t="s">
        <v>780</v>
      </c>
      <c r="G116" t="s">
        <v>2019</v>
      </c>
      <c r="H116" t="s">
        <v>2019</v>
      </c>
      <c r="I116" t="s">
        <v>2019</v>
      </c>
    </row>
    <row r="117" spans="1:9">
      <c r="A117" t="s">
        <v>2166</v>
      </c>
      <c r="B117" t="s">
        <v>385</v>
      </c>
      <c r="C117" t="s">
        <v>63</v>
      </c>
      <c r="E117">
        <v>46</v>
      </c>
      <c r="F117" t="s">
        <v>818</v>
      </c>
      <c r="G117" t="s">
        <v>2019</v>
      </c>
      <c r="H117" t="s">
        <v>2019</v>
      </c>
      <c r="I117" t="s">
        <v>2019</v>
      </c>
    </row>
    <row r="118" spans="1:9">
      <c r="A118" t="s">
        <v>2167</v>
      </c>
      <c r="B118" t="s">
        <v>559</v>
      </c>
      <c r="C118" t="s">
        <v>63</v>
      </c>
      <c r="E118">
        <v>178</v>
      </c>
      <c r="F118" t="s">
        <v>811</v>
      </c>
      <c r="G118" t="s">
        <v>2019</v>
      </c>
      <c r="H118" t="s">
        <v>2019</v>
      </c>
      <c r="I118" t="s">
        <v>2019</v>
      </c>
    </row>
    <row r="119" spans="1:9">
      <c r="A119" t="s">
        <v>2168</v>
      </c>
      <c r="B119" t="s">
        <v>82</v>
      </c>
      <c r="C119" t="s">
        <v>63</v>
      </c>
      <c r="E119">
        <v>47</v>
      </c>
      <c r="F119" t="s">
        <v>825</v>
      </c>
      <c r="G119" t="s">
        <v>2019</v>
      </c>
      <c r="H119" t="s">
        <v>2019</v>
      </c>
      <c r="I119" t="s">
        <v>2019</v>
      </c>
    </row>
    <row r="120" spans="1:9">
      <c r="A120" t="s">
        <v>2169</v>
      </c>
      <c r="B120" t="s">
        <v>2026</v>
      </c>
      <c r="C120" t="s">
        <v>63</v>
      </c>
      <c r="E120">
        <v>48</v>
      </c>
      <c r="F120" t="s">
        <v>829</v>
      </c>
      <c r="G120" t="s">
        <v>2019</v>
      </c>
      <c r="H120" t="s">
        <v>2019</v>
      </c>
      <c r="I120" t="s">
        <v>2019</v>
      </c>
    </row>
    <row r="121" spans="1:9">
      <c r="A121" t="s">
        <v>2170</v>
      </c>
      <c r="B121" t="s">
        <v>109</v>
      </c>
      <c r="C121" t="s">
        <v>63</v>
      </c>
      <c r="E121">
        <v>126</v>
      </c>
      <c r="F121" t="s">
        <v>834</v>
      </c>
      <c r="G121" t="s">
        <v>2019</v>
      </c>
      <c r="H121" t="s">
        <v>2019</v>
      </c>
      <c r="I121" t="s">
        <v>2019</v>
      </c>
    </row>
    <row r="122" spans="1:9">
      <c r="A122" t="s">
        <v>2171</v>
      </c>
      <c r="B122" t="s">
        <v>139</v>
      </c>
      <c r="C122" t="s">
        <v>63</v>
      </c>
      <c r="E122">
        <v>55</v>
      </c>
      <c r="F122" t="s">
        <v>2172</v>
      </c>
      <c r="G122" t="s">
        <v>2019</v>
      </c>
      <c r="H122" t="s">
        <v>2019</v>
      </c>
      <c r="I122" t="s">
        <v>2019</v>
      </c>
    </row>
    <row r="123" spans="1:9">
      <c r="A123" t="s">
        <v>2173</v>
      </c>
      <c r="B123" t="s">
        <v>2026</v>
      </c>
      <c r="C123" t="s">
        <v>63</v>
      </c>
      <c r="E123">
        <v>63</v>
      </c>
      <c r="F123" t="s">
        <v>2174</v>
      </c>
      <c r="G123" t="s">
        <v>2019</v>
      </c>
      <c r="H123" t="s">
        <v>2019</v>
      </c>
      <c r="I123" t="s">
        <v>2019</v>
      </c>
    </row>
    <row r="124" spans="1:9">
      <c r="A124" t="s">
        <v>2175</v>
      </c>
      <c r="B124" t="s">
        <v>90</v>
      </c>
      <c r="C124" t="s">
        <v>63</v>
      </c>
      <c r="E124">
        <v>56</v>
      </c>
      <c r="F124" t="s">
        <v>2176</v>
      </c>
      <c r="G124" t="s">
        <v>2019</v>
      </c>
      <c r="H124" t="s">
        <v>2019</v>
      </c>
      <c r="I124" t="s">
        <v>2019</v>
      </c>
    </row>
    <row r="125" spans="1:9">
      <c r="A125" t="s">
        <v>2177</v>
      </c>
      <c r="B125" t="s">
        <v>464</v>
      </c>
      <c r="C125" t="s">
        <v>63</v>
      </c>
      <c r="E125">
        <v>59</v>
      </c>
      <c r="F125" t="s">
        <v>2178</v>
      </c>
      <c r="G125" t="s">
        <v>2019</v>
      </c>
      <c r="H125" t="s">
        <v>2019</v>
      </c>
      <c r="I125" t="s">
        <v>2019</v>
      </c>
    </row>
    <row r="126" spans="1:9">
      <c r="A126" t="s">
        <v>2179</v>
      </c>
      <c r="B126" t="s">
        <v>139</v>
      </c>
      <c r="C126" t="s">
        <v>63</v>
      </c>
      <c r="E126">
        <v>60</v>
      </c>
      <c r="F126" t="s">
        <v>2180</v>
      </c>
      <c r="G126" t="s">
        <v>2019</v>
      </c>
      <c r="H126" t="s">
        <v>2019</v>
      </c>
      <c r="I126" t="s">
        <v>2019</v>
      </c>
    </row>
    <row r="127" spans="1:9">
      <c r="A127" t="s">
        <v>2181</v>
      </c>
      <c r="B127" t="s">
        <v>2026</v>
      </c>
      <c r="C127" t="s">
        <v>63</v>
      </c>
      <c r="E127">
        <v>61</v>
      </c>
      <c r="F127" t="s">
        <v>2182</v>
      </c>
      <c r="G127" t="s">
        <v>2019</v>
      </c>
      <c r="H127" t="s">
        <v>2019</v>
      </c>
      <c r="I127" t="s">
        <v>2019</v>
      </c>
    </row>
    <row r="128" spans="1:9">
      <c r="A128" t="s">
        <v>2183</v>
      </c>
      <c r="B128" t="s">
        <v>139</v>
      </c>
      <c r="C128" t="s">
        <v>63</v>
      </c>
      <c r="E128">
        <v>52</v>
      </c>
      <c r="F128" t="s">
        <v>2184</v>
      </c>
      <c r="G128" t="s">
        <v>2019</v>
      </c>
      <c r="H128" t="s">
        <v>2019</v>
      </c>
      <c r="I128" t="s">
        <v>2019</v>
      </c>
    </row>
    <row r="129" spans="1:9">
      <c r="A129" t="s">
        <v>2185</v>
      </c>
      <c r="B129" t="s">
        <v>485</v>
      </c>
      <c r="C129" t="s">
        <v>63</v>
      </c>
      <c r="E129">
        <v>53</v>
      </c>
      <c r="F129" t="s">
        <v>2186</v>
      </c>
      <c r="G129" t="s">
        <v>2019</v>
      </c>
      <c r="H129" t="s">
        <v>2019</v>
      </c>
      <c r="I129" t="s">
        <v>2019</v>
      </c>
    </row>
    <row r="130" spans="1:9">
      <c r="A130" t="s">
        <v>2187</v>
      </c>
      <c r="B130" t="s">
        <v>2026</v>
      </c>
      <c r="C130" t="s">
        <v>63</v>
      </c>
      <c r="E130">
        <v>62</v>
      </c>
      <c r="F130" t="s">
        <v>2188</v>
      </c>
      <c r="G130" t="s">
        <v>2019</v>
      </c>
      <c r="H130" t="s">
        <v>2019</v>
      </c>
      <c r="I130" t="s">
        <v>2019</v>
      </c>
    </row>
    <row r="131" spans="1:9">
      <c r="A131" t="s">
        <v>2189</v>
      </c>
      <c r="B131" t="s">
        <v>617</v>
      </c>
      <c r="C131" t="s">
        <v>63</v>
      </c>
      <c r="E131">
        <v>54</v>
      </c>
      <c r="F131" t="s">
        <v>2190</v>
      </c>
      <c r="G131" t="s">
        <v>2019</v>
      </c>
      <c r="H131" t="s">
        <v>2019</v>
      </c>
      <c r="I131" t="s">
        <v>2019</v>
      </c>
    </row>
    <row r="132" spans="1:9">
      <c r="A132" t="s">
        <v>887</v>
      </c>
      <c r="B132" t="s">
        <v>2026</v>
      </c>
      <c r="C132" t="s">
        <v>63</v>
      </c>
      <c r="E132">
        <v>131</v>
      </c>
      <c r="F132" t="s">
        <v>2191</v>
      </c>
      <c r="G132" t="s">
        <v>2019</v>
      </c>
      <c r="H132" t="s">
        <v>2019</v>
      </c>
      <c r="I132" t="s">
        <v>2019</v>
      </c>
    </row>
    <row r="133" spans="1:9">
      <c r="A133" t="s">
        <v>2192</v>
      </c>
      <c r="B133" t="s">
        <v>82</v>
      </c>
      <c r="C133" t="s">
        <v>63</v>
      </c>
      <c r="E133">
        <v>64</v>
      </c>
      <c r="F133" t="s">
        <v>2193</v>
      </c>
      <c r="G133" t="s">
        <v>2019</v>
      </c>
      <c r="H133" t="s">
        <v>2019</v>
      </c>
      <c r="I133" t="s">
        <v>2019</v>
      </c>
    </row>
    <row r="134" spans="1:9">
      <c r="A134" t="s">
        <v>2194</v>
      </c>
      <c r="B134" t="s">
        <v>109</v>
      </c>
      <c r="C134" t="s">
        <v>63</v>
      </c>
      <c r="E134">
        <v>128</v>
      </c>
      <c r="F134" t="s">
        <v>2195</v>
      </c>
      <c r="G134" t="s">
        <v>2019</v>
      </c>
      <c r="H134" t="s">
        <v>2019</v>
      </c>
      <c r="I134" t="s">
        <v>2019</v>
      </c>
    </row>
    <row r="135" spans="1:9">
      <c r="A135" t="s">
        <v>2196</v>
      </c>
      <c r="B135" t="s">
        <v>464</v>
      </c>
      <c r="C135" t="s">
        <v>63</v>
      </c>
      <c r="E135">
        <v>65</v>
      </c>
      <c r="F135" t="s">
        <v>2197</v>
      </c>
      <c r="G135" t="s">
        <v>2019</v>
      </c>
      <c r="H135" t="s">
        <v>2019</v>
      </c>
      <c r="I135" t="s">
        <v>2019</v>
      </c>
    </row>
    <row r="136" spans="1:9">
      <c r="A136" t="s">
        <v>2198</v>
      </c>
      <c r="B136" t="s">
        <v>385</v>
      </c>
      <c r="C136" t="s">
        <v>63</v>
      </c>
      <c r="E136">
        <v>66</v>
      </c>
      <c r="F136" t="s">
        <v>2199</v>
      </c>
      <c r="G136" t="s">
        <v>2019</v>
      </c>
      <c r="H136" t="s">
        <v>2019</v>
      </c>
      <c r="I136" t="s">
        <v>2019</v>
      </c>
    </row>
    <row r="137" spans="1:9">
      <c r="A137" t="s">
        <v>2200</v>
      </c>
      <c r="B137" t="s">
        <v>2084</v>
      </c>
      <c r="C137" t="s">
        <v>63</v>
      </c>
      <c r="E137">
        <v>68</v>
      </c>
      <c r="F137" t="s">
        <v>929</v>
      </c>
      <c r="G137" t="s">
        <v>2019</v>
      </c>
      <c r="H137" t="s">
        <v>2019</v>
      </c>
      <c r="I137" t="s">
        <v>2019</v>
      </c>
    </row>
    <row r="138" spans="1:9">
      <c r="A138" t="s">
        <v>2201</v>
      </c>
      <c r="B138" t="s">
        <v>2026</v>
      </c>
      <c r="C138" t="s">
        <v>63</v>
      </c>
      <c r="E138">
        <v>67</v>
      </c>
      <c r="F138" t="s">
        <v>2202</v>
      </c>
      <c r="G138" t="s">
        <v>2019</v>
      </c>
      <c r="H138" t="s">
        <v>2019</v>
      </c>
      <c r="I138" t="s">
        <v>2019</v>
      </c>
    </row>
    <row r="139" spans="1:9">
      <c r="A139" t="s">
        <v>2203</v>
      </c>
      <c r="B139" t="s">
        <v>433</v>
      </c>
      <c r="C139" t="s">
        <v>63</v>
      </c>
      <c r="E139">
        <v>179</v>
      </c>
      <c r="F139" t="s">
        <v>2204</v>
      </c>
      <c r="G139" t="s">
        <v>2019</v>
      </c>
      <c r="H139" t="s">
        <v>2019</v>
      </c>
      <c r="I139" t="s">
        <v>2019</v>
      </c>
    </row>
    <row r="140" spans="1:9">
      <c r="A140" t="s">
        <v>2205</v>
      </c>
      <c r="B140" t="s">
        <v>90</v>
      </c>
      <c r="C140" t="s">
        <v>63</v>
      </c>
      <c r="E140">
        <v>180</v>
      </c>
      <c r="F140" t="s">
        <v>2206</v>
      </c>
      <c r="G140" t="s">
        <v>2019</v>
      </c>
      <c r="H140" t="s">
        <v>2019</v>
      </c>
      <c r="I140" t="s">
        <v>2019</v>
      </c>
    </row>
    <row r="141" spans="1:9" ht="28.8">
      <c r="A141" t="s">
        <v>2207</v>
      </c>
      <c r="B141" t="s">
        <v>139</v>
      </c>
      <c r="C141" t="s">
        <v>63</v>
      </c>
      <c r="E141">
        <v>70</v>
      </c>
      <c r="F141" s="2" t="s">
        <v>2208</v>
      </c>
      <c r="G141" t="s">
        <v>2019</v>
      </c>
      <c r="H141" t="s">
        <v>2019</v>
      </c>
      <c r="I141" t="s">
        <v>2019</v>
      </c>
    </row>
    <row r="142" spans="1:9">
      <c r="A142" t="s">
        <v>2209</v>
      </c>
      <c r="B142" t="s">
        <v>385</v>
      </c>
      <c r="C142" t="s">
        <v>63</v>
      </c>
      <c r="E142">
        <v>71</v>
      </c>
      <c r="F142" t="s">
        <v>2210</v>
      </c>
      <c r="G142" t="s">
        <v>2019</v>
      </c>
      <c r="H142" t="s">
        <v>2019</v>
      </c>
      <c r="I142" t="s">
        <v>2019</v>
      </c>
    </row>
    <row r="143" spans="1:9">
      <c r="A143" t="s">
        <v>2211</v>
      </c>
      <c r="B143" t="s">
        <v>385</v>
      </c>
      <c r="C143" t="s">
        <v>63</v>
      </c>
      <c r="E143">
        <v>72</v>
      </c>
      <c r="F143" t="s">
        <v>2212</v>
      </c>
      <c r="G143" t="s">
        <v>2019</v>
      </c>
      <c r="H143" t="s">
        <v>2019</v>
      </c>
      <c r="I143" t="s">
        <v>2019</v>
      </c>
    </row>
    <row r="144" spans="1:9">
      <c r="A144" t="s">
        <v>2213</v>
      </c>
      <c r="B144" t="s">
        <v>2084</v>
      </c>
      <c r="C144" t="s">
        <v>63</v>
      </c>
      <c r="E144">
        <v>69</v>
      </c>
      <c r="F144" t="s">
        <v>2214</v>
      </c>
      <c r="G144" t="s">
        <v>2019</v>
      </c>
      <c r="H144" t="s">
        <v>2019</v>
      </c>
      <c r="I144" t="s">
        <v>2019</v>
      </c>
    </row>
    <row r="145" spans="1:9">
      <c r="A145" t="s">
        <v>2215</v>
      </c>
      <c r="B145" t="s">
        <v>2084</v>
      </c>
      <c r="C145" t="s">
        <v>63</v>
      </c>
      <c r="E145">
        <v>73</v>
      </c>
      <c r="F145" t="s">
        <v>2216</v>
      </c>
      <c r="G145" t="s">
        <v>2019</v>
      </c>
      <c r="H145" t="s">
        <v>2019</v>
      </c>
      <c r="I145" t="s">
        <v>2019</v>
      </c>
    </row>
    <row r="146" spans="1:9">
      <c r="A146" t="s">
        <v>2217</v>
      </c>
      <c r="B146" t="s">
        <v>2026</v>
      </c>
      <c r="C146" t="s">
        <v>63</v>
      </c>
      <c r="E146">
        <v>181</v>
      </c>
      <c r="F146" t="s">
        <v>2218</v>
      </c>
      <c r="G146" t="s">
        <v>2019</v>
      </c>
      <c r="H146" t="s">
        <v>2019</v>
      </c>
      <c r="I146" t="s">
        <v>2019</v>
      </c>
    </row>
    <row r="147" spans="1:9">
      <c r="A147" t="s">
        <v>2219</v>
      </c>
      <c r="B147" t="s">
        <v>157</v>
      </c>
      <c r="C147" t="s">
        <v>63</v>
      </c>
      <c r="E147">
        <v>57</v>
      </c>
      <c r="F147" t="s">
        <v>951</v>
      </c>
      <c r="G147" t="s">
        <v>2019</v>
      </c>
      <c r="H147" t="s">
        <v>2019</v>
      </c>
      <c r="I147" t="s">
        <v>2019</v>
      </c>
    </row>
    <row r="148" spans="1:9">
      <c r="A148" t="s">
        <v>2220</v>
      </c>
      <c r="B148" t="s">
        <v>2026</v>
      </c>
      <c r="C148" t="s">
        <v>345</v>
      </c>
      <c r="E148">
        <v>58</v>
      </c>
      <c r="F148" t="s">
        <v>954</v>
      </c>
      <c r="G148" t="s">
        <v>2019</v>
      </c>
      <c r="H148" t="s">
        <v>2019</v>
      </c>
      <c r="I148" t="s">
        <v>2019</v>
      </c>
    </row>
    <row r="149" spans="1:9">
      <c r="A149" t="s">
        <v>2221</v>
      </c>
      <c r="B149" t="s">
        <v>62</v>
      </c>
      <c r="C149" t="s">
        <v>63</v>
      </c>
      <c r="E149">
        <v>182</v>
      </c>
      <c r="F149" t="s">
        <v>2222</v>
      </c>
      <c r="G149" t="s">
        <v>2019</v>
      </c>
      <c r="H149" t="s">
        <v>2019</v>
      </c>
      <c r="I149" t="s">
        <v>2019</v>
      </c>
    </row>
    <row r="150" spans="1:9">
      <c r="A150" t="s">
        <v>2223</v>
      </c>
      <c r="B150" t="s">
        <v>62</v>
      </c>
      <c r="C150" t="s">
        <v>63</v>
      </c>
      <c r="E150">
        <v>183</v>
      </c>
      <c r="F150" t="s">
        <v>75</v>
      </c>
      <c r="G150" t="s">
        <v>2019</v>
      </c>
      <c r="H150" t="s">
        <v>2019</v>
      </c>
      <c r="I150" t="s">
        <v>2019</v>
      </c>
    </row>
    <row r="151" spans="1:9">
      <c r="A151" t="s">
        <v>2224</v>
      </c>
      <c r="B151" t="s">
        <v>62</v>
      </c>
      <c r="C151" t="s">
        <v>63</v>
      </c>
      <c r="E151">
        <v>184</v>
      </c>
      <c r="F151" t="s">
        <v>128</v>
      </c>
      <c r="G151" t="s">
        <v>2019</v>
      </c>
      <c r="H151" t="s">
        <v>2019</v>
      </c>
      <c r="I151" t="s">
        <v>2019</v>
      </c>
    </row>
    <row r="152" spans="1:9">
      <c r="A152" t="s">
        <v>2225</v>
      </c>
      <c r="B152" t="s">
        <v>2026</v>
      </c>
      <c r="C152" t="s">
        <v>63</v>
      </c>
      <c r="E152">
        <v>185</v>
      </c>
      <c r="F152" t="s">
        <v>103</v>
      </c>
      <c r="G152" t="s">
        <v>2019</v>
      </c>
      <c r="H152" t="s">
        <v>2019</v>
      </c>
      <c r="I152" t="s">
        <v>2019</v>
      </c>
    </row>
    <row r="153" spans="1:9">
      <c r="A153" t="s">
        <v>2226</v>
      </c>
      <c r="B153" t="s">
        <v>109</v>
      </c>
      <c r="C153" t="s">
        <v>63</v>
      </c>
      <c r="E153">
        <v>186</v>
      </c>
      <c r="F153" t="s">
        <v>111</v>
      </c>
      <c r="G153" t="s">
        <v>2019</v>
      </c>
      <c r="H153" t="s">
        <v>2019</v>
      </c>
      <c r="I153" t="s">
        <v>2019</v>
      </c>
    </row>
    <row r="154" spans="1:9">
      <c r="A154" t="s">
        <v>2227</v>
      </c>
      <c r="B154" t="s">
        <v>120</v>
      </c>
      <c r="C154" t="s">
        <v>63</v>
      </c>
      <c r="E154">
        <v>187</v>
      </c>
      <c r="F154" t="s">
        <v>122</v>
      </c>
      <c r="G154" t="s">
        <v>2019</v>
      </c>
      <c r="H154" t="s">
        <v>2019</v>
      </c>
      <c r="I154" t="s">
        <v>2019</v>
      </c>
    </row>
    <row r="155" spans="1:9">
      <c r="A155" t="s">
        <v>2228</v>
      </c>
      <c r="B155" t="s">
        <v>268</v>
      </c>
      <c r="C155" t="s">
        <v>63</v>
      </c>
      <c r="E155">
        <v>191</v>
      </c>
      <c r="F155" t="s">
        <v>270</v>
      </c>
      <c r="G155" t="s">
        <v>2019</v>
      </c>
      <c r="H155" t="s">
        <v>2019</v>
      </c>
      <c r="I155" t="s">
        <v>2019</v>
      </c>
    </row>
    <row r="156" spans="1:9" ht="100.8">
      <c r="A156" t="s">
        <v>2229</v>
      </c>
      <c r="B156" t="s">
        <v>139</v>
      </c>
      <c r="C156" t="s">
        <v>63</v>
      </c>
      <c r="E156">
        <v>188</v>
      </c>
      <c r="F156" s="2" t="s">
        <v>2230</v>
      </c>
      <c r="G156" t="s">
        <v>2019</v>
      </c>
      <c r="H156" t="s">
        <v>2019</v>
      </c>
      <c r="I156" t="s">
        <v>2019</v>
      </c>
    </row>
    <row r="157" spans="1:9">
      <c r="A157" t="s">
        <v>2231</v>
      </c>
      <c r="B157" t="s">
        <v>2026</v>
      </c>
      <c r="C157" t="s">
        <v>63</v>
      </c>
      <c r="E157">
        <v>189</v>
      </c>
      <c r="F157" t="s">
        <v>134</v>
      </c>
      <c r="G157" t="s">
        <v>2019</v>
      </c>
      <c r="H157" t="s">
        <v>2019</v>
      </c>
      <c r="I157" t="s">
        <v>2019</v>
      </c>
    </row>
    <row r="158" spans="1:9">
      <c r="A158" t="s">
        <v>2232</v>
      </c>
      <c r="B158" t="s">
        <v>109</v>
      </c>
      <c r="C158" t="s">
        <v>63</v>
      </c>
      <c r="E158">
        <v>190</v>
      </c>
      <c r="F158" t="s">
        <v>148</v>
      </c>
      <c r="G158" t="s">
        <v>2019</v>
      </c>
      <c r="H158" t="s">
        <v>2019</v>
      </c>
      <c r="I158" t="s">
        <v>2019</v>
      </c>
    </row>
    <row r="159" spans="1:9">
      <c r="A159" t="s">
        <v>2233</v>
      </c>
      <c r="B159" t="s">
        <v>62</v>
      </c>
      <c r="C159" t="s">
        <v>63</v>
      </c>
      <c r="E159">
        <v>96</v>
      </c>
      <c r="F159" t="s">
        <v>959</v>
      </c>
      <c r="G159" t="s">
        <v>2019</v>
      </c>
      <c r="H159" t="s">
        <v>2019</v>
      </c>
      <c r="I159" t="s">
        <v>2019</v>
      </c>
    </row>
    <row r="160" spans="1:9">
      <c r="A160" t="s">
        <v>2234</v>
      </c>
      <c r="B160" t="s">
        <v>157</v>
      </c>
      <c r="C160" t="s">
        <v>63</v>
      </c>
      <c r="E160">
        <v>103</v>
      </c>
      <c r="F160" t="s">
        <v>963</v>
      </c>
      <c r="G160" t="s">
        <v>2019</v>
      </c>
      <c r="H160" t="s">
        <v>2019</v>
      </c>
      <c r="I160" t="s">
        <v>2019</v>
      </c>
    </row>
    <row r="161" spans="1:9">
      <c r="A161" t="s">
        <v>2235</v>
      </c>
      <c r="B161" t="s">
        <v>139</v>
      </c>
      <c r="C161" t="s">
        <v>63</v>
      </c>
      <c r="E161">
        <v>122</v>
      </c>
      <c r="F161" t="s">
        <v>968</v>
      </c>
      <c r="G161" t="s">
        <v>2019</v>
      </c>
      <c r="H161" t="s">
        <v>2019</v>
      </c>
      <c r="I161" t="s">
        <v>2019</v>
      </c>
    </row>
    <row r="162" spans="1:9">
      <c r="A162" t="s">
        <v>2236</v>
      </c>
      <c r="B162" t="s">
        <v>2026</v>
      </c>
      <c r="C162" t="s">
        <v>345</v>
      </c>
      <c r="E162">
        <v>74</v>
      </c>
      <c r="F162" t="s">
        <v>974</v>
      </c>
      <c r="G162" t="s">
        <v>2019</v>
      </c>
      <c r="H162" t="s">
        <v>2019</v>
      </c>
      <c r="I162" t="s">
        <v>2019</v>
      </c>
    </row>
    <row r="163" spans="1:9">
      <c r="A163" t="s">
        <v>2237</v>
      </c>
      <c r="B163" t="s">
        <v>2026</v>
      </c>
      <c r="C163" t="s">
        <v>63</v>
      </c>
      <c r="E163">
        <v>192</v>
      </c>
      <c r="F163" t="s">
        <v>981</v>
      </c>
      <c r="G163" t="s">
        <v>2019</v>
      </c>
      <c r="H163" t="s">
        <v>2019</v>
      </c>
      <c r="I163" t="s">
        <v>2019</v>
      </c>
    </row>
    <row r="164" spans="1:9">
      <c r="A164" t="s">
        <v>2238</v>
      </c>
      <c r="B164" t="s">
        <v>109</v>
      </c>
      <c r="C164" t="s">
        <v>63</v>
      </c>
      <c r="E164">
        <v>123</v>
      </c>
      <c r="F164" t="s">
        <v>978</v>
      </c>
      <c r="G164" t="s">
        <v>2019</v>
      </c>
      <c r="H164" t="s">
        <v>2019</v>
      </c>
      <c r="I164" t="s">
        <v>2019</v>
      </c>
    </row>
    <row r="165" spans="1:9">
      <c r="A165" t="s">
        <v>2239</v>
      </c>
      <c r="B165" t="s">
        <v>624</v>
      </c>
      <c r="C165" t="s">
        <v>63</v>
      </c>
      <c r="E165">
        <v>75</v>
      </c>
      <c r="F165" t="s">
        <v>985</v>
      </c>
      <c r="G165" t="s">
        <v>2019</v>
      </c>
      <c r="H165" t="s">
        <v>2019</v>
      </c>
      <c r="I165" t="s">
        <v>2019</v>
      </c>
    </row>
    <row r="166" spans="1:9">
      <c r="A166" t="s">
        <v>2240</v>
      </c>
      <c r="B166" t="s">
        <v>62</v>
      </c>
      <c r="C166" t="s">
        <v>63</v>
      </c>
      <c r="E166">
        <v>193</v>
      </c>
      <c r="F166" t="s">
        <v>2241</v>
      </c>
      <c r="G166" t="s">
        <v>2019</v>
      </c>
      <c r="H166" t="s">
        <v>2019</v>
      </c>
      <c r="I166" t="s">
        <v>2019</v>
      </c>
    </row>
    <row r="167" spans="1:9">
      <c r="A167" t="s">
        <v>2242</v>
      </c>
      <c r="B167" t="s">
        <v>139</v>
      </c>
      <c r="C167" t="s">
        <v>63</v>
      </c>
      <c r="E167">
        <v>98</v>
      </c>
      <c r="F167" t="s">
        <v>997</v>
      </c>
      <c r="G167" t="s">
        <v>2019</v>
      </c>
      <c r="H167" t="s">
        <v>2019</v>
      </c>
      <c r="I167" t="s">
        <v>2019</v>
      </c>
    </row>
    <row r="168" spans="1:9">
      <c r="A168" t="s">
        <v>2243</v>
      </c>
      <c r="B168" t="s">
        <v>2026</v>
      </c>
      <c r="C168" t="s">
        <v>345</v>
      </c>
      <c r="E168">
        <v>76</v>
      </c>
      <c r="F168" t="s">
        <v>988</v>
      </c>
      <c r="G168" t="s">
        <v>2019</v>
      </c>
      <c r="H168" t="s">
        <v>2019</v>
      </c>
      <c r="I168" t="s">
        <v>2019</v>
      </c>
    </row>
    <row r="169" spans="1:9">
      <c r="A169" t="s">
        <v>2244</v>
      </c>
      <c r="B169" t="s">
        <v>2026</v>
      </c>
      <c r="C169" t="s">
        <v>63</v>
      </c>
      <c r="E169">
        <v>194</v>
      </c>
      <c r="F169" t="s">
        <v>993</v>
      </c>
      <c r="G169" t="s">
        <v>2019</v>
      </c>
      <c r="H169" t="s">
        <v>2019</v>
      </c>
      <c r="I169" t="s">
        <v>2019</v>
      </c>
    </row>
    <row r="170" spans="1:9">
      <c r="A170" t="s">
        <v>2245</v>
      </c>
      <c r="B170" t="s">
        <v>109</v>
      </c>
      <c r="C170" t="s">
        <v>63</v>
      </c>
      <c r="E170">
        <v>99</v>
      </c>
      <c r="F170" t="s">
        <v>1001</v>
      </c>
      <c r="G170" t="s">
        <v>2019</v>
      </c>
      <c r="H170" t="s">
        <v>2019</v>
      </c>
      <c r="I170" t="s">
        <v>2019</v>
      </c>
    </row>
    <row r="171" spans="1:9">
      <c r="A171" t="s">
        <v>2246</v>
      </c>
      <c r="B171" t="s">
        <v>139</v>
      </c>
      <c r="C171" t="s">
        <v>63</v>
      </c>
      <c r="E171">
        <v>129</v>
      </c>
      <c r="F171" t="s">
        <v>1004</v>
      </c>
      <c r="G171" t="s">
        <v>2019</v>
      </c>
      <c r="H171" t="s">
        <v>2019</v>
      </c>
      <c r="I171" t="s">
        <v>2019</v>
      </c>
    </row>
    <row r="172" spans="1:9">
      <c r="A172" t="s">
        <v>2247</v>
      </c>
      <c r="B172" t="s">
        <v>2026</v>
      </c>
      <c r="C172" t="s">
        <v>63</v>
      </c>
      <c r="E172">
        <v>195</v>
      </c>
      <c r="F172" t="s">
        <v>254</v>
      </c>
      <c r="G172" t="s">
        <v>2019</v>
      </c>
      <c r="H172" t="s">
        <v>2019</v>
      </c>
      <c r="I172" t="s">
        <v>2019</v>
      </c>
    </row>
    <row r="173" spans="1:9">
      <c r="A173" t="s">
        <v>2248</v>
      </c>
      <c r="B173" t="s">
        <v>258</v>
      </c>
      <c r="C173" t="s">
        <v>63</v>
      </c>
      <c r="E173">
        <v>196</v>
      </c>
      <c r="F173" t="s">
        <v>260</v>
      </c>
      <c r="G173" t="s">
        <v>2019</v>
      </c>
      <c r="H173" t="s">
        <v>2019</v>
      </c>
      <c r="I173" t="s">
        <v>2019</v>
      </c>
    </row>
    <row r="174" spans="1:9">
      <c r="A174" t="s">
        <v>2249</v>
      </c>
      <c r="B174" t="s">
        <v>2026</v>
      </c>
      <c r="C174" t="s">
        <v>63</v>
      </c>
      <c r="E174">
        <v>134</v>
      </c>
      <c r="F174" t="s">
        <v>1012</v>
      </c>
      <c r="G174" t="s">
        <v>2019</v>
      </c>
      <c r="H174" t="s">
        <v>2019</v>
      </c>
      <c r="I174" t="s">
        <v>2019</v>
      </c>
    </row>
    <row r="175" spans="1:9">
      <c r="A175" t="s">
        <v>2250</v>
      </c>
      <c r="B175" t="s">
        <v>2026</v>
      </c>
      <c r="C175" t="s">
        <v>63</v>
      </c>
      <c r="E175">
        <v>197</v>
      </c>
      <c r="F175" t="s">
        <v>153</v>
      </c>
      <c r="G175" t="s">
        <v>2019</v>
      </c>
      <c r="H175" t="s">
        <v>2019</v>
      </c>
      <c r="I175" t="s">
        <v>2019</v>
      </c>
    </row>
    <row r="176" spans="1:9">
      <c r="A176" t="s">
        <v>2251</v>
      </c>
      <c r="B176" t="s">
        <v>157</v>
      </c>
      <c r="C176" t="s">
        <v>63</v>
      </c>
      <c r="E176">
        <v>49</v>
      </c>
      <c r="F176" t="s">
        <v>1017</v>
      </c>
      <c r="G176" t="s">
        <v>2019</v>
      </c>
      <c r="H176" t="s">
        <v>2019</v>
      </c>
      <c r="I176" t="s">
        <v>2019</v>
      </c>
    </row>
    <row r="177" spans="1:9">
      <c r="A177" t="s">
        <v>2252</v>
      </c>
      <c r="B177" t="s">
        <v>268</v>
      </c>
      <c r="C177" t="s">
        <v>63</v>
      </c>
      <c r="E177">
        <v>102</v>
      </c>
      <c r="F177" t="s">
        <v>1022</v>
      </c>
      <c r="G177" t="s">
        <v>2019</v>
      </c>
      <c r="H177" t="s">
        <v>2019</v>
      </c>
      <c r="I177" t="s">
        <v>2019</v>
      </c>
    </row>
    <row r="178" spans="1:9">
      <c r="A178" t="s">
        <v>2253</v>
      </c>
      <c r="B178" t="s">
        <v>2026</v>
      </c>
      <c r="C178" t="s">
        <v>345</v>
      </c>
      <c r="E178">
        <v>50</v>
      </c>
      <c r="F178" t="s">
        <v>1026</v>
      </c>
      <c r="G178" t="s">
        <v>2019</v>
      </c>
      <c r="H178" t="s">
        <v>2019</v>
      </c>
      <c r="I178" t="s">
        <v>2019</v>
      </c>
    </row>
    <row r="179" spans="1:9">
      <c r="A179" t="s">
        <v>2254</v>
      </c>
      <c r="B179" t="s">
        <v>385</v>
      </c>
      <c r="C179" t="s">
        <v>63</v>
      </c>
      <c r="E179">
        <v>51</v>
      </c>
      <c r="F179" t="s">
        <v>1031</v>
      </c>
      <c r="G179" t="s">
        <v>2019</v>
      </c>
      <c r="H179" t="s">
        <v>2019</v>
      </c>
      <c r="I179" t="s">
        <v>2019</v>
      </c>
    </row>
    <row r="180" spans="1:9">
      <c r="A180" t="s">
        <v>2255</v>
      </c>
      <c r="B180" t="s">
        <v>2026</v>
      </c>
      <c r="C180" t="s">
        <v>63</v>
      </c>
      <c r="E180">
        <v>81</v>
      </c>
      <c r="F180" t="s">
        <v>1036</v>
      </c>
      <c r="G180" t="s">
        <v>2019</v>
      </c>
      <c r="H180" t="s">
        <v>2019</v>
      </c>
      <c r="I180" t="s">
        <v>2019</v>
      </c>
    </row>
    <row r="181" spans="1:9">
      <c r="A181" t="s">
        <v>2256</v>
      </c>
      <c r="B181" t="s">
        <v>157</v>
      </c>
      <c r="C181" t="s">
        <v>63</v>
      </c>
      <c r="E181">
        <v>77</v>
      </c>
      <c r="F181" t="s">
        <v>1043</v>
      </c>
      <c r="G181" t="s">
        <v>2019</v>
      </c>
      <c r="H181" t="s">
        <v>2019</v>
      </c>
      <c r="I181" t="s">
        <v>2019</v>
      </c>
    </row>
    <row r="182" spans="1:9">
      <c r="A182" t="s">
        <v>2257</v>
      </c>
      <c r="B182" t="s">
        <v>2026</v>
      </c>
      <c r="C182" t="s">
        <v>345</v>
      </c>
      <c r="E182">
        <v>78</v>
      </c>
      <c r="F182" t="s">
        <v>346</v>
      </c>
      <c r="G182" t="s">
        <v>2019</v>
      </c>
      <c r="H182" t="s">
        <v>2019</v>
      </c>
      <c r="I182" t="s">
        <v>2019</v>
      </c>
    </row>
    <row r="183" spans="1:9">
      <c r="A183" t="s">
        <v>2258</v>
      </c>
      <c r="B183" t="s">
        <v>227</v>
      </c>
      <c r="C183" t="s">
        <v>63</v>
      </c>
      <c r="E183">
        <v>79</v>
      </c>
      <c r="F183" t="s">
        <v>1047</v>
      </c>
      <c r="G183" t="s">
        <v>2019</v>
      </c>
      <c r="H183" t="s">
        <v>2019</v>
      </c>
      <c r="I183" t="s">
        <v>2019</v>
      </c>
    </row>
    <row r="184" spans="1:9">
      <c r="A184" t="s">
        <v>2259</v>
      </c>
      <c r="B184" t="s">
        <v>139</v>
      </c>
      <c r="C184" t="s">
        <v>63</v>
      </c>
      <c r="E184">
        <v>124</v>
      </c>
      <c r="F184" t="s">
        <v>1060</v>
      </c>
      <c r="G184" t="s">
        <v>2019</v>
      </c>
      <c r="H184" t="s">
        <v>2019</v>
      </c>
      <c r="I184" t="s">
        <v>2019</v>
      </c>
    </row>
    <row r="185" spans="1:9">
      <c r="A185" t="s">
        <v>2260</v>
      </c>
      <c r="B185" t="s">
        <v>2026</v>
      </c>
      <c r="C185" t="s">
        <v>345</v>
      </c>
      <c r="E185">
        <v>80</v>
      </c>
      <c r="F185" t="s">
        <v>1050</v>
      </c>
      <c r="G185" t="s">
        <v>2019</v>
      </c>
      <c r="H185" t="s">
        <v>2019</v>
      </c>
      <c r="I185" t="s">
        <v>2019</v>
      </c>
    </row>
    <row r="186" spans="1:9">
      <c r="A186" t="s">
        <v>2261</v>
      </c>
      <c r="B186" t="s">
        <v>2026</v>
      </c>
      <c r="C186" t="s">
        <v>63</v>
      </c>
      <c r="E186">
        <v>198</v>
      </c>
      <c r="F186" t="s">
        <v>1056</v>
      </c>
      <c r="G186" t="s">
        <v>2019</v>
      </c>
      <c r="H186" t="s">
        <v>2019</v>
      </c>
      <c r="I186" t="s">
        <v>2019</v>
      </c>
    </row>
    <row r="187" spans="1:9">
      <c r="A187" t="s">
        <v>2262</v>
      </c>
      <c r="B187" t="s">
        <v>109</v>
      </c>
      <c r="C187" t="s">
        <v>63</v>
      </c>
      <c r="E187">
        <v>125</v>
      </c>
      <c r="F187" t="s">
        <v>1064</v>
      </c>
      <c r="G187" t="s">
        <v>2019</v>
      </c>
      <c r="H187" t="s">
        <v>2019</v>
      </c>
      <c r="I187" t="s">
        <v>2019</v>
      </c>
    </row>
    <row r="188" spans="1:9">
      <c r="A188" t="s">
        <v>2263</v>
      </c>
      <c r="B188" t="s">
        <v>519</v>
      </c>
      <c r="C188" t="s">
        <v>63</v>
      </c>
      <c r="E188">
        <v>82</v>
      </c>
      <c r="F188" t="s">
        <v>1065</v>
      </c>
      <c r="G188" t="s">
        <v>2019</v>
      </c>
      <c r="H188" t="s">
        <v>2019</v>
      </c>
      <c r="I188" t="s">
        <v>2019</v>
      </c>
    </row>
    <row r="189" spans="1:9">
      <c r="A189" t="s">
        <v>2264</v>
      </c>
      <c r="B189" t="s">
        <v>2026</v>
      </c>
      <c r="C189" t="s">
        <v>345</v>
      </c>
      <c r="E189">
        <v>83</v>
      </c>
      <c r="F189" t="s">
        <v>1071</v>
      </c>
      <c r="G189" t="s">
        <v>2019</v>
      </c>
      <c r="H189" t="s">
        <v>2019</v>
      </c>
      <c r="I189" t="s">
        <v>2019</v>
      </c>
    </row>
    <row r="190" spans="1:9">
      <c r="A190" t="s">
        <v>2265</v>
      </c>
      <c r="B190" t="s">
        <v>109</v>
      </c>
      <c r="C190" t="s">
        <v>63</v>
      </c>
      <c r="E190">
        <v>85</v>
      </c>
      <c r="F190" t="s">
        <v>1075</v>
      </c>
      <c r="G190" t="s">
        <v>2019</v>
      </c>
      <c r="H190" t="s">
        <v>2019</v>
      </c>
      <c r="I190" t="s">
        <v>2019</v>
      </c>
    </row>
    <row r="191" spans="1:9">
      <c r="A191" t="s">
        <v>2266</v>
      </c>
      <c r="B191" t="s">
        <v>2026</v>
      </c>
      <c r="C191" t="s">
        <v>345</v>
      </c>
      <c r="E191">
        <v>86</v>
      </c>
      <c r="F191" t="s">
        <v>1008</v>
      </c>
      <c r="G191" t="s">
        <v>2019</v>
      </c>
      <c r="H191" t="s">
        <v>2019</v>
      </c>
      <c r="I191" t="s">
        <v>2019</v>
      </c>
    </row>
    <row r="192" spans="1:9">
      <c r="A192" t="s">
        <v>2267</v>
      </c>
      <c r="B192" t="s">
        <v>139</v>
      </c>
      <c r="C192" t="s">
        <v>63</v>
      </c>
      <c r="E192">
        <v>87</v>
      </c>
      <c r="F192" t="s">
        <v>1079</v>
      </c>
      <c r="G192" t="s">
        <v>2019</v>
      </c>
      <c r="H192" t="s">
        <v>2019</v>
      </c>
      <c r="I192" t="s">
        <v>2019</v>
      </c>
    </row>
    <row r="193" spans="1:9">
      <c r="A193" t="s">
        <v>2268</v>
      </c>
      <c r="B193" t="s">
        <v>485</v>
      </c>
      <c r="C193" t="s">
        <v>63</v>
      </c>
      <c r="E193">
        <v>88</v>
      </c>
      <c r="F193" t="s">
        <v>1084</v>
      </c>
      <c r="G193" t="s">
        <v>2019</v>
      </c>
      <c r="H193" t="s">
        <v>2019</v>
      </c>
      <c r="I193" t="s">
        <v>2019</v>
      </c>
    </row>
    <row r="194" spans="1:9">
      <c r="A194" t="s">
        <v>2269</v>
      </c>
      <c r="B194" t="s">
        <v>2026</v>
      </c>
      <c r="C194" t="s">
        <v>63</v>
      </c>
      <c r="E194">
        <v>84</v>
      </c>
      <c r="F194" t="s">
        <v>1088</v>
      </c>
      <c r="G194" t="s">
        <v>2019</v>
      </c>
      <c r="H194" t="s">
        <v>2019</v>
      </c>
      <c r="I194" t="s">
        <v>2019</v>
      </c>
    </row>
    <row r="195" spans="1:9">
      <c r="A195" t="s">
        <v>2270</v>
      </c>
      <c r="B195" t="s">
        <v>109</v>
      </c>
      <c r="C195" t="s">
        <v>63</v>
      </c>
      <c r="E195">
        <v>89</v>
      </c>
      <c r="F195" t="s">
        <v>1092</v>
      </c>
      <c r="G195" t="s">
        <v>2019</v>
      </c>
      <c r="H195" t="s">
        <v>2019</v>
      </c>
      <c r="I195" t="s">
        <v>2019</v>
      </c>
    </row>
    <row r="196" spans="1:9">
      <c r="A196" t="s">
        <v>2271</v>
      </c>
      <c r="B196" t="s">
        <v>139</v>
      </c>
      <c r="C196" t="s">
        <v>63</v>
      </c>
      <c r="E196">
        <v>90</v>
      </c>
      <c r="F196" t="s">
        <v>1096</v>
      </c>
      <c r="G196" t="s">
        <v>2019</v>
      </c>
      <c r="H196" t="s">
        <v>2019</v>
      </c>
      <c r="I196" t="s">
        <v>2019</v>
      </c>
    </row>
    <row r="197" spans="1:9">
      <c r="A197" t="s">
        <v>2272</v>
      </c>
      <c r="B197" t="s">
        <v>485</v>
      </c>
      <c r="C197" t="s">
        <v>63</v>
      </c>
      <c r="E197">
        <v>91</v>
      </c>
      <c r="F197" t="s">
        <v>1101</v>
      </c>
      <c r="G197" t="s">
        <v>2019</v>
      </c>
      <c r="H197" t="s">
        <v>2019</v>
      </c>
      <c r="I197" t="s">
        <v>2019</v>
      </c>
    </row>
    <row r="198" spans="1:9">
      <c r="A198" t="s">
        <v>2273</v>
      </c>
      <c r="B198" t="s">
        <v>2026</v>
      </c>
      <c r="C198" t="s">
        <v>63</v>
      </c>
      <c r="E198">
        <v>92</v>
      </c>
      <c r="F198" t="s">
        <v>1105</v>
      </c>
      <c r="G198" t="s">
        <v>2019</v>
      </c>
      <c r="H198" t="s">
        <v>2019</v>
      </c>
      <c r="I198" t="s">
        <v>2019</v>
      </c>
    </row>
    <row r="199" spans="1:9">
      <c r="A199" t="s">
        <v>2274</v>
      </c>
      <c r="B199" t="s">
        <v>109</v>
      </c>
      <c r="C199" t="s">
        <v>63</v>
      </c>
      <c r="E199">
        <v>93</v>
      </c>
      <c r="F199" t="s">
        <v>1109</v>
      </c>
      <c r="G199" t="s">
        <v>2019</v>
      </c>
      <c r="H199" t="s">
        <v>2019</v>
      </c>
      <c r="I199" t="s">
        <v>2019</v>
      </c>
    </row>
  </sheetData>
  <sortState xmlns:xlrd2="http://schemas.microsoft.com/office/spreadsheetml/2017/richdata2" ref="A2:I199">
    <sortCondition ref="A2:A19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FDEF-525E-45C1-A9CB-E19CE30B0290}">
  <dimension ref="A1:F210"/>
  <sheetViews>
    <sheetView topLeftCell="A12" workbookViewId="0">
      <selection activeCell="A2" sqref="A2:F210"/>
    </sheetView>
  </sheetViews>
  <sheetFormatPr defaultRowHeight="14.4"/>
  <cols>
    <col min="1" max="1" width="32.88671875" bestFit="1" customWidth="1"/>
    <col min="2" max="2" width="20.33203125" bestFit="1" customWidth="1"/>
    <col min="5" max="5" width="11.88671875" bestFit="1" customWidth="1"/>
    <col min="6" max="6" width="128.33203125" style="2" customWidth="1"/>
  </cols>
  <sheetData>
    <row r="1" spans="1:6">
      <c r="A1" s="90" t="s">
        <v>2009</v>
      </c>
      <c r="B1" s="91" t="s">
        <v>2010</v>
      </c>
      <c r="C1" t="s">
        <v>2011</v>
      </c>
      <c r="D1" t="s">
        <v>2012</v>
      </c>
      <c r="E1" t="s">
        <v>2013</v>
      </c>
      <c r="F1" s="2" t="s">
        <v>2014</v>
      </c>
    </row>
    <row r="2" spans="1:6">
      <c r="A2" t="s">
        <v>233</v>
      </c>
      <c r="B2" t="s">
        <v>2275</v>
      </c>
      <c r="C2" t="s">
        <v>63</v>
      </c>
      <c r="E2">
        <v>193</v>
      </c>
      <c r="F2" s="2" t="s">
        <v>234</v>
      </c>
    </row>
    <row r="3" spans="1:6" ht="43.2">
      <c r="A3" t="s">
        <v>209</v>
      </c>
      <c r="B3" t="s">
        <v>2276</v>
      </c>
      <c r="C3" t="s">
        <v>63</v>
      </c>
      <c r="E3">
        <v>173</v>
      </c>
      <c r="F3" s="2" t="s">
        <v>2021</v>
      </c>
    </row>
    <row r="4" spans="1:6">
      <c r="A4" t="s">
        <v>218</v>
      </c>
      <c r="B4" t="s">
        <v>2277</v>
      </c>
      <c r="C4" t="s">
        <v>63</v>
      </c>
      <c r="E4">
        <v>191</v>
      </c>
      <c r="F4" s="2" t="s">
        <v>220</v>
      </c>
    </row>
    <row r="5" spans="1:6">
      <c r="A5" t="s">
        <v>226</v>
      </c>
      <c r="B5" t="s">
        <v>2278</v>
      </c>
      <c r="C5" t="s">
        <v>63</v>
      </c>
      <c r="E5">
        <v>192</v>
      </c>
      <c r="F5" s="2" t="s">
        <v>229</v>
      </c>
    </row>
    <row r="6" spans="1:6">
      <c r="A6" t="s">
        <v>360</v>
      </c>
      <c r="B6" t="s">
        <v>2275</v>
      </c>
      <c r="C6" t="s">
        <v>63</v>
      </c>
      <c r="E6">
        <v>114</v>
      </c>
      <c r="F6" s="2" t="s">
        <v>362</v>
      </c>
    </row>
    <row r="7" spans="1:6">
      <c r="A7" t="s">
        <v>366</v>
      </c>
      <c r="B7" t="s">
        <v>101</v>
      </c>
      <c r="C7" t="s">
        <v>345</v>
      </c>
      <c r="E7">
        <v>4</v>
      </c>
      <c r="F7" s="2" t="s">
        <v>367</v>
      </c>
    </row>
    <row r="8" spans="1:6">
      <c r="A8" t="s">
        <v>373</v>
      </c>
      <c r="B8" t="s">
        <v>101</v>
      </c>
      <c r="C8" t="s">
        <v>63</v>
      </c>
      <c r="E8">
        <v>146</v>
      </c>
      <c r="F8" s="2" t="s">
        <v>374</v>
      </c>
    </row>
    <row r="9" spans="1:6">
      <c r="A9" t="s">
        <v>369</v>
      </c>
      <c r="B9" t="s">
        <v>2279</v>
      </c>
      <c r="C9" t="s">
        <v>63</v>
      </c>
      <c r="E9">
        <v>115</v>
      </c>
      <c r="F9" s="2" t="s">
        <v>371</v>
      </c>
    </row>
    <row r="10" spans="1:6">
      <c r="A10" t="s">
        <v>378</v>
      </c>
      <c r="B10" t="s">
        <v>2275</v>
      </c>
      <c r="C10" t="s">
        <v>345</v>
      </c>
      <c r="D10" t="s">
        <v>2280</v>
      </c>
      <c r="E10">
        <v>137</v>
      </c>
      <c r="F10" s="2" t="s">
        <v>380</v>
      </c>
    </row>
    <row r="11" spans="1:6">
      <c r="A11" t="s">
        <v>383</v>
      </c>
      <c r="B11" t="s">
        <v>385</v>
      </c>
      <c r="C11" t="s">
        <v>63</v>
      </c>
      <c r="E11">
        <v>208</v>
      </c>
      <c r="F11" s="2" t="s">
        <v>382</v>
      </c>
    </row>
    <row r="12" spans="1:6">
      <c r="A12" t="s">
        <v>393</v>
      </c>
      <c r="B12" t="s">
        <v>385</v>
      </c>
      <c r="C12" t="s">
        <v>63</v>
      </c>
      <c r="E12">
        <v>209</v>
      </c>
      <c r="F12" s="2" t="s">
        <v>392</v>
      </c>
    </row>
    <row r="13" spans="1:6">
      <c r="A13" t="s">
        <v>1120</v>
      </c>
      <c r="B13" t="s">
        <v>101</v>
      </c>
      <c r="C13" t="s">
        <v>345</v>
      </c>
      <c r="E13">
        <v>2</v>
      </c>
      <c r="F13" s="2" t="s">
        <v>1128</v>
      </c>
    </row>
    <row r="14" spans="1:6">
      <c r="A14" t="s">
        <v>397</v>
      </c>
      <c r="B14" t="s">
        <v>101</v>
      </c>
      <c r="C14" t="s">
        <v>63</v>
      </c>
      <c r="E14">
        <v>93</v>
      </c>
      <c r="F14" s="2" t="s">
        <v>399</v>
      </c>
    </row>
    <row r="15" spans="1:6">
      <c r="A15" t="s">
        <v>244</v>
      </c>
      <c r="B15" t="s">
        <v>2281</v>
      </c>
      <c r="C15" t="s">
        <v>63</v>
      </c>
      <c r="E15">
        <v>150</v>
      </c>
      <c r="F15" s="2" t="s">
        <v>246</v>
      </c>
    </row>
    <row r="16" spans="1:6">
      <c r="A16" t="s">
        <v>329</v>
      </c>
      <c r="B16" t="s">
        <v>2281</v>
      </c>
      <c r="C16" t="s">
        <v>63</v>
      </c>
      <c r="E16">
        <v>156</v>
      </c>
      <c r="F16" s="2" t="s">
        <v>2282</v>
      </c>
    </row>
    <row r="17" spans="1:6">
      <c r="A17" t="s">
        <v>333</v>
      </c>
      <c r="B17" t="s">
        <v>2283</v>
      </c>
      <c r="C17" t="s">
        <v>63</v>
      </c>
      <c r="E17">
        <v>157</v>
      </c>
      <c r="F17" s="2" t="s">
        <v>335</v>
      </c>
    </row>
    <row r="18" spans="1:6">
      <c r="A18" t="s">
        <v>402</v>
      </c>
      <c r="B18" t="s">
        <v>157</v>
      </c>
      <c r="C18" t="s">
        <v>63</v>
      </c>
      <c r="E18">
        <v>134</v>
      </c>
      <c r="F18" s="2" t="s">
        <v>2037</v>
      </c>
    </row>
    <row r="19" spans="1:6">
      <c r="A19" t="s">
        <v>408</v>
      </c>
      <c r="B19" t="s">
        <v>157</v>
      </c>
      <c r="C19" t="s">
        <v>63</v>
      </c>
      <c r="E19">
        <v>23</v>
      </c>
      <c r="F19" s="2" t="s">
        <v>410</v>
      </c>
    </row>
    <row r="20" spans="1:6">
      <c r="A20" t="s">
        <v>1118</v>
      </c>
      <c r="B20" t="s">
        <v>101</v>
      </c>
      <c r="C20" t="s">
        <v>345</v>
      </c>
      <c r="E20">
        <v>18</v>
      </c>
      <c r="F20" s="2" t="s">
        <v>1119</v>
      </c>
    </row>
    <row r="21" spans="1:6">
      <c r="A21" t="s">
        <v>417</v>
      </c>
      <c r="B21" t="s">
        <v>101</v>
      </c>
      <c r="C21" t="s">
        <v>63</v>
      </c>
      <c r="E21">
        <v>96</v>
      </c>
      <c r="F21" s="2" t="s">
        <v>419</v>
      </c>
    </row>
    <row r="22" spans="1:6">
      <c r="A22" t="s">
        <v>412</v>
      </c>
      <c r="B22" t="s">
        <v>2281</v>
      </c>
      <c r="C22" t="s">
        <v>63</v>
      </c>
      <c r="E22">
        <v>98</v>
      </c>
      <c r="F22" s="2" t="s">
        <v>414</v>
      </c>
    </row>
    <row r="23" spans="1:6">
      <c r="A23" t="s">
        <v>425</v>
      </c>
      <c r="B23" t="s">
        <v>2284</v>
      </c>
      <c r="C23" t="s">
        <v>63</v>
      </c>
      <c r="E23">
        <v>51</v>
      </c>
      <c r="F23" s="2" t="s">
        <v>429</v>
      </c>
    </row>
    <row r="24" spans="1:6" ht="28.8">
      <c r="A24" t="s">
        <v>462</v>
      </c>
      <c r="B24" t="s">
        <v>2285</v>
      </c>
      <c r="C24" t="s">
        <v>63</v>
      </c>
      <c r="E24">
        <v>57</v>
      </c>
      <c r="F24" s="2" t="s">
        <v>2286</v>
      </c>
    </row>
    <row r="25" spans="1:6">
      <c r="A25" t="s">
        <v>470</v>
      </c>
      <c r="B25" t="s">
        <v>2277</v>
      </c>
      <c r="C25" t="s">
        <v>63</v>
      </c>
      <c r="E25">
        <v>147</v>
      </c>
      <c r="F25" s="2" t="s">
        <v>2287</v>
      </c>
    </row>
    <row r="26" spans="1:6">
      <c r="A26" t="s">
        <v>479</v>
      </c>
      <c r="B26" t="s">
        <v>2281</v>
      </c>
      <c r="C26" t="s">
        <v>63</v>
      </c>
      <c r="E26">
        <v>80</v>
      </c>
      <c r="F26" s="2" t="s">
        <v>2055</v>
      </c>
    </row>
    <row r="27" spans="1:6">
      <c r="A27" t="s">
        <v>483</v>
      </c>
      <c r="B27" t="s">
        <v>2288</v>
      </c>
      <c r="C27" t="s">
        <v>63</v>
      </c>
      <c r="E27">
        <v>82</v>
      </c>
      <c r="F27" s="2" t="s">
        <v>2057</v>
      </c>
    </row>
    <row r="28" spans="1:6">
      <c r="A28" t="s">
        <v>494</v>
      </c>
      <c r="B28" t="s">
        <v>2289</v>
      </c>
      <c r="C28" t="s">
        <v>63</v>
      </c>
      <c r="E28">
        <v>81</v>
      </c>
      <c r="F28" s="2" t="s">
        <v>2061</v>
      </c>
    </row>
    <row r="29" spans="1:6" ht="28.8">
      <c r="A29" t="s">
        <v>431</v>
      </c>
      <c r="B29" t="s">
        <v>2290</v>
      </c>
      <c r="C29" t="s">
        <v>63</v>
      </c>
      <c r="E29">
        <v>86</v>
      </c>
      <c r="F29" s="2" t="s">
        <v>2043</v>
      </c>
    </row>
    <row r="30" spans="1:6">
      <c r="A30" t="s">
        <v>452</v>
      </c>
      <c r="B30" t="s">
        <v>2283</v>
      </c>
      <c r="C30" t="s">
        <v>63</v>
      </c>
      <c r="E30">
        <v>87</v>
      </c>
      <c r="F30" s="2" t="s">
        <v>2047</v>
      </c>
    </row>
    <row r="31" spans="1:6">
      <c r="A31" t="s">
        <v>498</v>
      </c>
      <c r="B31" t="s">
        <v>101</v>
      </c>
      <c r="C31" t="s">
        <v>63</v>
      </c>
      <c r="E31">
        <v>135</v>
      </c>
      <c r="F31" s="2" t="s">
        <v>2062</v>
      </c>
    </row>
    <row r="32" spans="1:6">
      <c r="A32" t="s">
        <v>505</v>
      </c>
      <c r="B32" t="s">
        <v>2281</v>
      </c>
      <c r="C32" t="s">
        <v>63</v>
      </c>
      <c r="E32">
        <v>45</v>
      </c>
      <c r="F32" s="2" t="s">
        <v>2291</v>
      </c>
    </row>
    <row r="33" spans="1:6">
      <c r="A33" t="s">
        <v>509</v>
      </c>
      <c r="B33" t="s">
        <v>2283</v>
      </c>
      <c r="C33" t="s">
        <v>63</v>
      </c>
      <c r="E33">
        <v>131</v>
      </c>
      <c r="F33" s="2" t="s">
        <v>2066</v>
      </c>
    </row>
    <row r="34" spans="1:6">
      <c r="A34" t="s">
        <v>513</v>
      </c>
      <c r="B34" t="s">
        <v>2285</v>
      </c>
      <c r="C34" t="s">
        <v>63</v>
      </c>
      <c r="E34">
        <v>56</v>
      </c>
      <c r="F34" s="2" t="s">
        <v>2068</v>
      </c>
    </row>
    <row r="35" spans="1:6">
      <c r="A35" t="s">
        <v>546</v>
      </c>
      <c r="B35" t="s">
        <v>101</v>
      </c>
      <c r="C35" t="s">
        <v>345</v>
      </c>
      <c r="E35">
        <v>8</v>
      </c>
      <c r="F35" s="2" t="s">
        <v>2292</v>
      </c>
    </row>
    <row r="36" spans="1:6">
      <c r="A36" t="s">
        <v>541</v>
      </c>
      <c r="B36" t="s">
        <v>101</v>
      </c>
      <c r="C36" t="s">
        <v>63</v>
      </c>
      <c r="E36">
        <v>95</v>
      </c>
      <c r="F36" s="2" t="s">
        <v>543</v>
      </c>
    </row>
    <row r="37" spans="1:6">
      <c r="A37" t="s">
        <v>522</v>
      </c>
      <c r="B37" t="s">
        <v>2284</v>
      </c>
      <c r="C37" t="s">
        <v>63</v>
      </c>
      <c r="E37">
        <v>116</v>
      </c>
      <c r="F37" s="2" t="s">
        <v>524</v>
      </c>
    </row>
    <row r="38" spans="1:6">
      <c r="A38" t="s">
        <v>528</v>
      </c>
      <c r="B38" t="s">
        <v>101</v>
      </c>
      <c r="C38" t="s">
        <v>345</v>
      </c>
      <c r="E38">
        <v>5</v>
      </c>
      <c r="F38" s="2" t="s">
        <v>529</v>
      </c>
    </row>
    <row r="39" spans="1:6">
      <c r="A39" t="s">
        <v>537</v>
      </c>
      <c r="B39" t="s">
        <v>101</v>
      </c>
      <c r="C39" t="s">
        <v>63</v>
      </c>
      <c r="E39">
        <v>148</v>
      </c>
      <c r="F39" s="2" t="s">
        <v>538</v>
      </c>
    </row>
    <row r="40" spans="1:6" ht="28.8">
      <c r="A40" t="s">
        <v>531</v>
      </c>
      <c r="B40" t="s">
        <v>2293</v>
      </c>
      <c r="C40" t="s">
        <v>63</v>
      </c>
      <c r="E40">
        <v>117</v>
      </c>
      <c r="F40" s="2" t="s">
        <v>535</v>
      </c>
    </row>
    <row r="41" spans="1:6">
      <c r="A41" t="s">
        <v>557</v>
      </c>
      <c r="B41" t="s">
        <v>559</v>
      </c>
      <c r="C41" t="s">
        <v>63</v>
      </c>
      <c r="E41">
        <v>42</v>
      </c>
      <c r="F41" s="2" t="s">
        <v>2082</v>
      </c>
    </row>
    <row r="42" spans="1:6">
      <c r="A42" t="s">
        <v>440</v>
      </c>
      <c r="B42" t="s">
        <v>2290</v>
      </c>
      <c r="C42" t="s">
        <v>63</v>
      </c>
      <c r="E42">
        <v>159</v>
      </c>
      <c r="F42" s="2" t="s">
        <v>2076</v>
      </c>
    </row>
    <row r="43" spans="1:6">
      <c r="A43" t="s">
        <v>457</v>
      </c>
      <c r="B43" t="s">
        <v>2283</v>
      </c>
      <c r="C43" t="s">
        <v>63</v>
      </c>
      <c r="E43">
        <v>160</v>
      </c>
      <c r="F43" s="2" t="s">
        <v>2078</v>
      </c>
    </row>
    <row r="44" spans="1:6">
      <c r="A44" t="s">
        <v>552</v>
      </c>
      <c r="B44" t="s">
        <v>101</v>
      </c>
      <c r="C44" t="s">
        <v>63</v>
      </c>
      <c r="E44">
        <v>58</v>
      </c>
      <c r="F44" s="2" t="s">
        <v>2080</v>
      </c>
    </row>
    <row r="45" spans="1:6">
      <c r="A45" t="s">
        <v>565</v>
      </c>
      <c r="B45" t="s">
        <v>559</v>
      </c>
      <c r="C45" t="s">
        <v>63</v>
      </c>
      <c r="E45">
        <v>35</v>
      </c>
      <c r="F45" s="2" t="s">
        <v>2085</v>
      </c>
    </row>
    <row r="46" spans="1:6">
      <c r="A46" t="s">
        <v>584</v>
      </c>
      <c r="B46" t="s">
        <v>2294</v>
      </c>
      <c r="C46" t="s">
        <v>63</v>
      </c>
      <c r="E46">
        <v>105</v>
      </c>
      <c r="F46" s="2" t="s">
        <v>586</v>
      </c>
    </row>
    <row r="47" spans="1:6">
      <c r="A47" t="s">
        <v>590</v>
      </c>
      <c r="B47" t="s">
        <v>101</v>
      </c>
      <c r="C47" t="s">
        <v>63</v>
      </c>
      <c r="E47">
        <v>104</v>
      </c>
      <c r="F47" s="2" t="s">
        <v>591</v>
      </c>
    </row>
    <row r="48" spans="1:6">
      <c r="A48" t="s">
        <v>518</v>
      </c>
      <c r="B48" t="s">
        <v>2295</v>
      </c>
      <c r="C48" t="s">
        <v>63</v>
      </c>
      <c r="E48">
        <v>52</v>
      </c>
      <c r="F48" s="2" t="s">
        <v>517</v>
      </c>
    </row>
    <row r="49" spans="1:6">
      <c r="A49" t="s">
        <v>570</v>
      </c>
      <c r="B49" t="s">
        <v>2285</v>
      </c>
      <c r="C49" t="s">
        <v>63</v>
      </c>
      <c r="E49">
        <v>143</v>
      </c>
      <c r="F49" s="2" t="s">
        <v>572</v>
      </c>
    </row>
    <row r="50" spans="1:6">
      <c r="A50" t="s">
        <v>576</v>
      </c>
      <c r="B50" t="s">
        <v>157</v>
      </c>
      <c r="C50" t="s">
        <v>345</v>
      </c>
      <c r="D50" t="s">
        <v>2296</v>
      </c>
      <c r="E50">
        <v>89</v>
      </c>
      <c r="F50" s="2" t="s">
        <v>578</v>
      </c>
    </row>
    <row r="51" spans="1:6">
      <c r="A51" t="s">
        <v>580</v>
      </c>
      <c r="B51" t="s">
        <v>2285</v>
      </c>
      <c r="C51" t="s">
        <v>345</v>
      </c>
      <c r="D51" t="s">
        <v>2297</v>
      </c>
      <c r="E51">
        <v>90</v>
      </c>
      <c r="F51" s="2" t="s">
        <v>582</v>
      </c>
    </row>
    <row r="52" spans="1:6" ht="28.8">
      <c r="A52" t="s">
        <v>475</v>
      </c>
      <c r="B52" t="s">
        <v>101</v>
      </c>
      <c r="C52" t="s">
        <v>63</v>
      </c>
      <c r="E52">
        <v>32</v>
      </c>
      <c r="F52" s="2" t="s">
        <v>2053</v>
      </c>
    </row>
    <row r="53" spans="1:6">
      <c r="A53" t="s">
        <v>490</v>
      </c>
      <c r="B53" t="s">
        <v>101</v>
      </c>
      <c r="C53" t="s">
        <v>63</v>
      </c>
      <c r="E53">
        <v>79</v>
      </c>
      <c r="F53" s="2" t="s">
        <v>2059</v>
      </c>
    </row>
    <row r="54" spans="1:6">
      <c r="A54" t="s">
        <v>445</v>
      </c>
      <c r="B54" t="s">
        <v>101</v>
      </c>
      <c r="C54" t="s">
        <v>63</v>
      </c>
      <c r="E54">
        <v>88</v>
      </c>
      <c r="F54" s="2" t="s">
        <v>2045</v>
      </c>
    </row>
    <row r="55" spans="1:6">
      <c r="A55" t="s">
        <v>595</v>
      </c>
      <c r="B55" t="s">
        <v>2281</v>
      </c>
      <c r="C55" t="s">
        <v>63</v>
      </c>
      <c r="E55">
        <v>109</v>
      </c>
      <c r="F55" s="2" t="s">
        <v>597</v>
      </c>
    </row>
    <row r="56" spans="1:6">
      <c r="A56" t="s">
        <v>601</v>
      </c>
      <c r="B56" t="s">
        <v>101</v>
      </c>
      <c r="C56" t="s">
        <v>63</v>
      </c>
      <c r="E56">
        <v>108</v>
      </c>
      <c r="F56" s="2" t="s">
        <v>602</v>
      </c>
    </row>
    <row r="57" spans="1:6">
      <c r="A57" t="s">
        <v>604</v>
      </c>
      <c r="B57" t="s">
        <v>2289</v>
      </c>
      <c r="C57" t="s">
        <v>63</v>
      </c>
      <c r="E57">
        <v>110</v>
      </c>
      <c r="F57" s="2" t="s">
        <v>606</v>
      </c>
    </row>
    <row r="58" spans="1:6">
      <c r="A58" t="s">
        <v>155</v>
      </c>
      <c r="B58" t="s">
        <v>157</v>
      </c>
      <c r="C58" t="s">
        <v>63</v>
      </c>
      <c r="E58">
        <v>170</v>
      </c>
      <c r="F58" s="2" t="s">
        <v>159</v>
      </c>
    </row>
    <row r="59" spans="1:6" ht="28.8">
      <c r="A59" t="s">
        <v>622</v>
      </c>
      <c r="B59" t="s">
        <v>624</v>
      </c>
      <c r="C59" t="s">
        <v>63</v>
      </c>
      <c r="E59">
        <v>25</v>
      </c>
      <c r="F59" s="2" t="s">
        <v>625</v>
      </c>
    </row>
    <row r="60" spans="1:6" ht="28.8">
      <c r="A60" t="s">
        <v>627</v>
      </c>
      <c r="B60" t="s">
        <v>2281</v>
      </c>
      <c r="C60" t="s">
        <v>63</v>
      </c>
      <c r="E60">
        <v>71</v>
      </c>
      <c r="F60" s="2" t="s">
        <v>2100</v>
      </c>
    </row>
    <row r="61" spans="1:6" ht="28.8">
      <c r="A61" t="s">
        <v>632</v>
      </c>
      <c r="B61" t="s">
        <v>2288</v>
      </c>
      <c r="C61" t="s">
        <v>63</v>
      </c>
      <c r="E61">
        <v>73</v>
      </c>
      <c r="F61" s="2" t="s">
        <v>2102</v>
      </c>
    </row>
    <row r="62" spans="1:6" ht="28.8">
      <c r="A62" t="s">
        <v>636</v>
      </c>
      <c r="B62" t="s">
        <v>101</v>
      </c>
      <c r="C62" t="s">
        <v>63</v>
      </c>
      <c r="E62">
        <v>74</v>
      </c>
      <c r="F62" s="2" t="s">
        <v>2104</v>
      </c>
    </row>
    <row r="63" spans="1:6" ht="28.8">
      <c r="A63" t="s">
        <v>639</v>
      </c>
      <c r="B63" t="s">
        <v>2289</v>
      </c>
      <c r="C63" t="s">
        <v>63</v>
      </c>
      <c r="E63">
        <v>72</v>
      </c>
      <c r="F63" s="2" t="s">
        <v>2106</v>
      </c>
    </row>
    <row r="64" spans="1:6" ht="43.2">
      <c r="A64" t="s">
        <v>643</v>
      </c>
      <c r="B64" t="s">
        <v>2281</v>
      </c>
      <c r="C64" t="s">
        <v>63</v>
      </c>
      <c r="E64">
        <v>68</v>
      </c>
      <c r="F64" s="2" t="s">
        <v>645</v>
      </c>
    </row>
    <row r="65" spans="1:6" ht="43.2">
      <c r="A65" t="s">
        <v>648</v>
      </c>
      <c r="B65" t="s">
        <v>2288</v>
      </c>
      <c r="C65" t="s">
        <v>63</v>
      </c>
      <c r="E65">
        <v>70</v>
      </c>
      <c r="F65" s="2" t="s">
        <v>650</v>
      </c>
    </row>
    <row r="66" spans="1:6" ht="43.2">
      <c r="A66" t="s">
        <v>652</v>
      </c>
      <c r="B66" t="s">
        <v>101</v>
      </c>
      <c r="C66" t="s">
        <v>63</v>
      </c>
      <c r="E66">
        <v>67</v>
      </c>
      <c r="F66" s="2" t="s">
        <v>653</v>
      </c>
    </row>
    <row r="67" spans="1:6" ht="43.2">
      <c r="A67" t="s">
        <v>655</v>
      </c>
      <c r="B67" t="s">
        <v>2289</v>
      </c>
      <c r="C67" t="s">
        <v>63</v>
      </c>
      <c r="E67">
        <v>69</v>
      </c>
      <c r="F67" s="2" t="s">
        <v>657</v>
      </c>
    </row>
    <row r="68" spans="1:6">
      <c r="A68" t="s">
        <v>609</v>
      </c>
      <c r="B68" t="s">
        <v>2279</v>
      </c>
      <c r="C68" t="s">
        <v>63</v>
      </c>
      <c r="E68">
        <v>112</v>
      </c>
      <c r="F68" s="2" t="s">
        <v>611</v>
      </c>
    </row>
    <row r="69" spans="1:6">
      <c r="A69" t="s">
        <v>353</v>
      </c>
      <c r="B69" t="s">
        <v>101</v>
      </c>
      <c r="C69" t="s">
        <v>345</v>
      </c>
      <c r="E69">
        <v>1</v>
      </c>
      <c r="F69" s="2" t="s">
        <v>354</v>
      </c>
    </row>
    <row r="70" spans="1:6">
      <c r="A70" t="s">
        <v>615</v>
      </c>
      <c r="B70" t="s">
        <v>2298</v>
      </c>
      <c r="C70" t="s">
        <v>63</v>
      </c>
      <c r="E70">
        <v>113</v>
      </c>
      <c r="F70" s="2" t="s">
        <v>619</v>
      </c>
    </row>
    <row r="71" spans="1:6" ht="28.8">
      <c r="A71" t="s">
        <v>175</v>
      </c>
      <c r="B71" t="s">
        <v>2281</v>
      </c>
      <c r="C71" t="s">
        <v>63</v>
      </c>
      <c r="E71">
        <v>99</v>
      </c>
      <c r="F71" s="2" t="s">
        <v>660</v>
      </c>
    </row>
    <row r="72" spans="1:6">
      <c r="A72" t="s">
        <v>189</v>
      </c>
      <c r="B72" t="s">
        <v>2299</v>
      </c>
      <c r="C72" t="s">
        <v>63</v>
      </c>
      <c r="E72">
        <v>206</v>
      </c>
      <c r="F72" s="2" t="s">
        <v>193</v>
      </c>
    </row>
    <row r="73" spans="1:6">
      <c r="A73" t="s">
        <v>80</v>
      </c>
      <c r="B73" t="s">
        <v>2275</v>
      </c>
      <c r="C73" t="s">
        <v>63</v>
      </c>
      <c r="E73">
        <v>164</v>
      </c>
      <c r="F73" s="2" t="s">
        <v>84</v>
      </c>
    </row>
    <row r="74" spans="1:6">
      <c r="A74" t="s">
        <v>88</v>
      </c>
      <c r="B74" t="s">
        <v>2283</v>
      </c>
      <c r="C74" t="s">
        <v>63</v>
      </c>
      <c r="E74">
        <v>204</v>
      </c>
      <c r="F74" s="2" t="s">
        <v>92</v>
      </c>
    </row>
    <row r="75" spans="1:6">
      <c r="A75" t="s">
        <v>1136</v>
      </c>
      <c r="B75" t="s">
        <v>157</v>
      </c>
      <c r="C75" t="s">
        <v>345</v>
      </c>
      <c r="D75" t="s">
        <v>2296</v>
      </c>
      <c r="E75">
        <v>189</v>
      </c>
      <c r="F75" s="2" t="s">
        <v>1138</v>
      </c>
    </row>
    <row r="76" spans="1:6">
      <c r="A76" t="s">
        <v>1131</v>
      </c>
      <c r="B76" t="s">
        <v>2285</v>
      </c>
      <c r="C76" t="s">
        <v>345</v>
      </c>
      <c r="D76" t="s">
        <v>2300</v>
      </c>
      <c r="E76">
        <v>188</v>
      </c>
      <c r="F76" s="2" t="s">
        <v>1133</v>
      </c>
    </row>
    <row r="77" spans="1:6">
      <c r="A77" t="s">
        <v>668</v>
      </c>
      <c r="B77" t="s">
        <v>101</v>
      </c>
      <c r="C77" t="s">
        <v>345</v>
      </c>
      <c r="E77">
        <v>9</v>
      </c>
      <c r="F77" s="2" t="s">
        <v>669</v>
      </c>
    </row>
    <row r="78" spans="1:6">
      <c r="A78" t="s">
        <v>662</v>
      </c>
      <c r="B78" t="s">
        <v>2281</v>
      </c>
      <c r="C78" t="s">
        <v>63</v>
      </c>
      <c r="E78">
        <v>118</v>
      </c>
      <c r="F78" s="2" t="s">
        <v>664</v>
      </c>
    </row>
    <row r="79" spans="1:6">
      <c r="A79" t="s">
        <v>677</v>
      </c>
      <c r="B79" t="s">
        <v>101</v>
      </c>
      <c r="C79" t="s">
        <v>63</v>
      </c>
      <c r="E79">
        <v>180</v>
      </c>
      <c r="F79" s="2" t="s">
        <v>678</v>
      </c>
    </row>
    <row r="80" spans="1:6" ht="28.8">
      <c r="A80" t="s">
        <v>673</v>
      </c>
      <c r="B80" t="s">
        <v>2289</v>
      </c>
      <c r="C80" t="s">
        <v>63</v>
      </c>
      <c r="E80">
        <v>119</v>
      </c>
      <c r="F80" s="2" t="s">
        <v>2120</v>
      </c>
    </row>
    <row r="81" spans="1:6">
      <c r="A81" t="s">
        <v>686</v>
      </c>
      <c r="B81" t="s">
        <v>101</v>
      </c>
      <c r="C81" t="s">
        <v>345</v>
      </c>
      <c r="E81">
        <v>10</v>
      </c>
      <c r="F81" s="2" t="s">
        <v>687</v>
      </c>
    </row>
    <row r="82" spans="1:6">
      <c r="A82" t="s">
        <v>680</v>
      </c>
      <c r="B82" t="s">
        <v>2281</v>
      </c>
      <c r="C82" t="s">
        <v>63</v>
      </c>
      <c r="E82">
        <v>120</v>
      </c>
      <c r="F82" s="2" t="s">
        <v>682</v>
      </c>
    </row>
    <row r="83" spans="1:6">
      <c r="A83" t="s">
        <v>695</v>
      </c>
      <c r="B83" t="s">
        <v>101</v>
      </c>
      <c r="C83" t="s">
        <v>63</v>
      </c>
      <c r="E83">
        <v>181</v>
      </c>
      <c r="F83" s="2" t="s">
        <v>696</v>
      </c>
    </row>
    <row r="84" spans="1:6" ht="28.8">
      <c r="A84" t="s">
        <v>691</v>
      </c>
      <c r="B84" t="s">
        <v>2289</v>
      </c>
      <c r="C84" t="s">
        <v>63</v>
      </c>
      <c r="E84">
        <v>121</v>
      </c>
      <c r="F84" s="2" t="s">
        <v>2301</v>
      </c>
    </row>
    <row r="85" spans="1:6">
      <c r="A85" t="s">
        <v>698</v>
      </c>
      <c r="B85" t="s">
        <v>2281</v>
      </c>
      <c r="C85" t="s">
        <v>63</v>
      </c>
      <c r="E85">
        <v>122</v>
      </c>
      <c r="F85" s="2" t="s">
        <v>700</v>
      </c>
    </row>
    <row r="86" spans="1:6">
      <c r="A86" t="s">
        <v>704</v>
      </c>
      <c r="B86" t="s">
        <v>101</v>
      </c>
      <c r="C86" t="s">
        <v>345</v>
      </c>
      <c r="E86">
        <v>11</v>
      </c>
      <c r="F86" s="2" t="s">
        <v>705</v>
      </c>
    </row>
    <row r="87" spans="1:6">
      <c r="A87" t="s">
        <v>711</v>
      </c>
      <c r="B87" t="s">
        <v>101</v>
      </c>
      <c r="C87" t="s">
        <v>63</v>
      </c>
      <c r="E87">
        <v>182</v>
      </c>
      <c r="F87" s="2" t="s">
        <v>712</v>
      </c>
    </row>
    <row r="88" spans="1:6">
      <c r="A88" t="s">
        <v>707</v>
      </c>
      <c r="B88" t="s">
        <v>2289</v>
      </c>
      <c r="C88" t="s">
        <v>63</v>
      </c>
      <c r="E88">
        <v>123</v>
      </c>
      <c r="F88" s="2" t="s">
        <v>709</v>
      </c>
    </row>
    <row r="89" spans="1:6">
      <c r="A89" t="s">
        <v>714</v>
      </c>
      <c r="B89" t="s">
        <v>2281</v>
      </c>
      <c r="C89" t="s">
        <v>63</v>
      </c>
      <c r="E89">
        <v>124</v>
      </c>
      <c r="F89" s="2" t="s">
        <v>716</v>
      </c>
    </row>
    <row r="90" spans="1:6">
      <c r="A90" t="s">
        <v>723</v>
      </c>
      <c r="B90" t="s">
        <v>101</v>
      </c>
      <c r="C90" t="s">
        <v>345</v>
      </c>
      <c r="E90">
        <v>12</v>
      </c>
      <c r="F90" s="2" t="s">
        <v>724</v>
      </c>
    </row>
    <row r="91" spans="1:6">
      <c r="A91" t="s">
        <v>734</v>
      </c>
      <c r="B91" t="s">
        <v>101</v>
      </c>
      <c r="C91" t="s">
        <v>63</v>
      </c>
      <c r="E91">
        <v>183</v>
      </c>
      <c r="F91" s="2" t="s">
        <v>735</v>
      </c>
    </row>
    <row r="92" spans="1:6">
      <c r="A92" t="s">
        <v>729</v>
      </c>
      <c r="B92" t="s">
        <v>2289</v>
      </c>
      <c r="C92" t="s">
        <v>63</v>
      </c>
      <c r="E92">
        <v>125</v>
      </c>
      <c r="F92" s="2" t="s">
        <v>731</v>
      </c>
    </row>
    <row r="93" spans="1:6">
      <c r="A93" t="s">
        <v>300</v>
      </c>
      <c r="B93" t="s">
        <v>2279</v>
      </c>
      <c r="C93" t="s">
        <v>63</v>
      </c>
      <c r="E93">
        <v>151</v>
      </c>
      <c r="F93" s="2" t="s">
        <v>304</v>
      </c>
    </row>
    <row r="94" spans="1:6">
      <c r="A94" t="s">
        <v>238</v>
      </c>
      <c r="B94" t="s">
        <v>2277</v>
      </c>
      <c r="C94" t="s">
        <v>63</v>
      </c>
      <c r="E94">
        <v>174</v>
      </c>
      <c r="F94" s="2" t="s">
        <v>240</v>
      </c>
    </row>
    <row r="95" spans="1:6">
      <c r="A95" t="s">
        <v>1124</v>
      </c>
      <c r="B95" t="s">
        <v>101</v>
      </c>
      <c r="C95" t="s">
        <v>345</v>
      </c>
      <c r="E95">
        <v>3</v>
      </c>
      <c r="F95" s="2" t="s">
        <v>1125</v>
      </c>
    </row>
    <row r="96" spans="1:6">
      <c r="A96" t="s">
        <v>737</v>
      </c>
      <c r="B96" t="s">
        <v>101</v>
      </c>
      <c r="C96" t="s">
        <v>63</v>
      </c>
      <c r="E96">
        <v>97</v>
      </c>
      <c r="F96" s="2" t="s">
        <v>739</v>
      </c>
    </row>
    <row r="97" spans="1:6" ht="28.8">
      <c r="A97" t="s">
        <v>315</v>
      </c>
      <c r="B97" t="s">
        <v>2281</v>
      </c>
      <c r="C97" t="s">
        <v>63</v>
      </c>
      <c r="E97">
        <v>153</v>
      </c>
      <c r="F97" s="2" t="s">
        <v>317</v>
      </c>
    </row>
    <row r="98" spans="1:6" ht="28.8">
      <c r="A98" t="s">
        <v>319</v>
      </c>
      <c r="B98" t="s">
        <v>2281</v>
      </c>
      <c r="C98" t="s">
        <v>63</v>
      </c>
      <c r="E98">
        <v>154</v>
      </c>
      <c r="F98" s="2" t="s">
        <v>2139</v>
      </c>
    </row>
    <row r="99" spans="1:6" ht="28.8">
      <c r="A99" t="s">
        <v>324</v>
      </c>
      <c r="B99" t="s">
        <v>2283</v>
      </c>
      <c r="C99" t="s">
        <v>63</v>
      </c>
      <c r="E99">
        <v>155</v>
      </c>
      <c r="F99" s="2" t="s">
        <v>2302</v>
      </c>
    </row>
    <row r="100" spans="1:6" ht="43.2">
      <c r="A100" t="s">
        <v>308</v>
      </c>
      <c r="B100" t="s">
        <v>2277</v>
      </c>
      <c r="C100" t="s">
        <v>63</v>
      </c>
      <c r="E100">
        <v>152</v>
      </c>
      <c r="F100" s="2" t="s">
        <v>310</v>
      </c>
    </row>
    <row r="101" spans="1:6">
      <c r="A101" t="s">
        <v>746</v>
      </c>
      <c r="B101" t="s">
        <v>2281</v>
      </c>
      <c r="C101" t="s">
        <v>63</v>
      </c>
      <c r="E101">
        <v>140</v>
      </c>
      <c r="F101" s="2" t="s">
        <v>748</v>
      </c>
    </row>
    <row r="102" spans="1:6">
      <c r="A102" t="s">
        <v>751</v>
      </c>
      <c r="B102" t="s">
        <v>2288</v>
      </c>
      <c r="C102" t="s">
        <v>63</v>
      </c>
      <c r="E102">
        <v>142</v>
      </c>
      <c r="F102" s="2" t="s">
        <v>753</v>
      </c>
    </row>
    <row r="103" spans="1:6">
      <c r="A103" t="s">
        <v>756</v>
      </c>
      <c r="B103" t="s">
        <v>101</v>
      </c>
      <c r="C103" t="s">
        <v>63</v>
      </c>
      <c r="E103">
        <v>139</v>
      </c>
      <c r="F103" s="2" t="s">
        <v>757</v>
      </c>
    </row>
    <row r="104" spans="1:6" ht="28.8">
      <c r="A104" t="s">
        <v>759</v>
      </c>
      <c r="B104" t="s">
        <v>2289</v>
      </c>
      <c r="C104" t="s">
        <v>63</v>
      </c>
      <c r="E104">
        <v>141</v>
      </c>
      <c r="F104" s="2" t="s">
        <v>761</v>
      </c>
    </row>
    <row r="105" spans="1:6" ht="28.8">
      <c r="A105" t="s">
        <v>763</v>
      </c>
      <c r="B105" t="s">
        <v>2281</v>
      </c>
      <c r="C105" t="s">
        <v>63</v>
      </c>
      <c r="E105">
        <v>111</v>
      </c>
      <c r="F105" s="2" t="s">
        <v>765</v>
      </c>
    </row>
    <row r="106" spans="1:6" ht="28.8">
      <c r="A106" t="s">
        <v>741</v>
      </c>
      <c r="B106" t="s">
        <v>2284</v>
      </c>
      <c r="C106" t="s">
        <v>63</v>
      </c>
      <c r="E106">
        <v>54</v>
      </c>
      <c r="F106" s="2" t="s">
        <v>743</v>
      </c>
    </row>
    <row r="107" spans="1:6">
      <c r="A107" t="s">
        <v>767</v>
      </c>
      <c r="B107" t="s">
        <v>157</v>
      </c>
      <c r="C107" t="s">
        <v>63</v>
      </c>
      <c r="E107">
        <v>24</v>
      </c>
      <c r="F107" s="2" t="s">
        <v>2150</v>
      </c>
    </row>
    <row r="108" spans="1:6">
      <c r="A108" t="s">
        <v>311</v>
      </c>
      <c r="B108" t="s">
        <v>2277</v>
      </c>
      <c r="C108" t="s">
        <v>63</v>
      </c>
      <c r="E108">
        <v>158</v>
      </c>
      <c r="F108" s="2" t="s">
        <v>338</v>
      </c>
    </row>
    <row r="109" spans="1:6">
      <c r="A109" t="s">
        <v>249</v>
      </c>
      <c r="B109" t="s">
        <v>2284</v>
      </c>
      <c r="C109" t="s">
        <v>63</v>
      </c>
      <c r="E109">
        <v>145</v>
      </c>
      <c r="F109" s="2" t="s">
        <v>1115</v>
      </c>
    </row>
    <row r="110" spans="1:6">
      <c r="A110" t="s">
        <v>1111</v>
      </c>
      <c r="B110" t="s">
        <v>101</v>
      </c>
      <c r="C110" t="s">
        <v>63</v>
      </c>
      <c r="E110">
        <v>144</v>
      </c>
      <c r="F110" s="2" t="s">
        <v>1112</v>
      </c>
    </row>
    <row r="111" spans="1:6">
      <c r="A111" t="s">
        <v>775</v>
      </c>
      <c r="B111" t="s">
        <v>157</v>
      </c>
      <c r="C111" t="s">
        <v>63</v>
      </c>
      <c r="E111">
        <v>101</v>
      </c>
      <c r="F111" s="2" t="s">
        <v>777</v>
      </c>
    </row>
    <row r="112" spans="1:6">
      <c r="A112" t="s">
        <v>771</v>
      </c>
      <c r="B112" t="s">
        <v>2278</v>
      </c>
      <c r="C112" t="s">
        <v>63</v>
      </c>
      <c r="E112">
        <v>29</v>
      </c>
      <c r="F112" s="2" t="s">
        <v>773</v>
      </c>
    </row>
    <row r="113" spans="1:6">
      <c r="A113" t="s">
        <v>167</v>
      </c>
      <c r="B113" t="s">
        <v>2303</v>
      </c>
      <c r="C113" t="s">
        <v>63</v>
      </c>
      <c r="E113">
        <v>172</v>
      </c>
      <c r="F113" s="2" t="s">
        <v>171</v>
      </c>
    </row>
    <row r="114" spans="1:6">
      <c r="A114" t="s">
        <v>180</v>
      </c>
      <c r="B114" t="s">
        <v>2281</v>
      </c>
      <c r="C114" t="s">
        <v>63</v>
      </c>
      <c r="E114">
        <v>205</v>
      </c>
      <c r="F114" s="2" t="s">
        <v>182</v>
      </c>
    </row>
    <row r="115" spans="1:6">
      <c r="A115" t="s">
        <v>197</v>
      </c>
      <c r="B115" t="s">
        <v>199</v>
      </c>
      <c r="C115" t="s">
        <v>63</v>
      </c>
      <c r="E115">
        <v>207</v>
      </c>
      <c r="F115" s="2" t="s">
        <v>201</v>
      </c>
    </row>
    <row r="116" spans="1:6">
      <c r="A116" t="s">
        <v>161</v>
      </c>
      <c r="B116" t="s">
        <v>2281</v>
      </c>
      <c r="C116" t="s">
        <v>63</v>
      </c>
      <c r="E116">
        <v>171</v>
      </c>
      <c r="F116" s="2" t="s">
        <v>163</v>
      </c>
    </row>
    <row r="117" spans="1:6">
      <c r="A117" t="s">
        <v>1034</v>
      </c>
      <c r="B117" t="s">
        <v>101</v>
      </c>
      <c r="C117" t="s">
        <v>63</v>
      </c>
      <c r="E117">
        <v>27</v>
      </c>
      <c r="F117" s="2" t="s">
        <v>1036</v>
      </c>
    </row>
    <row r="118" spans="1:6">
      <c r="A118" t="s">
        <v>800</v>
      </c>
      <c r="B118" t="s">
        <v>2281</v>
      </c>
      <c r="C118" t="s">
        <v>63</v>
      </c>
      <c r="E118">
        <v>199</v>
      </c>
      <c r="F118" s="2" t="s">
        <v>802</v>
      </c>
    </row>
    <row r="119" spans="1:6">
      <c r="A119" t="s">
        <v>794</v>
      </c>
      <c r="B119" t="s">
        <v>101</v>
      </c>
      <c r="C119" t="s">
        <v>63</v>
      </c>
      <c r="E119">
        <v>190</v>
      </c>
      <c r="F119" s="2" t="s">
        <v>795</v>
      </c>
    </row>
    <row r="120" spans="1:6">
      <c r="A120" t="s">
        <v>805</v>
      </c>
      <c r="B120" t="s">
        <v>2283</v>
      </c>
      <c r="C120" t="s">
        <v>63</v>
      </c>
      <c r="E120">
        <v>200</v>
      </c>
      <c r="F120" s="2" t="s">
        <v>807</v>
      </c>
    </row>
    <row r="121" spans="1:6">
      <c r="A121" t="s">
        <v>789</v>
      </c>
      <c r="B121" t="s">
        <v>2281</v>
      </c>
      <c r="C121" t="s">
        <v>63</v>
      </c>
      <c r="E121">
        <v>202</v>
      </c>
      <c r="F121" s="2" t="s">
        <v>791</v>
      </c>
    </row>
    <row r="122" spans="1:6">
      <c r="A122" t="s">
        <v>779</v>
      </c>
      <c r="B122" t="s">
        <v>101</v>
      </c>
      <c r="C122" t="s">
        <v>345</v>
      </c>
      <c r="E122">
        <v>17</v>
      </c>
      <c r="F122" s="2" t="s">
        <v>780</v>
      </c>
    </row>
    <row r="123" spans="1:6">
      <c r="A123" t="s">
        <v>784</v>
      </c>
      <c r="B123" t="s">
        <v>101</v>
      </c>
      <c r="C123" t="s">
        <v>63</v>
      </c>
      <c r="E123">
        <v>184</v>
      </c>
      <c r="F123" s="2" t="s">
        <v>785</v>
      </c>
    </row>
    <row r="124" spans="1:6" ht="28.8">
      <c r="A124" t="s">
        <v>809</v>
      </c>
      <c r="B124" t="s">
        <v>559</v>
      </c>
      <c r="C124" t="s">
        <v>63</v>
      </c>
      <c r="E124">
        <v>149</v>
      </c>
      <c r="F124" s="2" t="s">
        <v>811</v>
      </c>
    </row>
    <row r="125" spans="1:6" ht="28.8">
      <c r="A125" t="s">
        <v>816</v>
      </c>
      <c r="B125" t="s">
        <v>559</v>
      </c>
      <c r="C125" t="s">
        <v>63</v>
      </c>
      <c r="E125">
        <v>38</v>
      </c>
      <c r="F125" s="2" t="s">
        <v>818</v>
      </c>
    </row>
    <row r="126" spans="1:6">
      <c r="A126" t="s">
        <v>823</v>
      </c>
      <c r="B126" t="s">
        <v>2281</v>
      </c>
      <c r="C126" t="s">
        <v>63</v>
      </c>
      <c r="E126">
        <v>40</v>
      </c>
      <c r="F126" s="2" t="s">
        <v>825</v>
      </c>
    </row>
    <row r="127" spans="1:6">
      <c r="A127" t="s">
        <v>828</v>
      </c>
      <c r="B127" t="s">
        <v>101</v>
      </c>
      <c r="C127" t="s">
        <v>63</v>
      </c>
      <c r="E127">
        <v>39</v>
      </c>
      <c r="F127" s="2" t="s">
        <v>829</v>
      </c>
    </row>
    <row r="128" spans="1:6">
      <c r="A128" t="s">
        <v>832</v>
      </c>
      <c r="B128" t="s">
        <v>2289</v>
      </c>
      <c r="C128" t="s">
        <v>63</v>
      </c>
      <c r="E128">
        <v>130</v>
      </c>
      <c r="F128" s="2" t="s">
        <v>834</v>
      </c>
    </row>
    <row r="129" spans="1:6">
      <c r="A129" t="s">
        <v>1015</v>
      </c>
      <c r="B129" t="s">
        <v>157</v>
      </c>
      <c r="C129" t="s">
        <v>63</v>
      </c>
      <c r="E129">
        <v>43</v>
      </c>
      <c r="F129" s="2" t="s">
        <v>1017</v>
      </c>
    </row>
    <row r="130" spans="1:6">
      <c r="A130" t="s">
        <v>1020</v>
      </c>
      <c r="B130" t="s">
        <v>2294</v>
      </c>
      <c r="C130" t="s">
        <v>63</v>
      </c>
      <c r="E130">
        <v>106</v>
      </c>
      <c r="F130" s="2" t="s">
        <v>1022</v>
      </c>
    </row>
    <row r="131" spans="1:6">
      <c r="A131" t="s">
        <v>1025</v>
      </c>
      <c r="B131" t="s">
        <v>101</v>
      </c>
      <c r="C131" t="s">
        <v>345</v>
      </c>
      <c r="E131">
        <v>6</v>
      </c>
      <c r="F131" s="2" t="s">
        <v>1026</v>
      </c>
    </row>
    <row r="132" spans="1:6">
      <c r="A132" t="s">
        <v>1029</v>
      </c>
      <c r="B132" t="s">
        <v>559</v>
      </c>
      <c r="C132" t="s">
        <v>63</v>
      </c>
      <c r="E132">
        <v>44</v>
      </c>
      <c r="F132" s="2" t="s">
        <v>1031</v>
      </c>
    </row>
    <row r="133" spans="1:6">
      <c r="A133" t="s">
        <v>871</v>
      </c>
      <c r="B133" t="s">
        <v>2281</v>
      </c>
      <c r="C133" t="s">
        <v>63</v>
      </c>
      <c r="E133">
        <v>76</v>
      </c>
      <c r="F133" s="2" t="s">
        <v>2184</v>
      </c>
    </row>
    <row r="134" spans="1:6">
      <c r="A134" t="s">
        <v>875</v>
      </c>
      <c r="B134" t="s">
        <v>2288</v>
      </c>
      <c r="C134" t="s">
        <v>63</v>
      </c>
      <c r="E134">
        <v>78</v>
      </c>
      <c r="F134" s="2" t="s">
        <v>2186</v>
      </c>
    </row>
    <row r="135" spans="1:6">
      <c r="A135" t="s">
        <v>882</v>
      </c>
      <c r="B135" t="s">
        <v>2289</v>
      </c>
      <c r="C135" t="s">
        <v>63</v>
      </c>
      <c r="E135">
        <v>77</v>
      </c>
      <c r="F135" s="2" t="s">
        <v>2190</v>
      </c>
    </row>
    <row r="136" spans="1:6" ht="28.8">
      <c r="A136" t="s">
        <v>836</v>
      </c>
      <c r="B136" t="s">
        <v>2290</v>
      </c>
      <c r="C136" t="s">
        <v>63</v>
      </c>
      <c r="E136">
        <v>83</v>
      </c>
      <c r="F136" s="2" t="s">
        <v>2172</v>
      </c>
    </row>
    <row r="137" spans="1:6">
      <c r="A137" t="s">
        <v>849</v>
      </c>
      <c r="B137" t="s">
        <v>2283</v>
      </c>
      <c r="C137" t="s">
        <v>63</v>
      </c>
      <c r="E137">
        <v>84</v>
      </c>
      <c r="F137" s="2" t="s">
        <v>2176</v>
      </c>
    </row>
    <row r="138" spans="1:6">
      <c r="A138" t="s">
        <v>841</v>
      </c>
      <c r="B138" t="s">
        <v>2290</v>
      </c>
      <c r="C138" t="s">
        <v>63</v>
      </c>
      <c r="E138">
        <v>161</v>
      </c>
      <c r="F138" s="2" t="s">
        <v>2204</v>
      </c>
    </row>
    <row r="139" spans="1:6">
      <c r="A139" t="s">
        <v>853</v>
      </c>
      <c r="B139" t="s">
        <v>2283</v>
      </c>
      <c r="C139" t="s">
        <v>63</v>
      </c>
      <c r="E139">
        <v>162</v>
      </c>
      <c r="F139" s="2" t="s">
        <v>2206</v>
      </c>
    </row>
    <row r="140" spans="1:6" ht="28.8">
      <c r="A140" t="s">
        <v>949</v>
      </c>
      <c r="B140" t="s">
        <v>157</v>
      </c>
      <c r="C140" t="s">
        <v>63</v>
      </c>
      <c r="E140">
        <v>22</v>
      </c>
      <c r="F140" s="2" t="s">
        <v>951</v>
      </c>
    </row>
    <row r="141" spans="1:6">
      <c r="A141" t="s">
        <v>953</v>
      </c>
      <c r="B141" t="s">
        <v>101</v>
      </c>
      <c r="C141" t="s">
        <v>345</v>
      </c>
      <c r="E141">
        <v>21</v>
      </c>
      <c r="F141" s="2" t="s">
        <v>954</v>
      </c>
    </row>
    <row r="142" spans="1:6" ht="28.8">
      <c r="A142" t="s">
        <v>857</v>
      </c>
      <c r="B142" t="s">
        <v>2285</v>
      </c>
      <c r="C142" t="s">
        <v>63</v>
      </c>
      <c r="E142">
        <v>50</v>
      </c>
      <c r="F142" s="2" t="s">
        <v>2304</v>
      </c>
    </row>
    <row r="143" spans="1:6">
      <c r="A143" t="s">
        <v>862</v>
      </c>
      <c r="B143" t="s">
        <v>2277</v>
      </c>
      <c r="C143" t="s">
        <v>63</v>
      </c>
      <c r="E143">
        <v>48</v>
      </c>
      <c r="F143" s="2" t="s">
        <v>2180</v>
      </c>
    </row>
    <row r="144" spans="1:6" ht="28.8">
      <c r="A144" t="s">
        <v>867</v>
      </c>
      <c r="B144" t="s">
        <v>101</v>
      </c>
      <c r="C144" t="s">
        <v>63</v>
      </c>
      <c r="E144">
        <v>31</v>
      </c>
      <c r="F144" s="2" t="s">
        <v>2305</v>
      </c>
    </row>
    <row r="145" spans="1:6">
      <c r="A145" t="s">
        <v>879</v>
      </c>
      <c r="B145" t="s">
        <v>101</v>
      </c>
      <c r="C145" t="s">
        <v>63</v>
      </c>
      <c r="E145">
        <v>75</v>
      </c>
      <c r="F145" s="2" t="s">
        <v>2188</v>
      </c>
    </row>
    <row r="146" spans="1:6">
      <c r="A146" t="s">
        <v>845</v>
      </c>
      <c r="B146" t="s">
        <v>101</v>
      </c>
      <c r="C146" t="s">
        <v>63</v>
      </c>
      <c r="E146">
        <v>85</v>
      </c>
      <c r="F146" s="2" t="s">
        <v>2174</v>
      </c>
    </row>
    <row r="147" spans="1:6">
      <c r="A147" t="s">
        <v>886</v>
      </c>
      <c r="B147" t="s">
        <v>101</v>
      </c>
      <c r="C147" t="s">
        <v>63</v>
      </c>
      <c r="E147">
        <v>136</v>
      </c>
      <c r="F147" s="2" t="s">
        <v>2202</v>
      </c>
    </row>
    <row r="148" spans="1:6">
      <c r="A148" t="s">
        <v>892</v>
      </c>
      <c r="B148" t="s">
        <v>2281</v>
      </c>
      <c r="C148" t="s">
        <v>63</v>
      </c>
      <c r="E148">
        <v>46</v>
      </c>
      <c r="F148" s="2" t="s">
        <v>2193</v>
      </c>
    </row>
    <row r="149" spans="1:6">
      <c r="A149" t="s">
        <v>896</v>
      </c>
      <c r="B149" t="s">
        <v>2283</v>
      </c>
      <c r="C149" t="s">
        <v>63</v>
      </c>
      <c r="E149">
        <v>132</v>
      </c>
      <c r="F149" s="2" t="s">
        <v>2195</v>
      </c>
    </row>
    <row r="150" spans="1:6" ht="28.8">
      <c r="A150" t="s">
        <v>900</v>
      </c>
      <c r="B150" t="s">
        <v>2285</v>
      </c>
      <c r="C150" t="s">
        <v>63</v>
      </c>
      <c r="E150">
        <v>49</v>
      </c>
      <c r="F150" s="2" t="s">
        <v>2197</v>
      </c>
    </row>
    <row r="151" spans="1:6">
      <c r="A151" t="s">
        <v>904</v>
      </c>
      <c r="B151" t="s">
        <v>559</v>
      </c>
      <c r="C151" t="s">
        <v>63</v>
      </c>
      <c r="E151">
        <v>36</v>
      </c>
      <c r="F151" s="2" t="s">
        <v>2199</v>
      </c>
    </row>
    <row r="152" spans="1:6">
      <c r="A152" t="s">
        <v>921</v>
      </c>
      <c r="B152" t="s">
        <v>101</v>
      </c>
      <c r="C152" t="s">
        <v>345</v>
      </c>
      <c r="E152">
        <v>7</v>
      </c>
      <c r="F152" s="2" t="s">
        <v>2306</v>
      </c>
    </row>
    <row r="153" spans="1:6">
      <c r="A153" t="s">
        <v>916</v>
      </c>
      <c r="B153" t="s">
        <v>101</v>
      </c>
      <c r="C153" t="s">
        <v>63</v>
      </c>
      <c r="E153">
        <v>94</v>
      </c>
      <c r="F153" s="2" t="s">
        <v>918</v>
      </c>
    </row>
    <row r="154" spans="1:6">
      <c r="A154" t="s">
        <v>925</v>
      </c>
      <c r="B154" t="s">
        <v>927</v>
      </c>
      <c r="C154" t="s">
        <v>63</v>
      </c>
      <c r="E154">
        <v>33</v>
      </c>
      <c r="F154" s="2" t="s">
        <v>929</v>
      </c>
    </row>
    <row r="155" spans="1:6">
      <c r="A155" t="s">
        <v>941</v>
      </c>
      <c r="B155" t="s">
        <v>559</v>
      </c>
      <c r="C155" t="s">
        <v>63</v>
      </c>
      <c r="E155">
        <v>41</v>
      </c>
      <c r="F155" s="2" t="s">
        <v>2307</v>
      </c>
    </row>
    <row r="156" spans="1:6">
      <c r="A156" t="s">
        <v>909</v>
      </c>
      <c r="B156" t="s">
        <v>2281</v>
      </c>
      <c r="C156" t="s">
        <v>63</v>
      </c>
      <c r="E156">
        <v>55</v>
      </c>
      <c r="F156" s="2" t="s">
        <v>2308</v>
      </c>
    </row>
    <row r="157" spans="1:6" ht="28.8">
      <c r="A157" t="s">
        <v>932</v>
      </c>
      <c r="B157" t="s">
        <v>927</v>
      </c>
      <c r="C157" t="s">
        <v>63</v>
      </c>
      <c r="E157">
        <v>37</v>
      </c>
      <c r="F157" s="2" t="s">
        <v>2210</v>
      </c>
    </row>
    <row r="158" spans="1:6">
      <c r="A158" t="s">
        <v>937</v>
      </c>
      <c r="B158" t="s">
        <v>101</v>
      </c>
      <c r="C158" t="s">
        <v>63</v>
      </c>
      <c r="E158">
        <v>47</v>
      </c>
      <c r="F158" s="2" t="s">
        <v>2212</v>
      </c>
    </row>
    <row r="159" spans="1:6">
      <c r="A159" t="s">
        <v>945</v>
      </c>
      <c r="B159" t="s">
        <v>559</v>
      </c>
      <c r="C159" t="s">
        <v>63</v>
      </c>
      <c r="E159">
        <v>34</v>
      </c>
      <c r="F159" s="2" t="s">
        <v>2216</v>
      </c>
    </row>
    <row r="160" spans="1:6">
      <c r="A160" t="s">
        <v>1154</v>
      </c>
      <c r="B160" t="s">
        <v>101</v>
      </c>
      <c r="C160" t="s">
        <v>63</v>
      </c>
      <c r="E160">
        <v>91</v>
      </c>
      <c r="F160" s="2" t="s">
        <v>2309</v>
      </c>
    </row>
    <row r="161" spans="1:6">
      <c r="A161" t="s">
        <v>60</v>
      </c>
      <c r="B161" t="s">
        <v>2277</v>
      </c>
      <c r="C161" t="s">
        <v>63</v>
      </c>
      <c r="E161">
        <v>163</v>
      </c>
      <c r="F161" s="2" t="s">
        <v>65</v>
      </c>
    </row>
    <row r="162" spans="1:6">
      <c r="A162" t="s">
        <v>73</v>
      </c>
      <c r="B162" t="s">
        <v>2277</v>
      </c>
      <c r="C162" t="s">
        <v>63</v>
      </c>
      <c r="E162">
        <v>203</v>
      </c>
      <c r="F162" s="2" t="s">
        <v>75</v>
      </c>
    </row>
    <row r="163" spans="1:6">
      <c r="A163" t="s">
        <v>126</v>
      </c>
      <c r="B163" t="s">
        <v>2277</v>
      </c>
      <c r="C163" t="s">
        <v>63</v>
      </c>
      <c r="E163">
        <v>167</v>
      </c>
      <c r="F163" s="2" t="s">
        <v>128</v>
      </c>
    </row>
    <row r="164" spans="1:6">
      <c r="A164" t="s">
        <v>100</v>
      </c>
      <c r="B164" t="s">
        <v>101</v>
      </c>
      <c r="C164" t="s">
        <v>63</v>
      </c>
      <c r="E164">
        <v>165</v>
      </c>
      <c r="F164" s="2" t="s">
        <v>103</v>
      </c>
    </row>
    <row r="165" spans="1:6">
      <c r="A165" t="s">
        <v>107</v>
      </c>
      <c r="B165" t="s">
        <v>2289</v>
      </c>
      <c r="C165" t="s">
        <v>63</v>
      </c>
      <c r="E165">
        <v>194</v>
      </c>
      <c r="F165" s="2" t="s">
        <v>111</v>
      </c>
    </row>
    <row r="166" spans="1:6">
      <c r="A166" t="s">
        <v>118</v>
      </c>
      <c r="B166" t="s">
        <v>2310</v>
      </c>
      <c r="C166" t="s">
        <v>63</v>
      </c>
      <c r="E166">
        <v>166</v>
      </c>
      <c r="F166" s="2" t="s">
        <v>122</v>
      </c>
    </row>
    <row r="167" spans="1:6" ht="86.4">
      <c r="A167" t="s">
        <v>137</v>
      </c>
      <c r="B167" t="s">
        <v>2281</v>
      </c>
      <c r="C167" t="s">
        <v>63</v>
      </c>
      <c r="E167">
        <v>195</v>
      </c>
      <c r="F167" s="2" t="s">
        <v>2311</v>
      </c>
    </row>
    <row r="168" spans="1:6">
      <c r="A168" t="s">
        <v>132</v>
      </c>
      <c r="B168" t="s">
        <v>101</v>
      </c>
      <c r="C168" t="s">
        <v>63</v>
      </c>
      <c r="E168">
        <v>168</v>
      </c>
      <c r="F168" s="2" t="s">
        <v>134</v>
      </c>
    </row>
    <row r="169" spans="1:6">
      <c r="A169" t="s">
        <v>146</v>
      </c>
      <c r="B169" t="s">
        <v>2289</v>
      </c>
      <c r="C169" t="s">
        <v>63</v>
      </c>
      <c r="E169">
        <v>196</v>
      </c>
      <c r="F169" s="2" t="s">
        <v>148</v>
      </c>
    </row>
    <row r="170" spans="1:6">
      <c r="A170" t="s">
        <v>266</v>
      </c>
      <c r="B170" t="s">
        <v>2294</v>
      </c>
      <c r="C170" t="s">
        <v>63</v>
      </c>
      <c r="E170">
        <v>176</v>
      </c>
      <c r="F170" s="2" t="s">
        <v>270</v>
      </c>
    </row>
    <row r="171" spans="1:6">
      <c r="A171" t="s">
        <v>957</v>
      </c>
      <c r="B171" t="s">
        <v>2277</v>
      </c>
      <c r="C171" t="s">
        <v>63</v>
      </c>
      <c r="E171">
        <v>100</v>
      </c>
      <c r="F171" s="2" t="s">
        <v>959</v>
      </c>
    </row>
    <row r="172" spans="1:6" ht="119.4" customHeight="1">
      <c r="A172" t="s">
        <v>961</v>
      </c>
      <c r="B172" t="s">
        <v>157</v>
      </c>
      <c r="C172" t="s">
        <v>63</v>
      </c>
      <c r="E172">
        <v>107</v>
      </c>
      <c r="F172" s="2" t="s">
        <v>963</v>
      </c>
    </row>
    <row r="173" spans="1:6" ht="28.8">
      <c r="A173" t="s">
        <v>966</v>
      </c>
      <c r="B173" t="s">
        <v>2281</v>
      </c>
      <c r="C173" t="s">
        <v>63</v>
      </c>
      <c r="E173">
        <v>126</v>
      </c>
      <c r="F173" s="2" t="s">
        <v>968</v>
      </c>
    </row>
    <row r="174" spans="1:6">
      <c r="A174" t="s">
        <v>973</v>
      </c>
      <c r="B174" t="s">
        <v>101</v>
      </c>
      <c r="C174" t="s">
        <v>345</v>
      </c>
      <c r="E174">
        <v>14</v>
      </c>
      <c r="F174" s="2" t="s">
        <v>974</v>
      </c>
    </row>
    <row r="175" spans="1:6">
      <c r="A175" t="s">
        <v>980</v>
      </c>
      <c r="B175" t="s">
        <v>101</v>
      </c>
      <c r="C175" t="s">
        <v>63</v>
      </c>
      <c r="E175">
        <v>185</v>
      </c>
      <c r="F175" s="2" t="s">
        <v>981</v>
      </c>
    </row>
    <row r="176" spans="1:6" ht="28.8">
      <c r="A176" t="s">
        <v>976</v>
      </c>
      <c r="B176" t="s">
        <v>2289</v>
      </c>
      <c r="C176" t="s">
        <v>63</v>
      </c>
      <c r="E176">
        <v>127</v>
      </c>
      <c r="F176" s="2" t="s">
        <v>978</v>
      </c>
    </row>
    <row r="177" spans="1:6">
      <c r="A177" t="s">
        <v>983</v>
      </c>
      <c r="B177" t="s">
        <v>624</v>
      </c>
      <c r="C177" t="s">
        <v>63</v>
      </c>
      <c r="E177">
        <v>92</v>
      </c>
      <c r="F177" s="2" t="s">
        <v>985</v>
      </c>
    </row>
    <row r="178" spans="1:6">
      <c r="A178" t="s">
        <v>275</v>
      </c>
      <c r="B178" t="s">
        <v>2277</v>
      </c>
      <c r="C178" t="s">
        <v>63</v>
      </c>
      <c r="E178">
        <v>177</v>
      </c>
      <c r="F178" s="2" t="s">
        <v>277</v>
      </c>
    </row>
    <row r="179" spans="1:6">
      <c r="A179" t="s">
        <v>995</v>
      </c>
      <c r="B179" t="s">
        <v>2281</v>
      </c>
      <c r="C179" t="s">
        <v>63</v>
      </c>
      <c r="E179">
        <v>102</v>
      </c>
      <c r="F179" s="2" t="s">
        <v>997</v>
      </c>
    </row>
    <row r="180" spans="1:6">
      <c r="A180" t="s">
        <v>987</v>
      </c>
      <c r="B180" t="s">
        <v>101</v>
      </c>
      <c r="C180" t="s">
        <v>345</v>
      </c>
      <c r="E180">
        <v>13</v>
      </c>
      <c r="F180" s="2" t="s">
        <v>988</v>
      </c>
    </row>
    <row r="181" spans="1:6">
      <c r="A181" t="s">
        <v>992</v>
      </c>
      <c r="B181" t="s">
        <v>101</v>
      </c>
      <c r="C181" t="s">
        <v>63</v>
      </c>
      <c r="E181">
        <v>186</v>
      </c>
      <c r="F181" s="2" t="s">
        <v>993</v>
      </c>
    </row>
    <row r="182" spans="1:6">
      <c r="A182" t="s">
        <v>999</v>
      </c>
      <c r="B182" t="s">
        <v>2289</v>
      </c>
      <c r="C182" t="s">
        <v>63</v>
      </c>
      <c r="E182">
        <v>103</v>
      </c>
      <c r="F182" s="2" t="s">
        <v>1001</v>
      </c>
    </row>
    <row r="183" spans="1:6">
      <c r="A183" t="s">
        <v>792</v>
      </c>
      <c r="B183" t="s">
        <v>2281</v>
      </c>
      <c r="C183" t="s">
        <v>63</v>
      </c>
      <c r="E183">
        <v>133</v>
      </c>
      <c r="F183" s="2" t="s">
        <v>1004</v>
      </c>
    </row>
    <row r="184" spans="1:6">
      <c r="A184" t="s">
        <v>253</v>
      </c>
      <c r="B184" t="s">
        <v>101</v>
      </c>
      <c r="C184" t="s">
        <v>63</v>
      </c>
      <c r="E184">
        <v>175</v>
      </c>
      <c r="F184" s="2" t="s">
        <v>254</v>
      </c>
    </row>
    <row r="185" spans="1:6" ht="28.8">
      <c r="A185" t="s">
        <v>256</v>
      </c>
      <c r="B185" t="s">
        <v>2312</v>
      </c>
      <c r="C185" t="s">
        <v>63</v>
      </c>
      <c r="E185">
        <v>201</v>
      </c>
      <c r="F185" s="2" t="s">
        <v>260</v>
      </c>
    </row>
    <row r="186" spans="1:6" ht="28.8">
      <c r="A186" t="s">
        <v>1010</v>
      </c>
      <c r="B186" t="s">
        <v>101</v>
      </c>
      <c r="C186" t="s">
        <v>63</v>
      </c>
      <c r="E186">
        <v>138</v>
      </c>
      <c r="F186" s="2" t="s">
        <v>1012</v>
      </c>
    </row>
    <row r="187" spans="1:6">
      <c r="A187" t="s">
        <v>151</v>
      </c>
      <c r="B187" t="s">
        <v>101</v>
      </c>
      <c r="C187" t="s">
        <v>63</v>
      </c>
      <c r="E187">
        <v>169</v>
      </c>
      <c r="F187" s="2" t="s">
        <v>153</v>
      </c>
    </row>
    <row r="188" spans="1:6">
      <c r="A188" t="s">
        <v>1041</v>
      </c>
      <c r="B188" t="s">
        <v>157</v>
      </c>
      <c r="C188" t="s">
        <v>345</v>
      </c>
      <c r="E188">
        <v>20</v>
      </c>
      <c r="F188" s="2" t="s">
        <v>1043</v>
      </c>
    </row>
    <row r="189" spans="1:6">
      <c r="A189" t="s">
        <v>344</v>
      </c>
      <c r="B189" t="s">
        <v>101</v>
      </c>
      <c r="C189" t="s">
        <v>345</v>
      </c>
      <c r="E189">
        <v>19</v>
      </c>
      <c r="F189" s="2" t="s">
        <v>346</v>
      </c>
    </row>
    <row r="190" spans="1:6">
      <c r="A190" t="s">
        <v>1045</v>
      </c>
      <c r="B190" t="s">
        <v>2278</v>
      </c>
      <c r="C190" t="s">
        <v>63</v>
      </c>
      <c r="E190">
        <v>28</v>
      </c>
      <c r="F190" s="2" t="s">
        <v>1047</v>
      </c>
    </row>
    <row r="191" spans="1:6" ht="28.8">
      <c r="A191" t="s">
        <v>1058</v>
      </c>
      <c r="B191" t="s">
        <v>2281</v>
      </c>
      <c r="C191" t="s">
        <v>63</v>
      </c>
      <c r="E191">
        <v>128</v>
      </c>
      <c r="F191" s="2" t="s">
        <v>1060</v>
      </c>
    </row>
    <row r="192" spans="1:6">
      <c r="A192" t="s">
        <v>1049</v>
      </c>
      <c r="B192" t="s">
        <v>101</v>
      </c>
      <c r="C192" t="s">
        <v>345</v>
      </c>
      <c r="E192">
        <v>15</v>
      </c>
      <c r="F192" s="2" t="s">
        <v>1050</v>
      </c>
    </row>
    <row r="193" spans="1:6">
      <c r="A193" t="s">
        <v>1055</v>
      </c>
      <c r="B193" t="s">
        <v>101</v>
      </c>
      <c r="C193" t="s">
        <v>63</v>
      </c>
      <c r="E193">
        <v>187</v>
      </c>
      <c r="F193" s="2" t="s">
        <v>1056</v>
      </c>
    </row>
    <row r="194" spans="1:6" ht="28.8">
      <c r="A194" t="s">
        <v>1062</v>
      </c>
      <c r="B194" t="s">
        <v>2289</v>
      </c>
      <c r="C194" t="s">
        <v>63</v>
      </c>
      <c r="E194">
        <v>129</v>
      </c>
      <c r="F194" s="2" t="s">
        <v>1064</v>
      </c>
    </row>
    <row r="195" spans="1:6">
      <c r="A195" t="s">
        <v>1066</v>
      </c>
      <c r="B195" t="s">
        <v>2295</v>
      </c>
      <c r="C195" t="s">
        <v>63</v>
      </c>
      <c r="E195">
        <v>53</v>
      </c>
      <c r="F195" s="2" t="s">
        <v>1065</v>
      </c>
    </row>
    <row r="196" spans="1:6">
      <c r="A196" t="s">
        <v>1069</v>
      </c>
      <c r="B196" t="s">
        <v>101</v>
      </c>
      <c r="C196" t="s">
        <v>345</v>
      </c>
      <c r="E196">
        <v>26</v>
      </c>
      <c r="F196" s="2" t="s">
        <v>1071</v>
      </c>
    </row>
    <row r="197" spans="1:6" ht="28.8">
      <c r="A197" t="s">
        <v>281</v>
      </c>
      <c r="B197" t="s">
        <v>101</v>
      </c>
      <c r="C197" t="s">
        <v>63</v>
      </c>
      <c r="E197">
        <v>178</v>
      </c>
      <c r="F197" s="2" t="s">
        <v>2313</v>
      </c>
    </row>
    <row r="198" spans="1:6" ht="43.2">
      <c r="A198" t="s">
        <v>290</v>
      </c>
      <c r="B198" t="s">
        <v>2281</v>
      </c>
      <c r="C198" t="s">
        <v>63</v>
      </c>
      <c r="E198">
        <v>197</v>
      </c>
      <c r="F198" s="2" t="s">
        <v>291</v>
      </c>
    </row>
    <row r="199" spans="1:6" ht="43.2">
      <c r="A199" t="s">
        <v>286</v>
      </c>
      <c r="B199" t="s">
        <v>101</v>
      </c>
      <c r="C199" t="s">
        <v>63</v>
      </c>
      <c r="E199">
        <v>179</v>
      </c>
      <c r="F199" s="2" t="s">
        <v>287</v>
      </c>
    </row>
    <row r="200" spans="1:6" ht="43.2">
      <c r="A200" t="s">
        <v>296</v>
      </c>
      <c r="B200" t="s">
        <v>2289</v>
      </c>
      <c r="C200" t="s">
        <v>63</v>
      </c>
      <c r="E200">
        <v>198</v>
      </c>
      <c r="F200" s="2" t="s">
        <v>297</v>
      </c>
    </row>
    <row r="201" spans="1:6">
      <c r="A201" t="s">
        <v>1087</v>
      </c>
      <c r="B201" t="s">
        <v>101</v>
      </c>
      <c r="C201" t="s">
        <v>63</v>
      </c>
      <c r="E201">
        <v>63</v>
      </c>
      <c r="F201" s="2" t="s">
        <v>1088</v>
      </c>
    </row>
    <row r="202" spans="1:6">
      <c r="A202" t="s">
        <v>1073</v>
      </c>
      <c r="B202" t="s">
        <v>2289</v>
      </c>
      <c r="C202" t="s">
        <v>63</v>
      </c>
      <c r="E202">
        <v>30</v>
      </c>
      <c r="F202" s="2" t="s">
        <v>1075</v>
      </c>
    </row>
    <row r="203" spans="1:6">
      <c r="A203" t="s">
        <v>1007</v>
      </c>
      <c r="B203" t="s">
        <v>101</v>
      </c>
      <c r="C203" t="s">
        <v>345</v>
      </c>
      <c r="E203">
        <v>16</v>
      </c>
      <c r="F203" s="2" t="s">
        <v>1008</v>
      </c>
    </row>
    <row r="204" spans="1:6" ht="28.8">
      <c r="A204" t="s">
        <v>1077</v>
      </c>
      <c r="B204" t="s">
        <v>2281</v>
      </c>
      <c r="C204" t="s">
        <v>63</v>
      </c>
      <c r="E204">
        <v>65</v>
      </c>
      <c r="F204" s="2" t="s">
        <v>1079</v>
      </c>
    </row>
    <row r="205" spans="1:6">
      <c r="A205" t="s">
        <v>1082</v>
      </c>
      <c r="B205" t="s">
        <v>2288</v>
      </c>
      <c r="C205" t="s">
        <v>63</v>
      </c>
      <c r="E205">
        <v>66</v>
      </c>
      <c r="F205" s="2" t="s">
        <v>1084</v>
      </c>
    </row>
    <row r="206" spans="1:6" ht="28.8">
      <c r="A206" t="s">
        <v>1090</v>
      </c>
      <c r="B206" t="s">
        <v>2289</v>
      </c>
      <c r="C206" t="s">
        <v>63</v>
      </c>
      <c r="E206">
        <v>64</v>
      </c>
      <c r="F206" s="2" t="s">
        <v>1092</v>
      </c>
    </row>
    <row r="207" spans="1:6" ht="28.8">
      <c r="A207" t="s">
        <v>1094</v>
      </c>
      <c r="B207" t="s">
        <v>2281</v>
      </c>
      <c r="C207" t="s">
        <v>63</v>
      </c>
      <c r="E207">
        <v>60</v>
      </c>
      <c r="F207" s="2" t="s">
        <v>2314</v>
      </c>
    </row>
    <row r="208" spans="1:6">
      <c r="A208" t="s">
        <v>1099</v>
      </c>
      <c r="B208" t="s">
        <v>2288</v>
      </c>
      <c r="C208" t="s">
        <v>63</v>
      </c>
      <c r="E208">
        <v>62</v>
      </c>
      <c r="F208" s="2" t="s">
        <v>1101</v>
      </c>
    </row>
    <row r="209" spans="1:6">
      <c r="A209" t="s">
        <v>1104</v>
      </c>
      <c r="B209" t="s">
        <v>101</v>
      </c>
      <c r="C209" t="s">
        <v>63</v>
      </c>
      <c r="E209">
        <v>59</v>
      </c>
      <c r="F209" s="2" t="s">
        <v>1105</v>
      </c>
    </row>
    <row r="210" spans="1:6">
      <c r="A210" t="s">
        <v>1107</v>
      </c>
      <c r="B210" t="s">
        <v>2289</v>
      </c>
      <c r="C210" t="s">
        <v>63</v>
      </c>
      <c r="E210">
        <v>61</v>
      </c>
      <c r="F210" s="2" t="s">
        <v>1109</v>
      </c>
    </row>
  </sheetData>
  <autoFilter ref="A1:F210" xr:uid="{29B9FDEF-525E-45C1-A9CB-E19CE30B0290}"/>
  <sortState xmlns:xlrd2="http://schemas.microsoft.com/office/spreadsheetml/2017/richdata2" ref="A2:F210">
    <sortCondition ref="A2:A21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3080-45EB-4F44-A9CB-C8D0DE59C0F9}">
  <dimension ref="A1:A5"/>
  <sheetViews>
    <sheetView zoomScale="85" zoomScaleNormal="85" workbookViewId="0">
      <selection activeCell="A9" sqref="A9"/>
    </sheetView>
  </sheetViews>
  <sheetFormatPr defaultColWidth="9.109375" defaultRowHeight="14.4"/>
  <cols>
    <col min="1" max="1" width="113.88671875" customWidth="1"/>
    <col min="2" max="2" width="27.5546875" bestFit="1" customWidth="1"/>
    <col min="3" max="3" width="19.5546875" bestFit="1" customWidth="1"/>
    <col min="4" max="4" width="58.88671875" bestFit="1" customWidth="1"/>
  </cols>
  <sheetData>
    <row r="1" spans="1:1">
      <c r="A1" s="4" t="s">
        <v>2315</v>
      </c>
    </row>
    <row r="2" spans="1:1">
      <c r="A2" s="4" t="s">
        <v>2316</v>
      </c>
    </row>
    <row r="3" spans="1:1">
      <c r="A3" s="4" t="s">
        <v>2317</v>
      </c>
    </row>
    <row r="4" spans="1:1" ht="72">
      <c r="A4" s="67" t="s">
        <v>2318</v>
      </c>
    </row>
    <row r="5" spans="1:1">
      <c r="A5" s="5" t="s">
        <v>2319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E1A7-E8E1-4FDE-8B50-E2C1F82C3CE3}">
  <dimension ref="A1:H159"/>
  <sheetViews>
    <sheetView zoomScale="85" zoomScaleNormal="85" workbookViewId="0">
      <pane xSplit="1" ySplit="7" topLeftCell="C139" activePane="bottomRight" state="frozen"/>
      <selection pane="topRight" activeCell="B1" sqref="B1"/>
      <selection pane="bottomLeft" activeCell="A8" sqref="A8"/>
      <selection pane="bottomRight" activeCell="A145" sqref="A145"/>
    </sheetView>
  </sheetViews>
  <sheetFormatPr defaultRowHeight="14.4"/>
  <cols>
    <col min="1" max="1" width="57.33203125" bestFit="1" customWidth="1"/>
    <col min="2" max="2" width="18" customWidth="1"/>
    <col min="3" max="3" width="24.88671875" bestFit="1" customWidth="1"/>
    <col min="4" max="4" width="64.33203125" bestFit="1" customWidth="1"/>
    <col min="5" max="5" width="23" bestFit="1" customWidth="1"/>
    <col min="6" max="6" width="14.5546875" bestFit="1" customWidth="1"/>
    <col min="7" max="7" width="30.88671875" bestFit="1" customWidth="1"/>
    <col min="8" max="8" width="63" style="2" customWidth="1"/>
  </cols>
  <sheetData>
    <row r="1" spans="1:8">
      <c r="A1" s="147" t="s">
        <v>2320</v>
      </c>
      <c r="B1" s="148"/>
      <c r="C1" s="148"/>
      <c r="D1" s="148"/>
      <c r="E1" s="148"/>
      <c r="F1" s="148"/>
      <c r="G1" s="148"/>
      <c r="H1" s="148"/>
    </row>
    <row r="2" spans="1:8">
      <c r="A2" s="147" t="s">
        <v>2321</v>
      </c>
      <c r="B2" s="148"/>
      <c r="C2" s="148"/>
      <c r="D2" s="148"/>
      <c r="E2" s="148"/>
      <c r="F2" s="148"/>
      <c r="G2" s="148"/>
      <c r="H2" s="148"/>
    </row>
    <row r="3" spans="1:8">
      <c r="A3" s="147" t="s">
        <v>2322</v>
      </c>
      <c r="B3" s="148"/>
      <c r="C3" s="148"/>
      <c r="D3" s="148"/>
      <c r="E3" s="148"/>
      <c r="F3" s="148"/>
      <c r="G3" s="148"/>
      <c r="H3" s="148"/>
    </row>
    <row r="4" spans="1:8">
      <c r="A4" s="149" t="s">
        <v>2323</v>
      </c>
      <c r="B4" s="150"/>
      <c r="C4" s="150"/>
      <c r="D4" s="150"/>
      <c r="E4" s="150"/>
      <c r="F4" s="150"/>
      <c r="G4" s="150"/>
      <c r="H4" s="150"/>
    </row>
    <row r="5" spans="1:8">
      <c r="A5" s="147" t="s">
        <v>2324</v>
      </c>
      <c r="B5" s="148"/>
      <c r="C5" s="148"/>
      <c r="D5" s="148"/>
      <c r="E5" s="148"/>
      <c r="F5" s="148"/>
      <c r="G5" s="148"/>
      <c r="H5" s="148"/>
    </row>
    <row r="7" spans="1:8">
      <c r="A7" t="s">
        <v>2325</v>
      </c>
      <c r="B7" s="26" t="s">
        <v>2326</v>
      </c>
      <c r="C7" s="26" t="s">
        <v>2327</v>
      </c>
      <c r="D7" s="26" t="s">
        <v>2328</v>
      </c>
      <c r="E7" s="68" t="s">
        <v>2329</v>
      </c>
      <c r="F7" s="68" t="s">
        <v>2330</v>
      </c>
      <c r="G7" s="68" t="s">
        <v>2331</v>
      </c>
      <c r="H7" s="2" t="s">
        <v>2332</v>
      </c>
    </row>
    <row r="8" spans="1:8">
      <c r="A8" s="1" t="str">
        <f>PROPER(SUBSTITUTE(Table2[[#This Row],[Target Column]], "_", " "))</f>
        <v>Accounting Type Dimension Id</v>
      </c>
      <c r="B8" s="1" t="s">
        <v>6</v>
      </c>
      <c r="C8" s="1" t="s">
        <v>2333</v>
      </c>
      <c r="D8" s="1" t="s">
        <v>2025</v>
      </c>
      <c r="E8" s="1" t="s">
        <v>8</v>
      </c>
      <c r="F8" s="1" t="s">
        <v>4</v>
      </c>
      <c r="G8" s="1" t="s">
        <v>366</v>
      </c>
      <c r="H8" s="12"/>
    </row>
    <row r="9" spans="1:8">
      <c r="A9" s="1" t="str">
        <f>PROPER(SUBSTITUTE(Table2[[#This Row],[Target Column]], "_", " "))</f>
        <v>Aggregate Original Fees</v>
      </c>
      <c r="B9" s="1" t="s">
        <v>6</v>
      </c>
      <c r="C9" s="1" t="s">
        <v>2333</v>
      </c>
      <c r="D9" s="1" t="s">
        <v>2030</v>
      </c>
      <c r="E9" s="1" t="s">
        <v>8</v>
      </c>
      <c r="F9" s="1" t="s">
        <v>4</v>
      </c>
      <c r="G9" s="1" t="s">
        <v>383</v>
      </c>
      <c r="H9" s="12"/>
    </row>
    <row r="10" spans="1:8">
      <c r="A10" s="1" t="str">
        <f>PROPER(SUBSTITUTE(Table2[[#This Row],[Target Column]], "_", " "))</f>
        <v>Aggregate Statement Fees</v>
      </c>
      <c r="B10" s="1" t="s">
        <v>6</v>
      </c>
      <c r="C10" s="1" t="s">
        <v>2333</v>
      </c>
      <c r="D10" s="1" t="s">
        <v>2031</v>
      </c>
      <c r="E10" s="1" t="s">
        <v>8</v>
      </c>
      <c r="F10" s="1" t="s">
        <v>4</v>
      </c>
      <c r="G10" s="1" t="s">
        <v>393</v>
      </c>
      <c r="H10" s="12"/>
    </row>
    <row r="11" spans="1:8">
      <c r="A11" s="1" t="str">
        <f>PROPER(SUBSTITUTE(Table2[[#This Row],[Target Column]], "_", " "))</f>
        <v>Arrangement Id</v>
      </c>
      <c r="B11" s="1" t="s">
        <v>6</v>
      </c>
      <c r="C11" s="1" t="s">
        <v>2333</v>
      </c>
      <c r="D11" s="1" t="s">
        <v>2032</v>
      </c>
      <c r="E11" s="1" t="s">
        <v>8</v>
      </c>
      <c r="F11" s="1" t="s">
        <v>4</v>
      </c>
      <c r="G11" s="1" t="s">
        <v>397</v>
      </c>
      <c r="H11" s="12"/>
    </row>
    <row r="12" spans="1:8">
      <c r="A12" s="1" t="str">
        <f>PROPER(SUBSTITUTE(Table2[[#This Row],[Target Column]], "_", " "))</f>
        <v>Booking Date</v>
      </c>
      <c r="B12" s="1" t="s">
        <v>6</v>
      </c>
      <c r="C12" s="1" t="s">
        <v>2333</v>
      </c>
      <c r="D12" s="1" t="s">
        <v>2038</v>
      </c>
      <c r="E12" s="1" t="s">
        <v>8</v>
      </c>
      <c r="F12" s="1" t="s">
        <v>4</v>
      </c>
      <c r="G12" s="1" t="s">
        <v>408</v>
      </c>
      <c r="H12" s="12"/>
    </row>
    <row r="13" spans="1:8">
      <c r="A13" s="1" t="str">
        <f>PROPER(SUBSTITUTE(Table2[[#This Row],[Target Column]], "_", " "))</f>
        <v>Brokerage Arrangement Id</v>
      </c>
      <c r="B13" s="1" t="s">
        <v>6</v>
      </c>
      <c r="C13" s="1" t="s">
        <v>2333</v>
      </c>
      <c r="D13" s="1" t="s">
        <v>2040</v>
      </c>
      <c r="E13" s="1" t="s">
        <v>8</v>
      </c>
      <c r="F13" s="1" t="s">
        <v>4</v>
      </c>
      <c r="G13" s="1" t="s">
        <v>417</v>
      </c>
      <c r="H13" s="12"/>
    </row>
    <row r="14" spans="1:8">
      <c r="A14" s="1" t="str">
        <f>PROPER(SUBSTITUTE(Table2[[#This Row],[Target Column]], "_", " "))</f>
        <v>Buy Sell Indicator</v>
      </c>
      <c r="B14" s="1" t="s">
        <v>6</v>
      </c>
      <c r="C14" s="1" t="s">
        <v>2333</v>
      </c>
      <c r="D14" s="1" t="s">
        <v>2041</v>
      </c>
      <c r="E14" s="1" t="s">
        <v>8</v>
      </c>
      <c r="F14" s="1" t="s">
        <v>4</v>
      </c>
      <c r="G14" s="1" t="s">
        <v>425</v>
      </c>
      <c r="H14" s="12"/>
    </row>
    <row r="15" spans="1:8">
      <c r="A15" s="1" t="str">
        <f>PROPER(SUBSTITUTE(Table2[[#This Row],[Target Column]], "_", " "))</f>
        <v>Cash Alternate Description Trailer 2</v>
      </c>
      <c r="B15" s="1" t="s">
        <v>6</v>
      </c>
      <c r="C15" s="1" t="s">
        <v>2333</v>
      </c>
      <c r="D15" s="1" t="s">
        <v>2048</v>
      </c>
      <c r="E15" s="1" t="s">
        <v>8</v>
      </c>
      <c r="F15" s="1" t="s">
        <v>4</v>
      </c>
      <c r="G15" s="1" t="s">
        <v>462</v>
      </c>
      <c r="H15" s="12"/>
    </row>
    <row r="16" spans="1:8">
      <c r="A16" s="1" t="str">
        <f>PROPER(SUBSTITUTE(Table2[[#This Row],[Target Column]], "_", " "))</f>
        <v>Cash Asset Package Type Code</v>
      </c>
      <c r="B16" s="1" t="s">
        <v>6</v>
      </c>
      <c r="C16" s="1" t="s">
        <v>2333</v>
      </c>
      <c r="D16" s="1" t="s">
        <v>2054</v>
      </c>
      <c r="E16" s="1" t="s">
        <v>8</v>
      </c>
      <c r="F16" s="1" t="s">
        <v>4</v>
      </c>
      <c r="G16" s="1" t="s">
        <v>479</v>
      </c>
      <c r="H16" s="12"/>
    </row>
    <row r="17" spans="1:8">
      <c r="A17" s="1" t="str">
        <f>PROPER(SUBSTITUTE(Table2[[#This Row],[Target Column]], "_", " "))</f>
        <v>Cash Asset Package Type Description</v>
      </c>
      <c r="B17" s="1" t="s">
        <v>6</v>
      </c>
      <c r="C17" s="1" t="s">
        <v>2333</v>
      </c>
      <c r="D17" s="1" t="s">
        <v>2056</v>
      </c>
      <c r="E17" s="1" t="s">
        <v>8</v>
      </c>
      <c r="F17" s="1" t="s">
        <v>4</v>
      </c>
      <c r="G17" s="1" t="s">
        <v>483</v>
      </c>
      <c r="H17" s="12"/>
    </row>
    <row r="18" spans="1:8">
      <c r="A18" s="1" t="str">
        <f>PROPER(SUBSTITUTE(Table2[[#This Row],[Target Column]], "_", " "))</f>
        <v>Cash Asset Package Type Name</v>
      </c>
      <c r="B18" s="1" t="s">
        <v>6</v>
      </c>
      <c r="C18" s="1" t="s">
        <v>2333</v>
      </c>
      <c r="D18" s="1" t="s">
        <v>2060</v>
      </c>
      <c r="E18" s="1" t="s">
        <v>8</v>
      </c>
      <c r="F18" s="1" t="s">
        <v>4</v>
      </c>
      <c r="G18" s="1" t="s">
        <v>494</v>
      </c>
      <c r="H18" s="12"/>
    </row>
    <row r="19" spans="1:8">
      <c r="A19" s="1" t="str">
        <f>PROPER(SUBSTITUTE(Table2[[#This Row],[Target Column]], "_", " "))</f>
        <v>Cash Activity Category</v>
      </c>
      <c r="B19" s="1" t="s">
        <v>6</v>
      </c>
      <c r="C19" s="1" t="s">
        <v>2333</v>
      </c>
      <c r="D19" s="1" t="s">
        <v>2042</v>
      </c>
      <c r="E19" s="1" t="s">
        <v>8</v>
      </c>
      <c r="F19" s="1" t="s">
        <v>4</v>
      </c>
      <c r="G19" s="1" t="s">
        <v>431</v>
      </c>
      <c r="H19" s="12"/>
    </row>
    <row r="20" spans="1:8">
      <c r="A20" s="1" t="str">
        <f>PROPER(SUBSTITUTE(Table2[[#This Row],[Target Column]], "_", " "))</f>
        <v>Cash Activity Type</v>
      </c>
      <c r="B20" s="1" t="s">
        <v>6</v>
      </c>
      <c r="C20" s="1" t="s">
        <v>2333</v>
      </c>
      <c r="D20" s="1" t="s">
        <v>2046</v>
      </c>
      <c r="E20" s="1" t="s">
        <v>8</v>
      </c>
      <c r="F20" s="1" t="s">
        <v>4</v>
      </c>
      <c r="G20" s="1" t="s">
        <v>452</v>
      </c>
      <c r="H20" s="12"/>
    </row>
    <row r="21" spans="1:8">
      <c r="A21" s="1" t="str">
        <f>PROPER(SUBSTITUTE(Table2[[#This Row],[Target Column]], "_", " "))</f>
        <v>Cash Debit Credit Code</v>
      </c>
      <c r="B21" s="1" t="s">
        <v>6</v>
      </c>
      <c r="C21" s="1" t="s">
        <v>2333</v>
      </c>
      <c r="D21" s="1" t="s">
        <v>2063</v>
      </c>
      <c r="E21" s="1" t="s">
        <v>8</v>
      </c>
      <c r="F21" s="1" t="s">
        <v>4</v>
      </c>
      <c r="G21" s="1" t="s">
        <v>505</v>
      </c>
      <c r="H21" s="12"/>
    </row>
    <row r="22" spans="1:8">
      <c r="A22" s="1" t="str">
        <f>PROPER(SUBSTITUTE(Table2[[#This Row],[Target Column]], "_", " "))</f>
        <v>Cash Description Trailer 1</v>
      </c>
      <c r="B22" s="1" t="s">
        <v>6</v>
      </c>
      <c r="C22" s="1" t="s">
        <v>2333</v>
      </c>
      <c r="D22" s="1" t="s">
        <v>2067</v>
      </c>
      <c r="E22" s="1" t="s">
        <v>8</v>
      </c>
      <c r="F22" s="1" t="s">
        <v>4</v>
      </c>
      <c r="G22" s="1" t="s">
        <v>513</v>
      </c>
      <c r="H22" s="12"/>
    </row>
    <row r="23" spans="1:8">
      <c r="A23" s="1" t="str">
        <f>PROPER(SUBSTITUTE(Table2[[#This Row],[Target Column]], "_", " "))</f>
        <v>Cash Product Id</v>
      </c>
      <c r="B23" s="1" t="s">
        <v>6</v>
      </c>
      <c r="C23" s="1" t="s">
        <v>2333</v>
      </c>
      <c r="D23" s="1" t="s">
        <v>2074</v>
      </c>
      <c r="E23" s="1" t="s">
        <v>8</v>
      </c>
      <c r="F23" s="1" t="s">
        <v>4</v>
      </c>
      <c r="G23" s="1" t="s">
        <v>541</v>
      </c>
      <c r="H23" s="12"/>
    </row>
    <row r="24" spans="1:8">
      <c r="A24" s="1" t="str">
        <f>PROPER(SUBSTITUTE(Table2[[#This Row],[Target Column]], "_", " "))</f>
        <v>Cash Position Type Dimension Id</v>
      </c>
      <c r="B24" s="1" t="s">
        <v>6</v>
      </c>
      <c r="C24" s="1" t="s">
        <v>2333</v>
      </c>
      <c r="D24" s="1" t="s">
        <v>2071</v>
      </c>
      <c r="E24" s="1" t="s">
        <v>8</v>
      </c>
      <c r="F24" s="1" t="s">
        <v>4</v>
      </c>
      <c r="G24" s="1" t="s">
        <v>528</v>
      </c>
      <c r="H24" s="12"/>
    </row>
    <row r="25" spans="1:8">
      <c r="A25" s="1" t="str">
        <f>PROPER(SUBSTITUTE(Table2[[#This Row],[Target Column]], "_", " "))</f>
        <v>Cash System Base Currency Amount</v>
      </c>
      <c r="B25" s="1" t="s">
        <v>6</v>
      </c>
      <c r="C25" s="1" t="s">
        <v>2333</v>
      </c>
      <c r="D25" s="1" t="s">
        <v>2081</v>
      </c>
      <c r="E25" s="1" t="s">
        <v>8</v>
      </c>
      <c r="F25" s="1" t="s">
        <v>4</v>
      </c>
      <c r="G25" s="1" t="s">
        <v>557</v>
      </c>
      <c r="H25" s="12"/>
    </row>
    <row r="26" spans="1:8">
      <c r="A26" s="1" t="str">
        <f>PROPER(SUBSTITUTE(Table2[[#This Row],[Target Column]], "_", " "))</f>
        <v>Cash Source Sequence Number</v>
      </c>
      <c r="B26" s="1" t="s">
        <v>6</v>
      </c>
      <c r="C26" s="1" t="s">
        <v>2333</v>
      </c>
      <c r="D26" s="1" t="s">
        <v>2079</v>
      </c>
      <c r="E26" s="1" t="s">
        <v>8</v>
      </c>
      <c r="F26" s="1" t="s">
        <v>4</v>
      </c>
      <c r="G26" s="1" t="s">
        <v>552</v>
      </c>
      <c r="H26" s="12"/>
    </row>
    <row r="27" spans="1:8">
      <c r="A27" s="1" t="str">
        <f>PROPER(SUBSTITUTE(Table2[[#This Row],[Target Column]], "_", " "))</f>
        <v>Cash Transaction Amount</v>
      </c>
      <c r="B27" s="1" t="s">
        <v>6</v>
      </c>
      <c r="C27" s="1" t="s">
        <v>2333</v>
      </c>
      <c r="D27" s="1" t="s">
        <v>2083</v>
      </c>
      <c r="E27" s="1" t="s">
        <v>8</v>
      </c>
      <c r="F27" s="1" t="s">
        <v>4</v>
      </c>
      <c r="G27" s="1" t="s">
        <v>565</v>
      </c>
      <c r="H27" s="12"/>
    </row>
    <row r="28" spans="1:8">
      <c r="A28" s="1" t="str">
        <f>PROPER(SUBSTITUTE(Table2[[#This Row],[Target Column]], "_", " "))</f>
        <v>Cash Flow Generation Flag</v>
      </c>
      <c r="B28" s="1" t="s">
        <v>6</v>
      </c>
      <c r="C28" s="1" t="s">
        <v>2333</v>
      </c>
      <c r="D28" s="1" t="s">
        <v>2069</v>
      </c>
      <c r="E28" s="1" t="s">
        <v>8</v>
      </c>
      <c r="F28" s="1" t="s">
        <v>4</v>
      </c>
      <c r="G28" s="1" t="s">
        <v>518</v>
      </c>
      <c r="H28" s="12"/>
    </row>
    <row r="29" spans="1:8">
      <c r="A29" s="1" t="str">
        <f>PROPER(SUBSTITUTE(Table2[[#This Row],[Target Column]], "_", " "))</f>
        <v>Create Datetime</v>
      </c>
      <c r="B29" s="1" t="s">
        <v>6</v>
      </c>
      <c r="C29" s="1" t="s">
        <v>2333</v>
      </c>
      <c r="D29" s="1" t="s">
        <v>2087</v>
      </c>
      <c r="E29" s="1" t="s">
        <v>8</v>
      </c>
      <c r="F29" s="1" t="s">
        <v>4</v>
      </c>
      <c r="G29" s="1" t="s">
        <v>576</v>
      </c>
      <c r="H29" s="12"/>
    </row>
    <row r="30" spans="1:8">
      <c r="A30" s="1" t="str">
        <f>PROPER(SUBSTITUTE(Table2[[#This Row],[Target Column]], "_", " "))</f>
        <v>Create User Name</v>
      </c>
      <c r="B30" s="1" t="s">
        <v>6</v>
      </c>
      <c r="C30" s="1" t="s">
        <v>2333</v>
      </c>
      <c r="D30" s="1" t="s">
        <v>2088</v>
      </c>
      <c r="E30" s="1" t="s">
        <v>8</v>
      </c>
      <c r="F30" s="1" t="s">
        <v>4</v>
      </c>
      <c r="G30" s="1" t="s">
        <v>580</v>
      </c>
      <c r="H30" s="12"/>
    </row>
    <row r="31" spans="1:8">
      <c r="A31" s="1" t="str">
        <f>PROPER(SUBSTITUTE(Table2[[#This Row],[Target Column]], "_", " "))</f>
        <v>Cash Asset Package Id</v>
      </c>
      <c r="B31" s="1" t="s">
        <v>6</v>
      </c>
      <c r="C31" s="1" t="s">
        <v>2333</v>
      </c>
      <c r="D31" s="1" t="s">
        <v>2052</v>
      </c>
      <c r="E31" s="1" t="s">
        <v>8</v>
      </c>
      <c r="F31" s="1" t="s">
        <v>4</v>
      </c>
      <c r="G31" s="1" t="s">
        <v>475</v>
      </c>
      <c r="H31" s="12"/>
    </row>
    <row r="32" spans="1:8">
      <c r="A32" s="1" t="str">
        <f>PROPER(SUBSTITUTE(Table2[[#This Row],[Target Column]], "_", " "))</f>
        <v>Cash Asset Package Type Id</v>
      </c>
      <c r="B32" s="1" t="s">
        <v>6</v>
      </c>
      <c r="C32" s="1" t="s">
        <v>2333</v>
      </c>
      <c r="D32" s="1" t="s">
        <v>2058</v>
      </c>
      <c r="E32" s="1" t="s">
        <v>8</v>
      </c>
      <c r="F32" s="1" t="s">
        <v>4</v>
      </c>
      <c r="G32" s="1" t="s">
        <v>490</v>
      </c>
      <c r="H32" s="12"/>
    </row>
    <row r="33" spans="1:8">
      <c r="A33" s="1" t="str">
        <f>PROPER(SUBSTITUTE(Table2[[#This Row],[Target Column]], "_", " "))</f>
        <v>Cash Activity Classification Id</v>
      </c>
      <c r="B33" s="1" t="s">
        <v>6</v>
      </c>
      <c r="C33" s="1" t="s">
        <v>2333</v>
      </c>
      <c r="D33" s="1" t="s">
        <v>2044</v>
      </c>
      <c r="E33" s="1" t="s">
        <v>8</v>
      </c>
      <c r="F33" s="1" t="s">
        <v>4</v>
      </c>
      <c r="G33" s="1" t="s">
        <v>445</v>
      </c>
      <c r="H33" s="12"/>
    </row>
    <row r="34" spans="1:8" ht="28.8">
      <c r="A34" s="1" t="str">
        <f>PROPER(SUBSTITUTE(Table2[[#This Row],[Target Column]], "_", " "))</f>
        <v>Execution Date</v>
      </c>
      <c r="B34" s="1" t="s">
        <v>6</v>
      </c>
      <c r="C34" s="1" t="s">
        <v>2333</v>
      </c>
      <c r="D34" s="1" t="s">
        <v>2098</v>
      </c>
      <c r="E34" s="1" t="s">
        <v>8</v>
      </c>
      <c r="F34" s="1" t="s">
        <v>4</v>
      </c>
      <c r="G34" s="1" t="s">
        <v>622</v>
      </c>
      <c r="H34" s="12" t="s">
        <v>2334</v>
      </c>
    </row>
    <row r="35" spans="1:8">
      <c r="A35" s="1" t="str">
        <f>PROPER(SUBSTITUTE(Table2[[#This Row],[Target Column]], "_", " "))</f>
        <v>Execution Subtype Code</v>
      </c>
      <c r="B35" s="1" t="s">
        <v>6</v>
      </c>
      <c r="C35" s="1" t="s">
        <v>2333</v>
      </c>
      <c r="D35" s="1" t="s">
        <v>2099</v>
      </c>
      <c r="E35" s="1" t="s">
        <v>8</v>
      </c>
      <c r="F35" s="1" t="s">
        <v>4</v>
      </c>
      <c r="G35" s="1" t="s">
        <v>627</v>
      </c>
      <c r="H35" s="12"/>
    </row>
    <row r="36" spans="1:8">
      <c r="A36" s="1" t="str">
        <f>PROPER(SUBSTITUTE(Table2[[#This Row],[Target Column]], "_", " "))</f>
        <v>Execution Subtype Description</v>
      </c>
      <c r="B36" s="1" t="s">
        <v>6</v>
      </c>
      <c r="C36" s="1" t="s">
        <v>2333</v>
      </c>
      <c r="D36" s="1" t="s">
        <v>2101</v>
      </c>
      <c r="E36" s="1" t="s">
        <v>8</v>
      </c>
      <c r="F36" s="1" t="s">
        <v>4</v>
      </c>
      <c r="G36" s="1" t="s">
        <v>632</v>
      </c>
      <c r="H36" s="12"/>
    </row>
    <row r="37" spans="1:8">
      <c r="A37" s="1" t="str">
        <f>PROPER(SUBSTITUTE(Table2[[#This Row],[Target Column]], "_", " "))</f>
        <v>Execution Subtype Id</v>
      </c>
      <c r="B37" s="1" t="s">
        <v>6</v>
      </c>
      <c r="C37" s="1" t="s">
        <v>2333</v>
      </c>
      <c r="D37" s="1" t="s">
        <v>2103</v>
      </c>
      <c r="E37" s="1" t="s">
        <v>8</v>
      </c>
      <c r="F37" s="1" t="s">
        <v>4</v>
      </c>
      <c r="G37" s="1" t="s">
        <v>636</v>
      </c>
      <c r="H37" s="12"/>
    </row>
    <row r="38" spans="1:8">
      <c r="A38" s="1" t="str">
        <f>PROPER(SUBSTITUTE(Table2[[#This Row],[Target Column]], "_", " "))</f>
        <v>Execution Subtype Name</v>
      </c>
      <c r="B38" s="1" t="s">
        <v>6</v>
      </c>
      <c r="C38" s="1" t="s">
        <v>2333</v>
      </c>
      <c r="D38" s="1" t="s">
        <v>2105</v>
      </c>
      <c r="E38" s="1" t="s">
        <v>8</v>
      </c>
      <c r="F38" s="1" t="s">
        <v>4</v>
      </c>
      <c r="G38" s="1" t="s">
        <v>639</v>
      </c>
      <c r="H38" s="12"/>
    </row>
    <row r="39" spans="1:8">
      <c r="A39" s="1" t="str">
        <f>PROPER(SUBSTITUTE(Table2[[#This Row],[Target Column]], "_", " "))</f>
        <v>Execution Type Code</v>
      </c>
      <c r="B39" s="1" t="s">
        <v>6</v>
      </c>
      <c r="C39" s="1" t="s">
        <v>2333</v>
      </c>
      <c r="D39" s="1" t="s">
        <v>2107</v>
      </c>
      <c r="E39" s="1" t="s">
        <v>8</v>
      </c>
      <c r="F39" s="1" t="s">
        <v>4</v>
      </c>
      <c r="G39" s="1" t="s">
        <v>643</v>
      </c>
      <c r="H39" s="12"/>
    </row>
    <row r="40" spans="1:8">
      <c r="A40" s="1" t="str">
        <f>PROPER(SUBSTITUTE(Table2[[#This Row],[Target Column]], "_", " "))</f>
        <v>Execution Type Description</v>
      </c>
      <c r="B40" s="1" t="s">
        <v>6</v>
      </c>
      <c r="C40" s="1" t="s">
        <v>2333</v>
      </c>
      <c r="D40" s="1" t="s">
        <v>2108</v>
      </c>
      <c r="E40" s="1" t="s">
        <v>8</v>
      </c>
      <c r="F40" s="1" t="s">
        <v>4</v>
      </c>
      <c r="G40" s="1" t="s">
        <v>648</v>
      </c>
      <c r="H40" s="12"/>
    </row>
    <row r="41" spans="1:8">
      <c r="A41" s="1" t="str">
        <f>PROPER(SUBSTITUTE(Table2[[#This Row],[Target Column]], "_", " "))</f>
        <v>Execution Type Id</v>
      </c>
      <c r="B41" s="1" t="s">
        <v>6</v>
      </c>
      <c r="C41" s="1" t="s">
        <v>2333</v>
      </c>
      <c r="D41" s="1" t="s">
        <v>2109</v>
      </c>
      <c r="E41" s="1" t="s">
        <v>8</v>
      </c>
      <c r="F41" s="1" t="s">
        <v>4</v>
      </c>
      <c r="G41" s="1" t="s">
        <v>652</v>
      </c>
      <c r="H41" s="12"/>
    </row>
    <row r="42" spans="1:8">
      <c r="A42" s="1" t="str">
        <f>PROPER(SUBSTITUTE(Table2[[#This Row],[Target Column]], "_", " "))</f>
        <v>Execution Type Name</v>
      </c>
      <c r="B42" s="1" t="s">
        <v>6</v>
      </c>
      <c r="C42" s="1" t="s">
        <v>2333</v>
      </c>
      <c r="D42" s="1" t="s">
        <v>2110</v>
      </c>
      <c r="E42" s="1" t="s">
        <v>8</v>
      </c>
      <c r="F42" s="1" t="s">
        <v>4</v>
      </c>
      <c r="G42" s="1" t="s">
        <v>655</v>
      </c>
      <c r="H42" s="12"/>
    </row>
    <row r="43" spans="1:8">
      <c r="A43" s="1" t="str">
        <f>PROPER(SUBSTITUTE(Table2[[#This Row],[Target Column]], "_", " "))</f>
        <v>Exchange Dimension Id</v>
      </c>
      <c r="B43" s="1" t="s">
        <v>6</v>
      </c>
      <c r="C43" s="1" t="s">
        <v>2333</v>
      </c>
      <c r="D43" s="1" t="s">
        <v>2096</v>
      </c>
      <c r="E43" s="1" t="s">
        <v>8</v>
      </c>
      <c r="F43" s="1" t="s">
        <v>4</v>
      </c>
      <c r="G43" s="1" t="s">
        <v>353</v>
      </c>
      <c r="H43" s="12"/>
    </row>
    <row r="44" spans="1:8">
      <c r="A44" s="1" t="str">
        <f>PROPER(SUBSTITUTE(Table2[[#This Row],[Target Column]], "_", " "))</f>
        <v>Legacy Cancellation Compliance Reason Type Dimension Id</v>
      </c>
      <c r="B44" s="1" t="s">
        <v>6</v>
      </c>
      <c r="C44" s="1" t="s">
        <v>2333</v>
      </c>
      <c r="D44" s="1" t="s">
        <v>2117</v>
      </c>
      <c r="E44" s="1" t="s">
        <v>8</v>
      </c>
      <c r="F44" s="1" t="s">
        <v>4</v>
      </c>
      <c r="G44" s="1" t="s">
        <v>668</v>
      </c>
      <c r="H44" s="12"/>
    </row>
    <row r="45" spans="1:8">
      <c r="A45" s="1" t="str">
        <f>PROPER(SUBSTITUTE(Table2[[#This Row],[Target Column]], "_", " "))</f>
        <v>Legacy Cancellation Compliance Source Type Dimension Id</v>
      </c>
      <c r="B45" s="1" t="s">
        <v>6</v>
      </c>
      <c r="C45" s="1" t="s">
        <v>2333</v>
      </c>
      <c r="D45" s="1" t="s">
        <v>2122</v>
      </c>
      <c r="E45" s="1" t="s">
        <v>8</v>
      </c>
      <c r="F45" s="1" t="s">
        <v>4</v>
      </c>
      <c r="G45" s="1" t="s">
        <v>686</v>
      </c>
      <c r="H45" s="12"/>
    </row>
    <row r="46" spans="1:8">
      <c r="A46" s="1" t="str">
        <f>PROPER(SUBSTITUTE(Table2[[#This Row],[Target Column]], "_", " "))</f>
        <v>Legacy Market Type Dimension Id</v>
      </c>
      <c r="B46" s="1" t="s">
        <v>6</v>
      </c>
      <c r="C46" s="1" t="s">
        <v>2333</v>
      </c>
      <c r="D46" s="1" t="s">
        <v>2127</v>
      </c>
      <c r="E46" s="1" t="s">
        <v>8</v>
      </c>
      <c r="F46" s="1" t="s">
        <v>4</v>
      </c>
      <c r="G46" s="1" t="s">
        <v>704</v>
      </c>
      <c r="H46" s="12"/>
    </row>
    <row r="47" spans="1:8">
      <c r="A47" s="1" t="str">
        <f>PROPER(SUBSTITUTE(Table2[[#This Row],[Target Column]], "_", " "))</f>
        <v>Legacy Trade Capacity Type Dimension Id</v>
      </c>
      <c r="B47" s="1" t="s">
        <v>6</v>
      </c>
      <c r="C47" s="1" t="s">
        <v>2333</v>
      </c>
      <c r="D47" s="1" t="s">
        <v>2131</v>
      </c>
      <c r="E47" s="1" t="s">
        <v>8</v>
      </c>
      <c r="F47" s="1" t="s">
        <v>4</v>
      </c>
      <c r="G47" s="1" t="s">
        <v>723</v>
      </c>
      <c r="H47" s="12"/>
    </row>
    <row r="48" spans="1:8">
      <c r="A48" s="1" t="str">
        <f>PROPER(SUBSTITUTE(Table2[[#This Row],[Target Column]], "_", " "))</f>
        <v>Offset Arrangement Id</v>
      </c>
      <c r="B48" s="1" t="s">
        <v>6</v>
      </c>
      <c r="C48" s="1" t="s">
        <v>2333</v>
      </c>
      <c r="D48" s="1" t="s">
        <v>2136</v>
      </c>
      <c r="E48" s="1" t="s">
        <v>8</v>
      </c>
      <c r="F48" s="1" t="s">
        <v>4</v>
      </c>
      <c r="G48" s="1" t="s">
        <v>737</v>
      </c>
      <c r="H48" s="12"/>
    </row>
    <row r="49" spans="1:8">
      <c r="A49" s="1" t="str">
        <f>PROPER(SUBSTITUTE(Table2[[#This Row],[Target Column]], "_", " "))</f>
        <v>Option Class Code</v>
      </c>
      <c r="B49" s="1" t="s">
        <v>6</v>
      </c>
      <c r="C49" s="1" t="s">
        <v>2333</v>
      </c>
      <c r="D49" s="1" t="s">
        <v>2143</v>
      </c>
      <c r="E49" s="1" t="s">
        <v>8</v>
      </c>
      <c r="F49" s="1" t="s">
        <v>4</v>
      </c>
      <c r="G49" s="1" t="s">
        <v>741</v>
      </c>
      <c r="H49" s="12"/>
    </row>
    <row r="50" spans="1:8">
      <c r="A50" s="1" t="str">
        <f>PROPER(SUBSTITUTE(Table2[[#This Row],[Target Column]], "_", " "))</f>
        <v>Original Booking Date</v>
      </c>
      <c r="B50" s="1" t="s">
        <v>6</v>
      </c>
      <c r="C50" s="1" t="s">
        <v>2333</v>
      </c>
      <c r="D50" s="1" t="s">
        <v>2149</v>
      </c>
      <c r="E50" s="1" t="s">
        <v>8</v>
      </c>
      <c r="F50" s="1" t="s">
        <v>4</v>
      </c>
      <c r="G50" s="1" t="s">
        <v>767</v>
      </c>
      <c r="H50" s="12"/>
    </row>
    <row r="51" spans="1:8">
      <c r="A51" s="1" t="str">
        <f>PROPER(SUBSTITUTE(Table2[[#This Row],[Target Column]], "_", " "))</f>
        <v>Original Trade Number</v>
      </c>
      <c r="B51" s="1" t="s">
        <v>6</v>
      </c>
      <c r="C51" s="1" t="s">
        <v>2333</v>
      </c>
      <c r="D51" s="1" t="s">
        <v>2153</v>
      </c>
      <c r="E51" s="1" t="s">
        <v>8</v>
      </c>
      <c r="F51" s="1" t="s">
        <v>4</v>
      </c>
      <c r="G51" s="1" t="s">
        <v>771</v>
      </c>
      <c r="H51" s="12"/>
    </row>
    <row r="52" spans="1:8">
      <c r="A52" s="1" t="str">
        <f>PROPER(SUBSTITUTE(Table2[[#This Row],[Target Column]], "_", " "))</f>
        <v>Related Transaction Source System Dimension Id</v>
      </c>
      <c r="B52" s="1" t="s">
        <v>6</v>
      </c>
      <c r="C52" s="1" t="s">
        <v>2333</v>
      </c>
      <c r="D52" s="1" t="s">
        <v>2165</v>
      </c>
      <c r="E52" s="1" t="s">
        <v>8</v>
      </c>
      <c r="F52" s="1" t="s">
        <v>4</v>
      </c>
      <c r="G52" s="1" t="s">
        <v>779</v>
      </c>
      <c r="H52" s="12"/>
    </row>
    <row r="53" spans="1:8" ht="28.8">
      <c r="A53" s="1" t="str">
        <f>PROPER(SUBSTITUTE(Table2[[#This Row],[Target Column]], "_", " "))</f>
        <v>Sales Charge Rate</v>
      </c>
      <c r="B53" s="1" t="s">
        <v>6</v>
      </c>
      <c r="C53" s="1" t="s">
        <v>2333</v>
      </c>
      <c r="D53" s="1" t="s">
        <v>2166</v>
      </c>
      <c r="E53" s="1" t="s">
        <v>8</v>
      </c>
      <c r="F53" s="1" t="s">
        <v>4</v>
      </c>
      <c r="G53" s="1" t="s">
        <v>816</v>
      </c>
      <c r="H53" s="12" t="s">
        <v>2334</v>
      </c>
    </row>
    <row r="54" spans="1:8">
      <c r="A54" s="1" t="str">
        <f>PROPER(SUBSTITUTE(Table2[[#This Row],[Target Column]], "_", " "))</f>
        <v>Sales Charge Rate Type Code</v>
      </c>
      <c r="B54" s="1" t="s">
        <v>6</v>
      </c>
      <c r="C54" s="1" t="s">
        <v>2333</v>
      </c>
      <c r="D54" s="1" t="s">
        <v>2168</v>
      </c>
      <c r="E54" s="1" t="s">
        <v>8</v>
      </c>
      <c r="F54" s="1" t="s">
        <v>4</v>
      </c>
      <c r="G54" s="1" t="s">
        <v>823</v>
      </c>
      <c r="H54" s="12"/>
    </row>
    <row r="55" spans="1:8">
      <c r="A55" s="1" t="str">
        <f>PROPER(SUBSTITUTE(Table2[[#This Row],[Target Column]], "_", " "))</f>
        <v>Sales Charge Rate Type Id</v>
      </c>
      <c r="B55" s="1" t="s">
        <v>6</v>
      </c>
      <c r="C55" s="1" t="s">
        <v>2333</v>
      </c>
      <c r="D55" s="1" t="s">
        <v>2169</v>
      </c>
      <c r="E55" s="1" t="s">
        <v>8</v>
      </c>
      <c r="F55" s="1" t="s">
        <v>4</v>
      </c>
      <c r="G55" s="1" t="s">
        <v>828</v>
      </c>
      <c r="H55" s="12"/>
    </row>
    <row r="56" spans="1:8">
      <c r="A56" s="1" t="str">
        <f>PROPER(SUBSTITUTE(Table2[[#This Row],[Target Column]], "_", " "))</f>
        <v>System Base Currency Calculation Date</v>
      </c>
      <c r="B56" s="1" t="s">
        <v>6</v>
      </c>
      <c r="C56" s="1" t="s">
        <v>2333</v>
      </c>
      <c r="D56" s="1" t="s">
        <v>2251</v>
      </c>
      <c r="E56" s="1" t="s">
        <v>8</v>
      </c>
      <c r="F56" s="1" t="s">
        <v>4</v>
      </c>
      <c r="G56" s="1" t="s">
        <v>1015</v>
      </c>
      <c r="H56" s="12"/>
    </row>
    <row r="57" spans="1:8">
      <c r="A57" s="1" t="str">
        <f>PROPER(SUBSTITUTE(Table2[[#This Row],[Target Column]], "_", " "))</f>
        <v>System Base Currency Dimension Id</v>
      </c>
      <c r="B57" s="1" t="s">
        <v>6</v>
      </c>
      <c r="C57" s="1" t="s">
        <v>2333</v>
      </c>
      <c r="D57" s="1" t="s">
        <v>2253</v>
      </c>
      <c r="E57" s="1" t="s">
        <v>8</v>
      </c>
      <c r="F57" s="1" t="s">
        <v>4</v>
      </c>
      <c r="G57" s="1" t="s">
        <v>1025</v>
      </c>
      <c r="H57" s="12"/>
    </row>
    <row r="58" spans="1:8">
      <c r="A58" s="1" t="str">
        <f>PROPER(SUBSTITUTE(Table2[[#This Row],[Target Column]], "_", " "))</f>
        <v>System Base Currency Exchange Rate</v>
      </c>
      <c r="B58" s="1" t="s">
        <v>6</v>
      </c>
      <c r="C58" s="1" t="s">
        <v>2333</v>
      </c>
      <c r="D58" s="1" t="s">
        <v>2254</v>
      </c>
      <c r="E58" s="1" t="s">
        <v>8</v>
      </c>
      <c r="F58" s="1" t="s">
        <v>4</v>
      </c>
      <c r="G58" s="1" t="s">
        <v>1029</v>
      </c>
      <c r="H58" s="12"/>
    </row>
    <row r="59" spans="1:8">
      <c r="A59" s="1" t="str">
        <f>PROPER(SUBSTITUTE(Table2[[#This Row],[Target Column]], "_", " "))</f>
        <v>Security Asset Package Type Code</v>
      </c>
      <c r="B59" s="1" t="s">
        <v>6</v>
      </c>
      <c r="C59" s="1" t="s">
        <v>2333</v>
      </c>
      <c r="D59" s="1" t="s">
        <v>2183</v>
      </c>
      <c r="E59" s="1" t="s">
        <v>8</v>
      </c>
      <c r="F59" s="1" t="s">
        <v>4</v>
      </c>
      <c r="G59" s="1" t="s">
        <v>871</v>
      </c>
      <c r="H59" s="12"/>
    </row>
    <row r="60" spans="1:8">
      <c r="A60" s="1" t="str">
        <f>PROPER(SUBSTITUTE(Table2[[#This Row],[Target Column]], "_", " "))</f>
        <v>Security Asset Package Type Description</v>
      </c>
      <c r="B60" s="1" t="s">
        <v>6</v>
      </c>
      <c r="C60" s="1" t="s">
        <v>2333</v>
      </c>
      <c r="D60" s="1" t="s">
        <v>2185</v>
      </c>
      <c r="E60" s="1" t="s">
        <v>8</v>
      </c>
      <c r="F60" s="1" t="s">
        <v>4</v>
      </c>
      <c r="G60" s="1" t="s">
        <v>875</v>
      </c>
      <c r="H60" s="12"/>
    </row>
    <row r="61" spans="1:8">
      <c r="A61" s="1" t="str">
        <f>PROPER(SUBSTITUTE(Table2[[#This Row],[Target Column]], "_", " "))</f>
        <v>Security Asset Package Type Name</v>
      </c>
      <c r="B61" s="1" t="s">
        <v>6</v>
      </c>
      <c r="C61" s="1" t="s">
        <v>2333</v>
      </c>
      <c r="D61" s="1" t="s">
        <v>2189</v>
      </c>
      <c r="E61" s="1" t="s">
        <v>8</v>
      </c>
      <c r="F61" s="1" t="s">
        <v>4</v>
      </c>
      <c r="G61" s="1" t="s">
        <v>882</v>
      </c>
      <c r="H61" s="12"/>
    </row>
    <row r="62" spans="1:8">
      <c r="A62" s="1" t="str">
        <f>PROPER(SUBSTITUTE(Table2[[#This Row],[Target Column]], "_", " "))</f>
        <v>Security Activity Category</v>
      </c>
      <c r="B62" s="1" t="s">
        <v>6</v>
      </c>
      <c r="C62" s="1" t="s">
        <v>2333</v>
      </c>
      <c r="D62" s="1" t="s">
        <v>2171</v>
      </c>
      <c r="E62" s="1" t="s">
        <v>8</v>
      </c>
      <c r="F62" s="1" t="s">
        <v>4</v>
      </c>
      <c r="G62" s="1" t="s">
        <v>836</v>
      </c>
      <c r="H62" s="12"/>
    </row>
    <row r="63" spans="1:8">
      <c r="A63" s="1" t="str">
        <f>PROPER(SUBSTITUTE(Table2[[#This Row],[Target Column]], "_", " "))</f>
        <v>Security Activity Type</v>
      </c>
      <c r="B63" s="1" t="s">
        <v>6</v>
      </c>
      <c r="C63" s="1" t="s">
        <v>2333</v>
      </c>
      <c r="D63" s="1" t="s">
        <v>2175</v>
      </c>
      <c r="E63" s="1" t="s">
        <v>8</v>
      </c>
      <c r="F63" s="1" t="s">
        <v>4</v>
      </c>
      <c r="G63" s="1" t="s">
        <v>849</v>
      </c>
      <c r="H63" s="12"/>
    </row>
    <row r="64" spans="1:8">
      <c r="A64" s="1" t="str">
        <f>PROPER(SUBSTITUTE(Table2[[#This Row],[Target Column]], "_", " "))</f>
        <v>Settlement Date</v>
      </c>
      <c r="B64" s="1" t="s">
        <v>6</v>
      </c>
      <c r="C64" s="1" t="s">
        <v>2333</v>
      </c>
      <c r="D64" s="1" t="s">
        <v>2219</v>
      </c>
      <c r="E64" s="1" t="s">
        <v>8</v>
      </c>
      <c r="F64" s="1" t="s">
        <v>4</v>
      </c>
      <c r="G64" s="1" t="s">
        <v>949</v>
      </c>
      <c r="H64" s="12"/>
    </row>
    <row r="65" spans="1:8">
      <c r="A65" s="1" t="str">
        <f>PROPER(SUBSTITUTE(Table2[[#This Row],[Target Column]], "_", " "))</f>
        <v>Settlement Date Dimension Id</v>
      </c>
      <c r="B65" s="1" t="s">
        <v>6</v>
      </c>
      <c r="C65" s="1" t="s">
        <v>2333</v>
      </c>
      <c r="D65" s="1" t="s">
        <v>2220</v>
      </c>
      <c r="E65" s="1" t="s">
        <v>8</v>
      </c>
      <c r="F65" s="1" t="s">
        <v>4</v>
      </c>
      <c r="G65" s="1" t="s">
        <v>953</v>
      </c>
      <c r="H65" s="12"/>
    </row>
    <row r="66" spans="1:8">
      <c r="A66" s="1" t="str">
        <f>PROPER(SUBSTITUTE(Table2[[#This Row],[Target Column]], "_", " "))</f>
        <v>Security Alternate Description Trailer 2</v>
      </c>
      <c r="B66" s="1" t="s">
        <v>6</v>
      </c>
      <c r="C66" s="1" t="s">
        <v>2333</v>
      </c>
      <c r="D66" s="1" t="s">
        <v>2177</v>
      </c>
      <c r="E66" s="1" t="s">
        <v>8</v>
      </c>
      <c r="F66" s="1" t="s">
        <v>4</v>
      </c>
      <c r="G66" s="1" t="s">
        <v>857</v>
      </c>
      <c r="H66" s="12"/>
    </row>
    <row r="67" spans="1:8">
      <c r="A67" s="1" t="str">
        <f>PROPER(SUBSTITUTE(Table2[[#This Row],[Target Column]], "_", " "))</f>
        <v>Security Asset Package External Qualifier</v>
      </c>
      <c r="B67" s="1" t="s">
        <v>6</v>
      </c>
      <c r="C67" s="1" t="s">
        <v>2333</v>
      </c>
      <c r="D67" s="1" t="s">
        <v>2179</v>
      </c>
      <c r="E67" s="1" t="s">
        <v>8</v>
      </c>
      <c r="F67" s="1" t="s">
        <v>4</v>
      </c>
      <c r="G67" s="1" t="s">
        <v>862</v>
      </c>
      <c r="H67" s="12"/>
    </row>
    <row r="68" spans="1:8">
      <c r="A68" s="1" t="str">
        <f>PROPER(SUBSTITUTE(Table2[[#This Row],[Target Column]], "_", " "))</f>
        <v>Security Asset Package Id</v>
      </c>
      <c r="B68" s="1" t="s">
        <v>6</v>
      </c>
      <c r="C68" s="1" t="s">
        <v>2333</v>
      </c>
      <c r="D68" s="1" t="s">
        <v>2181</v>
      </c>
      <c r="E68" s="1" t="s">
        <v>8</v>
      </c>
      <c r="F68" s="1" t="s">
        <v>4</v>
      </c>
      <c r="G68" s="1" t="s">
        <v>867</v>
      </c>
      <c r="H68" s="12"/>
    </row>
    <row r="69" spans="1:8">
      <c r="A69" s="1" t="str">
        <f>PROPER(SUBSTITUTE(Table2[[#This Row],[Target Column]], "_", " "))</f>
        <v>Security Asset Package Type Id</v>
      </c>
      <c r="B69" s="1" t="s">
        <v>6</v>
      </c>
      <c r="C69" s="1" t="s">
        <v>2333</v>
      </c>
      <c r="D69" s="1" t="s">
        <v>2187</v>
      </c>
      <c r="E69" s="1" t="s">
        <v>8</v>
      </c>
      <c r="F69" s="1" t="s">
        <v>4</v>
      </c>
      <c r="G69" s="1" t="s">
        <v>879</v>
      </c>
      <c r="H69" s="12"/>
    </row>
    <row r="70" spans="1:8">
      <c r="A70" s="1" t="str">
        <f>PROPER(SUBSTITUTE(Table2[[#This Row],[Target Column]], "_", " "))</f>
        <v>Security Activity Classification Id</v>
      </c>
      <c r="B70" s="1" t="s">
        <v>6</v>
      </c>
      <c r="C70" s="1" t="s">
        <v>2333</v>
      </c>
      <c r="D70" s="1" t="s">
        <v>2173</v>
      </c>
      <c r="E70" s="1" t="s">
        <v>8</v>
      </c>
      <c r="F70" s="1" t="s">
        <v>4</v>
      </c>
      <c r="G70" s="1" t="s">
        <v>845</v>
      </c>
      <c r="H70" s="12"/>
    </row>
    <row r="71" spans="1:8">
      <c r="A71" s="1" t="str">
        <f>PROPER(SUBSTITUTE(Table2[[#This Row],[Target Column]], "_", " "))</f>
        <v>Security Debit Credit Code</v>
      </c>
      <c r="B71" s="1" t="s">
        <v>6</v>
      </c>
      <c r="C71" s="1" t="s">
        <v>2333</v>
      </c>
      <c r="D71" s="1" t="s">
        <v>2192</v>
      </c>
      <c r="E71" s="1" t="s">
        <v>8</v>
      </c>
      <c r="F71" s="1" t="s">
        <v>4</v>
      </c>
      <c r="G71" s="1" t="s">
        <v>892</v>
      </c>
      <c r="H71" s="12"/>
    </row>
    <row r="72" spans="1:8">
      <c r="A72" s="1" t="str">
        <f>PROPER(SUBSTITUTE(Table2[[#This Row],[Target Column]], "_", " "))</f>
        <v>Security Description Trailer 1</v>
      </c>
      <c r="B72" s="1" t="s">
        <v>6</v>
      </c>
      <c r="C72" s="1" t="s">
        <v>2333</v>
      </c>
      <c r="D72" s="1" t="s">
        <v>2196</v>
      </c>
      <c r="E72" s="1" t="s">
        <v>8</v>
      </c>
      <c r="F72" s="1" t="s">
        <v>4</v>
      </c>
      <c r="G72" s="1" t="s">
        <v>900</v>
      </c>
      <c r="H72" s="12"/>
    </row>
    <row r="73" spans="1:8">
      <c r="A73" s="1" t="str">
        <f>PROPER(SUBSTITUTE(Table2[[#This Row],[Target Column]], "_", " "))</f>
        <v>Security Original Quantity</v>
      </c>
      <c r="B73" s="1" t="s">
        <v>6</v>
      </c>
      <c r="C73" s="1" t="s">
        <v>2333</v>
      </c>
      <c r="D73" s="1" t="s">
        <v>2198</v>
      </c>
      <c r="E73" s="1" t="s">
        <v>8</v>
      </c>
      <c r="F73" s="1" t="s">
        <v>4</v>
      </c>
      <c r="G73" s="1" t="s">
        <v>904</v>
      </c>
      <c r="H73" s="12"/>
    </row>
    <row r="74" spans="1:8">
      <c r="A74" s="1" t="str">
        <f>PROPER(SUBSTITUTE(Table2[[#This Row],[Target Column]], "_", " "))</f>
        <v>Security Product Id</v>
      </c>
      <c r="B74" s="1" t="s">
        <v>6</v>
      </c>
      <c r="C74" s="1" t="s">
        <v>2333</v>
      </c>
      <c r="D74" s="1" t="s">
        <v>2201</v>
      </c>
      <c r="E74" s="1" t="s">
        <v>8</v>
      </c>
      <c r="F74" s="1" t="s">
        <v>4</v>
      </c>
      <c r="G74" s="1" t="s">
        <v>916</v>
      </c>
      <c r="H74" s="12"/>
    </row>
    <row r="75" spans="1:8">
      <c r="A75" s="1" t="str">
        <f>PROPER(SUBSTITUTE(Table2[[#This Row],[Target Column]], "_", " "))</f>
        <v>Security Price In Transaction Currency</v>
      </c>
      <c r="B75" s="1" t="s">
        <v>6</v>
      </c>
      <c r="C75" s="1" t="s">
        <v>2333</v>
      </c>
      <c r="D75" s="1" t="s">
        <v>2200</v>
      </c>
      <c r="E75" s="1" t="s">
        <v>8</v>
      </c>
      <c r="F75" s="1" t="s">
        <v>4</v>
      </c>
      <c r="G75" s="1" t="s">
        <v>925</v>
      </c>
      <c r="H75" s="12"/>
    </row>
    <row r="76" spans="1:8">
      <c r="A76" s="1" t="str">
        <f>PROPER(SUBSTITUTE(Table2[[#This Row],[Target Column]], "_", " "))</f>
        <v>Security System Base Currency Amount</v>
      </c>
      <c r="B76" s="1" t="s">
        <v>6</v>
      </c>
      <c r="C76" s="1" t="s">
        <v>2333</v>
      </c>
      <c r="D76" s="1" t="s">
        <v>2213</v>
      </c>
      <c r="E76" s="1" t="s">
        <v>8</v>
      </c>
      <c r="F76" s="1" t="s">
        <v>4</v>
      </c>
      <c r="G76" s="1" t="s">
        <v>941</v>
      </c>
      <c r="H76" s="12"/>
    </row>
    <row r="77" spans="1:8">
      <c r="A77" s="1" t="str">
        <f>PROPER(SUBSTITUTE(Table2[[#This Row],[Target Column]], "_", " "))</f>
        <v>Security Source Cusip</v>
      </c>
      <c r="B77" s="1" t="s">
        <v>6</v>
      </c>
      <c r="C77" s="1" t="s">
        <v>2333</v>
      </c>
      <c r="D77" s="1" t="s">
        <v>2207</v>
      </c>
      <c r="E77" s="1" t="s">
        <v>8</v>
      </c>
      <c r="F77" s="1" t="s">
        <v>4</v>
      </c>
      <c r="G77" s="1" t="s">
        <v>909</v>
      </c>
      <c r="H77" s="12"/>
    </row>
    <row r="78" spans="1:8">
      <c r="A78" s="1" t="str">
        <f>PROPER(SUBSTITUTE(Table2[[#This Row],[Target Column]], "_", " "))</f>
        <v>Security Source Price In System Base Currency</v>
      </c>
      <c r="B78" s="1" t="s">
        <v>6</v>
      </c>
      <c r="C78" s="1" t="s">
        <v>2333</v>
      </c>
      <c r="D78" s="1" t="s">
        <v>2209</v>
      </c>
      <c r="E78" s="1" t="s">
        <v>8</v>
      </c>
      <c r="F78" s="1" t="s">
        <v>4</v>
      </c>
      <c r="G78" s="1" t="s">
        <v>932</v>
      </c>
      <c r="H78" s="12"/>
    </row>
    <row r="79" spans="1:8">
      <c r="A79" s="1" t="str">
        <f>PROPER(SUBSTITUTE(Table2[[#This Row],[Target Column]], "_", " "))</f>
        <v>Security Source Sequence Number</v>
      </c>
      <c r="B79" s="1" t="s">
        <v>6</v>
      </c>
      <c r="C79" s="1" t="s">
        <v>2333</v>
      </c>
      <c r="D79" s="1" t="s">
        <v>2211</v>
      </c>
      <c r="E79" s="1" t="s">
        <v>8</v>
      </c>
      <c r="F79" s="1" t="s">
        <v>4</v>
      </c>
      <c r="G79" s="1" t="s">
        <v>937</v>
      </c>
      <c r="H79" s="12"/>
    </row>
    <row r="80" spans="1:8">
      <c r="A80" s="1" t="str">
        <f>PROPER(SUBSTITUTE(Table2[[#This Row],[Target Column]], "_", " "))</f>
        <v>Security Transaction Amount</v>
      </c>
      <c r="B80" s="1" t="s">
        <v>6</v>
      </c>
      <c r="C80" s="1" t="s">
        <v>2333</v>
      </c>
      <c r="D80" s="1" t="s">
        <v>2215</v>
      </c>
      <c r="E80" s="1" t="s">
        <v>8</v>
      </c>
      <c r="F80" s="1" t="s">
        <v>4</v>
      </c>
      <c r="G80" s="1" t="s">
        <v>945</v>
      </c>
      <c r="H80" s="12"/>
    </row>
    <row r="81" spans="1:8">
      <c r="A81" s="1" t="str">
        <f>PROPER(SUBSTITUTE(Table2[[#This Row],[Target Column]], "_", " "))</f>
        <v>Source Entry Channel Type Dimension Id</v>
      </c>
      <c r="B81" s="1" t="s">
        <v>6</v>
      </c>
      <c r="C81" s="1" t="s">
        <v>2333</v>
      </c>
      <c r="D81" s="1" t="s">
        <v>2236</v>
      </c>
      <c r="E81" s="1" t="s">
        <v>8</v>
      </c>
      <c r="F81" s="1" t="s">
        <v>4</v>
      </c>
      <c r="G81" s="1" t="s">
        <v>973</v>
      </c>
      <c r="H81" s="12"/>
    </row>
    <row r="82" spans="1:8">
      <c r="A82" s="1" t="str">
        <f>PROPER(SUBSTITUTE(Table2[[#This Row],[Target Column]], "_", " "))</f>
        <v>Source Entry Datetime</v>
      </c>
      <c r="B82" s="1" t="s">
        <v>6</v>
      </c>
      <c r="C82" s="1" t="s">
        <v>2333</v>
      </c>
      <c r="D82" s="1" t="s">
        <v>2239</v>
      </c>
      <c r="E82" s="1" t="s">
        <v>8</v>
      </c>
      <c r="F82" s="1" t="s">
        <v>4</v>
      </c>
      <c r="G82" s="1" t="s">
        <v>983</v>
      </c>
      <c r="H82" s="12"/>
    </row>
    <row r="83" spans="1:8">
      <c r="A83" s="1" t="str">
        <f>PROPER(SUBSTITUTE(Table2[[#This Row],[Target Column]], "_", " "))</f>
        <v>Source Processing Type Dimension Id</v>
      </c>
      <c r="B83" s="1" t="s">
        <v>6</v>
      </c>
      <c r="C83" s="1" t="s">
        <v>2333</v>
      </c>
      <c r="D83" s="1" t="s">
        <v>2243</v>
      </c>
      <c r="E83" s="1" t="s">
        <v>8</v>
      </c>
      <c r="F83" s="1" t="s">
        <v>4</v>
      </c>
      <c r="G83" s="1" t="s">
        <v>987</v>
      </c>
      <c r="H83" s="12"/>
    </row>
    <row r="84" spans="1:8">
      <c r="A84" s="1" t="str">
        <f>PROPER(SUBSTITUTE(Table2[[#This Row],[Target Column]], "_", " "))</f>
        <v>Trade Date</v>
      </c>
      <c r="B84" s="1" t="s">
        <v>6</v>
      </c>
      <c r="C84" s="1" t="s">
        <v>2333</v>
      </c>
      <c r="D84" s="1" t="s">
        <v>2256</v>
      </c>
      <c r="E84" s="1" t="s">
        <v>8</v>
      </c>
      <c r="F84" s="1" t="s">
        <v>4</v>
      </c>
      <c r="G84" s="1" t="s">
        <v>1041</v>
      </c>
      <c r="H84" s="12"/>
    </row>
    <row r="85" spans="1:8">
      <c r="A85" s="1" t="str">
        <f>PROPER(SUBSTITUTE(Table2[[#This Row],[Target Column]], "_", " "))</f>
        <v>Trade Date Dimension Id</v>
      </c>
      <c r="B85" s="1" t="s">
        <v>6</v>
      </c>
      <c r="C85" s="1" t="s">
        <v>2333</v>
      </c>
      <c r="D85" s="1" t="s">
        <v>2257</v>
      </c>
      <c r="E85" s="1" t="s">
        <v>8</v>
      </c>
      <c r="F85" s="1" t="s">
        <v>4</v>
      </c>
      <c r="G85" s="1" t="s">
        <v>344</v>
      </c>
      <c r="H85" s="12"/>
    </row>
    <row r="86" spans="1:8">
      <c r="A86" s="1" t="str">
        <f>PROPER(SUBSTITUTE(Table2[[#This Row],[Target Column]], "_", " "))</f>
        <v>Trade Number</v>
      </c>
      <c r="B86" s="1" t="s">
        <v>6</v>
      </c>
      <c r="C86" s="1" t="s">
        <v>2333</v>
      </c>
      <c r="D86" s="1" t="s">
        <v>2258</v>
      </c>
      <c r="E86" s="1" t="s">
        <v>8</v>
      </c>
      <c r="F86" s="1" t="s">
        <v>4</v>
      </c>
      <c r="G86" s="1" t="s">
        <v>1045</v>
      </c>
      <c r="H86" s="12"/>
    </row>
    <row r="87" spans="1:8">
      <c r="A87" s="1" t="str">
        <f>PROPER(SUBSTITUTE(Table2[[#This Row],[Target Column]], "_", " "))</f>
        <v>Trade Solicitation Type Dimension Id</v>
      </c>
      <c r="B87" s="1" t="s">
        <v>6</v>
      </c>
      <c r="C87" s="1" t="s">
        <v>2333</v>
      </c>
      <c r="D87" s="1" t="s">
        <v>2260</v>
      </c>
      <c r="E87" s="1" t="s">
        <v>8</v>
      </c>
      <c r="F87" s="1" t="s">
        <v>4</v>
      </c>
      <c r="G87" s="1" t="s">
        <v>1049</v>
      </c>
      <c r="H87" s="12"/>
    </row>
    <row r="88" spans="1:8" ht="28.8">
      <c r="A88" s="1" t="str">
        <f>PROPER(SUBSTITUTE(Table2[[#This Row],[Target Column]], "_", " "))</f>
        <v>Target Transaction Id</v>
      </c>
      <c r="B88" s="1" t="s">
        <v>6</v>
      </c>
      <c r="C88" s="1" t="s">
        <v>2333</v>
      </c>
      <c r="D88" s="1" t="s">
        <v>2255</v>
      </c>
      <c r="E88" s="1" t="s">
        <v>8</v>
      </c>
      <c r="F88" s="1" t="s">
        <v>4</v>
      </c>
      <c r="G88" s="1" t="s">
        <v>1034</v>
      </c>
      <c r="H88" s="12" t="s">
        <v>2334</v>
      </c>
    </row>
    <row r="89" spans="1:8">
      <c r="A89" s="1" t="str">
        <f>PROPER(SUBSTITUTE(Table2[[#This Row],[Target Column]], "_", " "))</f>
        <v>Transaction Classification Flag</v>
      </c>
      <c r="B89" s="1" t="s">
        <v>6</v>
      </c>
      <c r="C89" s="1" t="s">
        <v>2333</v>
      </c>
      <c r="D89" s="1" t="s">
        <v>2263</v>
      </c>
      <c r="E89" s="1" t="s">
        <v>8</v>
      </c>
      <c r="F89" s="1" t="s">
        <v>4</v>
      </c>
      <c r="G89" s="1" t="s">
        <v>1066</v>
      </c>
      <c r="H89" s="12"/>
    </row>
    <row r="90" spans="1:8">
      <c r="A90" s="1" t="str">
        <f>PROPER(SUBSTITUTE(Table2[[#This Row],[Target Column]], "_", " "))</f>
        <v>Transaction Id</v>
      </c>
      <c r="B90" s="1" t="s">
        <v>6</v>
      </c>
      <c r="C90" s="1" t="s">
        <v>2333</v>
      </c>
      <c r="D90" s="1" t="s">
        <v>2264</v>
      </c>
      <c r="E90" s="1" t="s">
        <v>8</v>
      </c>
      <c r="F90" s="1" t="s">
        <v>4</v>
      </c>
      <c r="G90" s="1" t="s">
        <v>1069</v>
      </c>
      <c r="H90" s="12"/>
    </row>
    <row r="91" spans="1:8">
      <c r="A91" s="1" t="str">
        <f>PROPER(SUBSTITUTE(Table2[[#This Row],[Target Column]], "_", " "))</f>
        <v>Transaction Subtype Id</v>
      </c>
      <c r="B91" s="1" t="s">
        <v>6</v>
      </c>
      <c r="C91" s="1" t="s">
        <v>2333</v>
      </c>
      <c r="D91" s="1" t="s">
        <v>2269</v>
      </c>
      <c r="E91" s="1" t="s">
        <v>8</v>
      </c>
      <c r="F91" s="1" t="s">
        <v>4</v>
      </c>
      <c r="G91" s="1" t="s">
        <v>1087</v>
      </c>
      <c r="H91" s="12"/>
    </row>
    <row r="92" spans="1:8">
      <c r="A92" s="1" t="str">
        <f>PROPER(SUBSTITUTE(Table2[[#This Row],[Target Column]], "_", " "))</f>
        <v>Transaction Source Key</v>
      </c>
      <c r="B92" s="1" t="s">
        <v>6</v>
      </c>
      <c r="C92" s="1" t="s">
        <v>2333</v>
      </c>
      <c r="D92" s="1" t="s">
        <v>2265</v>
      </c>
      <c r="E92" s="1" t="s">
        <v>8</v>
      </c>
      <c r="F92" s="1" t="s">
        <v>4</v>
      </c>
      <c r="G92" s="1" t="s">
        <v>1073</v>
      </c>
      <c r="H92" s="12"/>
    </row>
    <row r="93" spans="1:8">
      <c r="A93" s="1" t="str">
        <f>PROPER(SUBSTITUTE(Table2[[#This Row],[Target Column]], "_", " "))</f>
        <v>Transaction Source System Dimension Id</v>
      </c>
      <c r="B93" s="1" t="s">
        <v>6</v>
      </c>
      <c r="C93" s="1" t="s">
        <v>2333</v>
      </c>
      <c r="D93" s="1" t="s">
        <v>2266</v>
      </c>
      <c r="E93" s="1" t="s">
        <v>8</v>
      </c>
      <c r="F93" s="1" t="s">
        <v>4</v>
      </c>
      <c r="G93" s="1" t="s">
        <v>1007</v>
      </c>
      <c r="H93" s="12"/>
    </row>
    <row r="94" spans="1:8">
      <c r="A94" s="1" t="str">
        <f>PROPER(SUBSTITUTE(Table2[[#This Row],[Target Column]], "_", " "))</f>
        <v>Transaction Subtype Code</v>
      </c>
      <c r="B94" s="1" t="s">
        <v>6</v>
      </c>
      <c r="C94" s="1" t="s">
        <v>2333</v>
      </c>
      <c r="D94" s="1" t="s">
        <v>2267</v>
      </c>
      <c r="E94" s="1" t="s">
        <v>8</v>
      </c>
      <c r="F94" s="1" t="s">
        <v>4</v>
      </c>
      <c r="G94" s="1" t="s">
        <v>1077</v>
      </c>
      <c r="H94" s="12"/>
    </row>
    <row r="95" spans="1:8">
      <c r="A95" s="1" t="str">
        <f>PROPER(SUBSTITUTE(Table2[[#This Row],[Target Column]], "_", " "))</f>
        <v>Transaction Subtype Description</v>
      </c>
      <c r="B95" s="1" t="s">
        <v>6</v>
      </c>
      <c r="C95" s="1" t="s">
        <v>2333</v>
      </c>
      <c r="D95" s="1" t="s">
        <v>2268</v>
      </c>
      <c r="E95" s="1" t="s">
        <v>8</v>
      </c>
      <c r="F95" s="1" t="s">
        <v>4</v>
      </c>
      <c r="G95" s="1" t="s">
        <v>1082</v>
      </c>
      <c r="H95" s="12"/>
    </row>
    <row r="96" spans="1:8">
      <c r="A96" s="1" t="str">
        <f>PROPER(SUBSTITUTE(Table2[[#This Row],[Target Column]], "_", " "))</f>
        <v>Transaction Subtype Name</v>
      </c>
      <c r="B96" s="1" t="s">
        <v>6</v>
      </c>
      <c r="C96" s="1" t="s">
        <v>2333</v>
      </c>
      <c r="D96" s="1" t="s">
        <v>2270</v>
      </c>
      <c r="E96" s="1" t="s">
        <v>8</v>
      </c>
      <c r="F96" s="1" t="s">
        <v>4</v>
      </c>
      <c r="G96" s="1" t="s">
        <v>1090</v>
      </c>
      <c r="H96" s="12"/>
    </row>
    <row r="97" spans="1:8">
      <c r="A97" s="1" t="str">
        <f>PROPER(SUBSTITUTE(Table2[[#This Row],[Target Column]], "_", " "))</f>
        <v>Transaction Type Code</v>
      </c>
      <c r="B97" s="1" t="s">
        <v>6</v>
      </c>
      <c r="C97" s="1" t="s">
        <v>2333</v>
      </c>
      <c r="D97" s="1" t="s">
        <v>2271</v>
      </c>
      <c r="E97" s="1" t="s">
        <v>8</v>
      </c>
      <c r="F97" s="1" t="s">
        <v>4</v>
      </c>
      <c r="G97" s="1" t="s">
        <v>1094</v>
      </c>
      <c r="H97" s="12"/>
    </row>
    <row r="98" spans="1:8">
      <c r="A98" s="1" t="str">
        <f>PROPER(SUBSTITUTE(Table2[[#This Row],[Target Column]], "_", " "))</f>
        <v>Transaction Type Description</v>
      </c>
      <c r="B98" s="1" t="s">
        <v>6</v>
      </c>
      <c r="C98" s="1" t="s">
        <v>2333</v>
      </c>
      <c r="D98" s="1" t="s">
        <v>2272</v>
      </c>
      <c r="E98" s="1" t="s">
        <v>8</v>
      </c>
      <c r="F98" s="1" t="s">
        <v>4</v>
      </c>
      <c r="G98" s="1" t="s">
        <v>1099</v>
      </c>
      <c r="H98" s="12"/>
    </row>
    <row r="99" spans="1:8">
      <c r="A99" s="1" t="str">
        <f>PROPER(SUBSTITUTE(Table2[[#This Row],[Target Column]], "_", " "))</f>
        <v>Transaction Type Id</v>
      </c>
      <c r="B99" s="1" t="s">
        <v>6</v>
      </c>
      <c r="C99" s="1" t="s">
        <v>2333</v>
      </c>
      <c r="D99" s="1" t="s">
        <v>2273</v>
      </c>
      <c r="E99" s="1" t="s">
        <v>8</v>
      </c>
      <c r="F99" s="1" t="s">
        <v>4</v>
      </c>
      <c r="G99" s="1" t="s">
        <v>1104</v>
      </c>
      <c r="H99" s="12"/>
    </row>
    <row r="100" spans="1:8">
      <c r="A100" s="1" t="str">
        <f>PROPER(SUBSTITUTE(Table2[[#This Row],[Target Column]], "_", " "))</f>
        <v>Transaction Type Name</v>
      </c>
      <c r="B100" s="1" t="s">
        <v>6</v>
      </c>
      <c r="C100" s="1" t="s">
        <v>2333</v>
      </c>
      <c r="D100" s="1" t="s">
        <v>2274</v>
      </c>
      <c r="E100" s="1" t="s">
        <v>8</v>
      </c>
      <c r="F100" s="1" t="s">
        <v>4</v>
      </c>
      <c r="G100" s="1" t="s">
        <v>1107</v>
      </c>
      <c r="H100" s="12"/>
    </row>
    <row r="101" spans="1:8">
      <c r="A101" s="1" t="str">
        <f>PROPER(SUBSTITUTE(Table2[[#This Row],[Target Column]], "_", " "))</f>
        <v>Branch Code</v>
      </c>
      <c r="B101" s="1" t="s">
        <v>6</v>
      </c>
      <c r="C101" s="1" t="s">
        <v>2333</v>
      </c>
      <c r="D101" s="1" t="s">
        <v>2039</v>
      </c>
      <c r="E101" s="1" t="s">
        <v>8</v>
      </c>
      <c r="F101" s="1" t="s">
        <v>4</v>
      </c>
      <c r="G101" s="1" t="s">
        <v>412</v>
      </c>
      <c r="H101" s="12"/>
    </row>
    <row r="102" spans="1:8">
      <c r="A102" s="1" t="str">
        <f>PROPER(SUBSTITUTE(Table2[[#This Row],[Target Column]], "_", " "))</f>
        <v>Fa Number</v>
      </c>
      <c r="B102" s="1" t="s">
        <v>6</v>
      </c>
      <c r="C102" s="1" t="s">
        <v>2333</v>
      </c>
      <c r="D102" s="1" t="s">
        <v>2111</v>
      </c>
      <c r="E102" s="1" t="s">
        <v>8</v>
      </c>
      <c r="F102" s="1" t="s">
        <v>4</v>
      </c>
      <c r="G102" s="1" t="s">
        <v>175</v>
      </c>
      <c r="H102" s="12"/>
    </row>
    <row r="103" spans="1:8">
      <c r="A103" s="1" t="str">
        <f>PROPER(SUBSTITUTE(Table2[[#This Row],[Target Column]], "_", " "))</f>
        <v>Source Create User Name</v>
      </c>
      <c r="B103" s="1" t="s">
        <v>6</v>
      </c>
      <c r="C103" s="1" t="s">
        <v>2333</v>
      </c>
      <c r="D103" s="1" t="s">
        <v>2233</v>
      </c>
      <c r="E103" s="1" t="s">
        <v>8</v>
      </c>
      <c r="F103" s="1" t="s">
        <v>4</v>
      </c>
      <c r="G103" s="1" t="s">
        <v>957</v>
      </c>
      <c r="H103" s="12"/>
    </row>
    <row r="104" spans="1:8">
      <c r="A104" s="1" t="str">
        <f>PROPER(SUBSTITUTE(Table2[[#This Row],[Target Column]], "_", " "))</f>
        <v>Orignal Trade Date</v>
      </c>
      <c r="B104" s="1" t="s">
        <v>6</v>
      </c>
      <c r="C104" s="1" t="s">
        <v>2333</v>
      </c>
      <c r="D104" s="1" t="s">
        <v>2155</v>
      </c>
      <c r="E104" s="1" t="s">
        <v>8</v>
      </c>
      <c r="F104" s="1" t="s">
        <v>4</v>
      </c>
      <c r="G104" s="1" t="s">
        <v>775</v>
      </c>
      <c r="H104" s="12"/>
    </row>
    <row r="105" spans="1:8">
      <c r="A105" s="1" t="str">
        <f>PROPER(SUBSTITUTE(Table2[[#This Row],[Target Column]], "_", " "))</f>
        <v>Source Processing Type Code</v>
      </c>
      <c r="B105" s="1" t="s">
        <v>6</v>
      </c>
      <c r="C105" s="1" t="s">
        <v>2333</v>
      </c>
      <c r="D105" s="1" t="s">
        <v>2242</v>
      </c>
      <c r="E105" s="1" t="s">
        <v>8</v>
      </c>
      <c r="F105" s="1" t="s">
        <v>4</v>
      </c>
      <c r="G105" s="1" t="s">
        <v>995</v>
      </c>
      <c r="H105" s="12"/>
    </row>
    <row r="106" spans="1:8">
      <c r="A106" s="1" t="str">
        <f>PROPER(SUBSTITUTE(Table2[[#This Row],[Target Column]], "_", " "))</f>
        <v>Source Processing Type Name</v>
      </c>
      <c r="B106" s="1" t="s">
        <v>6</v>
      </c>
      <c r="C106" s="1" t="s">
        <v>2333</v>
      </c>
      <c r="D106" s="1" t="s">
        <v>2245</v>
      </c>
      <c r="E106" s="1" t="s">
        <v>8</v>
      </c>
      <c r="F106" s="1" t="s">
        <v>4</v>
      </c>
      <c r="G106" s="1" t="s">
        <v>999</v>
      </c>
      <c r="H106" s="12"/>
    </row>
    <row r="107" spans="1:8">
      <c r="A107" s="1" t="str">
        <f>PROPER(SUBSTITUTE(Table2[[#This Row],[Target Column]], "_", " "))</f>
        <v>Currency Dimension Id</v>
      </c>
      <c r="B107" s="1" t="s">
        <v>6</v>
      </c>
      <c r="C107" s="1" t="s">
        <v>2333</v>
      </c>
      <c r="D107" s="1" t="s">
        <v>2090</v>
      </c>
      <c r="E107" s="1" t="s">
        <v>8</v>
      </c>
      <c r="F107" s="1" t="s">
        <v>4</v>
      </c>
      <c r="G107" s="1" t="s">
        <v>590</v>
      </c>
      <c r="H107" s="12"/>
    </row>
    <row r="108" spans="1:8">
      <c r="A108" s="1" t="str">
        <f>PROPER(SUBSTITUTE(Table2[[#This Row],[Target Column]], "_", " "))</f>
        <v>Currency Code</v>
      </c>
      <c r="B108" s="1" t="s">
        <v>6</v>
      </c>
      <c r="C108" s="1" t="s">
        <v>2333</v>
      </c>
      <c r="D108" s="1" t="s">
        <v>2089</v>
      </c>
      <c r="E108" s="1" t="s">
        <v>8</v>
      </c>
      <c r="F108" s="1" t="s">
        <v>4</v>
      </c>
      <c r="G108" s="1" t="s">
        <v>584</v>
      </c>
      <c r="H108" s="12"/>
    </row>
    <row r="109" spans="1:8">
      <c r="A109" s="1" t="str">
        <f>PROPER(SUBSTITUTE(Table2[[#This Row],[Target Column]], "_", " "))</f>
        <v>System Base Currency Code</v>
      </c>
      <c r="B109" s="1" t="s">
        <v>6</v>
      </c>
      <c r="C109" s="1" t="s">
        <v>2333</v>
      </c>
      <c r="D109" s="1" t="s">
        <v>2252</v>
      </c>
      <c r="E109" s="1" t="s">
        <v>8</v>
      </c>
      <c r="F109" s="1" t="s">
        <v>4</v>
      </c>
      <c r="G109" s="1" t="s">
        <v>1020</v>
      </c>
      <c r="H109" s="12"/>
    </row>
    <row r="110" spans="1:8">
      <c r="A110" s="1" t="str">
        <f>PROPER(SUBSTITUTE(Table2[[#This Row],[Target Column]], "_", " "))</f>
        <v>Source Effective Date</v>
      </c>
      <c r="B110" s="1" t="s">
        <v>6</v>
      </c>
      <c r="C110" s="1" t="s">
        <v>2333</v>
      </c>
      <c r="D110" s="1" t="s">
        <v>2234</v>
      </c>
      <c r="E110" s="1" t="s">
        <v>8</v>
      </c>
      <c r="F110" s="1" t="s">
        <v>4</v>
      </c>
      <c r="G110" s="1" t="s">
        <v>961</v>
      </c>
      <c r="H110" s="12"/>
    </row>
    <row r="111" spans="1:8">
      <c r="A111" s="1" t="str">
        <f>PROPER(SUBSTITUTE(Table2[[#This Row],[Target Column]], "_", " "))</f>
        <v>Department Of Labor Indicator Id</v>
      </c>
      <c r="B111" s="1" t="s">
        <v>6</v>
      </c>
      <c r="C111" s="1" t="s">
        <v>2333</v>
      </c>
      <c r="D111" s="1" t="s">
        <v>2092</v>
      </c>
      <c r="E111" s="1" t="s">
        <v>8</v>
      </c>
      <c r="F111" s="1" t="s">
        <v>4</v>
      </c>
      <c r="G111" s="1" t="s">
        <v>601</v>
      </c>
      <c r="H111" s="12"/>
    </row>
    <row r="112" spans="1:8">
      <c r="A112" s="1" t="str">
        <f>PROPER(SUBSTITUTE(Table2[[#This Row],[Target Column]], "_", " "))</f>
        <v>Department Of Labor Indicator Code</v>
      </c>
      <c r="B112" s="1" t="s">
        <v>6</v>
      </c>
      <c r="C112" s="1" t="s">
        <v>2333</v>
      </c>
      <c r="D112" s="1" t="s">
        <v>2091</v>
      </c>
      <c r="E112" s="1" t="s">
        <v>8</v>
      </c>
      <c r="F112" s="1" t="s">
        <v>4</v>
      </c>
      <c r="G112" s="1" t="s">
        <v>595</v>
      </c>
      <c r="H112" s="12"/>
    </row>
    <row r="113" spans="1:8">
      <c r="A113" s="1" t="str">
        <f>PROPER(SUBSTITUTE(Table2[[#This Row],[Target Column]], "_", " "))</f>
        <v>Department Of Labor Indicator Name</v>
      </c>
      <c r="B113" s="1" t="s">
        <v>6</v>
      </c>
      <c r="C113" s="1" t="s">
        <v>2333</v>
      </c>
      <c r="D113" s="1" t="s">
        <v>2093</v>
      </c>
      <c r="E113" s="1" t="s">
        <v>8</v>
      </c>
      <c r="F113" s="1" t="s">
        <v>4</v>
      </c>
      <c r="G113" s="1" t="s">
        <v>604</v>
      </c>
      <c r="H113" s="12"/>
    </row>
    <row r="114" spans="1:8">
      <c r="A114" s="1" t="str">
        <f>PROPER(SUBSTITUTE(Table2[[#This Row],[Target Column]], "_", " "))</f>
        <v>Order Management System Order Key</v>
      </c>
      <c r="B114" s="1" t="s">
        <v>6</v>
      </c>
      <c r="C114" s="1" t="s">
        <v>2333</v>
      </c>
      <c r="D114" s="1" t="s">
        <v>2148</v>
      </c>
      <c r="E114" s="1" t="s">
        <v>8</v>
      </c>
      <c r="F114" s="1" t="s">
        <v>4</v>
      </c>
      <c r="G114" s="1" t="s">
        <v>763</v>
      </c>
      <c r="H114" s="12"/>
    </row>
    <row r="115" spans="1:8">
      <c r="A115" s="1" t="str">
        <f>PROPER(SUBSTITUTE(Table2[[#This Row],[Target Column]], "_", " "))</f>
        <v>Exchange Code</v>
      </c>
      <c r="B115" s="1" t="s">
        <v>6</v>
      </c>
      <c r="C115" s="1" t="s">
        <v>2333</v>
      </c>
      <c r="D115" s="1" t="s">
        <v>2095</v>
      </c>
      <c r="E115" s="1" t="s">
        <v>8</v>
      </c>
      <c r="F115" s="1" t="s">
        <v>4</v>
      </c>
      <c r="G115" s="1" t="s">
        <v>609</v>
      </c>
      <c r="H115" s="12"/>
    </row>
    <row r="116" spans="1:8">
      <c r="A116" s="1" t="str">
        <f>PROPER(SUBSTITUTE(Table2[[#This Row],[Target Column]], "_", " "))</f>
        <v>Exchange Name</v>
      </c>
      <c r="B116" s="1" t="s">
        <v>6</v>
      </c>
      <c r="C116" s="1" t="s">
        <v>2333</v>
      </c>
      <c r="D116" s="1" t="s">
        <v>2097</v>
      </c>
      <c r="E116" s="1" t="s">
        <v>8</v>
      </c>
      <c r="F116" s="1" t="s">
        <v>4</v>
      </c>
      <c r="G116" s="1" t="s">
        <v>615</v>
      </c>
      <c r="H116" s="12"/>
    </row>
    <row r="117" spans="1:8">
      <c r="A117" s="1" t="str">
        <f>PROPER(SUBSTITUTE(Table2[[#This Row],[Target Column]], "_", " "))</f>
        <v>Accounting Type Code</v>
      </c>
      <c r="B117" s="1" t="s">
        <v>6</v>
      </c>
      <c r="C117" s="1" t="s">
        <v>2333</v>
      </c>
      <c r="D117" s="1" t="s">
        <v>2024</v>
      </c>
      <c r="E117" s="1" t="s">
        <v>8</v>
      </c>
      <c r="F117" s="1" t="s">
        <v>4</v>
      </c>
      <c r="G117" s="1" t="s">
        <v>360</v>
      </c>
      <c r="H117" s="12"/>
    </row>
    <row r="118" spans="1:8">
      <c r="A118" s="1" t="str">
        <f>PROPER(SUBSTITUTE(Table2[[#This Row],[Target Column]], "_", " "))</f>
        <v>Accounting Type Name</v>
      </c>
      <c r="B118" s="1" t="s">
        <v>6</v>
      </c>
      <c r="C118" s="1" t="s">
        <v>2333</v>
      </c>
      <c r="D118" s="1" t="s">
        <v>2028</v>
      </c>
      <c r="E118" s="1" t="s">
        <v>8</v>
      </c>
      <c r="F118" s="1" t="s">
        <v>4</v>
      </c>
      <c r="G118" s="1" t="s">
        <v>369</v>
      </c>
      <c r="H118" s="12"/>
    </row>
    <row r="119" spans="1:8">
      <c r="A119" s="1" t="str">
        <f>PROPER(SUBSTITUTE(Table2[[#This Row],[Target Column]], "_", " "))</f>
        <v>Cash Position Type Code</v>
      </c>
      <c r="B119" s="1" t="s">
        <v>6</v>
      </c>
      <c r="C119" s="1" t="s">
        <v>2333</v>
      </c>
      <c r="D119" s="1" t="s">
        <v>2070</v>
      </c>
      <c r="E119" s="1" t="s">
        <v>8</v>
      </c>
      <c r="F119" s="1" t="s">
        <v>4</v>
      </c>
      <c r="G119" s="1" t="s">
        <v>522</v>
      </c>
      <c r="H119" s="12"/>
    </row>
    <row r="120" spans="1:8">
      <c r="A120" s="1" t="str">
        <f>PROPER(SUBSTITUTE(Table2[[#This Row],[Target Column]], "_", " "))</f>
        <v>Cash Position Type Name</v>
      </c>
      <c r="B120" s="1" t="s">
        <v>6</v>
      </c>
      <c r="C120" s="1" t="s">
        <v>2333</v>
      </c>
      <c r="D120" s="1" t="s">
        <v>2073</v>
      </c>
      <c r="E120" s="1" t="s">
        <v>8</v>
      </c>
      <c r="F120" s="1" t="s">
        <v>4</v>
      </c>
      <c r="G120" s="1" t="s">
        <v>531</v>
      </c>
      <c r="H120" s="12"/>
    </row>
    <row r="121" spans="1:8">
      <c r="A121" s="1" t="str">
        <f>PROPER(SUBSTITUTE(Table2[[#This Row],[Target Column]], "_", " "))</f>
        <v>Legacy Cancellation Compliance Reason Type Code</v>
      </c>
      <c r="B121" s="1" t="s">
        <v>6</v>
      </c>
      <c r="C121" s="1" t="s">
        <v>2333</v>
      </c>
      <c r="D121" s="1" t="s">
        <v>2116</v>
      </c>
      <c r="E121" s="1" t="s">
        <v>8</v>
      </c>
      <c r="F121" s="1" t="s">
        <v>4</v>
      </c>
      <c r="G121" s="1" t="s">
        <v>662</v>
      </c>
      <c r="H121" s="12"/>
    </row>
    <row r="122" spans="1:8">
      <c r="A122" s="1" t="str">
        <f>PROPER(SUBSTITUTE(Table2[[#This Row],[Target Column]], "_", " "))</f>
        <v>Legacy Cancellation Compliance Reason Type Name</v>
      </c>
      <c r="B122" s="1" t="s">
        <v>6</v>
      </c>
      <c r="C122" s="1" t="s">
        <v>2333</v>
      </c>
      <c r="D122" s="1" t="s">
        <v>2119</v>
      </c>
      <c r="E122" s="1" t="s">
        <v>8</v>
      </c>
      <c r="F122" s="1" t="s">
        <v>4</v>
      </c>
      <c r="G122" s="1" t="s">
        <v>673</v>
      </c>
      <c r="H122" s="12"/>
    </row>
    <row r="123" spans="1:8">
      <c r="A123" s="1" t="str">
        <f>PROPER(SUBSTITUTE(Table2[[#This Row],[Target Column]], "_", " "))</f>
        <v>Legacy Cancellation Compliance Source Type Code</v>
      </c>
      <c r="B123" s="1" t="s">
        <v>6</v>
      </c>
      <c r="C123" s="1" t="s">
        <v>2333</v>
      </c>
      <c r="D123" s="1" t="s">
        <v>2121</v>
      </c>
      <c r="E123" s="1" t="s">
        <v>8</v>
      </c>
      <c r="F123" s="1" t="s">
        <v>4</v>
      </c>
      <c r="G123" s="1" t="s">
        <v>680</v>
      </c>
      <c r="H123" s="12"/>
    </row>
    <row r="124" spans="1:8">
      <c r="A124" s="1" t="str">
        <f>PROPER(SUBSTITUTE(Table2[[#This Row],[Target Column]], "_", " "))</f>
        <v>Legacy Cancellation Compliance Source Type Name</v>
      </c>
      <c r="B124" s="1" t="s">
        <v>6</v>
      </c>
      <c r="C124" s="1" t="s">
        <v>2333</v>
      </c>
      <c r="D124" s="1" t="s">
        <v>2124</v>
      </c>
      <c r="E124" s="1" t="s">
        <v>8</v>
      </c>
      <c r="F124" s="1" t="s">
        <v>4</v>
      </c>
      <c r="G124" s="1" t="s">
        <v>691</v>
      </c>
      <c r="H124" s="12"/>
    </row>
    <row r="125" spans="1:8">
      <c r="A125" s="1" t="str">
        <f>PROPER(SUBSTITUTE(Table2[[#This Row],[Target Column]], "_", " "))</f>
        <v>Legacy Market Type Code</v>
      </c>
      <c r="B125" s="1" t="s">
        <v>6</v>
      </c>
      <c r="C125" s="1" t="s">
        <v>2333</v>
      </c>
      <c r="D125" s="1" t="s">
        <v>2126</v>
      </c>
      <c r="E125" s="1" t="s">
        <v>8</v>
      </c>
      <c r="F125" s="1" t="s">
        <v>4</v>
      </c>
      <c r="G125" s="1" t="s">
        <v>698</v>
      </c>
      <c r="H125" s="12"/>
    </row>
    <row r="126" spans="1:8">
      <c r="A126" s="1" t="str">
        <f>PROPER(SUBSTITUTE(Table2[[#This Row],[Target Column]], "_", " "))</f>
        <v>Legacy Market Type Name</v>
      </c>
      <c r="B126" s="1" t="s">
        <v>6</v>
      </c>
      <c r="C126" s="1" t="s">
        <v>2333</v>
      </c>
      <c r="D126" s="1" t="s">
        <v>2129</v>
      </c>
      <c r="E126" s="1" t="s">
        <v>8</v>
      </c>
      <c r="F126" s="1" t="s">
        <v>4</v>
      </c>
      <c r="G126" s="1" t="s">
        <v>707</v>
      </c>
      <c r="H126" s="12"/>
    </row>
    <row r="127" spans="1:8">
      <c r="A127" s="1" t="str">
        <f>PROPER(SUBSTITUTE(Table2[[#This Row],[Target Column]], "_", " "))</f>
        <v>Legacy Trade Capacity Type Code</v>
      </c>
      <c r="B127" s="1" t="s">
        <v>6</v>
      </c>
      <c r="C127" s="1" t="s">
        <v>2333</v>
      </c>
      <c r="D127" s="1" t="s">
        <v>2130</v>
      </c>
      <c r="E127" s="1" t="s">
        <v>8</v>
      </c>
      <c r="F127" s="1" t="s">
        <v>4</v>
      </c>
      <c r="G127" s="1" t="s">
        <v>714</v>
      </c>
      <c r="H127" s="12"/>
    </row>
    <row r="128" spans="1:8">
      <c r="A128" s="1" t="str">
        <f>PROPER(SUBSTITUTE(Table2[[#This Row],[Target Column]], "_", " "))</f>
        <v>Legacy Trade Capacity Type Name</v>
      </c>
      <c r="B128" s="1" t="s">
        <v>6</v>
      </c>
      <c r="C128" s="1" t="s">
        <v>2333</v>
      </c>
      <c r="D128" s="1" t="s">
        <v>2133</v>
      </c>
      <c r="E128" s="1" t="s">
        <v>8</v>
      </c>
      <c r="F128" s="1" t="s">
        <v>4</v>
      </c>
      <c r="G128" s="1" t="s">
        <v>729</v>
      </c>
      <c r="H128" s="12"/>
    </row>
    <row r="129" spans="1:8">
      <c r="A129" s="1" t="str">
        <f>PROPER(SUBSTITUTE(Table2[[#This Row],[Target Column]], "_", " "))</f>
        <v>Source Entry Channel Type Code</v>
      </c>
      <c r="B129" s="1" t="s">
        <v>6</v>
      </c>
      <c r="C129" s="1" t="s">
        <v>2333</v>
      </c>
      <c r="D129" s="1" t="s">
        <v>2235</v>
      </c>
      <c r="E129" s="1" t="s">
        <v>8</v>
      </c>
      <c r="F129" s="1" t="s">
        <v>4</v>
      </c>
      <c r="G129" s="1" t="s">
        <v>966</v>
      </c>
      <c r="H129" s="12"/>
    </row>
    <row r="130" spans="1:8">
      <c r="A130" s="1" t="str">
        <f>PROPER(SUBSTITUTE(Table2[[#This Row],[Target Column]], "_", " "))</f>
        <v>Source Entry Channel Type Name</v>
      </c>
      <c r="B130" s="1" t="s">
        <v>6</v>
      </c>
      <c r="C130" s="1" t="s">
        <v>2333</v>
      </c>
      <c r="D130" s="1" t="s">
        <v>2238</v>
      </c>
      <c r="E130" s="1" t="s">
        <v>8</v>
      </c>
      <c r="F130" s="1" t="s">
        <v>4</v>
      </c>
      <c r="G130" s="1" t="s">
        <v>976</v>
      </c>
      <c r="H130" s="12"/>
    </row>
    <row r="131" spans="1:8">
      <c r="A131" s="1" t="str">
        <f>PROPER(SUBSTITUTE(Table2[[#This Row],[Target Column]], "_", " "))</f>
        <v>Trade Solicitation Type Code</v>
      </c>
      <c r="B131" s="1" t="s">
        <v>6</v>
      </c>
      <c r="C131" s="1" t="s">
        <v>2333</v>
      </c>
      <c r="D131" s="1" t="s">
        <v>2259</v>
      </c>
      <c r="E131" s="1" t="s">
        <v>8</v>
      </c>
      <c r="F131" s="1" t="s">
        <v>4</v>
      </c>
      <c r="G131" s="1" t="s">
        <v>1058</v>
      </c>
      <c r="H131" s="12"/>
    </row>
    <row r="132" spans="1:8">
      <c r="A132" s="1" t="str">
        <f>PROPER(SUBSTITUTE(Table2[[#This Row],[Target Column]], "_", " "))</f>
        <v>Trade Solicitation Type Name</v>
      </c>
      <c r="B132" s="1" t="s">
        <v>6</v>
      </c>
      <c r="C132" s="1" t="s">
        <v>2333</v>
      </c>
      <c r="D132" s="1" t="s">
        <v>2262</v>
      </c>
      <c r="E132" s="1" t="s">
        <v>8</v>
      </c>
      <c r="F132" s="1" t="s">
        <v>4</v>
      </c>
      <c r="G132" s="1" t="s">
        <v>1062</v>
      </c>
      <c r="H132" s="12"/>
    </row>
    <row r="133" spans="1:8">
      <c r="A133" s="1" t="str">
        <f>PROPER(SUBSTITUTE(Table2[[#This Row],[Target Column]], "_", " "))</f>
        <v>Sales Charge Rate Type Name</v>
      </c>
      <c r="B133" s="1" t="s">
        <v>6</v>
      </c>
      <c r="C133" s="1" t="s">
        <v>2333</v>
      </c>
      <c r="D133" s="1" t="s">
        <v>2170</v>
      </c>
      <c r="E133" s="1" t="s">
        <v>8</v>
      </c>
      <c r="F133" s="1" t="s">
        <v>4</v>
      </c>
      <c r="G133" s="1" t="s">
        <v>832</v>
      </c>
      <c r="H133" s="12"/>
    </row>
    <row r="134" spans="1:8">
      <c r="A134" s="1" t="str">
        <f>PROPER(SUBSTITUTE(Table2[[#This Row],[Target Column]], "_", " "))</f>
        <v>Cash Debit Credit Name</v>
      </c>
      <c r="B134" s="1" t="s">
        <v>6</v>
      </c>
      <c r="C134" s="1" t="s">
        <v>2333</v>
      </c>
      <c r="D134" s="1" t="s">
        <v>2065</v>
      </c>
      <c r="E134" s="1" t="s">
        <v>8</v>
      </c>
      <c r="F134" s="1" t="s">
        <v>4</v>
      </c>
      <c r="G134" s="1" t="s">
        <v>509</v>
      </c>
      <c r="H134" s="12"/>
    </row>
    <row r="135" spans="1:8">
      <c r="A135" s="1" t="str">
        <f>PROPER(SUBSTITUTE(Table2[[#This Row],[Target Column]], "_", " "))</f>
        <v>Security Debit Credit Name</v>
      </c>
      <c r="B135" s="1" t="s">
        <v>6</v>
      </c>
      <c r="C135" s="1" t="s">
        <v>2333</v>
      </c>
      <c r="D135" s="1" t="s">
        <v>2194</v>
      </c>
      <c r="E135" s="1" t="s">
        <v>8</v>
      </c>
      <c r="F135" s="1" t="s">
        <v>4</v>
      </c>
      <c r="G135" s="1" t="s">
        <v>896</v>
      </c>
      <c r="H135" s="12"/>
    </row>
    <row r="136" spans="1:8">
      <c r="A136" s="1" t="str">
        <f>PROPER(SUBSTITUTE(Table2[[#This Row],[Target Column]], "_", " "))</f>
        <v>Source System Code</v>
      </c>
      <c r="B136" s="1" t="s">
        <v>6</v>
      </c>
      <c r="C136" s="1" t="s">
        <v>2333</v>
      </c>
      <c r="D136" s="1" t="s">
        <v>2246</v>
      </c>
      <c r="E136" s="1" t="s">
        <v>8</v>
      </c>
      <c r="F136" s="1" t="s">
        <v>4</v>
      </c>
      <c r="G136" s="1" t="s">
        <v>792</v>
      </c>
      <c r="H136" s="12"/>
    </row>
    <row r="137" spans="1:8">
      <c r="A137" s="1" t="str">
        <f>PROPER(SUBSTITUTE(Table2[[#This Row],[Target Column]], "_", " "))</f>
        <v>Batch Date</v>
      </c>
      <c r="B137" s="1" t="s">
        <v>6</v>
      </c>
      <c r="C137" s="1" t="s">
        <v>2333</v>
      </c>
      <c r="D137" s="1" t="s">
        <v>2036</v>
      </c>
      <c r="E137" s="1" t="s">
        <v>8</v>
      </c>
      <c r="F137" s="1" t="s">
        <v>4</v>
      </c>
      <c r="G137" s="1" t="s">
        <v>402</v>
      </c>
      <c r="H137" s="12"/>
    </row>
    <row r="138" spans="1:8">
      <c r="A138" s="1" t="str">
        <f>PROPER(SUBSTITUTE(Table2[[#This Row],[Target Column]], "_", " "))</f>
        <v>Security Cird Product Id</v>
      </c>
      <c r="B138" s="1" t="s">
        <v>6</v>
      </c>
      <c r="C138" s="1" t="s">
        <v>2333</v>
      </c>
      <c r="D138" s="1" t="s">
        <v>887</v>
      </c>
      <c r="E138" s="1" t="s">
        <v>8</v>
      </c>
      <c r="F138" s="1" t="s">
        <v>4</v>
      </c>
      <c r="G138" s="1" t="s">
        <v>886</v>
      </c>
      <c r="H138" s="12"/>
    </row>
    <row r="139" spans="1:8">
      <c r="A139" s="1" t="str">
        <f>PROPER(SUBSTITUTE(Table2[[#This Row],[Target Column]], "_", " "))</f>
        <v>Cash Cird Product Id</v>
      </c>
      <c r="B139" s="1" t="s">
        <v>6</v>
      </c>
      <c r="C139" s="1" t="s">
        <v>2333</v>
      </c>
      <c r="D139" s="1" t="s">
        <v>499</v>
      </c>
      <c r="E139" s="1" t="s">
        <v>8</v>
      </c>
      <c r="F139" s="1" t="s">
        <v>4</v>
      </c>
      <c r="G139" s="1" t="s">
        <v>498</v>
      </c>
      <c r="H139" s="12"/>
    </row>
    <row r="140" spans="1:8">
      <c r="A140" s="1" t="str">
        <f>PROPER(SUBSTITUTE(Table2[[#This Row],[Target Column]], "_", " "))</f>
        <v>Active Flag</v>
      </c>
      <c r="B140" s="1" t="s">
        <v>6</v>
      </c>
      <c r="C140" s="1" t="s">
        <v>2333</v>
      </c>
      <c r="D140" s="1" t="s">
        <v>2029</v>
      </c>
      <c r="E140" s="1" t="s">
        <v>8</v>
      </c>
      <c r="F140" s="1" t="s">
        <v>4</v>
      </c>
      <c r="G140" s="1" t="s">
        <v>378</v>
      </c>
      <c r="H140" s="12"/>
    </row>
    <row r="141" spans="1:8">
      <c r="A141" s="1" t="str">
        <f>PROPER(SUBSTITUTE(Table2[[#This Row],[Target Column]], "_", " "))</f>
        <v>Source Transaction Code</v>
      </c>
      <c r="B141" s="1" t="s">
        <v>6</v>
      </c>
      <c r="C141" s="1" t="s">
        <v>2333</v>
      </c>
      <c r="D141" s="1" t="s">
        <v>2249</v>
      </c>
      <c r="E141" s="1" t="s">
        <v>8</v>
      </c>
      <c r="F141" s="1" t="s">
        <v>4</v>
      </c>
      <c r="G141" s="1" t="s">
        <v>1010</v>
      </c>
      <c r="H141" s="12"/>
    </row>
    <row r="142" spans="1:8">
      <c r="A142" s="1" t="str">
        <f>PROPER(SUBSTITUTE(Table2[[#This Row],[Target Column]], "_", " "))</f>
        <v>Order Management System Executing Type Id</v>
      </c>
      <c r="B142" s="1" t="s">
        <v>6</v>
      </c>
      <c r="C142" s="1" t="s">
        <v>2333</v>
      </c>
      <c r="D142" s="1" t="s">
        <v>2146</v>
      </c>
      <c r="E142" s="1" t="s">
        <v>8</v>
      </c>
      <c r="F142" s="1" t="s">
        <v>4</v>
      </c>
      <c r="G142" s="1" t="s">
        <v>756</v>
      </c>
      <c r="H142" s="12"/>
    </row>
    <row r="143" spans="1:8">
      <c r="A143" s="1" t="str">
        <f>PROPER(SUBSTITUTE(Table2[[#This Row],[Target Column]], "_", " "))</f>
        <v>Order Management System Executing Type Code</v>
      </c>
      <c r="B143" s="1" t="s">
        <v>6</v>
      </c>
      <c r="C143" s="1" t="s">
        <v>2333</v>
      </c>
      <c r="D143" s="1" t="s">
        <v>2144</v>
      </c>
      <c r="E143" s="1" t="s">
        <v>8</v>
      </c>
      <c r="F143" s="1" t="s">
        <v>4</v>
      </c>
      <c r="G143" s="1" t="s">
        <v>746</v>
      </c>
      <c r="H143" s="12"/>
    </row>
    <row r="144" spans="1:8">
      <c r="A144" s="1" t="str">
        <f>PROPER(SUBSTITUTE(Table2[[#This Row],[Target Column]], "_", " "))</f>
        <v>Order Management System Executing Type Name</v>
      </c>
      <c r="B144" s="1" t="s">
        <v>6</v>
      </c>
      <c r="C144" s="1" t="s">
        <v>2333</v>
      </c>
      <c r="D144" s="1" t="s">
        <v>2147</v>
      </c>
      <c r="E144" s="1" t="s">
        <v>8</v>
      </c>
      <c r="F144" s="1" t="s">
        <v>4</v>
      </c>
      <c r="G144" s="1" t="s">
        <v>759</v>
      </c>
      <c r="H144" s="12"/>
    </row>
    <row r="145" spans="1:8">
      <c r="A145" s="1" t="str">
        <f>PROPER(SUBSTITUTE(Table2[[#This Row],[Target Column]], "_", " "))</f>
        <v>Order Management System Executing Type Description</v>
      </c>
      <c r="B145" s="1" t="s">
        <v>6</v>
      </c>
      <c r="C145" s="1" t="s">
        <v>2333</v>
      </c>
      <c r="D145" s="1" t="s">
        <v>2145</v>
      </c>
      <c r="E145" s="1" t="s">
        <v>8</v>
      </c>
      <c r="F145" s="1" t="s">
        <v>4</v>
      </c>
      <c r="G145" s="1" t="s">
        <v>751</v>
      </c>
      <c r="H145" s="12"/>
    </row>
    <row r="146" spans="1:8">
      <c r="A146" s="1" t="str">
        <f>PROPER(SUBSTITUTE(Table2[[#This Row],[Target Column]], "_", " "))</f>
        <v>Client Friendly Description</v>
      </c>
      <c r="B146" s="1" t="s">
        <v>6</v>
      </c>
      <c r="C146" s="1" t="s">
        <v>2333</v>
      </c>
      <c r="D146" s="1" t="s">
        <v>2086</v>
      </c>
      <c r="E146" s="1" t="s">
        <v>8</v>
      </c>
      <c r="F146" s="1" t="s">
        <v>4</v>
      </c>
      <c r="G146" s="1" t="s">
        <v>570</v>
      </c>
      <c r="H146" s="12"/>
    </row>
    <row r="147" spans="1:8" ht="43.2">
      <c r="A147" s="1" t="str">
        <f>PROPER(SUBSTITUTE(Table2[[#This Row],[Target Column]], "_", " "))</f>
        <v>Security Option Symbol</v>
      </c>
      <c r="B147" s="1" t="s">
        <v>6</v>
      </c>
      <c r="C147" s="1" t="s">
        <v>2333</v>
      </c>
      <c r="D147" s="1" t="s">
        <v>2335</v>
      </c>
      <c r="E147" s="1" t="s">
        <v>8</v>
      </c>
      <c r="F147" s="1" t="s">
        <v>4</v>
      </c>
      <c r="G147" s="86" t="s">
        <v>1157</v>
      </c>
      <c r="H147" s="12" t="s">
        <v>2336</v>
      </c>
    </row>
    <row r="148" spans="1:8">
      <c r="A148" s="1" t="str">
        <f>PROPER(SUBSTITUTE(Table2[[#This Row],[Target Column]], "_", " "))</f>
        <v>Additional Trade Instructions</v>
      </c>
      <c r="B148" s="1" t="s">
        <v>6</v>
      </c>
      <c r="C148" s="1" t="s">
        <v>2333</v>
      </c>
      <c r="D148" s="1" t="s">
        <v>2337</v>
      </c>
      <c r="E148" s="1" t="s">
        <v>8</v>
      </c>
      <c r="F148" s="1" t="s">
        <v>4</v>
      </c>
      <c r="G148" s="98" t="s">
        <v>2338</v>
      </c>
      <c r="H148" s="12" t="s">
        <v>2339</v>
      </c>
    </row>
    <row r="149" spans="1:8">
      <c r="A149" s="1" t="str">
        <f>PROPER(SUBSTITUTE(Table2[[#This Row],[Target Column]], "_", " "))</f>
        <v>Trade Factor Rate</v>
      </c>
      <c r="B149" s="1" t="s">
        <v>6</v>
      </c>
      <c r="C149" s="1" t="s">
        <v>2333</v>
      </c>
      <c r="D149" s="1" t="s">
        <v>2340</v>
      </c>
      <c r="E149" s="1" t="s">
        <v>8</v>
      </c>
      <c r="F149" s="1" t="s">
        <v>4</v>
      </c>
      <c r="G149" s="98" t="s">
        <v>2338</v>
      </c>
      <c r="H149" s="12" t="s">
        <v>2339</v>
      </c>
    </row>
    <row r="150" spans="1:8">
      <c r="A150" s="1" t="str">
        <f>PROPER(SUBSTITUTE(Table2[[#This Row],[Target Column]], "_", " "))</f>
        <v>Markup Rate</v>
      </c>
      <c r="B150" s="1" t="s">
        <v>6</v>
      </c>
      <c r="C150" s="1" t="s">
        <v>2333</v>
      </c>
      <c r="D150" s="1" t="s">
        <v>2341</v>
      </c>
      <c r="E150" s="1" t="s">
        <v>8</v>
      </c>
      <c r="F150" s="1" t="s">
        <v>4</v>
      </c>
      <c r="G150" s="98" t="s">
        <v>2338</v>
      </c>
      <c r="H150" s="12" t="s">
        <v>2339</v>
      </c>
    </row>
    <row r="151" spans="1:8">
      <c r="A151" s="1" t="str">
        <f>PROPER(SUBSTITUTE(Table2[[#This Row],[Target Column]], "_", " "))</f>
        <v>Standard Commission Amount</v>
      </c>
      <c r="B151" s="1" t="s">
        <v>6</v>
      </c>
      <c r="C151" s="1" t="s">
        <v>2333</v>
      </c>
      <c r="D151" s="1" t="s">
        <v>2342</v>
      </c>
      <c r="E151" s="1" t="s">
        <v>8</v>
      </c>
      <c r="F151" s="1" t="s">
        <v>4</v>
      </c>
      <c r="G151" s="98" t="s">
        <v>2338</v>
      </c>
      <c r="H151" s="12" t="s">
        <v>2339</v>
      </c>
    </row>
    <row r="152" spans="1:8">
      <c r="A152" s="1" t="str">
        <f>PROPER(SUBSTITUTE(Table2[[#This Row],[Target Column]], "_", " "))</f>
        <v>Actual Commission Amount</v>
      </c>
      <c r="B152" s="1" t="s">
        <v>6</v>
      </c>
      <c r="C152" s="1" t="s">
        <v>2333</v>
      </c>
      <c r="D152" s="1" t="s">
        <v>2343</v>
      </c>
      <c r="E152" s="1" t="s">
        <v>8</v>
      </c>
      <c r="F152" s="1" t="s">
        <v>4</v>
      </c>
      <c r="G152" s="98" t="s">
        <v>2338</v>
      </c>
      <c r="H152" s="12" t="s">
        <v>2339</v>
      </c>
    </row>
    <row r="153" spans="1:8">
      <c r="A153" s="1" t="str">
        <f>PROPER(SUBSTITUTE(Table2[[#This Row],[Target Column]], "_", " "))</f>
        <v>Trade Processing Fee Amount</v>
      </c>
      <c r="B153" s="1" t="s">
        <v>6</v>
      </c>
      <c r="C153" s="1" t="s">
        <v>2333</v>
      </c>
      <c r="D153" s="1" t="s">
        <v>2344</v>
      </c>
      <c r="E153" s="1" t="s">
        <v>8</v>
      </c>
      <c r="F153" s="1" t="s">
        <v>4</v>
      </c>
      <c r="G153" s="98" t="s">
        <v>2338</v>
      </c>
      <c r="H153" s="12" t="s">
        <v>2339</v>
      </c>
    </row>
    <row r="154" spans="1:8">
      <c r="A154" s="1" t="str">
        <f>PROPER(SUBSTITUTE(Table2[[#This Row],[Target Column]], "_", " "))</f>
        <v>Sec Fee Amount</v>
      </c>
      <c r="B154" s="1" t="s">
        <v>6</v>
      </c>
      <c r="C154" s="1" t="s">
        <v>2333</v>
      </c>
      <c r="D154" s="1" t="s">
        <v>2345</v>
      </c>
      <c r="E154" s="1" t="s">
        <v>8</v>
      </c>
      <c r="F154" s="1" t="s">
        <v>4</v>
      </c>
      <c r="G154" s="98" t="s">
        <v>2338</v>
      </c>
      <c r="H154" s="12" t="s">
        <v>2339</v>
      </c>
    </row>
    <row r="155" spans="1:8">
      <c r="A155" s="1" t="str">
        <f>PROPER(SUBSTITUTE(Table2[[#This Row],[Target Column]], "_", " "))</f>
        <v>Accrued Interest Amount</v>
      </c>
      <c r="B155" s="1" t="s">
        <v>6</v>
      </c>
      <c r="C155" s="1" t="s">
        <v>2333</v>
      </c>
      <c r="D155" s="1" t="s">
        <v>2346</v>
      </c>
      <c r="E155" s="1" t="s">
        <v>8</v>
      </c>
      <c r="F155" s="1" t="s">
        <v>4</v>
      </c>
      <c r="G155" s="98" t="s">
        <v>2338</v>
      </c>
      <c r="H155" s="12" t="s">
        <v>2339</v>
      </c>
    </row>
    <row r="156" spans="1:8">
      <c r="A156" s="1" t="str">
        <f>PROPER(SUBSTITUTE(Table2[[#This Row],[Target Column]], "_", " "))</f>
        <v>Concession Amount</v>
      </c>
      <c r="B156" s="1" t="s">
        <v>6</v>
      </c>
      <c r="C156" s="1" t="s">
        <v>2333</v>
      </c>
      <c r="D156" s="1" t="s">
        <v>2347</v>
      </c>
      <c r="E156" s="1" t="s">
        <v>8</v>
      </c>
      <c r="F156" s="1" t="s">
        <v>4</v>
      </c>
      <c r="G156" s="98" t="s">
        <v>2338</v>
      </c>
      <c r="H156" s="12" t="s">
        <v>2339</v>
      </c>
    </row>
    <row r="157" spans="1:8">
      <c r="A157" s="1" t="str">
        <f>PROPER(SUBSTITUTE(Table2[[#This Row],[Target Column]], "_", " "))</f>
        <v>Contingent Deferred Sales Charge Amount</v>
      </c>
      <c r="B157" s="1" t="s">
        <v>6</v>
      </c>
      <c r="C157" s="1" t="s">
        <v>2333</v>
      </c>
      <c r="D157" s="1" t="s">
        <v>2348</v>
      </c>
      <c r="E157" s="1" t="s">
        <v>8</v>
      </c>
      <c r="F157" s="1" t="s">
        <v>4</v>
      </c>
      <c r="G157" s="98" t="s">
        <v>2338</v>
      </c>
      <c r="H157" s="12" t="s">
        <v>2339</v>
      </c>
    </row>
    <row r="158" spans="1:8">
      <c r="A158" s="1" t="str">
        <f>PROPER(SUBSTITUTE(Table2[[#This Row],[Target Column]], "_", " "))</f>
        <v>Other Fee Amount</v>
      </c>
      <c r="B158" s="1" t="s">
        <v>6</v>
      </c>
      <c r="C158" s="1" t="s">
        <v>2333</v>
      </c>
      <c r="D158" s="1" t="s">
        <v>2349</v>
      </c>
      <c r="E158" s="1" t="s">
        <v>8</v>
      </c>
      <c r="F158" s="1" t="s">
        <v>4</v>
      </c>
      <c r="G158" s="98" t="s">
        <v>2338</v>
      </c>
      <c r="H158" s="12" t="s">
        <v>2339</v>
      </c>
    </row>
    <row r="159" spans="1:8">
      <c r="A159" s="1" t="str">
        <f>PROPER(SUBSTITUTE(Table2[[#This Row],[Target Column]], "_", " "))</f>
        <v>Trade Cancelled Flag</v>
      </c>
      <c r="B159" s="1" t="s">
        <v>6</v>
      </c>
      <c r="C159" s="1" t="s">
        <v>2333</v>
      </c>
      <c r="D159" s="1" t="s">
        <v>2350</v>
      </c>
      <c r="E159" s="1" t="s">
        <v>8</v>
      </c>
      <c r="F159" s="1" t="s">
        <v>4</v>
      </c>
      <c r="G159" s="98" t="s">
        <v>2338</v>
      </c>
      <c r="H159" s="12" t="s">
        <v>2339</v>
      </c>
    </row>
  </sheetData>
  <mergeCells count="5">
    <mergeCell ref="A1:H1"/>
    <mergeCell ref="A2:H2"/>
    <mergeCell ref="A3:H3"/>
    <mergeCell ref="A4:H4"/>
    <mergeCell ref="A5:H5"/>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8B9AE-05C5-4450-AF3F-C80DF4B6AC72}">
  <dimension ref="A1:E38"/>
  <sheetViews>
    <sheetView topLeftCell="A4" zoomScale="90" zoomScaleNormal="90" workbookViewId="0">
      <selection activeCell="A12" sqref="A12"/>
    </sheetView>
  </sheetViews>
  <sheetFormatPr defaultColWidth="9.109375" defaultRowHeight="14.4"/>
  <cols>
    <col min="1" max="1" width="199.33203125" bestFit="1" customWidth="1"/>
    <col min="2" max="2" width="10.5546875" customWidth="1"/>
    <col min="3" max="3" width="12.88671875" bestFit="1" customWidth="1"/>
    <col min="4" max="4" width="10.6640625" bestFit="1" customWidth="1"/>
    <col min="5" max="5" width="12.44140625" bestFit="1" customWidth="1"/>
  </cols>
  <sheetData>
    <row r="1" spans="1:2">
      <c r="A1" t="s">
        <v>2351</v>
      </c>
    </row>
    <row r="2" spans="1:2" s="8" customFormat="1">
      <c r="A2" s="8" t="s">
        <v>2352</v>
      </c>
    </row>
    <row r="3" spans="1:2" ht="43.2">
      <c r="A3" s="11" t="s">
        <v>2353</v>
      </c>
    </row>
    <row r="4" spans="1:2" ht="129.6">
      <c r="A4" s="11" t="s">
        <v>2354</v>
      </c>
    </row>
    <row r="5" spans="1:2">
      <c r="A5" s="43" t="s">
        <v>2355</v>
      </c>
    </row>
    <row r="6" spans="1:2">
      <c r="A6" t="s">
        <v>2356</v>
      </c>
    </row>
    <row r="7" spans="1:2" ht="18.75" customHeight="1">
      <c r="A7" t="s">
        <v>2357</v>
      </c>
    </row>
    <row r="8" spans="1:2" ht="18.75" customHeight="1"/>
    <row r="9" spans="1:2">
      <c r="A9" s="97" t="s">
        <v>2358</v>
      </c>
    </row>
    <row r="10" spans="1:2" ht="57.6">
      <c r="A10" s="2" t="s">
        <v>2359</v>
      </c>
    </row>
    <row r="11" spans="1:2" ht="244.8">
      <c r="A11" s="12" t="s">
        <v>2360</v>
      </c>
      <c r="B11" s="13"/>
    </row>
    <row r="12" spans="1:2" ht="100.8">
      <c r="A12" s="2" t="s">
        <v>2361</v>
      </c>
    </row>
    <row r="13" spans="1:2">
      <c r="A13" s="97" t="s">
        <v>2362</v>
      </c>
    </row>
    <row r="14" spans="1:2">
      <c r="A14" t="s">
        <v>2363</v>
      </c>
    </row>
    <row r="15" spans="1:2">
      <c r="A15" t="s">
        <v>2364</v>
      </c>
    </row>
    <row r="16" spans="1:2">
      <c r="A16" t="s">
        <v>2365</v>
      </c>
    </row>
    <row r="17" spans="1:1">
      <c r="A17" t="s">
        <v>2366</v>
      </c>
    </row>
    <row r="18" spans="1:1">
      <c r="A18" t="s">
        <v>2367</v>
      </c>
    </row>
    <row r="19" spans="1:1">
      <c r="A19" t="s">
        <v>2368</v>
      </c>
    </row>
    <row r="20" spans="1:1">
      <c r="A20" t="s">
        <v>2369</v>
      </c>
    </row>
    <row r="21" spans="1:1">
      <c r="A21" t="s">
        <v>2370</v>
      </c>
    </row>
    <row r="22" spans="1:1">
      <c r="A22" t="s">
        <v>2371</v>
      </c>
    </row>
    <row r="23" spans="1:1">
      <c r="A23" t="s">
        <v>2372</v>
      </c>
    </row>
    <row r="24" spans="1:1">
      <c r="A24" t="s">
        <v>2373</v>
      </c>
    </row>
    <row r="25" spans="1:1">
      <c r="A25" t="s">
        <v>2374</v>
      </c>
    </row>
    <row r="26" spans="1:1">
      <c r="A26" t="s">
        <v>2375</v>
      </c>
    </row>
    <row r="27" spans="1:1">
      <c r="A27" t="s">
        <v>2376</v>
      </c>
    </row>
    <row r="28" spans="1:1">
      <c r="A28" t="s">
        <v>2377</v>
      </c>
    </row>
    <row r="29" spans="1:1">
      <c r="A29" t="s">
        <v>2378</v>
      </c>
    </row>
    <row r="30" spans="1:1">
      <c r="A30" t="s">
        <v>2379</v>
      </c>
    </row>
    <row r="31" spans="1:1">
      <c r="A31" t="s">
        <v>2380</v>
      </c>
    </row>
    <row r="33" spans="1:5">
      <c r="A33" s="97" t="s">
        <v>2381</v>
      </c>
    </row>
    <row r="36" spans="1:5">
      <c r="A36" s="6"/>
      <c r="B36" s="6"/>
    </row>
    <row r="37" spans="1:5">
      <c r="A37" s="6"/>
      <c r="B37" s="6"/>
    </row>
    <row r="38" spans="1:5">
      <c r="B38" s="3"/>
      <c r="C38" s="3"/>
      <c r="D38" s="3"/>
      <c r="E38" s="3"/>
    </row>
  </sheetData>
  <phoneticPr fontId="3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6986A-4A36-4353-AF6B-00D6A091DEE9}">
  <dimension ref="A1:C213"/>
  <sheetViews>
    <sheetView topLeftCell="A205" workbookViewId="0">
      <selection activeCell="B229" sqref="B229"/>
    </sheetView>
  </sheetViews>
  <sheetFormatPr defaultColWidth="8.88671875" defaultRowHeight="14.4"/>
  <cols>
    <col min="1" max="1" width="52.33203125" style="2" customWidth="1"/>
    <col min="2" max="2" width="98.33203125" style="2" bestFit="1" customWidth="1"/>
    <col min="3" max="3" width="31.6640625" style="2" customWidth="1"/>
    <col min="4" max="16384" width="8.88671875" style="2"/>
  </cols>
  <sheetData>
    <row r="1" spans="1:3">
      <c r="A1" s="2" t="s">
        <v>2382</v>
      </c>
      <c r="B1" s="2" t="s">
        <v>2383</v>
      </c>
      <c r="C1" s="2" t="s">
        <v>2384</v>
      </c>
    </row>
    <row r="2" spans="1:3">
      <c r="A2" s="2" t="e">
        <f>'Table-View'!#REF!</f>
        <v>#REF!</v>
      </c>
      <c r="B2" s="2" t="e">
        <f>'Table-View'!#REF!</f>
        <v>#REF!</v>
      </c>
      <c r="C2" s="28" t="s">
        <v>2385</v>
      </c>
    </row>
    <row r="3" spans="1:3">
      <c r="A3" s="2" t="str">
        <f>'Table-View'!A13</f>
        <v>SHADOW Transaction Type Code</v>
      </c>
      <c r="B3" s="2" t="str">
        <f>'Table-View'!H13</f>
        <v>Possible values:  ORG, OLD, NEW, REV, REP.</v>
      </c>
      <c r="C3" s="28" t="s">
        <v>2385</v>
      </c>
    </row>
    <row r="4" spans="1:3">
      <c r="A4" s="2" t="e">
        <f>'Table-View'!#REF!</f>
        <v>#REF!</v>
      </c>
      <c r="B4" s="2" t="e">
        <f>'Table-View'!#REF!</f>
        <v>#REF!</v>
      </c>
      <c r="C4" s="28" t="s">
        <v>2385</v>
      </c>
    </row>
    <row r="5" spans="1:3">
      <c r="A5" s="2" t="str">
        <f>'Table-View'!A14</f>
        <v>SHADOW Transaction Type Name</v>
      </c>
      <c r="B5" s="2" t="str">
        <f>'Table-View'!H14</f>
        <v>Name of the Shadow Transaction Type Code.</v>
      </c>
      <c r="C5" s="28" t="s">
        <v>2385</v>
      </c>
    </row>
    <row r="6" spans="1:3">
      <c r="A6" s="2" t="str">
        <f>'Table-View'!A15</f>
        <v>IMPACT Source Action Code</v>
      </c>
      <c r="B6" s="2" t="str">
        <f>'Table-View'!H15</f>
        <v>Code representing Action Type in IMPACT source system</v>
      </c>
      <c r="C6" s="28" t="s">
        <v>2385</v>
      </c>
    </row>
    <row r="7" spans="1:3">
      <c r="A7" s="2" t="str">
        <f>'Table-View'!A16</f>
        <v>IMPACT Source Action Name</v>
      </c>
      <c r="B7" s="2" t="str">
        <f>'Table-View'!H16</f>
        <v>Name representing Action Type in IMPACT source system</v>
      </c>
      <c r="C7" s="28" t="s">
        <v>2385</v>
      </c>
    </row>
    <row r="8" spans="1:3" ht="28.8">
      <c r="A8" s="2" t="str">
        <f>'Table-View'!A17</f>
        <v>SIS Detailed Events Id</v>
      </c>
      <c r="B8" s="2" t="str">
        <f>'Table-View'!H17</f>
        <v>Identifier that determines what type of transaction the record contains. For SIS activity the values depend on the record type.</v>
      </c>
      <c r="C8" s="28" t="s">
        <v>2385</v>
      </c>
    </row>
    <row r="9" spans="1:3" ht="28.8">
      <c r="A9" s="2" t="str">
        <f>'Table-View'!A18</f>
        <v>SIS Detailed Events Name</v>
      </c>
      <c r="B9" s="2" t="str">
        <f>'Table-View'!H18</f>
        <v>Name that determines what type of transaction the record contains. For SIS activity the values depend on the record type.</v>
      </c>
      <c r="C9" s="28" t="s">
        <v>2385</v>
      </c>
    </row>
    <row r="10" spans="1:3">
      <c r="A10" s="2" t="str">
        <f>'Table-View'!A19</f>
        <v>SIS User Id</v>
      </c>
      <c r="B10" s="2" t="str">
        <f>'Table-View'!H19</f>
        <v>Identifier of the process or user that creates the records sourced from SIS Money Movement</v>
      </c>
      <c r="C10" s="28" t="s">
        <v>2385</v>
      </c>
    </row>
    <row r="11" spans="1:3">
      <c r="A11" s="2" t="str">
        <f>'Table-View'!A20</f>
        <v>SIS Account Classification Code</v>
      </c>
      <c r="B11" s="2" t="str">
        <f>'Table-View'!H20</f>
        <v>SIS account classification codes</v>
      </c>
      <c r="C11" s="28" t="s">
        <v>2385</v>
      </c>
    </row>
    <row r="12" spans="1:3">
      <c r="A12" s="2" t="str">
        <f>'Table-View'!A21</f>
        <v>Source Cancellation Reason Id</v>
      </c>
      <c r="B12" s="2" t="str">
        <f>'Table-View'!H21</f>
        <v>Id representing Reason for cancellation in source system</v>
      </c>
      <c r="C12" s="28" t="s">
        <v>2385</v>
      </c>
    </row>
    <row r="13" spans="1:3" ht="100.8">
      <c r="A13" s="2" t="str">
        <f>'Table-View'!A22</f>
        <v>Source Cancellation Reason Code</v>
      </c>
      <c r="B13" s="2" t="str">
        <f>'Table-View'!H22</f>
        <v>Code representing Reason for cancellation in source system
Valid Values - A ,N, Y, null/blank
Valid values include:
'Y' - Trade is cancelled due to correction, and will not be processed as a new trade
'N' - Trade is an outright cancel.
'A' - Trade is a cancel/correction due to allocation, and will be processed as allocated trade.</v>
      </c>
      <c r="C13" s="28" t="s">
        <v>2385</v>
      </c>
    </row>
    <row r="14" spans="1:3">
      <c r="A14" s="2" t="str">
        <f>'Table-View'!A23</f>
        <v>Source Cancellation Reason Name</v>
      </c>
      <c r="B14" s="2" t="str">
        <f>'Table-View'!H23</f>
        <v>Name representing Reason for cancellation in source system</v>
      </c>
      <c r="C14" s="28" t="s">
        <v>2385</v>
      </c>
    </row>
    <row r="15" spans="1:3">
      <c r="A15" s="2" t="str">
        <f>'Table-View'!A24</f>
        <v>Source Transaction Sequence Number</v>
      </c>
      <c r="B15" s="2" t="str">
        <f>'Table-View'!H24</f>
        <v>Transaction number assigned to the transaction in the source system.</v>
      </c>
      <c r="C15" s="28" t="s">
        <v>2385</v>
      </c>
    </row>
    <row r="16" spans="1:3" ht="28.8">
      <c r="A16" s="2" t="str">
        <f>'Table-View'!A25</f>
        <v>Dividend Record Date</v>
      </c>
      <c r="B16" s="2" t="str">
        <f>'Table-View'!H25</f>
        <v>The cut-off date that an organization is expected to use to determine which shareholders are eligible to receive a dividend or income distribution.</v>
      </c>
      <c r="C16" s="28" t="s">
        <v>2385</v>
      </c>
    </row>
    <row r="17" spans="1:3">
      <c r="A17" s="2" t="str">
        <f>'Table-View'!A26</f>
        <v>Owner IMPACT FA Number</v>
      </c>
      <c r="B17" s="2" t="str">
        <f>'Table-View'!H26</f>
        <v>FA Number as given in Impact system</v>
      </c>
      <c r="C17" s="28" t="s">
        <v>2385</v>
      </c>
    </row>
    <row r="18" spans="1:3">
      <c r="A18" s="2" t="str">
        <f>'Table-View'!A27</f>
        <v>Owner FA Number</v>
      </c>
      <c r="B18" s="2" t="str">
        <f>'Table-View'!H27</f>
        <v>Owner FA Number is a FA Number that owns the Arrangement for which activity is recorded</v>
      </c>
      <c r="C18" s="28" t="s">
        <v>2385</v>
      </c>
    </row>
    <row r="19" spans="1:3">
      <c r="A19" s="2" t="str">
        <f>'Table-View'!A28</f>
        <v>Owner FA Number Entity Code</v>
      </c>
      <c r="B19" s="2" t="str">
        <f>'Table-View'!H28</f>
        <v>Entity Code that owns the Owner FA Number</v>
      </c>
      <c r="C19" s="28" t="s">
        <v>2385</v>
      </c>
    </row>
    <row r="20" spans="1:3">
      <c r="A20" s="2" t="str">
        <f>'Table-View'!A29</f>
        <v>Owner FA Employee Id</v>
      </c>
      <c r="B20" s="2" t="str">
        <f>'Table-View'!H29</f>
        <v>PeopleWorks Identifier for the Responsible Party for an FA Number</v>
      </c>
      <c r="C20" s="28" t="s">
        <v>2385</v>
      </c>
    </row>
    <row r="21" spans="1:3">
      <c r="A21" s="2" t="str">
        <f>'Table-View'!A30</f>
        <v>Owner FA Number Entity Enterprise Id</v>
      </c>
      <c r="B21" s="2" t="str">
        <f>'Table-View'!H30</f>
        <v>Enterprise Id of the Entity that owns the Owner FA Number</v>
      </c>
      <c r="C21" s="28" t="s">
        <v>2385</v>
      </c>
    </row>
    <row r="22" spans="1:3" ht="57.6">
      <c r="A22" s="2" t="str">
        <f>'Table-View'!A31</f>
        <v>ACAT Contra Firm Clearing Number</v>
      </c>
      <c r="B22" s="2" t="str">
        <f>'Table-View'!H31</f>
        <v>This is the logical identifier for the entity/system (in this case ACAT) that is providing this transaction information or responsible for creation/maintenance of the information. In a case where the information is created and maintained.
Identifier of the system from which CDS database receives/obtains the underlying record. This identifier is specifc to ACAT Contra Firm clearing</v>
      </c>
      <c r="C22" s="28" t="s">
        <v>2385</v>
      </c>
    </row>
    <row r="23" spans="1:3">
      <c r="A23" s="2" t="str">
        <f>'Table-View'!A32</f>
        <v>ACAT Contra Firm Name</v>
      </c>
      <c r="B23" s="2" t="str">
        <f>'Table-View'!H32</f>
        <v>ACAT Contra Firm Clearing Name</v>
      </c>
      <c r="C23" s="28" t="s">
        <v>2385</v>
      </c>
    </row>
    <row r="24" spans="1:3">
      <c r="A24" s="2" t="str">
        <f>'Table-View'!A33</f>
        <v>ACAT Contra Firm Short Name</v>
      </c>
      <c r="B24" s="2" t="str">
        <f>'Table-View'!H33</f>
        <v>ACAT Contra Firm Clearing Short Name</v>
      </c>
      <c r="C24" s="28" t="s">
        <v>2385</v>
      </c>
    </row>
    <row r="25" spans="1:3">
      <c r="A25" s="2" t="str">
        <f>'Table-View'!A34</f>
        <v>ACAT Contra Firm Clearing ID Type Code</v>
      </c>
      <c r="B25" s="2" t="str">
        <f>'Table-View'!H34</f>
        <v>ACAT Broker ID Type</v>
      </c>
      <c r="C25" s="28" t="s">
        <v>2385</v>
      </c>
    </row>
    <row r="26" spans="1:3">
      <c r="A26" s="2" t="str">
        <f>'Table-View'!A35</f>
        <v>Money Movement Alternate Id</v>
      </c>
      <c r="B26" s="2" t="str">
        <f>'Table-View'!H35</f>
        <v>Identifier on all Money movement transactions</v>
      </c>
      <c r="C26" s="28" t="s">
        <v>2385</v>
      </c>
    </row>
    <row r="27" spans="1:3" ht="28.8">
      <c r="A27" s="2" t="str">
        <f>'Table-View'!A36</f>
        <v>Arrangement Originating Source System Code</v>
      </c>
      <c r="B27" s="2" t="str">
        <f>'Table-View'!H36</f>
        <v>Code that represents the source system from which CDS database receives/obtains the underlying Arrangement from.</v>
      </c>
      <c r="C27" s="28" t="s">
        <v>2385</v>
      </c>
    </row>
    <row r="28" spans="1:3" ht="28.8">
      <c r="A28" s="2" t="str">
        <f>'Table-View'!A37</f>
        <v>Source System Id</v>
      </c>
      <c r="B28" s="2" t="str">
        <f>'Table-View'!H37</f>
        <v>Source system Id coming from Transaction. This could be different from Source system Id coming from Arrangement information.</v>
      </c>
      <c r="C28" s="28" t="s">
        <v>2385</v>
      </c>
    </row>
    <row r="29" spans="1:3" ht="28.8">
      <c r="A29" s="2" t="str">
        <f>'Table-View'!A38</f>
        <v>Source System Name</v>
      </c>
      <c r="B29" s="2" t="str">
        <f>'Table-View'!H38</f>
        <v>Name of the source system information coming from Transaction. e.g., SIS - Securities Industry Software, Raymond James, Raymond James Bank, Shadow Suite</v>
      </c>
      <c r="C29" s="28" t="s">
        <v>2385</v>
      </c>
    </row>
    <row r="30" spans="1:3">
      <c r="A30" s="2" t="str">
        <f>'Table-View'!A39</f>
        <v>Source Cancel / Revision Code</v>
      </c>
      <c r="B30" s="2" t="str">
        <f>'Table-View'!H39</f>
        <v>Cancel or Revise Code in the source system</v>
      </c>
      <c r="C30" s="28" t="s">
        <v>2385</v>
      </c>
    </row>
    <row r="31" spans="1:3" ht="28.8">
      <c r="A31" s="2" t="str">
        <f>'Table-View'!A40</f>
        <v>Source Option Class Code</v>
      </c>
      <c r="B31" s="2" t="str">
        <f>'Table-View'!H40</f>
        <v>The code that determines what type of transaction the record contains. For SIS activity the values depend on the record type.</v>
      </c>
      <c r="C31" s="28" t="s">
        <v>2385</v>
      </c>
    </row>
    <row r="32" spans="1:3" ht="43.2">
      <c r="A32" s="2" t="str">
        <f>'Table-View'!A41</f>
        <v>Transaction Reconciliation Replay Count</v>
      </c>
      <c r="B32" s="2" t="str">
        <f>'Table-View'!H41</f>
        <v>Numeric counter to show how many attempts were done to reconcile transactions on this account/product/type with the corresponding EOD positions. 
The default value load is '0' and counter is incremented by '1' as transaction is replayed.</v>
      </c>
      <c r="C32" s="28" t="s">
        <v>2385</v>
      </c>
    </row>
    <row r="33" spans="1:3" ht="57.6">
      <c r="A33" s="2" t="str">
        <f>'Table-View'!A42</f>
        <v>Transaction Reconciliation Status Id</v>
      </c>
      <c r="B33" s="2" t="str">
        <f>'Table-View'!H42</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identifier</v>
      </c>
      <c r="C33" s="28" t="s">
        <v>2385</v>
      </c>
    </row>
    <row r="34" spans="1:3" ht="57.6">
      <c r="A34" s="2" t="str">
        <f>'Table-View'!A43</f>
        <v>Transaction Reconciliation Status Code</v>
      </c>
      <c r="B34" s="2" t="str">
        <f>'Table-View'!H43</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code</v>
      </c>
      <c r="C34" s="28" t="s">
        <v>2385</v>
      </c>
    </row>
    <row r="35" spans="1:3" ht="57.6">
      <c r="A35" s="2" t="str">
        <f>'Table-View'!A44</f>
        <v>Transaction Reconciliation Status Name</v>
      </c>
      <c r="B35" s="2" t="str">
        <f>'Table-View'!H44</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investigation.This specifies the status name</v>
      </c>
      <c r="C35" s="28" t="s">
        <v>2385</v>
      </c>
    </row>
    <row r="36" spans="1:3">
      <c r="A36" s="2" t="str">
        <f>'Table-View'!A45</f>
        <v>MF Account Number</v>
      </c>
      <c r="B36" s="2" t="str">
        <f>'Table-View'!H45</f>
        <v>Account number of the mutual fund, if the transaction is on mutual fund.</v>
      </c>
      <c r="C36" s="28" t="s">
        <v>2385</v>
      </c>
    </row>
    <row r="37" spans="1:3" ht="43.2">
      <c r="A37" s="2" t="str">
        <f>'Table-View'!A46</f>
        <v>Offset Originating Source System Arrangement Id</v>
      </c>
      <c r="B37" s="2" t="str">
        <f>'Table-View'!H46</f>
        <v>If the transaction was between 2 RJ accounts then this field will contain information about the second arrangement called the offset arrangement. This column contains the account number/contract number of the offset Arrangement from the original source system provider - e.g., SIS Account number for brokerage accounts</v>
      </c>
      <c r="C37" s="28" t="s">
        <v>2385</v>
      </c>
    </row>
    <row r="38" spans="1:3" ht="43.2">
      <c r="A38" s="2" t="str">
        <f>'Table-View'!A47</f>
        <v>Offset Arrangement Originating Source System Code</v>
      </c>
      <c r="B38" s="2" t="str">
        <f>'Table-View'!H47</f>
        <v>If the transaction was between 2 RJ accounts then this field will contain information about the second arrangement called the offset arrangement. This column defines the source system associated with a specific offset arrangement. (e.g., BKRB01, RJB RESI, RJB LOANIQ)</v>
      </c>
      <c r="C38" s="28" t="s">
        <v>2385</v>
      </c>
    </row>
    <row r="39" spans="1:3" ht="57.6">
      <c r="A39" s="2" t="str">
        <f>'Table-View'!A48</f>
        <v>Offset Arrangement Settlement Type Code</v>
      </c>
      <c r="B39" s="2" t="str">
        <f>'Table-View'!H48</f>
        <v>If the APA was satisfied by offsetting with another RJ arrangement then, this column will contain information about the offsetted arrangement.
A code that identifies how an arrangement settles its security transactions. This settlement type code is applicable for offset arrangements.</v>
      </c>
      <c r="C39" s="28" t="s">
        <v>2385</v>
      </c>
    </row>
    <row r="40" spans="1:3" ht="57.6">
      <c r="A40" s="2" t="str">
        <f>'Table-View'!A49</f>
        <v>Offset Arrangement Settlement Type Description</v>
      </c>
      <c r="B40" s="2" t="str">
        <f>'Table-View'!H49</f>
        <v>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v>
      </c>
      <c r="C40" s="28" t="s">
        <v>2385</v>
      </c>
    </row>
    <row r="41" spans="1:3">
      <c r="A41" s="2" t="str">
        <f>'Table-View'!A50</f>
        <v>Arrangement Settlement Type Code</v>
      </c>
      <c r="B41" s="2" t="str">
        <f>'Table-View'!H50</f>
        <v>A code that identifies how an arrangement settles its security transactions.</v>
      </c>
      <c r="C41" s="28" t="s">
        <v>2385</v>
      </c>
    </row>
    <row r="42" spans="1:3">
      <c r="A42" s="2" t="str">
        <f>'Table-View'!A51</f>
        <v>Arrangement Settlement Type Description</v>
      </c>
      <c r="B42" s="2" t="str">
        <f>'Table-View'!H51</f>
        <v>A description that identifies how an arrangement settles its security transactions.</v>
      </c>
      <c r="C42" s="28" t="s">
        <v>2385</v>
      </c>
    </row>
    <row r="43" spans="1:3" ht="28.8">
      <c r="A43" s="2" t="str">
        <f>'Table-View'!A52</f>
        <v>Originating Source System Arrangement Id</v>
      </c>
      <c r="B43" s="2" t="str">
        <f>'Table-View'!H52</f>
        <v>Contains the account number/contract number from the original source system provider - e.g., SIS Account number for brokerage accounts</v>
      </c>
      <c r="C43" s="28" t="s">
        <v>2385</v>
      </c>
    </row>
    <row r="44" spans="1:3">
      <c r="A44" s="2" t="str">
        <f>'Table-View'!A53</f>
        <v>Trade Date Dimension Id</v>
      </c>
      <c r="B44" s="2" t="str">
        <f>'Table-View'!H53</f>
        <v>Synthetic Key identifying a single date in the DATE Dimension, based on Trade date</v>
      </c>
      <c r="C44" s="28" t="s">
        <v>2385</v>
      </c>
    </row>
    <row r="45" spans="1:3">
      <c r="A45" s="2" t="str">
        <f>'Table-View'!A54</f>
        <v>Exchange Dimension Id</v>
      </c>
      <c r="B45" s="2" t="str">
        <f>'Table-View'!H54</f>
        <v>Surrogate key for Exchange Dim - The exchange that the transaction was conducted on</v>
      </c>
      <c r="C45" s="28" t="s">
        <v>2385</v>
      </c>
    </row>
    <row r="46" spans="1:3">
      <c r="A46" s="2" t="str">
        <f>'Table-View'!A55</f>
        <v>Accounting Type Code</v>
      </c>
      <c r="B46" s="2" t="str">
        <f>'Table-View'!H55</f>
        <v>Accounting type code from SIS (e.g., 1,2)</v>
      </c>
      <c r="C46" s="28" t="s">
        <v>2385</v>
      </c>
    </row>
    <row r="47" spans="1:3">
      <c r="A47" s="2" t="str">
        <f>'Table-View'!A56</f>
        <v>Accounting Type Dimension Id</v>
      </c>
      <c r="B47" s="2" t="str">
        <f>'Table-View'!H56</f>
        <v>Surrogate key for SIS Accounting Dimension</v>
      </c>
      <c r="C47" s="28" t="s">
        <v>2385</v>
      </c>
    </row>
    <row r="48" spans="1:3" ht="28.8">
      <c r="A48" s="2" t="str">
        <f>'Table-View'!A57</f>
        <v>Accounting Type Name</v>
      </c>
      <c r="B48" s="2" t="str">
        <f>'Table-View'!H57</f>
        <v>It is the Sub Account associated with the position identifying the regulatory needs of the position. (e.g., cash account,margin account)</v>
      </c>
      <c r="C48" s="28" t="s">
        <v>2385</v>
      </c>
    </row>
    <row r="49" spans="1:3">
      <c r="A49" s="2" t="str">
        <f>'Table-View'!A58</f>
        <v>Accounting Type Id</v>
      </c>
      <c r="B49" s="2" t="str">
        <f>'Table-View'!H58</f>
        <v>Numeric identifier of the accounting type ID (e.g., 1006, 1001)</v>
      </c>
      <c r="C49" s="28" t="s">
        <v>2385</v>
      </c>
    </row>
    <row r="50" spans="1:3">
      <c r="A50" s="2" t="str">
        <f>'Table-View'!A59</f>
        <v>Active Flag</v>
      </c>
      <c r="B50" s="2" t="str">
        <f>'Table-View'!H59</f>
        <v>Indicates that the row is active</v>
      </c>
      <c r="C50" s="28" t="s">
        <v>2385</v>
      </c>
    </row>
    <row r="51" spans="1:3">
      <c r="A51" s="2" t="str">
        <f>'Table-View'!A62</f>
        <v>Arrangement Id</v>
      </c>
      <c r="B51" s="2" t="str">
        <f>'Table-View'!H62</f>
        <v>Arrangement Id of the Arrangement this APA belongs to.</v>
      </c>
      <c r="C51" s="28" t="s">
        <v>2385</v>
      </c>
    </row>
    <row r="52" spans="1:3">
      <c r="A52" s="2" t="str">
        <f>'Table-View'!A63</f>
        <v>Batch Date</v>
      </c>
      <c r="B52" s="2" t="str">
        <f>'Table-View'!H63</f>
        <v>Business Date for the Load run of the Activity Asset Packager row</v>
      </c>
      <c r="C52" s="28" t="s">
        <v>2385</v>
      </c>
    </row>
    <row r="53" spans="1:3">
      <c r="A53" s="2" t="str">
        <f>'Table-View'!A64</f>
        <v>Booking Date</v>
      </c>
      <c r="B53" s="2" t="str">
        <f>'Table-View'!H64</f>
        <v>System generated Date Time stamp when the record was created.  In SIS would be represented by Effective Date.</v>
      </c>
      <c r="C53" s="28" t="s">
        <v>2385</v>
      </c>
    </row>
    <row r="54" spans="1:3">
      <c r="A54" s="2" t="str">
        <f>'Table-View'!A65</f>
        <v>Branch Code</v>
      </c>
      <c r="B54" s="2" t="str">
        <f>'Table-View'!H65</f>
        <v>Entity Code of the Financial Advisor that is executing the trade.</v>
      </c>
      <c r="C54" s="28" t="s">
        <v>2385</v>
      </c>
    </row>
    <row r="55" spans="1:3" ht="28.8">
      <c r="A55" s="2" t="str">
        <f>'Table-View'!A66</f>
        <v>Brokerage Arrangement Id</v>
      </c>
      <c r="B55" s="2" t="str">
        <f>'Table-View'!H66</f>
        <v>Brokerage arrangement associated with the Arrangement id. If the transaction is for a brokerage arrangement than both will have same value.</v>
      </c>
      <c r="C55" s="28" t="s">
        <v>2385</v>
      </c>
    </row>
    <row r="56" spans="1:3">
      <c r="A56" s="2" t="str">
        <f>'Table-View'!A67</f>
        <v>Buy Sell Indicator</v>
      </c>
      <c r="B56" s="2" t="str">
        <f>'Table-View'!H67</f>
        <v>Indicator to determine whether the transaction is a sale or a purchase</v>
      </c>
      <c r="C56" s="28" t="s">
        <v>2385</v>
      </c>
    </row>
    <row r="57" spans="1:3" ht="43.2">
      <c r="A57" s="2" t="str">
        <f>'Table-View'!A68</f>
        <v>Cash Activity Category</v>
      </c>
      <c r="B57" s="2" t="str">
        <f>'Table-View'!H68</f>
        <v>Represents the specific Category of activity such as a 'Purchase' or 'Income'. Further refinement of the categories are captured under Activity Type.
This field will be populated only if the transaction has a Cash leg.</v>
      </c>
      <c r="C57" s="28" t="s">
        <v>2385</v>
      </c>
    </row>
    <row r="58" spans="1:3" ht="28.8">
      <c r="A58" s="2" t="str">
        <f>'Table-View'!A69</f>
        <v>Cash Simplified Display Activity Category</v>
      </c>
      <c r="B58" s="2" t="str">
        <f>'Table-View'!H69</f>
        <v>Simplified Display activity category shown to advisor in applications like client center.
This field will be populated only if the transaction has a Cash leg.</v>
      </c>
      <c r="C58" s="28" t="s">
        <v>2385</v>
      </c>
    </row>
    <row r="59" spans="1:3" ht="28.8">
      <c r="A59" s="2" t="str">
        <f>'Table-View'!A70</f>
        <v>Cash Activity Classification Id</v>
      </c>
      <c r="B59" s="2" t="str">
        <f>'Table-View'!H70</f>
        <v>CDS assigned identifier for the activity class.
This field will be populated only if the transaction has a Cash leg.</v>
      </c>
      <c r="C59" s="28" t="s">
        <v>2385</v>
      </c>
    </row>
    <row r="60" spans="1:3" ht="28.8">
      <c r="A60" s="2" t="str">
        <f>'Table-View'!A71</f>
        <v>Cash Activity Type</v>
      </c>
      <c r="B60" s="2" t="str">
        <f>'Table-View'!H71</f>
        <v>Represents a more refined view of the Activity Category.
This field will be populated only if the transaction has a Cash leg.</v>
      </c>
      <c r="C60" s="28" t="s">
        <v>2385</v>
      </c>
    </row>
    <row r="61" spans="1:3" ht="28.8">
      <c r="A61" s="2" t="str">
        <f>'Table-View'!A72</f>
        <v>Cash Simplified Display Activity Type</v>
      </c>
      <c r="B61" s="2" t="str">
        <f>'Table-View'!H72</f>
        <v>Simplified Display activity type shown to advisor in applications like client center.
This field will be populated only if the transaction has a Cash leg.</v>
      </c>
      <c r="C61" s="28" t="s">
        <v>2385</v>
      </c>
    </row>
    <row r="62" spans="1:3" ht="28.8">
      <c r="A62" s="2" t="str">
        <f>'Table-View'!A73</f>
        <v>Cash Alternate Description Trailer 2</v>
      </c>
      <c r="B62" s="2" t="str">
        <f>'Table-View'!H73</f>
        <v>Second line of unformatted, monolingual narrative booking information. SIS trailer field 2. 
This field will be populated only if the transaction has a Cash leg.</v>
      </c>
      <c r="C62" s="28" t="s">
        <v>2385</v>
      </c>
    </row>
    <row r="63" spans="1:3" ht="28.8">
      <c r="A63" s="2" t="str">
        <f>'Table-View'!A74</f>
        <v>Cash Asset Package External Qualifier</v>
      </c>
      <c r="B63" s="2" t="str">
        <f>'Table-View'!H74</f>
        <v>Qualifier code from the external source system.
This field will be populated only if the transaction has a Cash leg.</v>
      </c>
      <c r="C63" s="28" t="s">
        <v>2385</v>
      </c>
    </row>
    <row r="64" spans="1:3" ht="28.8">
      <c r="A64" s="2" t="str">
        <f>'Table-View'!A75</f>
        <v>Cash Asset Package Id</v>
      </c>
      <c r="B64" s="2" t="str">
        <f>'Table-View'!H75</f>
        <v>APA_ID from CCAL APA table. It is recorded here for the purpose of maintaining a link with the source. 
This field will be populated only if the transaction has a Cash leg.</v>
      </c>
      <c r="C64" s="28" t="s">
        <v>2385</v>
      </c>
    </row>
    <row r="65" spans="1:3" ht="28.8">
      <c r="A65" s="2" t="str">
        <f>'Table-View'!A76</f>
        <v>Cash Asset Package Type Code</v>
      </c>
      <c r="B65" s="2" t="str">
        <f>'Table-View'!H76</f>
        <v>Code associated with Asset Package Type Id.
This field will be populated only if the transaction has a Cash leg.</v>
      </c>
      <c r="C65" s="28" t="s">
        <v>2385</v>
      </c>
    </row>
    <row r="66" spans="1:3" ht="28.8">
      <c r="A66" s="2" t="str">
        <f>'Table-View'!A77</f>
        <v>Cash Asset Package Type Description</v>
      </c>
      <c r="B66" s="2" t="str">
        <f>'Table-View'!H77</f>
        <v>Description associated with Asset Package Type Id.
This field will be populated only if the transaction has a Cash leg.</v>
      </c>
      <c r="C66" s="28" t="s">
        <v>2385</v>
      </c>
    </row>
    <row r="67" spans="1:3" ht="28.8">
      <c r="A67" s="2" t="str">
        <f>'Table-View'!A78</f>
        <v>Cash Asset Package Type Id</v>
      </c>
      <c r="B67" s="2" t="str">
        <f>'Table-View'!H78</f>
        <v>Asset Pacakge type Id from CCAL core.
This field will be populated only if the transaction has a Cash leg.</v>
      </c>
      <c r="C67" s="28" t="s">
        <v>2385</v>
      </c>
    </row>
    <row r="68" spans="1:3" ht="28.8">
      <c r="A68" s="2" t="str">
        <f>'Table-View'!A79</f>
        <v>Cash asset Package Type Name</v>
      </c>
      <c r="B68" s="2" t="str">
        <f>'Table-View'!H79</f>
        <v>Name of Asset Package Type Id.
This field will be populated only if the transaction has a Cash leg.</v>
      </c>
      <c r="C68" s="28" t="s">
        <v>2385</v>
      </c>
    </row>
    <row r="69" spans="1:3" ht="28.8">
      <c r="A69" s="2" t="str">
        <f>'Table-View'!A80</f>
        <v>Cash Cird Product Id</v>
      </c>
      <c r="B69" s="2" t="str">
        <f>'Table-View'!H80</f>
        <v>CIRD identifier for product.
This field will be populated only if the transaction has a Cash leg.</v>
      </c>
      <c r="C69" s="28" t="s">
        <v>2385</v>
      </c>
    </row>
    <row r="70" spans="1:3" ht="28.8">
      <c r="A70" s="2" t="str">
        <f>'Table-View'!A81</f>
        <v>Cash Debit Credit Code</v>
      </c>
      <c r="B70" s="2" t="str">
        <f>'Table-View'!H81</f>
        <v>A code representing Debit / Credit (e.g. D / C)
This field will be populated only if the transaction has a Cash leg.</v>
      </c>
      <c r="C70" s="28" t="s">
        <v>2385</v>
      </c>
    </row>
    <row r="71" spans="1:3" ht="28.8">
      <c r="A71" s="2" t="str">
        <f>'Table-View'!A82</f>
        <v>Cash Debit Credit Name</v>
      </c>
      <c r="B71" s="2" t="str">
        <f>'Table-View'!H82</f>
        <v>A Name representing Debit / Credit (e.g. Debit / Credit)
This field will be populated only if the transaction has a Cash leg.</v>
      </c>
      <c r="C71" s="28" t="s">
        <v>2385</v>
      </c>
    </row>
    <row r="72" spans="1:3" ht="28.8">
      <c r="A72" s="2" t="str">
        <f>'Table-View'!A83</f>
        <v>Cash Description Trailer 1</v>
      </c>
      <c r="B72" s="2" t="str">
        <f>'Table-View'!H83</f>
        <v>First line of unformatted, monolingual narrative booking information. SIS Trailer field 1.
This field will be populated only if the transaction has a Cash leg.</v>
      </c>
      <c r="C72" s="28" t="s">
        <v>2385</v>
      </c>
    </row>
    <row r="73" spans="1:3">
      <c r="A73" s="2" t="str">
        <f>'Table-View'!A84</f>
        <v>Cash Flow Generation Flag</v>
      </c>
      <c r="B73" s="2" t="str">
        <f>'Table-View'!H84</f>
        <v>Cash Flow Generation Flag</v>
      </c>
      <c r="C73" s="28" t="s">
        <v>2385</v>
      </c>
    </row>
    <row r="74" spans="1:3">
      <c r="A74" s="2" t="str">
        <f>'Table-View'!A85</f>
        <v>Cash Position Type Code</v>
      </c>
      <c r="B74" s="2" t="str">
        <f>'Table-View'!H85</f>
        <v>Coded name for the Cash Postion Type e.g., rjtgs2i, rtc</v>
      </c>
      <c r="C74" s="28" t="s">
        <v>2385</v>
      </c>
    </row>
    <row r="75" spans="1:3">
      <c r="A75" s="2" t="str">
        <f>'Table-View'!A86</f>
        <v>Cash Position Type Dimension Id</v>
      </c>
      <c r="B75" s="2" t="str">
        <f>'Table-View'!H86</f>
        <v>Surrogate Key for Cash Position Type</v>
      </c>
      <c r="C75" s="28" t="s">
        <v>2385</v>
      </c>
    </row>
    <row r="76" spans="1:3" ht="28.8">
      <c r="A76" s="2" t="str">
        <f>'Table-View'!A87</f>
        <v>Cash Position Type Name</v>
      </c>
      <c r="B76" s="2" t="str">
        <f>'Table-View'!H87</f>
        <v>Identifying how the cash position is treated at the end of the day for purposes of cash segregation and sweeps. e.g., Goldman Sachs Federal Fund - Income, Real Time Cash</v>
      </c>
      <c r="C76" s="28" t="s">
        <v>2385</v>
      </c>
    </row>
    <row r="77" spans="1:3">
      <c r="A77" s="2" t="str">
        <f>'Table-View'!A88</f>
        <v>Cash Position Type Id</v>
      </c>
      <c r="B77" s="2" t="str">
        <f>'Table-View'!H88</f>
        <v>An Id representing Cash position type</v>
      </c>
      <c r="C77" s="28" t="s">
        <v>2385</v>
      </c>
    </row>
    <row r="78" spans="1:3">
      <c r="A78" s="2" t="str">
        <f>'Table-View'!A89</f>
        <v>Cash CCAL Product Id</v>
      </c>
      <c r="B78" s="2" t="str">
        <f>'Table-View'!H89</f>
        <v>Product Identifier from Cash Asset package</v>
      </c>
      <c r="C78" s="28" t="s">
        <v>2385</v>
      </c>
    </row>
    <row r="79" spans="1:3" ht="28.8">
      <c r="A79" s="2" t="str">
        <f>'Table-View'!A90</f>
        <v>Cash Investment Product Dim Id</v>
      </c>
      <c r="B79" s="2" t="str">
        <f>'Table-View'!H90</f>
        <v>Surrogate key for Instrument Product Dim.
This field will be populated only if the transaction has a Cash leg.</v>
      </c>
      <c r="C79" s="28" t="s">
        <v>2385</v>
      </c>
    </row>
    <row r="80" spans="1:3" ht="28.8">
      <c r="A80" s="2" t="str">
        <f>'Table-View'!A91</f>
        <v>Cash Source Sequence Number</v>
      </c>
      <c r="B80" s="2" t="str">
        <f>'Table-View'!H91</f>
        <v>Sequence Number assigned by source system.
This field will be populated only if the transaction has a Cash leg.</v>
      </c>
      <c r="C80" s="28" t="s">
        <v>2385</v>
      </c>
    </row>
    <row r="81" spans="1:3" ht="28.8">
      <c r="A81" s="2" t="str">
        <f>'Table-View'!A92</f>
        <v>Cash System Base Currency Amount</v>
      </c>
      <c r="B81" s="2" t="str">
        <f>'Table-View'!H92</f>
        <v>Transaction Amount expressed in System Base Currency.
This field will be populated only if the transaction has a Cash leg.</v>
      </c>
      <c r="C81" s="28" t="s">
        <v>2385</v>
      </c>
    </row>
    <row r="82" spans="1:3" ht="28.8">
      <c r="A82" s="2" t="str">
        <f>'Table-View'!A93</f>
        <v>Cash Transaction Amount</v>
      </c>
      <c r="B82" s="2" t="str">
        <f>'Table-View'!H93</f>
        <v>Transaction amount applicable to the Asset package in transaction currency.
This field will be populated only if the transaction has a Cash leg.</v>
      </c>
      <c r="C82" s="28" t="s">
        <v>2385</v>
      </c>
    </row>
    <row r="83" spans="1:3">
      <c r="A83" s="2" t="str">
        <f>'Table-View'!A94</f>
        <v>Client Friendly Description</v>
      </c>
      <c r="B83" s="2" t="str">
        <f>'Table-View'!H94</f>
        <v>Client friendly description of the Asset package.</v>
      </c>
      <c r="C83" s="28" t="s">
        <v>2385</v>
      </c>
    </row>
    <row r="84" spans="1:3">
      <c r="A84" s="2" t="str">
        <f>'Table-View'!A95</f>
        <v>Create Datetime</v>
      </c>
      <c r="B84" s="2" t="str">
        <f>'Table-View'!H95</f>
        <v>The exact date when a record was first created.</v>
      </c>
      <c r="C84" s="28" t="s">
        <v>2385</v>
      </c>
    </row>
    <row r="85" spans="1:3">
      <c r="A85" s="2" t="str">
        <f>'Table-View'!A96</f>
        <v>Create User Name</v>
      </c>
      <c r="B85" s="2" t="str">
        <f>'Table-View'!H96</f>
        <v>The name that represents the user who created an occurrence of a record.</v>
      </c>
      <c r="C85" s="28" t="s">
        <v>2385</v>
      </c>
    </row>
    <row r="86" spans="1:3">
      <c r="A86" s="2" t="str">
        <f>'Table-View'!A97</f>
        <v>Currency Code</v>
      </c>
      <c r="B86" s="2" t="str">
        <f>'Table-View'!H97</f>
        <v>ISO Currency Code for transaction amount</v>
      </c>
      <c r="C86" s="28" t="s">
        <v>2385</v>
      </c>
    </row>
    <row r="87" spans="1:3">
      <c r="A87" s="2" t="str">
        <f>'Table-View'!A98</f>
        <v>Currency Dimension Id</v>
      </c>
      <c r="B87" s="2" t="str">
        <f>'Table-View'!H98</f>
        <v>Surrogate key for Currency dimension based on Currency Code.</v>
      </c>
      <c r="C87" s="28" t="s">
        <v>2385</v>
      </c>
    </row>
    <row r="88" spans="1:3">
      <c r="A88" s="2" t="str">
        <f>'Table-View'!A99</f>
        <v>Department Of Labor Indicator Code</v>
      </c>
      <c r="B88" s="2" t="str">
        <f>'Table-View'!H99</f>
        <v>A code that identifies whether or not an account is deemed eligible in accordance with the DOL fiduciary rule.</v>
      </c>
      <c r="C88" s="28" t="s">
        <v>2385</v>
      </c>
    </row>
    <row r="89" spans="1:3">
      <c r="A89" s="2" t="str">
        <f>'Table-View'!A100</f>
        <v>Department Of Labor Indicator Id</v>
      </c>
      <c r="B89" s="2" t="str">
        <f>'Table-View'!H100</f>
        <v>Identifier of whether or not an account is deemed eligible in accordance with the DOL fiduciary rule.</v>
      </c>
      <c r="C89" s="28" t="s">
        <v>2385</v>
      </c>
    </row>
    <row r="90" spans="1:3">
      <c r="A90" s="2" t="str">
        <f>'Table-View'!A101</f>
        <v>Department Of Labor Indicator Name</v>
      </c>
      <c r="B90" s="2" t="str">
        <f>'Table-View'!H101</f>
        <v>Name that identifies whether or not an account is deemed eligible in accordance with the DOL fiduciary rule.</v>
      </c>
      <c r="C90" s="28" t="s">
        <v>2385</v>
      </c>
    </row>
    <row r="91" spans="1:3">
      <c r="A91" s="2" t="str">
        <f>'Table-View'!A102</f>
        <v>Exchange Code</v>
      </c>
      <c r="B91" s="2" t="str">
        <f>'Table-View'!H102</f>
        <v>Code to indicate an exchange where a given trade was executed.  CIRD uses the MIC code where available/provided.</v>
      </c>
      <c r="C91" s="28" t="s">
        <v>2385</v>
      </c>
    </row>
    <row r="92" spans="1:3" ht="28.8">
      <c r="A92" s="2" t="str">
        <f>'Table-View'!A103</f>
        <v>Exchange Name</v>
      </c>
      <c r="B92" s="2" t="str">
        <f>'Table-View'!H103</f>
        <v>Name that represents an exchange where a given trade was executed.  CIRD uses the MIC code where available/provided.</v>
      </c>
      <c r="C92" s="28" t="s">
        <v>2385</v>
      </c>
    </row>
    <row r="93" spans="1:3" ht="28.8">
      <c r="A93" s="2" t="str">
        <f>'Table-View'!A104</f>
        <v>Execution Date</v>
      </c>
      <c r="B93" s="2" t="str">
        <f>'Table-View'!H104</f>
        <v>System generated date time stamp when the order manager determined the information as binding and liable against 3rd parties. That is when an order is executed in the marketplace. This field holds timestamp at microsec level.</v>
      </c>
      <c r="C93" s="28" t="s">
        <v>2385</v>
      </c>
    </row>
    <row r="94" spans="1:3" ht="28.8">
      <c r="A94" s="2" t="str">
        <f>'Table-View'!A105</f>
        <v>Execution Subtype Code</v>
      </c>
      <c r="B94" s="2" t="str">
        <f>'Table-View'!H105</f>
        <v>A code for the execution sub-types allow the refinement of execution types for an order manager’s internal diversification only such as strategy level type, e.g.. Bullish Vertical spread, stop limit order.</v>
      </c>
      <c r="C94" s="28" t="s">
        <v>2385</v>
      </c>
    </row>
    <row r="95" spans="1:3" ht="28.8">
      <c r="A95" s="2" t="str">
        <f>'Table-View'!A106</f>
        <v>Execution Subtype Description</v>
      </c>
      <c r="B95" s="2" t="str">
        <f>'Table-View'!H106</f>
        <v>A description for the execution sub-types allow the refinement of execution types for an order manager’s internal diversification only such as strategy level type, e.g.. Bullish Vertical spread, stop limit order.</v>
      </c>
      <c r="C95" s="28" t="s">
        <v>2385</v>
      </c>
    </row>
    <row r="96" spans="1:3" ht="43.2">
      <c r="A96" s="2" t="str">
        <f>'Table-View'!A107</f>
        <v>Execution Subtype Id</v>
      </c>
      <c r="B96" s="2" t="str">
        <f>'Table-View'!H107</f>
        <v>Unique numeric identifier tied to various sub-types of trade executions. Execution sub-types allow the refinement of execution types for an order manager’s internal diversification only such as strategy level type, e.g.. Bullish Vertical spread, stop limit order.</v>
      </c>
      <c r="C96" s="28" t="s">
        <v>2385</v>
      </c>
    </row>
    <row r="97" spans="1:3" ht="28.8">
      <c r="A97" s="2" t="str">
        <f>'Table-View'!A108</f>
        <v>Execution Subtype Name</v>
      </c>
      <c r="B97" s="2" t="str">
        <f>'Table-View'!H108</f>
        <v>Name for the execution sub-types allow the refinement of execution types for an order manager’s internal diversification only such as strategy level type, e.g.. Bullish Vertical spread, stop limit order.</v>
      </c>
      <c r="C97" s="28" t="s">
        <v>2385</v>
      </c>
    </row>
    <row r="98" spans="1:3" ht="57.6">
      <c r="A98" s="2" t="str">
        <f>'Table-View'!A109</f>
        <v>Execution Type Code</v>
      </c>
      <c r="B98" s="2" t="str">
        <f>'Table-View'!H109</f>
        <v>Code that represents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C98" s="28" t="s">
        <v>2385</v>
      </c>
    </row>
    <row r="99" spans="1:3" ht="57.6">
      <c r="A99" s="2" t="str">
        <f>'Table-View'!A110</f>
        <v>Execution Type Description</v>
      </c>
      <c r="B99" s="2" t="str">
        <f>'Table-View'!H110</f>
        <v>Description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C99" s="28" t="s">
        <v>2385</v>
      </c>
    </row>
    <row r="100" spans="1:3" ht="57.6">
      <c r="A100" s="2" t="str">
        <f>'Table-View'!A111</f>
        <v>Execution Type Id</v>
      </c>
      <c r="B100" s="2" t="str">
        <f>'Table-View'!H111</f>
        <v>Identifier for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C100" s="28" t="s">
        <v>2385</v>
      </c>
    </row>
    <row r="101" spans="1:3" ht="57.6">
      <c r="A101" s="2" t="str">
        <f>'Table-View'!A112</f>
        <v>Execution Type Name</v>
      </c>
      <c r="B101" s="2" t="str">
        <f>'Table-View'!H112</f>
        <v>Name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C101" s="28" t="s">
        <v>2385</v>
      </c>
    </row>
    <row r="102" spans="1:3" ht="28.8">
      <c r="A102" s="2" t="str">
        <f>'Table-View'!A113</f>
        <v>FA Number</v>
      </c>
      <c r="B102" s="2" t="str">
        <f>'Table-View'!H113</f>
        <v>A 4 character value assigned to one or more FAs for purposes of paying commissions. Accounts are assigned one FA Number. The FA Number is used to relate Advisors to client accounts.</v>
      </c>
      <c r="C102" s="28" t="s">
        <v>2385</v>
      </c>
    </row>
    <row r="103" spans="1:3">
      <c r="A103" s="2" t="str">
        <f>'Table-View'!A114</f>
        <v>Legacy Cancellation Compliance Reason Type Code</v>
      </c>
      <c r="B103" s="2" t="str">
        <f>'Table-View'!H114</f>
        <v>A code that indicates the Legacy Cancellation Compliance Reason Type.</v>
      </c>
      <c r="C103" s="28" t="s">
        <v>2385</v>
      </c>
    </row>
    <row r="104" spans="1:3">
      <c r="A104" s="2" t="str">
        <f>'Table-View'!A115</f>
        <v>Legacy Cancellation Compliance Reason Type Dimension Id</v>
      </c>
      <c r="B104" s="2" t="str">
        <f>'Table-View'!H115</f>
        <v>Surrogate key for Legacy Cancellation Compliance Reason Type dimension.</v>
      </c>
      <c r="C104" s="28" t="s">
        <v>2385</v>
      </c>
    </row>
    <row r="105" spans="1:3" ht="28.8">
      <c r="A105" s="2" t="str">
        <f>'Table-View'!A116</f>
        <v>Legacy Cancellation Compliance Reason Type Name</v>
      </c>
      <c r="B105" s="2" t="str">
        <f>'Table-View'!H116</f>
        <v>Name of the Legacy Cancellation Compliance Reason Type.
This will provide specific reason as to why a trade was cancelled, such as due to a price correction.</v>
      </c>
      <c r="C105" s="28" t="s">
        <v>2385</v>
      </c>
    </row>
    <row r="106" spans="1:3">
      <c r="A106" s="2" t="str">
        <f>'Table-View'!A117</f>
        <v>Legacy Cancellation Compliance Reason Type Id</v>
      </c>
      <c r="B106" s="2" t="str">
        <f>'Table-View'!H117</f>
        <v>Identifier for the Legacy Cancellation Compliance Reason Type.</v>
      </c>
      <c r="C106" s="28" t="s">
        <v>2385</v>
      </c>
    </row>
    <row r="107" spans="1:3">
      <c r="A107" s="2" t="str">
        <f>'Table-View'!A118</f>
        <v>Legacy Cancellation Compliance Source Type Code</v>
      </c>
      <c r="B107" s="2" t="str">
        <f>'Table-View'!H118</f>
        <v>A code that indicates the Legacy Cancellation Compliance Source Type.</v>
      </c>
      <c r="C107" s="28" t="s">
        <v>2385</v>
      </c>
    </row>
    <row r="108" spans="1:3">
      <c r="A108" s="2" t="str">
        <f>'Table-View'!A119</f>
        <v>Legacy Cancellation Compliance Source Type Dimension Id</v>
      </c>
      <c r="B108" s="2" t="str">
        <f>'Table-View'!H119</f>
        <v>Surrogate key for Legacy Cancellation Compliance Source Type Dimension.</v>
      </c>
      <c r="C108" s="28" t="s">
        <v>2385</v>
      </c>
    </row>
    <row r="109" spans="1:3" ht="43.2">
      <c r="A109" s="2" t="str">
        <f>'Table-View'!A120</f>
        <v>Legacy Cancellation Compliance Source Type Name</v>
      </c>
      <c r="B109" s="2" t="str">
        <f>'Table-View'!H120</f>
        <v>Name of the Legacy Cancellation Compliance Source Type.
This will provide which internal or external source executed the trade cancellation, such as Purchase &amp; Sales department.</v>
      </c>
      <c r="C109" s="28" t="s">
        <v>2385</v>
      </c>
    </row>
    <row r="110" spans="1:3">
      <c r="A110" s="2" t="str">
        <f>'Table-View'!A121</f>
        <v>Legacy Cancellation Compliance Source Type Id</v>
      </c>
      <c r="B110" s="2" t="str">
        <f>'Table-View'!H121</f>
        <v>Identifier for the Legacy Cancellation Compliance Source Type.</v>
      </c>
      <c r="C110" s="28" t="s">
        <v>2385</v>
      </c>
    </row>
    <row r="111" spans="1:3">
      <c r="A111" s="2" t="str">
        <f>'Table-View'!A122</f>
        <v>Legacy Market Type Code</v>
      </c>
      <c r="B111" s="2" t="str">
        <f>'Table-View'!H122</f>
        <v>Code to indicate what type of market the trade was executed in. Eg. NYSE, OTC, CBOE, etc</v>
      </c>
      <c r="C111" s="28" t="s">
        <v>2385</v>
      </c>
    </row>
    <row r="112" spans="1:3">
      <c r="A112" s="2" t="str">
        <f>'Table-View'!A123</f>
        <v>Legacy Market Type Dimension Id</v>
      </c>
      <c r="B112" s="2" t="str">
        <f>'Table-View'!H123</f>
        <v>Surrogate key for Legacy Market Type Dimension.</v>
      </c>
      <c r="C112" s="28" t="s">
        <v>2385</v>
      </c>
    </row>
    <row r="113" spans="1:3">
      <c r="A113" s="2" t="str">
        <f>'Table-View'!A124</f>
        <v>Legacy Market Type Name</v>
      </c>
      <c r="B113" s="2" t="str">
        <f>'Table-View'!H124</f>
        <v>Name that represents what type of market the trade was executed in. Eg. NYSE, OTC, CBOE, etc</v>
      </c>
      <c r="C113" s="28" t="s">
        <v>2385</v>
      </c>
    </row>
    <row r="114" spans="1:3">
      <c r="A114" s="2" t="str">
        <f>'Table-View'!A125</f>
        <v>Legacy Market Type Id</v>
      </c>
      <c r="B114" s="2" t="str">
        <f>'Table-View'!H125</f>
        <v>Identifier that represents what type of market the trade was executed in.</v>
      </c>
      <c r="C114" s="28" t="s">
        <v>2385</v>
      </c>
    </row>
    <row r="115" spans="1:3">
      <c r="A115" s="2" t="str">
        <f>'Table-View'!A126</f>
        <v>Legacy Trade Capacity Type Code</v>
      </c>
      <c r="B115" s="2" t="str">
        <f>'Table-View'!H126</f>
        <v>Code to show what type of capacity the trade was executed in. Eg. acting as principal or agency.</v>
      </c>
      <c r="C115" s="28" t="s">
        <v>2385</v>
      </c>
    </row>
    <row r="116" spans="1:3">
      <c r="A116" s="2" t="str">
        <f>'Table-View'!A127</f>
        <v>Legacy Trade Capacity Type Dimension Id</v>
      </c>
      <c r="B116" s="2" t="str">
        <f>'Table-View'!H127</f>
        <v>Surrogate key for Legacy trade Capacity Type Dimension.</v>
      </c>
      <c r="C116" s="28" t="s">
        <v>2385</v>
      </c>
    </row>
    <row r="117" spans="1:3">
      <c r="A117" s="2" t="str">
        <f>'Table-View'!A128</f>
        <v>Legacy Trade Capacity Type Name</v>
      </c>
      <c r="B117" s="2" t="str">
        <f>'Table-View'!H128</f>
        <v>Name that represents what type of capacity the trade was executed in. Eg. acting as principal or agency.</v>
      </c>
      <c r="C117" s="28" t="s">
        <v>2385</v>
      </c>
    </row>
    <row r="118" spans="1:3">
      <c r="A118" s="2" t="str">
        <f>'Table-View'!A129</f>
        <v>Legacy Trade Capacity Type Id</v>
      </c>
      <c r="B118" s="2" t="str">
        <f>'Table-View'!H129</f>
        <v>Identifier that represents what type of capacity the trade was executed in.</v>
      </c>
      <c r="C118" s="28" t="s">
        <v>2385</v>
      </c>
    </row>
    <row r="119" spans="1:3" ht="28.8">
      <c r="A119" s="2" t="str">
        <f>'Table-View'!A130</f>
        <v>Offset Arrangement Id</v>
      </c>
      <c r="B119" s="2" t="str">
        <f>'Table-View'!H130</f>
        <v>If the APA was satisfied by offsetting with another RJ arrangement then, this column will contain the offsetted arrangement.</v>
      </c>
      <c r="C119" s="28" t="s">
        <v>2385</v>
      </c>
    </row>
    <row r="120" spans="1:3" ht="43.2">
      <c r="A120" s="2" t="str">
        <f>'Table-View'!A131</f>
        <v>Option Class Code</v>
      </c>
      <c r="B120" s="2" t="str">
        <f>'Table-View'!H131</f>
        <v>Field to indicate whether the trade is to Open or Close a position. This field will contain O if the transaction is an option trade to open a position in the account.It will contain C if the transaction is an option trade to close a position.Otherwise the field will have NA</v>
      </c>
      <c r="C120" s="28" t="s">
        <v>2385</v>
      </c>
    </row>
    <row r="121" spans="1:3">
      <c r="A121" s="2" t="str">
        <f>'Table-View'!A132</f>
        <v>Order Management System Executing Type Code</v>
      </c>
      <c r="B121" s="2" t="str">
        <f>'Table-View'!H132</f>
        <v>A code for the type of trade executions used in the Order Management System in a code format.</v>
      </c>
      <c r="C121" s="28" t="s">
        <v>2385</v>
      </c>
    </row>
    <row r="122" spans="1:3">
      <c r="A122" s="2" t="str">
        <f>'Table-View'!A133</f>
        <v>Order Management System Executing Type Description</v>
      </c>
      <c r="B122" s="2" t="str">
        <f>'Table-View'!H133</f>
        <v>A description for the type of trade executions used in the Order Management System in a code format.</v>
      </c>
      <c r="C122" s="28" t="s">
        <v>2385</v>
      </c>
    </row>
    <row r="123" spans="1:3">
      <c r="A123" s="2" t="str">
        <f>'Table-View'!A134</f>
        <v>Order Management System Executing Type Id</v>
      </c>
      <c r="B123" s="2" t="str">
        <f>'Table-View'!H134</f>
        <v>Identifier for the type of trade executions used in the Order Management System in a code format.</v>
      </c>
      <c r="C123" s="28" t="s">
        <v>2385</v>
      </c>
    </row>
    <row r="124" spans="1:3" ht="28.8">
      <c r="A124" s="2" t="str">
        <f>'Table-View'!A135</f>
        <v>Order Management System Executing Type Name</v>
      </c>
      <c r="B124" s="2" t="str">
        <f>'Table-View'!H135</f>
        <v>Name of the type of trade executions used in the Order Management System. Examples of OMS execution types would be 'Agency', 'Principal', 'Open Repo', 'Close Repo' etc.</v>
      </c>
      <c r="C124" s="28" t="s">
        <v>2385</v>
      </c>
    </row>
    <row r="125" spans="1:3" ht="28.8">
      <c r="A125" s="2" t="str">
        <f>'Table-View'!A136</f>
        <v>Order Management System Order Key</v>
      </c>
      <c r="B125" s="2" t="str">
        <f>'Table-View'!H136</f>
        <v>Unique system generated key from OMS system. This field is required in the CAT extracts and will be used to find the newOrderFDID, a field required on Allocation events (MEPA events).</v>
      </c>
      <c r="C125" s="28" t="s">
        <v>2385</v>
      </c>
    </row>
    <row r="126" spans="1:3">
      <c r="A126" s="2" t="str">
        <f>'Table-View'!A137</f>
        <v>Original Booking Date</v>
      </c>
      <c r="B126" s="2" t="str">
        <f>'Table-View'!H137</f>
        <v>This represents the business day date when the quantity has been “booked” in the system.</v>
      </c>
      <c r="C126" s="28" t="s">
        <v>2385</v>
      </c>
    </row>
    <row r="127" spans="1:3">
      <c r="A127" s="2" t="str">
        <f>'Table-View'!A138</f>
        <v>Original Trade Number</v>
      </c>
      <c r="B127" s="2" t="str">
        <f>'Table-View'!H138</f>
        <v>Original trade number when a trade is being cancelled, corrected, reversed (if available).</v>
      </c>
      <c r="C127" s="28" t="s">
        <v>2385</v>
      </c>
    </row>
    <row r="128" spans="1:3">
      <c r="A128" s="2" t="str">
        <f>'Table-View'!A139</f>
        <v>Orignal Trade Date</v>
      </c>
      <c r="B128" s="2" t="str">
        <f>'Table-View'!H139</f>
        <v>The date trade took place at fund company (specific to level 4 mutual funds).</v>
      </c>
      <c r="C128" s="28" t="s">
        <v>2385</v>
      </c>
    </row>
    <row r="129" spans="1:3">
      <c r="A129" s="2" t="str">
        <f>'Table-View'!A140</f>
        <v>Related Transaction Source System Dim Id</v>
      </c>
      <c r="B129" s="2" t="str">
        <f>'Table-View'!H140</f>
        <v>Surrogate key for Related Transaction Source System Dimension.</v>
      </c>
      <c r="C129" s="28" t="s">
        <v>2385</v>
      </c>
    </row>
    <row r="130" spans="1:3">
      <c r="A130" s="2" t="str">
        <f>'Table-View'!A141</f>
        <v>Related Transaction Source System Id</v>
      </c>
      <c r="B130" s="2" t="str">
        <f>'Table-View'!H141</f>
        <v>CDS assigned source system id for related transaction</v>
      </c>
      <c r="C130" s="28" t="s">
        <v>2385</v>
      </c>
    </row>
    <row r="131" spans="1:3">
      <c r="A131" s="2" t="str">
        <f>'Table-View'!A142</f>
        <v>Related Transaction Source System Code</v>
      </c>
      <c r="B131" s="2" t="str">
        <f>'Table-View'!H142</f>
        <v>CDS assigned source system code for related transaction</v>
      </c>
      <c r="C131" s="28" t="s">
        <v>2385</v>
      </c>
    </row>
    <row r="132" spans="1:3">
      <c r="A132" s="2" t="str">
        <f>'Table-View'!A143</f>
        <v>Related Transaction Relationship Type Id</v>
      </c>
      <c r="B132" s="2" t="str">
        <f>'Table-View'!H143</f>
        <v>Identifier for Relationship type with the related transaction</v>
      </c>
      <c r="C132" s="28" t="s">
        <v>2385</v>
      </c>
    </row>
    <row r="133" spans="1:3">
      <c r="A133" s="2" t="str">
        <f>'Table-View'!A144</f>
        <v>Related Transaction Relationship Type Code</v>
      </c>
      <c r="B133" s="2" t="str">
        <f>'Table-View'!H144</f>
        <v>Code of Relationship type with the target transaction E.g.R01, R02, R03</v>
      </c>
      <c r="C133" s="28" t="s">
        <v>2385</v>
      </c>
    </row>
    <row r="134" spans="1:3">
      <c r="A134" s="2" t="str">
        <f>'Table-View'!A145</f>
        <v>Related Transaction Relationship Type Name</v>
      </c>
      <c r="B134" s="2" t="str">
        <f>'Table-View'!H145</f>
        <v>Name of Relation ship with the target transaction E.g. Reversal, Cancel, Correct</v>
      </c>
      <c r="C134" s="28" t="s">
        <v>2385</v>
      </c>
    </row>
    <row r="135" spans="1:3" ht="28.8">
      <c r="A135" s="2" t="str">
        <f>'Table-View'!A146</f>
        <v>Sales Charge Rate Multiplier Number</v>
      </c>
      <c r="B135" s="2" t="str">
        <f>'Table-View'!H146</f>
        <v>Sales charge expressed as a multiplier for the portion represented by the asset package. This column will have values if Sales Charge Rate is expressed as a multipler.</v>
      </c>
      <c r="C135" s="28" t="s">
        <v>2385</v>
      </c>
    </row>
    <row r="136" spans="1:3" ht="28.8">
      <c r="A136" s="2" t="str">
        <f>'Table-View'!A147</f>
        <v>Sales Charge Rate</v>
      </c>
      <c r="B136" s="2" t="str">
        <f>'Table-View'!H147</f>
        <v>Sales charge expressed as percent for the portion represented by the asset package. This column will have values if Sales Charge Rate Type Identifier indicates that it was recorded as a percentage in CCAL</v>
      </c>
      <c r="C136" s="28" t="s">
        <v>2385</v>
      </c>
    </row>
    <row r="137" spans="1:3">
      <c r="A137" s="2" t="str">
        <f>'Table-View'!A148</f>
        <v>Sales Charge Rate Type Code</v>
      </c>
      <c r="B137" s="2" t="str">
        <f>'Table-View'!H148</f>
        <v>A code representing the type of value stored for sales charge</v>
      </c>
      <c r="C137" s="28" t="s">
        <v>2385</v>
      </c>
    </row>
    <row r="138" spans="1:3">
      <c r="A138" s="2" t="str">
        <f>'Table-View'!A149</f>
        <v>Sales Charge Rate Type Id</v>
      </c>
      <c r="B138" s="2" t="str">
        <f>'Table-View'!H149</f>
        <v>Identifier representing the type of value stored for sales charge</v>
      </c>
      <c r="C138" s="28" t="s">
        <v>2385</v>
      </c>
    </row>
    <row r="139" spans="1:3">
      <c r="A139" s="2" t="str">
        <f>'Table-View'!A150</f>
        <v>Sales Charge Rate Type Name</v>
      </c>
      <c r="B139" s="2" t="str">
        <f>'Table-View'!H150</f>
        <v>Name of Sales charge type Percentage or Multiplier.</v>
      </c>
      <c r="C139" s="28" t="s">
        <v>2385</v>
      </c>
    </row>
    <row r="140" spans="1:3" ht="43.2">
      <c r="A140" s="2" t="str">
        <f>'Table-View'!A151</f>
        <v>Security Activity Category</v>
      </c>
      <c r="B140" s="2" t="str">
        <f>'Table-View'!H151</f>
        <v>Represents the specific Category of activity such as a 'Purchase' or 'Income'. Further refinement of the categories are captured under Activity Type.
This field will be populated only if the transaction has a Security leg.</v>
      </c>
      <c r="C140" s="28" t="s">
        <v>2385</v>
      </c>
    </row>
    <row r="141" spans="1:3" ht="28.8">
      <c r="A141" s="2" t="str">
        <f>'Table-View'!A152</f>
        <v>Security Simplified Display Activity Category</v>
      </c>
      <c r="B141" s="2" t="str">
        <f>'Table-View'!H152</f>
        <v>Simplified Display activity category shown to advisor in applications like client center.
This field will be populated only if the transaction has a Security leg.</v>
      </c>
      <c r="C141" s="28" t="s">
        <v>2385</v>
      </c>
    </row>
    <row r="142" spans="1:3" ht="28.8">
      <c r="A142" s="2" t="str">
        <f>'Table-View'!A153</f>
        <v>Security Activity Classification Id</v>
      </c>
      <c r="B142" s="2" t="str">
        <f>'Table-View'!H153</f>
        <v>CDS assigned identifier for the activity class.
This field will be populated only if the transaction has a Security leg.</v>
      </c>
      <c r="C142" s="28" t="s">
        <v>2385</v>
      </c>
    </row>
    <row r="143" spans="1:3" ht="28.8">
      <c r="A143" s="2" t="str">
        <f>'Table-View'!A154</f>
        <v>Security Activity Type</v>
      </c>
      <c r="B143" s="2" t="str">
        <f>'Table-View'!H154</f>
        <v>Represents a more refined view of the Activity Category.
This field will be populated only if the transaction has a Security leg.</v>
      </c>
      <c r="C143" s="28" t="s">
        <v>2385</v>
      </c>
    </row>
    <row r="144" spans="1:3" ht="28.8">
      <c r="A144" s="2" t="str">
        <f>'Table-View'!A155</f>
        <v>Security Simplified Display Activity Type</v>
      </c>
      <c r="B144" s="2" t="str">
        <f>'Table-View'!H155</f>
        <v>Simplified Display activity type shown to advisor in applications like client center.
This field will be populated only if the transaction has a Security leg.</v>
      </c>
      <c r="C144" s="28" t="s">
        <v>2385</v>
      </c>
    </row>
    <row r="145" spans="1:3" ht="28.8">
      <c r="A145" s="2" t="str">
        <f>'Table-View'!A156</f>
        <v>Security Alternate Description Trailer 2</v>
      </c>
      <c r="B145" s="2" t="str">
        <f>'Table-View'!H156</f>
        <v>Second line of unformatted, monolingual narrative booking information. SIS trailer field 2. 
This field will be populated only if the transaction has a Security leg.</v>
      </c>
      <c r="C145" s="28" t="s">
        <v>2385</v>
      </c>
    </row>
    <row r="146" spans="1:3" ht="28.8">
      <c r="A146" s="2" t="str">
        <f>'Table-View'!A157</f>
        <v>Security Asset Package External Qualifier</v>
      </c>
      <c r="B146" s="2" t="str">
        <f>'Table-View'!H157</f>
        <v>Qualifier code from the external source system.
This field will be populated only if the transaction has a Security leg.</v>
      </c>
      <c r="C146" s="28" t="s">
        <v>2385</v>
      </c>
    </row>
    <row r="147" spans="1:3" ht="28.8">
      <c r="A147" s="2" t="str">
        <f>'Table-View'!A158</f>
        <v>Security Asset Package Id</v>
      </c>
      <c r="B147" s="2" t="str">
        <f>'Table-View'!H158</f>
        <v>APA_ID from CCAL APA table. It is recorded here for the purpose of maintaining a link with the source. 
This field will be populated only if the transaction has a Security leg.</v>
      </c>
      <c r="C147" s="28" t="s">
        <v>2385</v>
      </c>
    </row>
    <row r="148" spans="1:3" ht="28.8">
      <c r="A148" s="2" t="str">
        <f>'Table-View'!A159</f>
        <v>Security Asset Package Type Code</v>
      </c>
      <c r="B148" s="2" t="str">
        <f>'Table-View'!H159</f>
        <v>Code associated with Asset Package Type Id.
This field will be populated only if the transaction has a Security leg.</v>
      </c>
      <c r="C148" s="28" t="s">
        <v>2385</v>
      </c>
    </row>
    <row r="149" spans="1:3" ht="28.8">
      <c r="A149" s="2" t="str">
        <f>'Table-View'!A160</f>
        <v>Security Asset Package Type Description</v>
      </c>
      <c r="B149" s="2" t="str">
        <f>'Table-View'!H160</f>
        <v>Description associated with Asset Package Type Id.
This field will be populated only if the transaction has a Security leg.</v>
      </c>
      <c r="C149" s="28" t="s">
        <v>2385</v>
      </c>
    </row>
    <row r="150" spans="1:3" ht="28.8">
      <c r="A150" s="2" t="str">
        <f>'Table-View'!A161</f>
        <v>Security Asset Package Type Id</v>
      </c>
      <c r="B150" s="2" t="str">
        <f>'Table-View'!H161</f>
        <v>Asset Pacakge type Id from CCAL core.
This field will be populated only if the transaction has a Security leg.</v>
      </c>
      <c r="C150" s="28" t="s">
        <v>2385</v>
      </c>
    </row>
    <row r="151" spans="1:3" ht="28.8">
      <c r="A151" s="2" t="str">
        <f>'Table-View'!A162</f>
        <v>Security Asset Package Type Name</v>
      </c>
      <c r="B151" s="2" t="str">
        <f>'Table-View'!H162</f>
        <v>Name of Asset Package Type Id.
This field will be populated only if the transaction has a Security leg.</v>
      </c>
      <c r="C151" s="28" t="s">
        <v>2385</v>
      </c>
    </row>
    <row r="152" spans="1:3" ht="28.8">
      <c r="A152" s="2" t="str">
        <f>'Table-View'!A163</f>
        <v>Security CIRD Product Id</v>
      </c>
      <c r="B152" s="2" t="str">
        <f>'Table-View'!H163</f>
        <v>CIRD identifier for product.
This field will be populated only if the transaction has a Security leg.</v>
      </c>
      <c r="C152" s="28" t="s">
        <v>2385</v>
      </c>
    </row>
    <row r="153" spans="1:3" ht="28.8">
      <c r="A153" s="2" t="str">
        <f>'Table-View'!A164</f>
        <v>Security Debit Credit Code</v>
      </c>
      <c r="B153" s="2" t="str">
        <f>'Table-View'!H164</f>
        <v>A code representing Debit / Credit (e.g. D / C)
This field will be populated only if the transaction has a Security leg.</v>
      </c>
      <c r="C153" s="28" t="s">
        <v>2385</v>
      </c>
    </row>
    <row r="154" spans="1:3" ht="28.8">
      <c r="A154" s="2" t="str">
        <f>'Table-View'!A165</f>
        <v>Security Debit Credit Name</v>
      </c>
      <c r="B154" s="2" t="str">
        <f>'Table-View'!H165</f>
        <v>A Name representing Debit / Credit (e.g. Debit / Credit)
This field will be populated only if the transaction has a Security leg.</v>
      </c>
      <c r="C154" s="28" t="s">
        <v>2385</v>
      </c>
    </row>
    <row r="155" spans="1:3" ht="28.8">
      <c r="A155" s="2" t="str">
        <f>'Table-View'!A166</f>
        <v>Security Description Trailer 1</v>
      </c>
      <c r="B155" s="2" t="str">
        <f>'Table-View'!H166</f>
        <v>First line of unformatted, monolingual narrative booking information. SIS Trailer field 1.
This field will be populated only if the transaction has a Security leg.</v>
      </c>
      <c r="C155" s="28" t="s">
        <v>2385</v>
      </c>
    </row>
    <row r="156" spans="1:3" ht="28.8">
      <c r="A156" s="2" t="str">
        <f>'Table-View'!A167</f>
        <v>Security Original Quantity</v>
      </c>
      <c r="B156" s="2" t="str">
        <f>'Table-View'!H167</f>
        <v>Original Quantity of the Package.
This field will be populated only if the transaction has a Security leg.</v>
      </c>
      <c r="C156" s="28" t="s">
        <v>2385</v>
      </c>
    </row>
    <row r="157" spans="1:3" ht="28.8">
      <c r="A157" s="2" t="str">
        <f>'Table-View'!A168</f>
        <v>Security source CUSIP</v>
      </c>
      <c r="B157" s="2" t="str">
        <f>'Table-View'!H168</f>
        <v>CUSIP from source system.
This field will be populated only if the transaction has a Security leg.</v>
      </c>
      <c r="C157" s="28" t="s">
        <v>2385</v>
      </c>
    </row>
    <row r="158" spans="1:3">
      <c r="A158" s="2" t="str">
        <f>'Table-View'!A169</f>
        <v>Security Product Id</v>
      </c>
      <c r="B158" s="2" t="str">
        <f>'Table-View'!H169</f>
        <v>Product Identifier from Security Asset package</v>
      </c>
      <c r="C158" s="28" t="s">
        <v>2385</v>
      </c>
    </row>
    <row r="159" spans="1:3" ht="28.8">
      <c r="A159" s="2" t="str">
        <f>'Table-View'!A170</f>
        <v>Security Investment Product Dim Id</v>
      </c>
      <c r="B159" s="2" t="str">
        <f>'Table-View'!H170</f>
        <v>Surrogate key for Instrument Product Dim.
This field will be populated only if the transaction has a Security leg.</v>
      </c>
      <c r="C159" s="28" t="s">
        <v>2385</v>
      </c>
    </row>
    <row r="160" spans="1:3">
      <c r="A160" s="2" t="str">
        <f>'Table-View'!A171</f>
        <v>Security Price In Transaction Currency</v>
      </c>
      <c r="B160" s="2" t="str">
        <f>'Table-View'!H171</f>
        <v>Price of the securities instrument in transaction currency.</v>
      </c>
      <c r="C160" s="28" t="s">
        <v>2385</v>
      </c>
    </row>
    <row r="161" spans="1:3" ht="43.2">
      <c r="A161" s="2" t="str">
        <f>'Table-View'!A172</f>
        <v>Security Source Price In System Base Currency</v>
      </c>
      <c r="B161" s="2" t="str">
        <f>'Table-View'!H172</f>
        <v>Principal amount of the trade execution expressed in the system base currency. This value should not include commissions or fees associated with the trade.
This field will be populated only if the transaction has a Security leg.</v>
      </c>
      <c r="C161" s="28" t="s">
        <v>2385</v>
      </c>
    </row>
    <row r="162" spans="1:3" ht="28.8">
      <c r="A162" s="2" t="str">
        <f>'Table-View'!A173</f>
        <v>Security Source Sequence Number</v>
      </c>
      <c r="B162" s="2" t="str">
        <f>'Table-View'!H173</f>
        <v>Sequence Number assigned by source system.
This field will be populated only if the transaction has a Security leg.</v>
      </c>
      <c r="C162" s="28" t="s">
        <v>2385</v>
      </c>
    </row>
    <row r="163" spans="1:3" ht="28.8">
      <c r="A163" s="2" t="str">
        <f>'Table-View'!A174</f>
        <v>Security System Base Currency Amount</v>
      </c>
      <c r="B163" s="2" t="str">
        <f>'Table-View'!H174</f>
        <v>Transaction Amount expressed in System Base Currency.
This field will be populated only if the transaction has a Security leg.</v>
      </c>
      <c r="C163" s="28" t="s">
        <v>2385</v>
      </c>
    </row>
    <row r="164" spans="1:3" ht="28.8">
      <c r="A164" s="2" t="str">
        <f>'Table-View'!A175</f>
        <v>Security Transaction Amount</v>
      </c>
      <c r="B164" s="2" t="str">
        <f>'Table-View'!H175</f>
        <v>Transaction amount applicable to the Asset package in transaction currency.
This field will be populated only if the transaction has a Security leg.</v>
      </c>
      <c r="C164" s="28" t="s">
        <v>2385</v>
      </c>
    </row>
    <row r="165" spans="1:3" ht="28.8">
      <c r="A165" s="2" t="str">
        <f>'Table-View'!A176</f>
        <v>Settlement Date</v>
      </c>
      <c r="B165" s="2" t="str">
        <f>'Table-View'!H176</f>
        <v>Settlement date is a securities industry term describing the date on which a trade settles. That is, the actual day on which transfer of cash or assets is completed and is usually a few days after the trade was done.</v>
      </c>
      <c r="C165" s="28" t="s">
        <v>2385</v>
      </c>
    </row>
    <row r="166" spans="1:3">
      <c r="A166" s="2" t="str">
        <f>'Table-View'!A177</f>
        <v>Settlement Date Dimension Id</v>
      </c>
      <c r="B166" s="2" t="str">
        <f>'Table-View'!H177</f>
        <v>Synthetic Key identifying a single date in the DATE Dimension based on Settlement date</v>
      </c>
      <c r="C166" s="28" t="s">
        <v>2385</v>
      </c>
    </row>
    <row r="167" spans="1:3">
      <c r="A167" s="2" t="str">
        <f>'Table-View'!A178</f>
        <v>Source Create User Name</v>
      </c>
      <c r="B167" s="2" t="str">
        <f>'Table-View'!H178</f>
        <v>The name that represents the user/process that created row in the primary source table</v>
      </c>
      <c r="C167" s="28" t="s">
        <v>2385</v>
      </c>
    </row>
    <row r="168" spans="1:3">
      <c r="A168" s="2" t="str">
        <f>'Table-View'!A179</f>
        <v>Source Effective Date</v>
      </c>
      <c r="B168" s="2" t="str">
        <f>'Table-View'!H179</f>
        <v>Effective date of the APA in the source system</v>
      </c>
      <c r="C168" s="28" t="s">
        <v>2385</v>
      </c>
    </row>
    <row r="169" spans="1:3" ht="43.2">
      <c r="A169" s="2" t="str">
        <f>'Table-View'!A180</f>
        <v>Source Entry Channel Type Code</v>
      </c>
      <c r="B169" s="2" t="str">
        <f>'Table-View'!H180</f>
        <v>A code for the communication channel through which the order is placed. If client called to place order, this value could be phone order, if a transaction is system-generated, it could be system, if written instruction was provided by client, it could be written order, etc.</v>
      </c>
      <c r="C169" s="28" t="s">
        <v>2385</v>
      </c>
    </row>
    <row r="170" spans="1:3">
      <c r="A170" s="2" t="str">
        <f>'Table-View'!A181</f>
        <v>Source Entry Channel Type Dimension Id</v>
      </c>
      <c r="B170" s="2" t="str">
        <f>'Table-View'!H181</f>
        <v>Surrogate key for the Source Entry Channel Type Dimension</v>
      </c>
      <c r="C170" s="28" t="s">
        <v>2385</v>
      </c>
    </row>
    <row r="171" spans="1:3" ht="43.2">
      <c r="A171" s="2" t="str">
        <f>'Table-View'!A182</f>
        <v>Source Entry Channel Type Name</v>
      </c>
      <c r="B171" s="2" t="str">
        <f>'Table-View'!H182</f>
        <v>Name for the communication channel through which the order is placed. If client called to place order, this value could be phone order, if a transaction is system-generated, it could be system, if written instruction was provided by client, it could be written order, etc.</v>
      </c>
      <c r="C171" s="28" t="s">
        <v>2385</v>
      </c>
    </row>
    <row r="172" spans="1:3">
      <c r="A172" s="2" t="str">
        <f>'Table-View'!A183</f>
        <v>Source Entry Channel Type Id</v>
      </c>
      <c r="B172" s="2" t="str">
        <f>'Table-View'!H183</f>
        <v>Identifier for the Source Entry Channel Type</v>
      </c>
      <c r="C172" s="28" t="s">
        <v>2385</v>
      </c>
    </row>
    <row r="173" spans="1:3">
      <c r="A173" s="2" t="str">
        <f>'Table-View'!A184</f>
        <v>Source Entry Datetime</v>
      </c>
      <c r="B173" s="2" t="str">
        <f>'Table-View'!H184</f>
        <v>Time stamp of first occurrence of the transaction in the order entry system.</v>
      </c>
      <c r="C173" s="28" t="s">
        <v>2385</v>
      </c>
    </row>
    <row r="174" spans="1:3">
      <c r="A174" s="2" t="str">
        <f>'Table-View'!A185</f>
        <v>Source Processing Type Dimension Id</v>
      </c>
      <c r="B174" s="2" t="str">
        <f>'Table-View'!H185</f>
        <v>Surrogate key for Source Processing Type Dimension.</v>
      </c>
      <c r="C174" s="28" t="s">
        <v>2385</v>
      </c>
    </row>
    <row r="175" spans="1:3">
      <c r="A175" s="2" t="str">
        <f>'Table-View'!A186</f>
        <v>Source Processing Type Id</v>
      </c>
      <c r="B175" s="2" t="str">
        <f>'Table-View'!H186</f>
        <v>Identifier for the Source Processing Type</v>
      </c>
      <c r="C175" s="28" t="s">
        <v>2385</v>
      </c>
    </row>
    <row r="176" spans="1:3">
      <c r="A176" s="2" t="str">
        <f>'Table-View'!A187</f>
        <v>Source Processing Type Code</v>
      </c>
      <c r="B176" s="2" t="str">
        <f>'Table-View'!H187</f>
        <v>A code for the source processing type, values include backdated, initial, cancel, correction or reversal.</v>
      </c>
      <c r="C176" s="28" t="s">
        <v>2385</v>
      </c>
    </row>
    <row r="177" spans="1:3">
      <c r="A177" s="2" t="str">
        <f>'Table-View'!A188</f>
        <v>Source Processing Type Name</v>
      </c>
      <c r="B177" s="2" t="str">
        <f>'Table-View'!H188</f>
        <v>Name of the source processing type, values include backdated, initial, cancel, correction or reversal.</v>
      </c>
      <c r="C177" s="28" t="s">
        <v>2385</v>
      </c>
    </row>
    <row r="178" spans="1:3">
      <c r="A178" s="2" t="str">
        <f>'Table-View'!A189</f>
        <v>Source System Code</v>
      </c>
      <c r="B178" s="2" t="str">
        <f>'Table-View'!H189</f>
        <v>Code for the source system information coming from Transaction. e.g., BKRBO1, BKRBO2, RJBNK1, ISO</v>
      </c>
      <c r="C178" s="28" t="s">
        <v>2385</v>
      </c>
    </row>
    <row r="179" spans="1:3">
      <c r="A179" s="2" t="str">
        <f>'Table-View'!A190</f>
        <v>Transaction Source System Dimension Id</v>
      </c>
      <c r="B179" s="2" t="str">
        <f>'Table-View'!H190</f>
        <v>Surrogate Key for Source system dimension based on source system information coming from Transaction.</v>
      </c>
      <c r="C179" s="28" t="s">
        <v>2385</v>
      </c>
    </row>
    <row r="180" spans="1:3" ht="28.8">
      <c r="A180" s="2" t="str">
        <f>'Table-View'!A191</f>
        <v>Source Transaction Code</v>
      </c>
      <c r="B180" s="2" t="str">
        <f>'Table-View'!H191</f>
        <v>A code that represents the source of the transaction.  Possible values of transaction code include CD Adjustment, Interest Adjustment, and Withdrawal/Redemption.</v>
      </c>
      <c r="C180" s="28" t="s">
        <v>2385</v>
      </c>
    </row>
    <row r="181" spans="1:3">
      <c r="A181" s="2" t="str">
        <f>'Table-View'!A192</f>
        <v>System Base Currency Calculation Date</v>
      </c>
      <c r="B181" s="2" t="str">
        <f>'Table-View'!H192</f>
        <v>Date and time  when transaction amount was converted to system base currency</v>
      </c>
      <c r="C181" s="28" t="s">
        <v>2385</v>
      </c>
    </row>
    <row r="182" spans="1:3">
      <c r="A182" s="2" t="str">
        <f>'Table-View'!A193</f>
        <v>System Base Currency Code</v>
      </c>
      <c r="B182" s="2" t="str">
        <f>'Table-View'!H193</f>
        <v>Product identifier of the system base currency. This is USD for data coming from CDS currently..</v>
      </c>
      <c r="C182" s="28" t="s">
        <v>2385</v>
      </c>
    </row>
    <row r="183" spans="1:3">
      <c r="A183" s="2" t="str">
        <f>'Table-View'!A194</f>
        <v>System Base Currency Dimension Id</v>
      </c>
      <c r="B183" s="2" t="str">
        <f>'Table-View'!H194</f>
        <v>Surrogate key for Currency dimension</v>
      </c>
      <c r="C183" s="28" t="s">
        <v>2385</v>
      </c>
    </row>
    <row r="184" spans="1:3">
      <c r="A184" s="2" t="str">
        <f>'Table-View'!A195</f>
        <v>System Base Currency Exchange Rate</v>
      </c>
      <c r="B184" s="2" t="str">
        <f>'Table-View'!H195</f>
        <v>Exchange rate used to calculate transaction amount in system base currency</v>
      </c>
      <c r="C184" s="28" t="s">
        <v>2385</v>
      </c>
    </row>
    <row r="185" spans="1:3" ht="28.8">
      <c r="A185" s="2" t="str">
        <f>'Table-View'!A196</f>
        <v>Target Transaction Id</v>
      </c>
      <c r="B185" s="2" t="str">
        <f>'Table-View'!H196</f>
        <v>The CDS assigned numeric identfier of the related (target) transaction that this current transaction is cancelling/correcting/reversing.</v>
      </c>
      <c r="C185" s="28" t="s">
        <v>2385</v>
      </c>
    </row>
    <row r="186" spans="1:3">
      <c r="A186" s="2" t="str">
        <f>'Table-View'!A197</f>
        <v>Trade Date</v>
      </c>
      <c r="B186" s="2" t="str">
        <f>'Table-View'!H197</f>
        <v>Trade date of the transaction</v>
      </c>
      <c r="C186" s="28" t="s">
        <v>2385</v>
      </c>
    </row>
    <row r="187" spans="1:3">
      <c r="A187" s="2" t="str">
        <f>'Table-View'!A198</f>
        <v>Trade Number</v>
      </c>
      <c r="B187" s="2" t="str">
        <f>'Table-View'!H198</f>
        <v>An identification number of the trade (transaction number) that represents an executed FMI trade transaction.</v>
      </c>
      <c r="C187" s="28" t="s">
        <v>2385</v>
      </c>
    </row>
    <row r="188" spans="1:3">
      <c r="A188" s="2" t="str">
        <f>'Table-View'!A199</f>
        <v>Trade Solicitation Type Dimension Id</v>
      </c>
      <c r="B188" s="2" t="str">
        <f>'Table-View'!H199</f>
        <v>Surrogate key for the Trade Solicitation Type Dimension</v>
      </c>
      <c r="C188" s="28" t="s">
        <v>2385</v>
      </c>
    </row>
    <row r="189" spans="1:3">
      <c r="A189" s="2" t="str">
        <f>'Table-View'!A200</f>
        <v>Trade Solicitation Type Id</v>
      </c>
      <c r="B189" s="2" t="str">
        <f>'Table-View'!H200</f>
        <v>Identifier for the Trade Solicitation Type</v>
      </c>
      <c r="C189" s="28" t="s">
        <v>2385</v>
      </c>
    </row>
    <row r="190" spans="1:3" ht="28.8">
      <c r="A190" s="2" t="str">
        <f>'Table-View'!A201</f>
        <v>Trade Solicitation Type Code</v>
      </c>
      <c r="B190" s="2" t="str">
        <f>'Table-View'!H201</f>
        <v>A code for the solicitation method in which the trade was executed.  A trade can be initiated by the broker, the client, or done at discretion of broker in discretionary accounts.</v>
      </c>
      <c r="C190" s="28" t="s">
        <v>2385</v>
      </c>
    </row>
    <row r="191" spans="1:3" ht="28.8">
      <c r="A191" s="2" t="str">
        <f>'Table-View'!A202</f>
        <v>Trade Solicitation Type Name</v>
      </c>
      <c r="B191" s="2" t="str">
        <f>'Table-View'!H202</f>
        <v>Tname of the solicitation method in which the trade was executed.  A trade can be initiated by the broker, the client, or done at discretion of broker in discretionary accounts.</v>
      </c>
      <c r="C191" s="28" t="s">
        <v>2385</v>
      </c>
    </row>
    <row r="192" spans="1:3">
      <c r="A192" s="2" t="str">
        <f>'Table-View'!A203</f>
        <v>Transaction Classification Flag</v>
      </c>
      <c r="B192" s="2" t="str">
        <f>'Table-View'!H203</f>
        <v>Transaction Classification Flag</v>
      </c>
      <c r="C192" s="28" t="s">
        <v>2385</v>
      </c>
    </row>
    <row r="193" spans="1:3">
      <c r="A193" s="2" t="str">
        <f>'Table-View'!A204</f>
        <v>Transaction Id</v>
      </c>
      <c r="B193" s="2" t="str">
        <f>'Table-View'!H204</f>
        <v>CDS assigned numeric identfier of the transaction</v>
      </c>
      <c r="C193" s="28" t="s">
        <v>2385</v>
      </c>
    </row>
    <row r="194" spans="1:3">
      <c r="A194" s="2" t="str">
        <f>'Table-View'!A205</f>
        <v>Transaction Source Key</v>
      </c>
      <c r="B194" s="2" t="str">
        <f>'Table-View'!H205</f>
        <v>A unique key which will help tie a CCAL transaction to the original source system transaction for research purposes.</v>
      </c>
      <c r="C194" s="28" t="s">
        <v>2385</v>
      </c>
    </row>
    <row r="195" spans="1:3" ht="43.2">
      <c r="A195" s="2" t="str">
        <f>'Table-View'!A206</f>
        <v>Transaction Subtype Code</v>
      </c>
      <c r="B195" s="2" t="str">
        <f>'Table-View'!H206</f>
        <v>Code assigned to each transaction subtype. Transaction subtypes offer narrower sub-classification of transactions Base on definition within the line-of-business or source system such as 'ATM Deposit' or '3rd Party ACH' to further refine a transaction type of 'Cash Deposit'.</v>
      </c>
      <c r="C195" s="28" t="s">
        <v>2385</v>
      </c>
    </row>
    <row r="196" spans="1:3">
      <c r="A196" s="2" t="str">
        <f>'Table-View'!A207</f>
        <v>Transaction Subtype Description</v>
      </c>
      <c r="B196" s="2" t="str">
        <f>'Table-View'!H207</f>
        <v>Description for the Transaction Subtype code</v>
      </c>
      <c r="C196" s="28" t="s">
        <v>2385</v>
      </c>
    </row>
    <row r="197" spans="1:3">
      <c r="A197" s="2" t="str">
        <f>'Table-View'!A208</f>
        <v>Transaction Subtype Id</v>
      </c>
      <c r="B197" s="2" t="str">
        <f>'Table-View'!H208</f>
        <v>CDS assigned Identifier for the transaction subtype  - used for data lineage</v>
      </c>
      <c r="C197" s="28" t="s">
        <v>2385</v>
      </c>
    </row>
    <row r="198" spans="1:3" ht="43.2">
      <c r="A198" s="2" t="str">
        <f>'Table-View'!A209</f>
        <v>Transaction Subtype Name</v>
      </c>
      <c r="B198" s="2" t="str">
        <f>'Table-View'!H209</f>
        <v>Name of each transaction subtype. Transaction subtypes offer narrower sub-classification of transactions Base on definition within the line-of-business or source system such as 'ATM Deposit' or '3rd Party ACH' to further refine a transaction type of 'Cash Deposit'.</v>
      </c>
      <c r="C198" s="28" t="s">
        <v>2385</v>
      </c>
    </row>
    <row r="199" spans="1:3" ht="43.2">
      <c r="A199" s="2" t="str">
        <f>'Table-View'!A210</f>
        <v>Transaction Type Code</v>
      </c>
      <c r="B199" s="2" t="str">
        <f>'Table-View'!H210</f>
        <v>Transaction type codes define transactions from different source systems of different types of trades. The codes start with the key letter "T", followed by 4-character abbreviations which indicate the source system, and end with 3-digit numbers represent different types of trade.</v>
      </c>
      <c r="C199" s="28" t="s">
        <v>2385</v>
      </c>
    </row>
    <row r="200" spans="1:3">
      <c r="A200" s="2" t="str">
        <f>'Table-View'!A211</f>
        <v>Transaction Type Description</v>
      </c>
      <c r="B200" s="2" t="str">
        <f>'Table-View'!H211</f>
        <v>Description for the Transaction type</v>
      </c>
      <c r="C200" s="28" t="s">
        <v>2385</v>
      </c>
    </row>
    <row r="201" spans="1:3">
      <c r="A201" s="2" t="str">
        <f>'Table-View'!A212</f>
        <v>Transaction Type Id</v>
      </c>
      <c r="B201" s="2" t="str">
        <f>'Table-View'!H212</f>
        <v>Identifier for the Transaction type</v>
      </c>
      <c r="C201" s="28" t="s">
        <v>2385</v>
      </c>
    </row>
    <row r="202" spans="1:3">
      <c r="A202" s="2" t="str">
        <f>'Table-View'!A213</f>
        <v>Transaction Type Name</v>
      </c>
      <c r="B202" s="2" t="str">
        <f>'Table-View'!H213</f>
        <v>Name that represents transactions from different source systems of different types of trades.</v>
      </c>
      <c r="C202" s="28" t="s">
        <v>2385</v>
      </c>
    </row>
    <row r="203" spans="1:3">
      <c r="A203" s="2" t="str">
        <f>'Table-View'!A214</f>
        <v>Original Source System Id</v>
      </c>
      <c r="B203" s="2" t="str">
        <f>'Table-View'!H214</f>
        <v>Identifier of the source system from which CDS database receives/obtains the underlying record.</v>
      </c>
      <c r="C203" s="28" t="s">
        <v>2385</v>
      </c>
    </row>
    <row r="204" spans="1:3">
      <c r="A204" s="2" t="str">
        <f>'Table-View'!A215</f>
        <v>Original Source System Code</v>
      </c>
      <c r="B204" s="2" t="str">
        <f>'Table-View'!H215</f>
        <v>Code that represents the source system from which CDS database receives/obtains the underlying record.</v>
      </c>
      <c r="C204" s="28" t="s">
        <v>2385</v>
      </c>
    </row>
    <row r="205" spans="1:3">
      <c r="A205" s="2" t="str">
        <f>'Table-View'!A216</f>
        <v>Brokerage Arrangement Dim Id</v>
      </c>
      <c r="B205" s="2" t="str">
        <f>'Table-View'!H216</f>
        <v>Surrogate Key for Brokerage Arrangement Dimension</v>
      </c>
      <c r="C205" s="28" t="s">
        <v>2385</v>
      </c>
    </row>
    <row r="206" spans="1:3">
      <c r="A206" s="2" t="str">
        <f>'Table-View'!A217</f>
        <v>Offset Arrangement Dim Id</v>
      </c>
      <c r="B206" s="2" t="str">
        <f>'Table-View'!H217</f>
        <v>Surrogate Key for offset Arrangement Dimension</v>
      </c>
      <c r="C206" s="28" t="s">
        <v>2385</v>
      </c>
    </row>
    <row r="207" spans="1:3">
      <c r="A207" s="2" t="str">
        <f>'Table-View'!A218</f>
        <v>Arrangement Dimension Id</v>
      </c>
      <c r="B207" s="2" t="str">
        <f>'Table-View'!H218</f>
        <v>Surrogate Key for Arrangement Dimension corresponding to AR_ID</v>
      </c>
      <c r="C207" s="28" t="s">
        <v>2385</v>
      </c>
    </row>
    <row r="208" spans="1:3">
      <c r="A208" s="2" t="str">
        <f>'Table-View'!A219</f>
        <v>Last Update User Name</v>
      </c>
      <c r="B208" s="2" t="str">
        <f>'Table-View'!H219</f>
        <v>The name that represents the user or application who inserted, updated, or deleted each occurrence of row</v>
      </c>
      <c r="C208" s="28" t="s">
        <v>2385</v>
      </c>
    </row>
    <row r="209" spans="1:3">
      <c r="A209" s="2" t="str">
        <f>'Table-View'!A220</f>
        <v>Last Update Datetime</v>
      </c>
      <c r="B209" s="2" t="str">
        <f>'Table-View'!H220</f>
        <v>The exact date and time when an occurrence is inserted, updated, or deleted a row</v>
      </c>
      <c r="C209" s="28" t="s">
        <v>2385</v>
      </c>
    </row>
    <row r="210" spans="1:3" ht="28.8">
      <c r="A210" s="1" t="s">
        <v>2386</v>
      </c>
      <c r="B210" s="12" t="s">
        <v>2387</v>
      </c>
      <c r="C210" s="28" t="s">
        <v>2385</v>
      </c>
    </row>
    <row r="211" spans="1:3">
      <c r="A211" s="1" t="s">
        <v>2388</v>
      </c>
      <c r="B211" s="1" t="s">
        <v>2389</v>
      </c>
      <c r="C211" s="28" t="s">
        <v>2385</v>
      </c>
    </row>
    <row r="212" spans="1:3">
      <c r="A212" s="1" t="s">
        <v>2390</v>
      </c>
      <c r="B212" s="12" t="s">
        <v>731</v>
      </c>
      <c r="C212" s="28" t="s">
        <v>2385</v>
      </c>
    </row>
    <row r="213" spans="1:3">
      <c r="A213" s="1" t="s">
        <v>2391</v>
      </c>
      <c r="B213" s="12" t="s">
        <v>735</v>
      </c>
      <c r="C213" s="28" t="s">
        <v>2385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09303-4175-45A8-AF3B-62ACAD1A2FCC}">
  <dimension ref="A1:P233"/>
  <sheetViews>
    <sheetView zoomScale="70" zoomScaleNormal="70" workbookViewId="0"/>
  </sheetViews>
  <sheetFormatPr defaultColWidth="23" defaultRowHeight="14.4"/>
  <cols>
    <col min="3" max="3" width="55.33203125" customWidth="1"/>
    <col min="7" max="7" width="59.109375" style="2" customWidth="1"/>
  </cols>
  <sheetData>
    <row r="1" spans="1:16">
      <c r="A1" t="s">
        <v>2392</v>
      </c>
      <c r="B1" t="s">
        <v>2393</v>
      </c>
      <c r="C1" t="s">
        <v>2394</v>
      </c>
      <c r="D1" t="s">
        <v>2395</v>
      </c>
      <c r="E1" t="s">
        <v>2396</v>
      </c>
      <c r="F1" t="s">
        <v>2397</v>
      </c>
      <c r="G1" s="2" t="s">
        <v>2398</v>
      </c>
      <c r="H1" t="s">
        <v>2399</v>
      </c>
      <c r="I1" t="s">
        <v>2400</v>
      </c>
      <c r="J1" t="s">
        <v>2401</v>
      </c>
      <c r="K1" t="s">
        <v>2402</v>
      </c>
    </row>
    <row r="2" spans="1:16">
      <c r="A2" t="s">
        <v>2385</v>
      </c>
      <c r="C2" t="str">
        <f>'Table-View'!A13&amp;IF(L21="Remove","_________________del","")</f>
        <v>SHADOW Transaction Type Code</v>
      </c>
      <c r="D2" t="str">
        <f>'Table-View'!B13</f>
        <v>SHDW_TXN_TP_CD</v>
      </c>
      <c r="E2" t="s">
        <v>2403</v>
      </c>
      <c r="F2" t="s">
        <v>10</v>
      </c>
      <c r="G2" s="2" t="str">
        <f>'Table-View'!H13</f>
        <v>Possible values:  ORG, OLD, NEW, REV, REP.</v>
      </c>
      <c r="H2" t="str">
        <f>IF('Table-View'!E13="No","NOT NULL","NULL")</f>
        <v>NULL</v>
      </c>
      <c r="J2" t="e">
        <f>IF(O2,IF(M2=0,"",M2),"")</f>
        <v>#N/A</v>
      </c>
      <c r="K2" t="s">
        <v>2404</v>
      </c>
      <c r="L2" t="str">
        <f>'Table-View'!J13</f>
        <v>Add</v>
      </c>
      <c r="M2" t="e">
        <f>VLOOKUP(C2,Model!C$2:G$226,4,FALSE)</f>
        <v>#N/A</v>
      </c>
      <c r="N2" t="e">
        <f>VLOOKUP(C2,Model!C$2:G$226,5,FALSE)</f>
        <v>#N/A</v>
      </c>
      <c r="O2" t="e">
        <f>SUBSTITUTE(SUBSTITUTE(SUBSTITUTE(N2,"VARCHAR2(","VARCHAR("),"NUMBER(","NUMERIC("),"TIMESTAMP(6)","TIMESTAMP/DATE")=E2</f>
        <v>#N/A</v>
      </c>
    </row>
    <row r="3" spans="1:16">
      <c r="A3" t="s">
        <v>2385</v>
      </c>
      <c r="C3" t="str">
        <f>'Table-View'!A14&amp;IF(L22="Remove","_________________del","")</f>
        <v>SHADOW Transaction Type Name</v>
      </c>
      <c r="D3" t="str">
        <f>'Table-View'!B14</f>
        <v>SHDW_TXN_TP_NM</v>
      </c>
      <c r="E3" t="s">
        <v>2403</v>
      </c>
      <c r="F3" t="s">
        <v>10</v>
      </c>
      <c r="G3" s="2" t="str">
        <f>'Table-View'!H14</f>
        <v>Name of the Shadow Transaction Type Code.</v>
      </c>
      <c r="H3" t="str">
        <f>IF('Table-View'!E14="No","NOT NULL","NULL")</f>
        <v>NULL</v>
      </c>
      <c r="J3" t="e">
        <f t="shared" ref="J3:J66" si="0">IF(O3,IF(M3=0,"",M3),"")</f>
        <v>#N/A</v>
      </c>
      <c r="K3" t="s">
        <v>2404</v>
      </c>
      <c r="L3" t="str">
        <f>'Table-View'!J14</f>
        <v>Add</v>
      </c>
      <c r="M3" t="e">
        <f>VLOOKUP(C3,Model!C$2:G$226,4,FALSE)</f>
        <v>#N/A</v>
      </c>
      <c r="N3" t="e">
        <f>VLOOKUP(C3,Model!C$2:G$226,5,FALSE)</f>
        <v>#N/A</v>
      </c>
      <c r="O3" t="e">
        <f t="shared" ref="O3:O66" si="1">SUBSTITUTE(SUBSTITUTE(SUBSTITUTE(N3,"VARCHAR2(","VARCHAR("),"NUMBER(","NUMERIC("),"TIMESTAMP(6)","TIMESTAMP/DATE")=E3</f>
        <v>#N/A</v>
      </c>
    </row>
    <row r="4" spans="1:16">
      <c r="A4" t="s">
        <v>2385</v>
      </c>
      <c r="C4" t="str">
        <f>'Table-View'!A15&amp;IF(L23="Remove","_________________del","")</f>
        <v>IMPACT Source Action Code</v>
      </c>
      <c r="D4" t="str">
        <f>'Table-View'!B15</f>
        <v>IMP_SRC_ACTN_CD</v>
      </c>
      <c r="E4" t="s">
        <v>2405</v>
      </c>
      <c r="F4" t="s">
        <v>10</v>
      </c>
      <c r="G4" s="2" t="str">
        <f>'Table-View'!H15</f>
        <v>Code representing Action Type in IMPACT source system</v>
      </c>
      <c r="H4" t="str">
        <f>IF('Table-View'!E15="No","NOT NULL","NULL")</f>
        <v>NULL</v>
      </c>
      <c r="J4" t="str">
        <f t="shared" si="0"/>
        <v>Code_01</v>
      </c>
      <c r="K4" t="s">
        <v>2404</v>
      </c>
      <c r="L4" t="str">
        <f>'Table-View'!J15</f>
        <v>Add</v>
      </c>
      <c r="M4" t="str">
        <f>VLOOKUP(C4,Model!C$2:G$226,4,FALSE)</f>
        <v>Code_01</v>
      </c>
      <c r="N4" t="str">
        <f>VLOOKUP(C4,Model!C$2:G$226,5,FALSE)</f>
        <v>VARCHAR2(1)</v>
      </c>
      <c r="O4" t="b">
        <f t="shared" si="1"/>
        <v>1</v>
      </c>
    </row>
    <row r="5" spans="1:16">
      <c r="A5" t="s">
        <v>2385</v>
      </c>
      <c r="C5" t="str">
        <f>'Table-View'!A16&amp;IF(L24="Remove","_________________del","")</f>
        <v>IMPACT Source Action Name</v>
      </c>
      <c r="D5" t="str">
        <f>'Table-View'!B16</f>
        <v>IMP_SRC_ACTN_NM</v>
      </c>
      <c r="E5" t="s">
        <v>2406</v>
      </c>
      <c r="F5" t="s">
        <v>10</v>
      </c>
      <c r="G5" s="2" t="str">
        <f>'Table-View'!H16</f>
        <v>Name representing Action Type in IMPACT source system</v>
      </c>
      <c r="H5" t="str">
        <f>IF('Table-View'!E16="No","NOT NULL","NULL")</f>
        <v>NULL</v>
      </c>
      <c r="J5" t="str">
        <f t="shared" si="0"/>
        <v>Name_100</v>
      </c>
      <c r="K5" t="s">
        <v>2404</v>
      </c>
      <c r="L5" t="str">
        <f>'Table-View'!J16</f>
        <v>Add</v>
      </c>
      <c r="M5" t="str">
        <f>VLOOKUP(C5,Model!C$2:G$226,4,FALSE)</f>
        <v>Name_100</v>
      </c>
      <c r="N5" t="str">
        <f>VLOOKUP(C5,Model!C$2:G$226,5,FALSE)</f>
        <v>VARCHAR2(100)</v>
      </c>
      <c r="O5" t="b">
        <f t="shared" si="1"/>
        <v>1</v>
      </c>
    </row>
    <row r="6" spans="1:16" ht="28.8">
      <c r="A6" t="s">
        <v>2385</v>
      </c>
      <c r="C6" t="str">
        <f>'Table-View'!A17&amp;IF(L25="Remove","_________________del","")</f>
        <v>SIS Detailed Events Id</v>
      </c>
      <c r="D6" t="str">
        <f>'Table-View'!B17</f>
        <v>SIS_DLTD_EV_ID</v>
      </c>
      <c r="E6" t="s">
        <v>133</v>
      </c>
      <c r="F6" t="s">
        <v>10</v>
      </c>
      <c r="G6" s="2" t="str">
        <f>'Table-View'!H17</f>
        <v>Identifier that determines what type of transaction the record contains. For SIS activity the values depend on the record type.</v>
      </c>
      <c r="H6" t="str">
        <f>IF('Table-View'!E17="No","NOT NULL","NULL")</f>
        <v>NULL</v>
      </c>
      <c r="J6" t="e">
        <f t="shared" si="0"/>
        <v>#N/A</v>
      </c>
      <c r="K6" t="s">
        <v>2404</v>
      </c>
      <c r="L6" t="str">
        <f>'Table-View'!J17</f>
        <v>Add</v>
      </c>
      <c r="M6" t="e">
        <f>VLOOKUP(C6,Model!C$2:G$226,4,FALSE)</f>
        <v>#N/A</v>
      </c>
      <c r="N6" t="e">
        <f>VLOOKUP(C6,Model!C$2:G$226,5,FALSE)</f>
        <v>#N/A</v>
      </c>
      <c r="O6" t="e">
        <f t="shared" si="1"/>
        <v>#N/A</v>
      </c>
    </row>
    <row r="7" spans="1:16" ht="28.8">
      <c r="A7" t="s">
        <v>2385</v>
      </c>
      <c r="C7" t="str">
        <f>'Table-View'!A18&amp;IF(L26="Remove","_________________del","")</f>
        <v>SIS Detailed Events Name</v>
      </c>
      <c r="D7" t="str">
        <f>'Table-View'!B18</f>
        <v>SIS_DLTD_EV_NM</v>
      </c>
      <c r="E7" t="s">
        <v>2407</v>
      </c>
      <c r="F7" t="s">
        <v>10</v>
      </c>
      <c r="G7" s="2" t="str">
        <f>'Table-View'!H18</f>
        <v>Name that determines what type of transaction the record contains. For SIS activity the values depend on the record type.</v>
      </c>
      <c r="H7" t="str">
        <f>IF('Table-View'!E18="No","NOT NULL","NULL")</f>
        <v>NULL</v>
      </c>
      <c r="J7" t="e">
        <f t="shared" si="0"/>
        <v>#N/A</v>
      </c>
      <c r="K7" t="s">
        <v>2404</v>
      </c>
      <c r="L7" t="str">
        <f>'Table-View'!J18</f>
        <v>Add</v>
      </c>
      <c r="M7" t="e">
        <f>VLOOKUP(C7,Model!C$2:G$226,4,FALSE)</f>
        <v>#N/A</v>
      </c>
      <c r="N7" t="e">
        <f>VLOOKUP(C7,Model!C$2:G$226,5,FALSE)</f>
        <v>#N/A</v>
      </c>
      <c r="O7" t="e">
        <f t="shared" si="1"/>
        <v>#N/A</v>
      </c>
    </row>
    <row r="8" spans="1:16" ht="28.8">
      <c r="A8" t="s">
        <v>2385</v>
      </c>
      <c r="C8" t="str">
        <f>'Table-View'!A19&amp;IF(L27="Remove","_________________del","")</f>
        <v>SIS User Id</v>
      </c>
      <c r="D8" t="str">
        <f>'Table-View'!B19</f>
        <v>SIS_USR_ID</v>
      </c>
      <c r="E8" t="s">
        <v>2408</v>
      </c>
      <c r="F8" t="s">
        <v>10</v>
      </c>
      <c r="G8" s="2" t="str">
        <f>'Table-View'!H19</f>
        <v>Identifier of the process or user that creates the records sourced from SIS Money Movement</v>
      </c>
      <c r="H8" t="str">
        <f>IF('Table-View'!E19="No","NOT NULL","NULL")</f>
        <v>NULL</v>
      </c>
      <c r="J8" t="e">
        <f t="shared" si="0"/>
        <v>#N/A</v>
      </c>
      <c r="K8" t="s">
        <v>2404</v>
      </c>
      <c r="L8" t="str">
        <f>'Table-View'!J19</f>
        <v>Add</v>
      </c>
      <c r="M8" t="e">
        <f>VLOOKUP(C8,Model!C$2:G$226,4,FALSE)</f>
        <v>#N/A</v>
      </c>
      <c r="N8" t="e">
        <f>VLOOKUP(C8,Model!C$2:G$226,5,FALSE)</f>
        <v>#N/A</v>
      </c>
      <c r="O8" t="e">
        <f t="shared" si="1"/>
        <v>#N/A</v>
      </c>
    </row>
    <row r="9" spans="1:16">
      <c r="A9" t="s">
        <v>2385</v>
      </c>
      <c r="C9" t="str">
        <f>'Table-View'!A20&amp;IF(L28="Remove","_________________del","")</f>
        <v>SIS Account Classification Code</v>
      </c>
      <c r="D9" t="str">
        <f>'Table-View'!B20</f>
        <v>SIS_AC_CL_CD</v>
      </c>
      <c r="E9" t="s">
        <v>2403</v>
      </c>
      <c r="F9" t="s">
        <v>10</v>
      </c>
      <c r="G9" s="2" t="str">
        <f>'Table-View'!H20</f>
        <v>SIS account classification codes</v>
      </c>
      <c r="H9" t="str">
        <f>IF('Table-View'!E20="No","NOT NULL","NULL")</f>
        <v>NULL</v>
      </c>
      <c r="J9" t="e">
        <f t="shared" si="0"/>
        <v>#N/A</v>
      </c>
      <c r="K9" t="s">
        <v>2404</v>
      </c>
      <c r="L9" t="str">
        <f>'Table-View'!J20</f>
        <v>Add</v>
      </c>
      <c r="M9" t="e">
        <f>VLOOKUP(C9,Model!C$2:G$226,4,FALSE)</f>
        <v>#N/A</v>
      </c>
      <c r="N9" t="e">
        <f>VLOOKUP(C9,Model!C$2:G$226,5,FALSE)</f>
        <v>#N/A</v>
      </c>
      <c r="O9" t="e">
        <f t="shared" si="1"/>
        <v>#N/A</v>
      </c>
    </row>
    <row r="10" spans="1:16">
      <c r="A10" t="s">
        <v>2385</v>
      </c>
      <c r="C10" t="str">
        <f>'Table-View'!A21&amp;IF(L29="Remove","_________________del","")</f>
        <v>Source Cancellation Reason Id</v>
      </c>
      <c r="D10" t="str">
        <f>'Table-View'!B21</f>
        <v>SRC_CNCL_RSN_ID</v>
      </c>
      <c r="E10" t="s">
        <v>133</v>
      </c>
      <c r="F10" t="s">
        <v>10</v>
      </c>
      <c r="G10" s="2" t="str">
        <f>'Table-View'!H21</f>
        <v>Id representing Reason for cancellation in source system</v>
      </c>
      <c r="H10" t="str">
        <f>IF('Table-View'!E21="No","NOT NULL","NULL")</f>
        <v>NULL</v>
      </c>
      <c r="J10" t="e">
        <f t="shared" si="0"/>
        <v>#N/A</v>
      </c>
      <c r="K10" t="s">
        <v>2404</v>
      </c>
      <c r="L10" t="str">
        <f>'Table-View'!J21</f>
        <v>Add</v>
      </c>
      <c r="M10" t="e">
        <f>VLOOKUP(C10,Model!C$2:G$226,4,FALSE)</f>
        <v>#N/A</v>
      </c>
      <c r="N10" t="e">
        <f>VLOOKUP(C10,Model!C$2:G$226,5,FALSE)</f>
        <v>#N/A</v>
      </c>
      <c r="O10" t="e">
        <f t="shared" si="1"/>
        <v>#N/A</v>
      </c>
    </row>
    <row r="11" spans="1:16" ht="129.6">
      <c r="A11" t="s">
        <v>2385</v>
      </c>
      <c r="C11" t="str">
        <f>'Table-View'!A22&amp;IF(L30="Remove","_________________del","")</f>
        <v>Source Cancellation Reason Code</v>
      </c>
      <c r="D11" t="str">
        <f>'Table-View'!B22</f>
        <v>SRC_CNCL_RSN_CD</v>
      </c>
      <c r="E11" t="s">
        <v>2409</v>
      </c>
      <c r="F11" t="s">
        <v>10</v>
      </c>
      <c r="G11" s="2" t="str">
        <f>'Table-View'!H22</f>
        <v>Code representing Reason for cancellation in source system
Valid Values - A ,N, Y, null/blank
Valid values include:
'Y' - Trade is cancelled due to correction, and will not be processed as a new trade
'N' - Trade is an outright cancel.
'A' - Trade is a cancel/correction due to allocation, and will be processed as allocated trade.</v>
      </c>
      <c r="H11" t="str">
        <f>IF('Table-View'!E22="No","NOT NULL","NULL")</f>
        <v>NULL</v>
      </c>
      <c r="J11" t="e">
        <f t="shared" si="0"/>
        <v>#N/A</v>
      </c>
      <c r="K11" t="s">
        <v>2404</v>
      </c>
      <c r="L11" t="str">
        <f>'Table-View'!J22</f>
        <v>Add</v>
      </c>
      <c r="M11" t="e">
        <f>VLOOKUP(C11,Model!C$2:G$226,4,FALSE)</f>
        <v>#N/A</v>
      </c>
      <c r="N11" t="e">
        <f>VLOOKUP(C11,Model!C$2:G$226,5,FALSE)</f>
        <v>#N/A</v>
      </c>
      <c r="O11" t="e">
        <f t="shared" si="1"/>
        <v>#N/A</v>
      </c>
      <c r="P11" t="s">
        <v>2410</v>
      </c>
    </row>
    <row r="12" spans="1:16">
      <c r="A12" t="s">
        <v>2385</v>
      </c>
      <c r="C12" t="str">
        <f>'Table-View'!A23&amp;IF(L31="Remove","_________________del","")</f>
        <v>Source Cancellation Reason Name</v>
      </c>
      <c r="D12" t="str">
        <f>'Table-View'!B23</f>
        <v>SRC_CNCL_RSN_NM</v>
      </c>
      <c r="E12" t="s">
        <v>2407</v>
      </c>
      <c r="F12" t="s">
        <v>10</v>
      </c>
      <c r="G12" s="2" t="str">
        <f>'Table-View'!H23</f>
        <v>Name representing Reason for cancellation in source system</v>
      </c>
      <c r="H12" t="str">
        <f>IF('Table-View'!E23="No","NOT NULL","NULL")</f>
        <v>NULL</v>
      </c>
      <c r="J12" t="e">
        <f t="shared" si="0"/>
        <v>#N/A</v>
      </c>
      <c r="K12" t="s">
        <v>2404</v>
      </c>
      <c r="L12" t="str">
        <f>'Table-View'!J23</f>
        <v>Add</v>
      </c>
      <c r="M12" t="e">
        <f>VLOOKUP(C12,Model!C$2:G$226,4,FALSE)</f>
        <v>#N/A</v>
      </c>
      <c r="N12" t="e">
        <f>VLOOKUP(C12,Model!C$2:G$226,5,FALSE)</f>
        <v>#N/A</v>
      </c>
      <c r="O12" t="e">
        <f t="shared" si="1"/>
        <v>#N/A</v>
      </c>
    </row>
    <row r="13" spans="1:16">
      <c r="A13" t="s">
        <v>2385</v>
      </c>
      <c r="C13" t="str">
        <f>'Table-View'!A24&amp;IF(L32="Remove","_________________del","")</f>
        <v>Source Transaction Sequence Number</v>
      </c>
      <c r="D13" t="str">
        <f>'Table-View'!B24</f>
        <v>SRC_TXN_SEQ_NUM</v>
      </c>
      <c r="E13" t="s">
        <v>133</v>
      </c>
      <c r="F13" t="s">
        <v>10</v>
      </c>
      <c r="G13" s="2" t="str">
        <f>'Table-View'!H24</f>
        <v>Transaction number assigned to the transaction in the source system.</v>
      </c>
      <c r="H13" t="str">
        <f>IF('Table-View'!E24="No","NOT NULL","NULL")</f>
        <v>NULL</v>
      </c>
      <c r="J13" t="e">
        <f t="shared" si="0"/>
        <v>#N/A</v>
      </c>
      <c r="K13" t="s">
        <v>2404</v>
      </c>
      <c r="L13" t="str">
        <f>'Table-View'!J24</f>
        <v>Add</v>
      </c>
      <c r="M13" t="e">
        <f>VLOOKUP(C13,Model!C$2:G$226,4,FALSE)</f>
        <v>#N/A</v>
      </c>
      <c r="N13" t="e">
        <f>VLOOKUP(C13,Model!C$2:G$226,5,FALSE)</f>
        <v>#N/A</v>
      </c>
      <c r="O13" t="e">
        <f t="shared" si="1"/>
        <v>#N/A</v>
      </c>
    </row>
    <row r="14" spans="1:16" ht="43.2">
      <c r="A14" t="s">
        <v>2385</v>
      </c>
      <c r="C14" t="str">
        <f>'Table-View'!A25&amp;IF(L33="Remove","_________________del","")</f>
        <v>Dividend Record Date</v>
      </c>
      <c r="D14" t="str">
        <f>'Table-View'!B25</f>
        <v>DVDN_RCRD_DT</v>
      </c>
      <c r="E14" t="s">
        <v>157</v>
      </c>
      <c r="F14" t="s">
        <v>10</v>
      </c>
      <c r="G14" s="2" t="str">
        <f>'Table-View'!H25</f>
        <v>The cut-off date that an organization is expected to use to determine which shareholders are eligible to receive a dividend or income distribution.</v>
      </c>
      <c r="H14" t="str">
        <f>IF('Table-View'!E25="No","NOT NULL","NULL")</f>
        <v>NULL</v>
      </c>
      <c r="J14" t="str">
        <f t="shared" si="0"/>
        <v>Date</v>
      </c>
      <c r="K14" t="s">
        <v>2404</v>
      </c>
      <c r="L14" t="str">
        <f>'Table-View'!J25</f>
        <v>Add</v>
      </c>
      <c r="M14" t="str">
        <f>VLOOKUP(C14,Model!C$2:G$226,4,FALSE)</f>
        <v>Date</v>
      </c>
      <c r="N14" t="str">
        <f>VLOOKUP(C14,Model!C$2:G$226,5,FALSE)</f>
        <v>DATE</v>
      </c>
      <c r="O14" t="b">
        <f t="shared" si="1"/>
        <v>1</v>
      </c>
    </row>
    <row r="15" spans="1:16">
      <c r="A15" t="s">
        <v>2385</v>
      </c>
      <c r="C15" t="str">
        <f>'Table-View'!A26&amp;IF(L34="Remove","_________________del","")</f>
        <v>Owner IMPACT FA Number</v>
      </c>
      <c r="D15" t="str">
        <f>'Table-View'!B26</f>
        <v>OWN_IMP_FA_NUM</v>
      </c>
      <c r="E15" t="s">
        <v>2409</v>
      </c>
      <c r="F15" t="s">
        <v>10</v>
      </c>
      <c r="G15" s="2" t="str">
        <f>'Table-View'!H26</f>
        <v>FA Number as given in Impact system</v>
      </c>
      <c r="H15" t="str">
        <f>IF('Table-View'!E26="No","NOT NULL","NULL")</f>
        <v>NULL</v>
      </c>
      <c r="J15" t="e">
        <f t="shared" si="0"/>
        <v>#N/A</v>
      </c>
      <c r="K15" t="s">
        <v>2404</v>
      </c>
      <c r="L15" t="str">
        <f>'Table-View'!J26</f>
        <v>Add</v>
      </c>
      <c r="M15" t="e">
        <f>VLOOKUP(C15,Model!C$2:G$226,4,FALSE)</f>
        <v>#N/A</v>
      </c>
      <c r="N15" t="e">
        <f>VLOOKUP(C15,Model!C$2:G$226,5,FALSE)</f>
        <v>#N/A</v>
      </c>
      <c r="O15" t="e">
        <f t="shared" si="1"/>
        <v>#N/A</v>
      </c>
    </row>
    <row r="16" spans="1:16" ht="28.8">
      <c r="A16" t="s">
        <v>2385</v>
      </c>
      <c r="C16" t="str">
        <f>'Table-View'!A27&amp;IF(L35="Remove","_________________del","")</f>
        <v>Owner FA Number</v>
      </c>
      <c r="D16" t="str">
        <f>'Table-View'!B27</f>
        <v>OWN_FA_NUM</v>
      </c>
      <c r="E16" t="s">
        <v>2411</v>
      </c>
      <c r="F16" t="s">
        <v>10</v>
      </c>
      <c r="G16" s="2" t="str">
        <f>'Table-View'!H27</f>
        <v>Owner FA Number is a FA Number that owns the Arrangement for which activity is recorded</v>
      </c>
      <c r="H16" t="str">
        <f>IF('Table-View'!E27="No","NOT NULL","NULL")</f>
        <v>NULL</v>
      </c>
      <c r="J16" t="str">
        <f t="shared" si="0"/>
        <v>FA Number</v>
      </c>
      <c r="K16" t="s">
        <v>2404</v>
      </c>
      <c r="L16" t="str">
        <f>'Table-View'!J27</f>
        <v>Add</v>
      </c>
      <c r="M16" t="str">
        <f>VLOOKUP(C16,Model!C$2:G$226,4,FALSE)</f>
        <v>FA Number</v>
      </c>
      <c r="N16" t="str">
        <f>VLOOKUP(C16,Model!C$2:G$226,5,FALSE)</f>
        <v>VARCHAR2(6)</v>
      </c>
      <c r="O16" t="b">
        <f t="shared" si="1"/>
        <v>1</v>
      </c>
    </row>
    <row r="17" spans="1:15">
      <c r="A17" t="s">
        <v>2385</v>
      </c>
      <c r="C17" t="str">
        <f>'Table-View'!A28&amp;IF(L36="Remove","_________________del","")</f>
        <v>Owner FA Number Entity Code</v>
      </c>
      <c r="D17" t="str">
        <f>'Table-View'!B28</f>
        <v>OWN_FA_NUM_ENT_CD</v>
      </c>
      <c r="E17" t="s">
        <v>2409</v>
      </c>
      <c r="F17" t="s">
        <v>10</v>
      </c>
      <c r="G17" s="2" t="str">
        <f>'Table-View'!H28</f>
        <v>Entity Code that owns the Owner FA Number</v>
      </c>
      <c r="H17" t="str">
        <f>IF('Table-View'!E28="No","NOT NULL","NULL")</f>
        <v>NULL</v>
      </c>
      <c r="J17" t="str">
        <f t="shared" si="0"/>
        <v>Code_20</v>
      </c>
      <c r="K17" t="s">
        <v>2404</v>
      </c>
      <c r="L17" t="str">
        <f>'Table-View'!J28</f>
        <v>Add</v>
      </c>
      <c r="M17" t="str">
        <f>VLOOKUP(C17,Model!C$2:G$226,4,FALSE)</f>
        <v>Code_20</v>
      </c>
      <c r="N17" t="str">
        <f>VLOOKUP(C17,Model!C$2:G$226,5,FALSE)</f>
        <v>VARCHAR2(20)</v>
      </c>
      <c r="O17" t="b">
        <f t="shared" si="1"/>
        <v>1</v>
      </c>
    </row>
    <row r="18" spans="1:15">
      <c r="A18" t="s">
        <v>2385</v>
      </c>
      <c r="C18" t="str">
        <f>'Table-View'!A29&amp;IF(L37="Remove","_________________del","")</f>
        <v>Owner FA Employee Id</v>
      </c>
      <c r="D18" t="str">
        <f>'Table-View'!B29</f>
        <v>FA_OWN_EMPE_ID</v>
      </c>
      <c r="E18" t="s">
        <v>2412</v>
      </c>
      <c r="F18" t="s">
        <v>10</v>
      </c>
      <c r="G18" s="2" t="str">
        <f>'Table-View'!H29</f>
        <v>PeopleWorks Identifier for the Responsible Party for an FA Number</v>
      </c>
      <c r="H18" t="str">
        <f>IF('Table-View'!E29="No","NOT NULL","NULL")</f>
        <v>NULL</v>
      </c>
      <c r="J18" t="str">
        <f t="shared" si="0"/>
        <v/>
      </c>
      <c r="K18" t="s">
        <v>2404</v>
      </c>
      <c r="L18" t="str">
        <f>'Table-View'!J29</f>
        <v>Add</v>
      </c>
      <c r="M18">
        <f>VLOOKUP(C18,Model!C$2:G$226,4,FALSE)</f>
        <v>0</v>
      </c>
      <c r="N18" t="str">
        <f>VLOOKUP(C18,Model!C$2:G$226,5,FALSE)</f>
        <v>VARCHAR2(44)</v>
      </c>
      <c r="O18" t="b">
        <f t="shared" si="1"/>
        <v>1</v>
      </c>
    </row>
    <row r="19" spans="1:15">
      <c r="A19" t="s">
        <v>2385</v>
      </c>
      <c r="C19" t="str">
        <f>'Table-View'!A30&amp;IF(L38="Remove","_________________del","")</f>
        <v>Owner FA Number Entity Enterprise Id</v>
      </c>
      <c r="D19" t="str">
        <f>'Table-View'!B30</f>
        <v>OWN_FA_NUM_ENT_ENTP_ID</v>
      </c>
      <c r="E19" t="s">
        <v>200</v>
      </c>
      <c r="F19" t="s">
        <v>10</v>
      </c>
      <c r="G19" s="2" t="str">
        <f>'Table-View'!H30</f>
        <v>Enterprise Id of the Entity that owns the Owner FA Number</v>
      </c>
      <c r="H19" t="str">
        <f>IF('Table-View'!E30="No","NOT NULL","NULL")</f>
        <v>NULL</v>
      </c>
      <c r="J19" t="str">
        <f t="shared" si="0"/>
        <v>Number_22</v>
      </c>
      <c r="K19" t="s">
        <v>2404</v>
      </c>
      <c r="L19" t="str">
        <f>'Table-View'!J30</f>
        <v>Add</v>
      </c>
      <c r="M19" t="str">
        <f>VLOOKUP(C19,Model!C$2:G$226,4,FALSE)</f>
        <v>Number_22</v>
      </c>
      <c r="N19" t="str">
        <f>VLOOKUP(C19,Model!C$2:G$226,5,FALSE)</f>
        <v>NUMBER(22,0)</v>
      </c>
      <c r="O19" t="b">
        <f t="shared" si="1"/>
        <v>1</v>
      </c>
    </row>
    <row r="20" spans="1:15" ht="100.8">
      <c r="A20" t="s">
        <v>2385</v>
      </c>
      <c r="C20" t="str">
        <f>'Table-View'!A31&amp;IF(L39="Remove","_________________del","")</f>
        <v>ACAT Contra Firm Clearing Number</v>
      </c>
      <c r="D20" t="str">
        <f>'Table-View'!B31</f>
        <v>ACAT_CNTRA_FIRM_CLRG_NUM</v>
      </c>
      <c r="E20" t="s">
        <v>2413</v>
      </c>
      <c r="F20" t="s">
        <v>10</v>
      </c>
      <c r="G20" s="2" t="str">
        <f>'Table-View'!H31</f>
        <v>This is the logical identifier for the entity/system (in this case ACAT) that is providing this transaction information or responsible for creation/maintenance of the information. In a case where the information is created and maintained.
Identifier of the system from which CDS database receives/obtains the underlying record. This identifier is specifc to ACAT Contra Firm clearing</v>
      </c>
      <c r="H20" t="str">
        <f>IF('Table-View'!E31="No","NOT NULL","NULL")</f>
        <v>NULL</v>
      </c>
      <c r="J20" t="str">
        <f t="shared" si="0"/>
        <v>Code_04</v>
      </c>
      <c r="K20" t="s">
        <v>2404</v>
      </c>
      <c r="L20" t="str">
        <f>'Table-View'!J31</f>
        <v>Add</v>
      </c>
      <c r="M20" t="str">
        <f>VLOOKUP(C20,Model!C$2:G$226,4,FALSE)</f>
        <v>Code_04</v>
      </c>
      <c r="N20" t="str">
        <f>VLOOKUP(C20,Model!C$2:G$226,5,FALSE)</f>
        <v>VARCHAR2(4)</v>
      </c>
      <c r="O20" t="b">
        <f t="shared" si="1"/>
        <v>1</v>
      </c>
    </row>
    <row r="21" spans="1:15" ht="53.25" customHeight="1">
      <c r="A21" t="s">
        <v>2385</v>
      </c>
      <c r="C21" t="str">
        <f>'Table-View'!A32&amp;IF(L40="Remove","_________________del","")</f>
        <v>ACAT Contra Firm Name</v>
      </c>
      <c r="D21" t="str">
        <f>'Table-View'!B32</f>
        <v>ACAT_CNTRA_FIRM_NM</v>
      </c>
      <c r="E21" t="s">
        <v>2403</v>
      </c>
      <c r="F21" t="s">
        <v>10</v>
      </c>
      <c r="G21" s="2" t="str">
        <f>'Table-View'!H32</f>
        <v>ACAT Contra Firm Clearing Name</v>
      </c>
      <c r="H21" t="str">
        <f>IF('Table-View'!E32="No","NOT NULL","NULL")</f>
        <v>NULL</v>
      </c>
      <c r="J21" t="str">
        <f t="shared" si="0"/>
        <v>Code_50</v>
      </c>
      <c r="K21" t="s">
        <v>2404</v>
      </c>
      <c r="L21" t="str">
        <f>'Table-View'!J32</f>
        <v>Add</v>
      </c>
      <c r="M21" t="str">
        <f>VLOOKUP(C21,Model!C$2:G$226,4,FALSE)</f>
        <v>Code_50</v>
      </c>
      <c r="N21" t="str">
        <f>VLOOKUP(C21,Model!C$2:G$226,5,FALSE)</f>
        <v>VARCHAR2(50)</v>
      </c>
      <c r="O21" t="b">
        <f t="shared" si="1"/>
        <v>1</v>
      </c>
    </row>
    <row r="22" spans="1:15">
      <c r="A22" t="s">
        <v>2385</v>
      </c>
      <c r="C22" t="str">
        <f>'Table-View'!A33&amp;IF(L41="Remove","_________________del","")</f>
        <v>ACAT Contra Firm Short Name</v>
      </c>
      <c r="D22" t="str">
        <f>'Table-View'!B33</f>
        <v>ACAT_CNTRA_FIRM_SHRT_NM</v>
      </c>
      <c r="E22" t="s">
        <v>2414</v>
      </c>
      <c r="F22" t="s">
        <v>10</v>
      </c>
      <c r="G22" s="2" t="str">
        <f>'Table-View'!H33</f>
        <v>ACAT Contra Firm Clearing Short Name</v>
      </c>
      <c r="H22" t="str">
        <f>IF('Table-View'!E33="No","NOT NULL","NULL")</f>
        <v>NULL</v>
      </c>
      <c r="J22" t="str">
        <f t="shared" si="0"/>
        <v>Name_15</v>
      </c>
      <c r="K22" t="s">
        <v>2404</v>
      </c>
      <c r="L22" t="str">
        <f>'Table-View'!J33</f>
        <v>Add</v>
      </c>
      <c r="M22" t="str">
        <f>VLOOKUP(C22,Model!C$2:G$226,4,FALSE)</f>
        <v>Name_15</v>
      </c>
      <c r="N22" t="str">
        <f>VLOOKUP(C22,Model!C$2:G$226,5,FALSE)</f>
        <v>VARCHAR2(15)</v>
      </c>
      <c r="O22" t="b">
        <f t="shared" si="1"/>
        <v>1</v>
      </c>
    </row>
    <row r="23" spans="1:15">
      <c r="A23" t="s">
        <v>2385</v>
      </c>
      <c r="C23" t="str">
        <f>'Table-View'!A34&amp;IF(L42="Remove","_________________del","")</f>
        <v>ACAT Contra Firm Clearing ID Type Code</v>
      </c>
      <c r="D23" t="str">
        <f>'Table-View'!B34</f>
        <v>ACAT_CNTRA_FIRM_CLRG_ID_TP_CD</v>
      </c>
      <c r="E23" t="s">
        <v>2405</v>
      </c>
      <c r="F23" t="s">
        <v>10</v>
      </c>
      <c r="G23" s="2" t="str">
        <f>'Table-View'!H34</f>
        <v>ACAT Broker ID Type</v>
      </c>
      <c r="H23" t="str">
        <f>IF('Table-View'!E34="No","NOT NULL","NULL")</f>
        <v>NULL</v>
      </c>
      <c r="J23" t="str">
        <f t="shared" si="0"/>
        <v>Code_01</v>
      </c>
      <c r="K23" t="s">
        <v>2404</v>
      </c>
      <c r="L23" t="str">
        <f>'Table-View'!J34</f>
        <v>Add</v>
      </c>
      <c r="M23" t="str">
        <f>VLOOKUP(C23,Model!C$2:G$226,4,FALSE)</f>
        <v>Code_01</v>
      </c>
      <c r="N23" t="str">
        <f>VLOOKUP(C23,Model!C$2:G$226,5,FALSE)</f>
        <v>VARCHAR2(1)</v>
      </c>
      <c r="O23" t="b">
        <f t="shared" si="1"/>
        <v>1</v>
      </c>
    </row>
    <row r="24" spans="1:15">
      <c r="A24" t="s">
        <v>2385</v>
      </c>
      <c r="C24" t="str">
        <f>'Table-View'!A35&amp;IF(L43="Remove","_________________del","")</f>
        <v>Money Movement Alternate Id</v>
      </c>
      <c r="D24" t="str">
        <f>'Table-View'!B35</f>
        <v>MM_ALT_ID</v>
      </c>
      <c r="E24" t="s">
        <v>2403</v>
      </c>
      <c r="F24" t="s">
        <v>10</v>
      </c>
      <c r="G24" s="2" t="str">
        <f>'Table-View'!H35</f>
        <v>Identifier on all Money movement transactions</v>
      </c>
      <c r="H24" t="str">
        <f>IF('Table-View'!E35="No","NOT NULL","NULL")</f>
        <v>NULL</v>
      </c>
      <c r="J24" t="str">
        <f t="shared" si="0"/>
        <v>Code_50</v>
      </c>
      <c r="K24" t="s">
        <v>2404</v>
      </c>
      <c r="L24" t="str">
        <f>'Table-View'!J35</f>
        <v>Add</v>
      </c>
      <c r="M24" t="str">
        <f>VLOOKUP(C24,Model!C$2:G$226,4,FALSE)</f>
        <v>Code_50</v>
      </c>
      <c r="N24" t="str">
        <f>VLOOKUP(C24,Model!C$2:G$226,5,FALSE)</f>
        <v>VARCHAR2(50)</v>
      </c>
      <c r="O24" t="b">
        <f t="shared" si="1"/>
        <v>1</v>
      </c>
    </row>
    <row r="25" spans="1:15" ht="28.8">
      <c r="A25" t="s">
        <v>2385</v>
      </c>
      <c r="C25" t="str">
        <f>'Table-View'!A36&amp;IF(L44="Remove","_________________del","")</f>
        <v>Arrangement Originating Source System Code</v>
      </c>
      <c r="D25" t="str">
        <f>'Table-View'!B36</f>
        <v>AR_ORIG_SRC_STM_CD</v>
      </c>
      <c r="E25" t="s">
        <v>2409</v>
      </c>
      <c r="F25" t="s">
        <v>10</v>
      </c>
      <c r="G25" s="2" t="str">
        <f>'Table-View'!H36</f>
        <v>Code that represents the source system from which CDS database receives/obtains the underlying Arrangement from.</v>
      </c>
      <c r="H25" t="str">
        <f>IF('Table-View'!E36="No","NOT NULL","NULL")</f>
        <v>NULL</v>
      </c>
      <c r="J25" t="str">
        <f t="shared" si="0"/>
        <v>Code_20</v>
      </c>
      <c r="K25" t="s">
        <v>2404</v>
      </c>
      <c r="L25" t="str">
        <f>'Table-View'!J36</f>
        <v>Add</v>
      </c>
      <c r="M25" t="str">
        <f>VLOOKUP(C25,Model!C$2:G$226,4,FALSE)</f>
        <v>Code_20</v>
      </c>
      <c r="N25" t="str">
        <f>VLOOKUP(C25,Model!C$2:G$226,5,FALSE)</f>
        <v>VARCHAR2(20)</v>
      </c>
      <c r="O25" t="b">
        <f t="shared" si="1"/>
        <v>1</v>
      </c>
    </row>
    <row r="26" spans="1:15" ht="28.8">
      <c r="A26" t="s">
        <v>2385</v>
      </c>
      <c r="C26" t="str">
        <f>'Table-View'!A37&amp;IF(L45="Remove","_________________del","")</f>
        <v>Source System Id</v>
      </c>
      <c r="D26" t="str">
        <f>'Table-View'!B37</f>
        <v>SRC_STM_ID</v>
      </c>
      <c r="E26" t="s">
        <v>133</v>
      </c>
      <c r="F26" t="s">
        <v>10</v>
      </c>
      <c r="G26" s="2" t="str">
        <f>'Table-View'!H37</f>
        <v>Source system Id coming from Transaction. This could be different from Source system Id coming from Arrangement information.</v>
      </c>
      <c r="H26" t="str">
        <f>IF('Table-View'!E37="No","NOT NULL","NULL")</f>
        <v>NULL</v>
      </c>
      <c r="J26" t="e">
        <f t="shared" si="0"/>
        <v>#N/A</v>
      </c>
      <c r="K26" t="s">
        <v>2404</v>
      </c>
      <c r="L26" t="str">
        <f>'Table-View'!J37</f>
        <v>Add</v>
      </c>
      <c r="M26" t="e">
        <f>VLOOKUP(C26,Model!C$2:G$226,4,FALSE)</f>
        <v>#N/A</v>
      </c>
      <c r="N26" t="e">
        <f>VLOOKUP(C26,Model!C$2:G$226,5,FALSE)</f>
        <v>#N/A</v>
      </c>
      <c r="O26" t="e">
        <f t="shared" si="1"/>
        <v>#N/A</v>
      </c>
    </row>
    <row r="27" spans="1:15" ht="43.2">
      <c r="A27" t="s">
        <v>2385</v>
      </c>
      <c r="C27" t="str">
        <f>'Table-View'!A38&amp;IF(L46="Remove","_________________del","")</f>
        <v>Source System Name</v>
      </c>
      <c r="D27" t="str">
        <f>'Table-View'!B38</f>
        <v>SRC_STM_NM</v>
      </c>
      <c r="E27" t="s">
        <v>2415</v>
      </c>
      <c r="F27" t="s">
        <v>10</v>
      </c>
      <c r="G27" s="2" t="str">
        <f>'Table-View'!H38</f>
        <v>Name of the source system information coming from Transaction. e.g., SIS - Securities Industry Software, Raymond James, Raymond James Bank, Shadow Suite</v>
      </c>
      <c r="H27" t="str">
        <f>IF('Table-View'!E38="No","NOT NULL","NULL")</f>
        <v>NULL</v>
      </c>
      <c r="J27" t="e">
        <f t="shared" si="0"/>
        <v>#N/A</v>
      </c>
      <c r="K27" t="s">
        <v>2404</v>
      </c>
      <c r="L27" t="str">
        <f>'Table-View'!J38</f>
        <v>Add</v>
      </c>
      <c r="M27" t="e">
        <f>VLOOKUP(C27,Model!C$2:G$226,4,FALSE)</f>
        <v>#N/A</v>
      </c>
      <c r="N27" t="e">
        <f>VLOOKUP(C27,Model!C$2:G$226,5,FALSE)</f>
        <v>#N/A</v>
      </c>
      <c r="O27" t="e">
        <f t="shared" si="1"/>
        <v>#N/A</v>
      </c>
    </row>
    <row r="28" spans="1:15">
      <c r="A28" t="s">
        <v>2385</v>
      </c>
      <c r="C28" t="str">
        <f>'Table-View'!A39&amp;IF(L47="Remove","_________________del","")</f>
        <v>Source Cancel / Revision Code</v>
      </c>
      <c r="D28" t="str">
        <f>'Table-View'!B39</f>
        <v>SRC_CNCL_X_RVSN_CD</v>
      </c>
      <c r="E28" t="s">
        <v>2416</v>
      </c>
      <c r="F28" t="s">
        <v>10</v>
      </c>
      <c r="G28" s="2" t="str">
        <f>'Table-View'!H39</f>
        <v>Cancel or Revise Code in the source system</v>
      </c>
      <c r="H28" t="str">
        <f>IF('Table-View'!E39="No","NOT NULL","NULL")</f>
        <v>NULL</v>
      </c>
      <c r="J28" t="e">
        <f t="shared" si="0"/>
        <v>#N/A</v>
      </c>
      <c r="K28" t="s">
        <v>2404</v>
      </c>
      <c r="L28" t="str">
        <f>'Table-View'!J39</f>
        <v>Add</v>
      </c>
      <c r="M28" t="e">
        <f>VLOOKUP(C28,Model!C$2:G$226,4,FALSE)</f>
        <v>#N/A</v>
      </c>
      <c r="N28" t="e">
        <f>VLOOKUP(C28,Model!C$2:G$226,5,FALSE)</f>
        <v>#N/A</v>
      </c>
      <c r="O28" t="e">
        <f t="shared" si="1"/>
        <v>#N/A</v>
      </c>
    </row>
    <row r="29" spans="1:15" ht="28.8">
      <c r="A29" t="s">
        <v>2385</v>
      </c>
      <c r="C29" t="str">
        <f>'Table-View'!A40&amp;IF(L48="Remove","_________________del","")</f>
        <v>Source Option Class Code</v>
      </c>
      <c r="D29" t="str">
        <f>'Table-View'!B40</f>
        <v>SRC_OPT_CLSS_CD</v>
      </c>
      <c r="E29" t="s">
        <v>2403</v>
      </c>
      <c r="F29" t="s">
        <v>10</v>
      </c>
      <c r="G29" s="2" t="str">
        <f>'Table-View'!H40</f>
        <v>The code that determines what type of transaction the record contains. For SIS activity the values depend on the record type.</v>
      </c>
      <c r="H29" t="str">
        <f>IF('Table-View'!E40="No","NOT NULL","NULL")</f>
        <v>NULL</v>
      </c>
      <c r="J29" t="e">
        <f t="shared" si="0"/>
        <v>#N/A</v>
      </c>
      <c r="K29" t="s">
        <v>2404</v>
      </c>
      <c r="L29" t="str">
        <f>'Table-View'!J40</f>
        <v>Add</v>
      </c>
      <c r="M29" t="e">
        <f>VLOOKUP(C29,Model!C$2:G$226,4,FALSE)</f>
        <v>#N/A</v>
      </c>
      <c r="N29" t="e">
        <f>VLOOKUP(C29,Model!C$2:G$226,5,FALSE)</f>
        <v>#N/A</v>
      </c>
      <c r="O29" t="e">
        <f t="shared" si="1"/>
        <v>#N/A</v>
      </c>
    </row>
    <row r="30" spans="1:15" ht="72">
      <c r="A30" t="s">
        <v>2385</v>
      </c>
      <c r="C30" t="str">
        <f>'Table-View'!A41&amp;IF(L49="Remove","_________________del","")</f>
        <v>Transaction Reconciliation Replay Count</v>
      </c>
      <c r="D30" t="str">
        <f>'Table-View'!B41</f>
        <v>TXN_RCNCL_REPL_CNT</v>
      </c>
      <c r="E30" t="s">
        <v>133</v>
      </c>
      <c r="F30" t="s">
        <v>10</v>
      </c>
      <c r="G30" s="2" t="str">
        <f>'Table-View'!H41</f>
        <v>Numeric counter to show how many attempts were done to reconcile transactions on this account/product/type with the corresponding EOD positions. 
The default value load is '0' and counter is incremented by '1' as transaction is replayed.</v>
      </c>
      <c r="H30" t="str">
        <f>IF('Table-View'!E41="No","NOT NULL","NULL")</f>
        <v>NULL</v>
      </c>
      <c r="J30" t="e">
        <f t="shared" si="0"/>
        <v>#N/A</v>
      </c>
      <c r="K30" t="s">
        <v>2404</v>
      </c>
      <c r="L30" t="str">
        <f>'Table-View'!J41</f>
        <v>Add</v>
      </c>
      <c r="M30" t="e">
        <f>VLOOKUP(C30,Model!C$2:G$226,4,FALSE)</f>
        <v>#N/A</v>
      </c>
      <c r="N30" t="e">
        <f>VLOOKUP(C30,Model!C$2:G$226,5,FALSE)</f>
        <v>#N/A</v>
      </c>
      <c r="O30" t="e">
        <f t="shared" si="1"/>
        <v>#N/A</v>
      </c>
    </row>
    <row r="31" spans="1:15" ht="86.4">
      <c r="A31" t="s">
        <v>2385</v>
      </c>
      <c r="C31" t="str">
        <f>'Table-View'!A42&amp;IF(L50="Remove","_________________del","")</f>
        <v>Transaction Reconciliation Status Id</v>
      </c>
      <c r="D31" t="str">
        <f>'Table-View'!B42</f>
        <v>TXN_RCNCL_ST_ID</v>
      </c>
      <c r="E31" t="s">
        <v>133</v>
      </c>
      <c r="F31" t="s">
        <v>10</v>
      </c>
      <c r="G31" s="2" t="str">
        <f>'Table-View'!H42</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identifier</v>
      </c>
      <c r="H31" t="str">
        <f>IF('Table-View'!E42="No","NOT NULL","NULL")</f>
        <v>NULL</v>
      </c>
      <c r="J31" t="e">
        <f t="shared" si="0"/>
        <v>#N/A</v>
      </c>
      <c r="K31" t="s">
        <v>2404</v>
      </c>
      <c r="L31" t="str">
        <f>'Table-View'!J42</f>
        <v>Add</v>
      </c>
      <c r="M31" t="e">
        <f>VLOOKUP(C31,Model!C$2:G$226,4,FALSE)</f>
        <v>#N/A</v>
      </c>
      <c r="N31" t="e">
        <f>VLOOKUP(C31,Model!C$2:G$226,5,FALSE)</f>
        <v>#N/A</v>
      </c>
      <c r="O31" t="e">
        <f t="shared" si="1"/>
        <v>#N/A</v>
      </c>
    </row>
    <row r="32" spans="1:15" ht="86.4">
      <c r="A32" t="s">
        <v>2385</v>
      </c>
      <c r="C32" t="str">
        <f>'Table-View'!A43&amp;IF(L51="Remove","_________________del","")</f>
        <v>Transaction Reconciliation Status Code</v>
      </c>
      <c r="D32" t="str">
        <f>'Table-View'!B43</f>
        <v>TXN_RCNCL_ST_CD</v>
      </c>
      <c r="E32" t="s">
        <v>2409</v>
      </c>
      <c r="F32" t="s">
        <v>10</v>
      </c>
      <c r="G32" s="2" t="str">
        <f>'Table-View'!H43</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code</v>
      </c>
      <c r="H32" t="str">
        <f>IF('Table-View'!E43="No","NOT NULL","NULL")</f>
        <v>NULL</v>
      </c>
      <c r="J32" t="e">
        <f t="shared" si="0"/>
        <v>#N/A</v>
      </c>
      <c r="K32" t="s">
        <v>2404</v>
      </c>
      <c r="L32" t="str">
        <f>'Table-View'!J43</f>
        <v>Add</v>
      </c>
      <c r="M32" t="e">
        <f>VLOOKUP(C32,Model!C$2:G$226,4,FALSE)</f>
        <v>#N/A</v>
      </c>
      <c r="N32" t="e">
        <f>VLOOKUP(C32,Model!C$2:G$226,5,FALSE)</f>
        <v>#N/A</v>
      </c>
      <c r="O32" t="e">
        <f t="shared" si="1"/>
        <v>#N/A</v>
      </c>
    </row>
    <row r="33" spans="1:15" ht="86.4">
      <c r="A33" t="s">
        <v>2385</v>
      </c>
      <c r="C33" t="str">
        <f>'Table-View'!A44&amp;IF(L52="Remove","_________________del","")</f>
        <v>Transaction Reconciliation Status Name</v>
      </c>
      <c r="D33" t="str">
        <f>'Table-View'!B44</f>
        <v>TXN_RCNCL_ST_NM</v>
      </c>
      <c r="E33" t="s">
        <v>2407</v>
      </c>
      <c r="F33" t="s">
        <v>10</v>
      </c>
      <c r="G33" s="2" t="str">
        <f>'Table-View'!H44</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investigation.This specifies the status name</v>
      </c>
      <c r="H33" t="str">
        <f>IF('Table-View'!E44="No","NOT NULL","NULL")</f>
        <v>NULL</v>
      </c>
      <c r="J33" t="e">
        <f t="shared" si="0"/>
        <v>#N/A</v>
      </c>
      <c r="K33" t="s">
        <v>2404</v>
      </c>
      <c r="L33" t="str">
        <f>'Table-View'!J44</f>
        <v>Add</v>
      </c>
      <c r="M33" t="e">
        <f>VLOOKUP(C33,Model!C$2:G$226,4,FALSE)</f>
        <v>#N/A</v>
      </c>
      <c r="N33" t="e">
        <f>VLOOKUP(C33,Model!C$2:G$226,5,FALSE)</f>
        <v>#N/A</v>
      </c>
      <c r="O33" t="e">
        <f t="shared" si="1"/>
        <v>#N/A</v>
      </c>
    </row>
    <row r="34" spans="1:15" ht="28.8">
      <c r="A34" t="s">
        <v>2385</v>
      </c>
      <c r="C34" t="str">
        <f>'Table-View'!A45&amp;IF(L53="Remove","_________________del","")</f>
        <v>MF Account Number</v>
      </c>
      <c r="D34" t="str">
        <f>'Table-View'!B45</f>
        <v>MF_AC_NUM</v>
      </c>
      <c r="E34" t="s">
        <v>2417</v>
      </c>
      <c r="F34" t="s">
        <v>10</v>
      </c>
      <c r="G34" s="2" t="str">
        <f>'Table-View'!H45</f>
        <v>Account number of the mutual fund, if the transaction is on mutual fund.</v>
      </c>
      <c r="H34" t="str">
        <f>IF('Table-View'!E45="No","NOT NULL","NULL")</f>
        <v>NULL</v>
      </c>
      <c r="J34" t="str">
        <f t="shared" si="0"/>
        <v>Code_30</v>
      </c>
      <c r="K34" t="s">
        <v>2404</v>
      </c>
      <c r="L34" t="str">
        <f>'Table-View'!J45</f>
        <v>Add</v>
      </c>
      <c r="M34" t="str">
        <f>VLOOKUP(C34,Model!C$2:G$226,4,FALSE)</f>
        <v>Code_30</v>
      </c>
      <c r="N34" t="str">
        <f>VLOOKUP(C34,Model!C$2:G$226,5,FALSE)</f>
        <v>VARCHAR2(30)</v>
      </c>
      <c r="O34" t="b">
        <f t="shared" si="1"/>
        <v>1</v>
      </c>
    </row>
    <row r="35" spans="1:15" ht="72">
      <c r="A35" t="s">
        <v>2385</v>
      </c>
      <c r="C35" t="str">
        <f>'Table-View'!A46&amp;IF(L54="Remove","_________________del","")</f>
        <v>Offset Originating Source System Arrangement Id</v>
      </c>
      <c r="D35" t="str">
        <f>'Table-View'!B46</f>
        <v>OFST_ORIG_SRC_STM_AR_ID</v>
      </c>
      <c r="E35" t="s">
        <v>2403</v>
      </c>
      <c r="F35" t="s">
        <v>10</v>
      </c>
      <c r="G35" s="2" t="str">
        <f>'Table-View'!H46</f>
        <v>If the transaction was between 2 RJ accounts then this field will contain information about the second arrangement called the offset arrangement. This column contains the account number/contract number of the offset Arrangement from the original source system provider - e.g., SIS Account number for brokerage accounts</v>
      </c>
      <c r="H35" t="str">
        <f>IF('Table-View'!E46="No","NOT NULL","NULL")</f>
        <v>NULL</v>
      </c>
      <c r="J35" t="str">
        <f t="shared" si="0"/>
        <v>Code_50</v>
      </c>
      <c r="K35" t="s">
        <v>2404</v>
      </c>
      <c r="L35" t="str">
        <f>'Table-View'!J46</f>
        <v>Add</v>
      </c>
      <c r="M35" t="str">
        <f>VLOOKUP(C35,Model!C$2:G$226,4,FALSE)</f>
        <v>Code_50</v>
      </c>
      <c r="N35" t="str">
        <f>VLOOKUP(C35,Model!C$2:G$226,5,FALSE)</f>
        <v>VARCHAR2(50)</v>
      </c>
      <c r="O35" t="b">
        <f t="shared" si="1"/>
        <v>1</v>
      </c>
    </row>
    <row r="36" spans="1:15" ht="57.6">
      <c r="A36" t="s">
        <v>2385</v>
      </c>
      <c r="C36" t="str">
        <f>'Table-View'!A47&amp;IF(L55="Remove","_________________del","")</f>
        <v>Offset Arrangement Originating Source System Code</v>
      </c>
      <c r="D36" t="str">
        <f>'Table-View'!B47</f>
        <v>OFST_AR_ORIG_SRC_STM_CD</v>
      </c>
      <c r="E36" t="s">
        <v>2409</v>
      </c>
      <c r="F36" t="s">
        <v>10</v>
      </c>
      <c r="G36" s="2" t="str">
        <f>'Table-View'!H47</f>
        <v>If the transaction was between 2 RJ accounts then this field will contain information about the second arrangement called the offset arrangement. This column defines the source system associated with a specific offset arrangement. (e.g., BKRB01, RJB RESI, RJB LOANIQ)</v>
      </c>
      <c r="H36" t="str">
        <f>IF('Table-View'!E47="No","NOT NULL","NULL")</f>
        <v>NULL</v>
      </c>
      <c r="J36" t="str">
        <f t="shared" si="0"/>
        <v>Code_20</v>
      </c>
      <c r="K36" t="s">
        <v>2404</v>
      </c>
      <c r="L36" t="str">
        <f>'Table-View'!J47</f>
        <v>Add</v>
      </c>
      <c r="M36" t="str">
        <f>VLOOKUP(C36,Model!C$2:G$226,4,FALSE)</f>
        <v>Code_20</v>
      </c>
      <c r="N36" t="str">
        <f>VLOOKUP(C36,Model!C$2:G$226,5,FALSE)</f>
        <v>VARCHAR2(20)</v>
      </c>
      <c r="O36" t="b">
        <f t="shared" si="1"/>
        <v>1</v>
      </c>
    </row>
    <row r="37" spans="1:15" ht="86.4">
      <c r="A37" t="s">
        <v>2385</v>
      </c>
      <c r="C37" t="str">
        <f>'Table-View'!A48&amp;IF(L56="Remove","_________________del","")</f>
        <v>Offset Arrangement Settlement Type Code</v>
      </c>
      <c r="D37" t="str">
        <f>'Table-View'!B48</f>
        <v>OFST_AR_SETL_TP_CD</v>
      </c>
      <c r="E37" t="s">
        <v>2409</v>
      </c>
      <c r="F37" t="s">
        <v>10</v>
      </c>
      <c r="G37" s="2" t="str">
        <f>'Table-View'!H48</f>
        <v>If the APA was satisfied by offsetting with another RJ arrangement then, this column will contain information about the offsetted arrangement.
A code that identifies how an arrangement settles its security transactions. This settlement type code is applicable for offset arrangements.</v>
      </c>
      <c r="H37" t="str">
        <f>IF('Table-View'!E48="No","NOT NULL","NULL")</f>
        <v>NULL</v>
      </c>
      <c r="J37" t="str">
        <f t="shared" si="0"/>
        <v>Code_20</v>
      </c>
      <c r="K37" t="s">
        <v>2404</v>
      </c>
      <c r="L37" t="str">
        <f>'Table-View'!J48</f>
        <v>Add</v>
      </c>
      <c r="M37" t="str">
        <f>VLOOKUP(C37,Model!C$2:G$226,4,FALSE)</f>
        <v>Code_20</v>
      </c>
      <c r="N37" t="str">
        <f>VLOOKUP(C37,Model!C$2:G$226,5,FALSE)</f>
        <v>VARCHAR2(20)</v>
      </c>
      <c r="O37" t="b">
        <f t="shared" si="1"/>
        <v>1</v>
      </c>
    </row>
    <row r="38" spans="1:15" ht="86.4">
      <c r="A38" t="s">
        <v>2385</v>
      </c>
      <c r="C38" t="str">
        <f>'Table-View'!A49&amp;IF(L57="Remove","_________________del","")</f>
        <v>Offset Arrangement Settlement Type Description</v>
      </c>
      <c r="D38" t="str">
        <f>'Table-View'!B49</f>
        <v>OFST_AR_SETL_TP_DSC</v>
      </c>
      <c r="E38" t="s">
        <v>2406</v>
      </c>
      <c r="F38" t="s">
        <v>10</v>
      </c>
      <c r="G38" s="2" t="str">
        <f>'Table-View'!H49</f>
        <v>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v>
      </c>
      <c r="H38" t="str">
        <f>IF('Table-View'!E49="No","NOT NULL","NULL")</f>
        <v>NULL</v>
      </c>
      <c r="J38" t="str">
        <f t="shared" si="0"/>
        <v>Name_100</v>
      </c>
      <c r="K38" t="s">
        <v>2404</v>
      </c>
      <c r="L38" t="str">
        <f>'Table-View'!J49</f>
        <v>Add</v>
      </c>
      <c r="M38" t="str">
        <f>VLOOKUP(C38,Model!C$2:G$226,4,FALSE)</f>
        <v>Name_100</v>
      </c>
      <c r="N38" t="str">
        <f>VLOOKUP(C38,Model!C$2:G$226,5,FALSE)</f>
        <v>VARCHAR2(100)</v>
      </c>
      <c r="O38" t="b">
        <f t="shared" si="1"/>
        <v>1</v>
      </c>
    </row>
    <row r="39" spans="1:15" ht="28.8">
      <c r="A39" t="s">
        <v>2385</v>
      </c>
      <c r="C39" t="str">
        <f>'Table-View'!A50&amp;IF(L58="Remove","_________________del","")</f>
        <v>Arrangement Settlement Type Code</v>
      </c>
      <c r="D39" t="str">
        <f>'Table-View'!B50</f>
        <v>AR_SETL_TP_CD</v>
      </c>
      <c r="E39" t="s">
        <v>2409</v>
      </c>
      <c r="F39" t="s">
        <v>10</v>
      </c>
      <c r="G39" s="2" t="str">
        <f>'Table-View'!H50</f>
        <v>A code that identifies how an arrangement settles its security transactions.</v>
      </c>
      <c r="H39" t="str">
        <f>IF('Table-View'!E50="No","NOT NULL","NULL")</f>
        <v>NULL</v>
      </c>
      <c r="J39" t="str">
        <f t="shared" si="0"/>
        <v>Code_20</v>
      </c>
      <c r="K39" t="s">
        <v>2404</v>
      </c>
      <c r="L39" t="str">
        <f>'Table-View'!J50</f>
        <v>Add</v>
      </c>
      <c r="M39" t="str">
        <f>VLOOKUP(C39,Model!C$2:G$226,4,FALSE)</f>
        <v>Code_20</v>
      </c>
      <c r="N39" t="str">
        <f>VLOOKUP(C39,Model!C$2:G$226,5,FALSE)</f>
        <v>VARCHAR2(20)</v>
      </c>
      <c r="O39" t="b">
        <f t="shared" si="1"/>
        <v>1</v>
      </c>
    </row>
    <row r="40" spans="1:15" ht="28.8">
      <c r="A40" t="s">
        <v>2385</v>
      </c>
      <c r="C40" t="str">
        <f>'Table-View'!A51&amp;IF(L59="Remove","_________________del","")</f>
        <v>Arrangement Settlement Type Description</v>
      </c>
      <c r="D40" t="str">
        <f>'Table-View'!B51</f>
        <v>AR_SETL_TP_DSC</v>
      </c>
      <c r="E40" t="s">
        <v>2406</v>
      </c>
      <c r="F40" t="s">
        <v>10</v>
      </c>
      <c r="G40" s="2" t="str">
        <f>'Table-View'!H51</f>
        <v>A description that identifies how an arrangement settles its security transactions.</v>
      </c>
      <c r="H40" t="str">
        <f>IF('Table-View'!E51="No","NOT NULL","NULL")</f>
        <v>NULL</v>
      </c>
      <c r="J40" t="str">
        <f t="shared" si="0"/>
        <v>Name_100</v>
      </c>
      <c r="K40" t="s">
        <v>2404</v>
      </c>
      <c r="L40" t="str">
        <f>'Table-View'!J51</f>
        <v>Add</v>
      </c>
      <c r="M40" t="str">
        <f>VLOOKUP(C40,Model!C$2:G$226,4,FALSE)</f>
        <v>Name_100</v>
      </c>
      <c r="N40" t="str">
        <f>VLOOKUP(C40,Model!C$2:G$226,5,FALSE)</f>
        <v>VARCHAR2(100)</v>
      </c>
      <c r="O40" t="b">
        <f t="shared" si="1"/>
        <v>1</v>
      </c>
    </row>
    <row r="41" spans="1:15" ht="43.2">
      <c r="A41" t="s">
        <v>2385</v>
      </c>
      <c r="C41" t="str">
        <f>'Table-View'!A52&amp;IF(L60="Remove","_________________del","")</f>
        <v>Originating Source System Arrangement Id</v>
      </c>
      <c r="D41" t="str">
        <f>'Table-View'!B52</f>
        <v>ORIG_SRC_STM_AR_ID</v>
      </c>
      <c r="E41" t="s">
        <v>2403</v>
      </c>
      <c r="F41" t="s">
        <v>10</v>
      </c>
      <c r="G41" s="2" t="str">
        <f>'Table-View'!H52</f>
        <v>Contains the account number/contract number from the original source system provider - e.g., SIS Account number for brokerage accounts</v>
      </c>
      <c r="H41" t="str">
        <f>IF('Table-View'!E52="No","NOT NULL","NULL")</f>
        <v>NULL</v>
      </c>
      <c r="J41" t="str">
        <f t="shared" si="0"/>
        <v>Code_50</v>
      </c>
      <c r="K41" t="s">
        <v>2404</v>
      </c>
      <c r="L41" t="str">
        <f>'Table-View'!J52</f>
        <v>Add</v>
      </c>
      <c r="M41" t="str">
        <f>VLOOKUP(C41,Model!C$2:G$226,4,FALSE)</f>
        <v>Code_50</v>
      </c>
      <c r="N41" t="str">
        <f>VLOOKUP(C41,Model!C$2:G$226,5,FALSE)</f>
        <v>VARCHAR2(50)</v>
      </c>
      <c r="O41" t="b">
        <f t="shared" si="1"/>
        <v>1</v>
      </c>
    </row>
    <row r="42" spans="1:15" ht="28.8">
      <c r="A42" t="s">
        <v>2385</v>
      </c>
      <c r="C42" t="str">
        <f>'Table-View'!A53&amp;IF(L61="Remove","_________________del","")</f>
        <v>Trade Date Dimension Id</v>
      </c>
      <c r="D42" t="str">
        <f>'Table-View'!B53</f>
        <v>TD_DIM_ID</v>
      </c>
      <c r="E42" t="s">
        <v>133</v>
      </c>
      <c r="F42" t="s">
        <v>10</v>
      </c>
      <c r="G42" s="2" t="str">
        <f>'Table-View'!H53</f>
        <v>Synthetic Key identifying a single date in the DATE Dimension, based on Trade date</v>
      </c>
      <c r="H42" t="str">
        <f>IF('Table-View'!E53="No","NOT NULL","NULL")</f>
        <v>NOT NULL</v>
      </c>
      <c r="J42" t="e">
        <f t="shared" si="0"/>
        <v>#N/A</v>
      </c>
      <c r="K42" t="s">
        <v>2404</v>
      </c>
      <c r="L42" t="str">
        <f>'Table-View'!J53</f>
        <v>Existing</v>
      </c>
      <c r="M42" t="e">
        <f>VLOOKUP(C42,Model!C$2:G$226,4,FALSE)</f>
        <v>#N/A</v>
      </c>
      <c r="N42" t="e">
        <f>VLOOKUP(C42,Model!C$2:G$226,5,FALSE)</f>
        <v>#N/A</v>
      </c>
      <c r="O42" t="e">
        <f t="shared" si="1"/>
        <v>#N/A</v>
      </c>
    </row>
    <row r="43" spans="1:15" ht="28.8">
      <c r="A43" t="s">
        <v>2385</v>
      </c>
      <c r="C43" t="str">
        <f>'Table-View'!A54&amp;IF(L62="Remove","_________________del","")</f>
        <v>Exchange Dimension Id</v>
      </c>
      <c r="D43" t="str">
        <f>'Table-View'!B54</f>
        <v>EXG_DIM_ID</v>
      </c>
      <c r="E43" t="s">
        <v>133</v>
      </c>
      <c r="F43" t="s">
        <v>10</v>
      </c>
      <c r="G43" s="2" t="str">
        <f>'Table-View'!H54</f>
        <v>Surrogate key for Exchange Dim - The exchange that the transaction was conducted on</v>
      </c>
      <c r="H43" t="str">
        <f>IF('Table-View'!E54="No","NOT NULL","NULL")</f>
        <v>NOT NULL</v>
      </c>
      <c r="J43" t="str">
        <f t="shared" si="0"/>
        <v>NINI_NOT_NULL</v>
      </c>
      <c r="K43" t="s">
        <v>2404</v>
      </c>
      <c r="L43" t="str">
        <f>'Table-View'!J54</f>
        <v>Existing</v>
      </c>
      <c r="M43" t="str">
        <f>VLOOKUP(C43,Model!C$2:G$226,4,FALSE)</f>
        <v>NINI_NOT_NULL</v>
      </c>
      <c r="N43" t="str">
        <f>VLOOKUP(C43,Model!C$2:G$226,5,FALSE)</f>
        <v>NUMBER(38,0)</v>
      </c>
      <c r="O43" t="b">
        <f t="shared" si="1"/>
        <v>1</v>
      </c>
    </row>
    <row r="44" spans="1:15">
      <c r="A44" t="s">
        <v>2385</v>
      </c>
      <c r="C44" t="str">
        <f>'Table-View'!A55&amp;IF(L63="Remove","_________________del","")</f>
        <v>Accounting Type Code</v>
      </c>
      <c r="D44" t="str">
        <f>'Table-View'!B55</f>
        <v>ACG_TP_CD</v>
      </c>
      <c r="E44" t="s">
        <v>2405</v>
      </c>
      <c r="F44" t="s">
        <v>10</v>
      </c>
      <c r="G44" s="2" t="str">
        <f>'Table-View'!H55</f>
        <v>Accounting type code from SIS (e.g., 1,2)</v>
      </c>
      <c r="H44" t="str">
        <f>IF('Table-View'!E55="No","NOT NULL","NULL")</f>
        <v>NULL</v>
      </c>
      <c r="J44" t="str">
        <f t="shared" si="0"/>
        <v>Code_01</v>
      </c>
      <c r="K44" t="s">
        <v>2404</v>
      </c>
      <c r="L44" t="str">
        <f>'Table-View'!J55</f>
        <v>Existing</v>
      </c>
      <c r="M44" t="str">
        <f>VLOOKUP(C44,Model!C$2:G$226,4,FALSE)</f>
        <v>Code_01</v>
      </c>
      <c r="N44" t="str">
        <f>VLOOKUP(C44,Model!C$2:G$226,5,FALSE)</f>
        <v>VARCHAR2(1)</v>
      </c>
      <c r="O44" t="b">
        <f t="shared" si="1"/>
        <v>1</v>
      </c>
    </row>
    <row r="45" spans="1:15">
      <c r="A45" t="s">
        <v>2385</v>
      </c>
      <c r="C45" t="str">
        <f>'Table-View'!A56&amp;IF(L64="Remove","_________________del","")</f>
        <v>Accounting Type Dimension Id</v>
      </c>
      <c r="D45" t="str">
        <f>'Table-View'!B56</f>
        <v>ACG_TP_DIM_ID</v>
      </c>
      <c r="E45" t="s">
        <v>133</v>
      </c>
      <c r="F45" t="s">
        <v>10</v>
      </c>
      <c r="G45" s="2" t="str">
        <f>'Table-View'!H56</f>
        <v>Surrogate key for SIS Accounting Dimension</v>
      </c>
      <c r="H45" t="str">
        <f>IF('Table-View'!E56="No","NOT NULL","NULL")</f>
        <v>NOT NULL</v>
      </c>
      <c r="J45" t="str">
        <f t="shared" si="0"/>
        <v>NINI_NOT_NULL</v>
      </c>
      <c r="K45" t="s">
        <v>2404</v>
      </c>
      <c r="L45" t="str">
        <f>'Table-View'!J56</f>
        <v>Existing</v>
      </c>
      <c r="M45" t="str">
        <f>VLOOKUP(C45,Model!C$2:G$226,4,FALSE)</f>
        <v>NINI_NOT_NULL</v>
      </c>
      <c r="N45" t="str">
        <f>VLOOKUP(C45,Model!C$2:G$226,5,FALSE)</f>
        <v>NUMBER(38,0)</v>
      </c>
      <c r="O45" t="b">
        <f t="shared" si="1"/>
        <v>1</v>
      </c>
    </row>
    <row r="46" spans="1:15" ht="28.8">
      <c r="A46" t="s">
        <v>2385</v>
      </c>
      <c r="C46" t="str">
        <f>'Table-View'!A57&amp;IF(L65="Remove","_________________del","")</f>
        <v>Accounting Type Name</v>
      </c>
      <c r="D46" t="str">
        <f>'Table-View'!B57</f>
        <v>ACG_TP_NM</v>
      </c>
      <c r="E46" t="s">
        <v>2417</v>
      </c>
      <c r="F46" t="s">
        <v>10</v>
      </c>
      <c r="G46" s="2" t="str">
        <f>'Table-View'!H57</f>
        <v>It is the Sub Account associated with the position identifying the regulatory needs of the position. (e.g., cash account,margin account)</v>
      </c>
      <c r="H46" t="str">
        <f>IF('Table-View'!E57="No","NOT NULL","NULL")</f>
        <v>NULL</v>
      </c>
      <c r="J46" t="str">
        <f t="shared" si="0"/>
        <v>Name_30</v>
      </c>
      <c r="K46" t="s">
        <v>2404</v>
      </c>
      <c r="L46" t="str">
        <f>'Table-View'!J57</f>
        <v>Existing</v>
      </c>
      <c r="M46" t="str">
        <f>VLOOKUP(C46,Model!C$2:G$226,4,FALSE)</f>
        <v>Name_30</v>
      </c>
      <c r="N46" t="str">
        <f>VLOOKUP(C46,Model!C$2:G$226,5,FALSE)</f>
        <v>VARCHAR2(30)</v>
      </c>
      <c r="O46" t="b">
        <f t="shared" si="1"/>
        <v>1</v>
      </c>
    </row>
    <row r="47" spans="1:15">
      <c r="A47" t="s">
        <v>2385</v>
      </c>
      <c r="C47" t="str">
        <f>'Table-View'!A58&amp;IF(L66="Remove","_________________del","")</f>
        <v>Accounting Type Id</v>
      </c>
      <c r="D47" t="str">
        <f>'Table-View'!B58</f>
        <v>ACG_TP_ID</v>
      </c>
      <c r="E47" t="s">
        <v>133</v>
      </c>
      <c r="F47" t="s">
        <v>10</v>
      </c>
      <c r="G47" s="2" t="str">
        <f>'Table-View'!H58</f>
        <v>Numeric identifier of the accounting type ID (e.g., 1006, 1001)</v>
      </c>
      <c r="H47" t="str">
        <f>IF('Table-View'!E58="No","NOT NULL","NULL")</f>
        <v>NULL</v>
      </c>
      <c r="J47" t="str">
        <f t="shared" si="0"/>
        <v>NINI</v>
      </c>
      <c r="K47" t="s">
        <v>2404</v>
      </c>
      <c r="L47" t="str">
        <f>'Table-View'!J58</f>
        <v>Add</v>
      </c>
      <c r="M47" t="str">
        <f>VLOOKUP(C47,Model!C$2:G$226,4,FALSE)</f>
        <v>NINI</v>
      </c>
      <c r="N47" t="str">
        <f>VLOOKUP(C47,Model!C$2:G$226,5,FALSE)</f>
        <v>NUMBER(38,0)</v>
      </c>
      <c r="O47" t="b">
        <f t="shared" si="1"/>
        <v>1</v>
      </c>
    </row>
    <row r="48" spans="1:15">
      <c r="A48" t="s">
        <v>2385</v>
      </c>
      <c r="C48" t="str">
        <f>'Table-View'!A59&amp;IF(L67="Remove","_________________del","")</f>
        <v>Active Flag</v>
      </c>
      <c r="D48" t="str">
        <f>'Table-View'!B59</f>
        <v>ACTV_F</v>
      </c>
      <c r="E48" t="s">
        <v>2405</v>
      </c>
      <c r="F48" t="s">
        <v>10</v>
      </c>
      <c r="G48" s="2" t="str">
        <f>'Table-View'!H59</f>
        <v>Indicates that the row is active</v>
      </c>
      <c r="H48" t="str">
        <f>IF('Table-View'!E59="No","NOT NULL","NULL")</f>
        <v>NOT NULL</v>
      </c>
      <c r="J48" t="str">
        <f t="shared" si="0"/>
        <v>Flag</v>
      </c>
      <c r="K48" t="s">
        <v>2404</v>
      </c>
      <c r="L48" t="str">
        <f>'Table-View'!J59</f>
        <v>Update</v>
      </c>
      <c r="M48" t="str">
        <f>VLOOKUP(C48,Model!C$2:G$226,4,FALSE)</f>
        <v>Flag</v>
      </c>
      <c r="N48" t="str">
        <f>VLOOKUP(C48,Model!C$2:G$226,5,FALSE)</f>
        <v>VARCHAR2(1)</v>
      </c>
      <c r="O48" t="b">
        <f t="shared" si="1"/>
        <v>1</v>
      </c>
    </row>
    <row r="49" spans="1:15">
      <c r="A49" t="s">
        <v>2385</v>
      </c>
      <c r="C49" t="str">
        <f>'Table-View'!A60&amp;IF(L68="Remove","_________________del","")</f>
        <v>Aggregate Original Fees</v>
      </c>
      <c r="D49" t="str">
        <f>'Table-View'!B60</f>
        <v>AGRT_ORIG_FEES</v>
      </c>
      <c r="E49" t="s">
        <v>2418</v>
      </c>
      <c r="F49" t="s">
        <v>10</v>
      </c>
      <c r="G49" s="2" t="str">
        <f>'Table-View'!H60</f>
        <v>**Deprecated field. Not supported anymore.**</v>
      </c>
      <c r="H49" t="str">
        <f>IF('Table-View'!E60="No","NOT NULL","NULL")</f>
        <v>NULL</v>
      </c>
      <c r="J49" t="s">
        <v>2419</v>
      </c>
      <c r="K49" t="s">
        <v>2404</v>
      </c>
      <c r="L49" t="str">
        <f>'Table-View'!J60</f>
        <v>Remove
Restore</v>
      </c>
      <c r="M49" t="str">
        <f>VLOOKUP(C49,Model!C$2:G$226,4,FALSE)</f>
        <v>Number Number</v>
      </c>
      <c r="N49" t="str">
        <f>VLOOKUP(C49,Model!C$2:G$226,5,FALSE)</f>
        <v>NUMBER(0,0)</v>
      </c>
      <c r="O49" t="b">
        <f t="shared" si="1"/>
        <v>0</v>
      </c>
    </row>
    <row r="50" spans="1:15">
      <c r="A50" t="s">
        <v>2385</v>
      </c>
      <c r="C50" t="str">
        <f>'Table-View'!A61&amp;IF(L69="Remove","_________________del","")</f>
        <v>Aggregate Statement Fees</v>
      </c>
      <c r="D50" t="str">
        <f>'Table-View'!B61</f>
        <v>AGRT_STMT_FEES</v>
      </c>
      <c r="E50" t="s">
        <v>2418</v>
      </c>
      <c r="F50" t="s">
        <v>10</v>
      </c>
      <c r="G50" s="2" t="str">
        <f>'Table-View'!H61</f>
        <v>**Deprecated field. Not supported anymore.**</v>
      </c>
      <c r="H50" t="str">
        <f>IF('Table-View'!E61="No","NOT NULL","NULL")</f>
        <v>NULL</v>
      </c>
      <c r="J50" t="s">
        <v>2419</v>
      </c>
      <c r="K50" t="s">
        <v>2404</v>
      </c>
      <c r="L50" t="str">
        <f>'Table-View'!J61</f>
        <v>Remove
Restore</v>
      </c>
      <c r="M50" t="str">
        <f>VLOOKUP(C50,Model!C$2:G$226,4,FALSE)</f>
        <v>Number Number</v>
      </c>
      <c r="N50" t="str">
        <f>VLOOKUP(C50,Model!C$2:G$226,5,FALSE)</f>
        <v>NUMBER(0,0)</v>
      </c>
      <c r="O50" t="b">
        <f t="shared" si="1"/>
        <v>0</v>
      </c>
    </row>
    <row r="51" spans="1:15">
      <c r="A51" t="s">
        <v>2385</v>
      </c>
      <c r="C51" t="str">
        <f>'Table-View'!A62&amp;IF(L70="Remove","_________________del","")</f>
        <v>Arrangement Id</v>
      </c>
      <c r="D51" t="str">
        <f>'Table-View'!B62</f>
        <v>AR_ID</v>
      </c>
      <c r="E51" t="s">
        <v>133</v>
      </c>
      <c r="F51" t="s">
        <v>10</v>
      </c>
      <c r="G51" s="2" t="str">
        <f>'Table-View'!H62</f>
        <v>Arrangement Id of the Arrangement this APA belongs to.</v>
      </c>
      <c r="H51" t="str">
        <f>IF('Table-View'!E62="No","NOT NULL","NULL")</f>
        <v>NULL</v>
      </c>
      <c r="J51" t="str">
        <f t="shared" si="0"/>
        <v>NINI</v>
      </c>
      <c r="K51" t="s">
        <v>2404</v>
      </c>
      <c r="L51" t="str">
        <f>'Table-View'!J62</f>
        <v>Existing</v>
      </c>
      <c r="M51" t="str">
        <f>VLOOKUP(C51,Model!C$2:G$226,4,FALSE)</f>
        <v>NINI</v>
      </c>
      <c r="N51" t="str">
        <f>VLOOKUP(C51,Model!C$2:G$226,5,FALSE)</f>
        <v>NUMBER(38,0)</v>
      </c>
      <c r="O51" t="b">
        <f t="shared" si="1"/>
        <v>1</v>
      </c>
    </row>
    <row r="52" spans="1:15">
      <c r="A52" t="s">
        <v>2385</v>
      </c>
      <c r="C52" t="str">
        <f>'Table-View'!A63&amp;IF(L71="Remove","_________________del","")</f>
        <v>Batch Date</v>
      </c>
      <c r="D52" t="str">
        <f>'Table-View'!B63</f>
        <v>BATCH_DT</v>
      </c>
      <c r="E52" t="s">
        <v>157</v>
      </c>
      <c r="F52" t="s">
        <v>10</v>
      </c>
      <c r="G52" s="2" t="str">
        <f>'Table-View'!H63</f>
        <v>Business Date for the Load run of the Activity Asset Packager row</v>
      </c>
      <c r="H52" t="str">
        <f>IF('Table-View'!E63="No","NOT NULL","NULL")</f>
        <v>NULL</v>
      </c>
      <c r="J52" t="str">
        <f t="shared" si="0"/>
        <v>Date</v>
      </c>
      <c r="K52" t="s">
        <v>2404</v>
      </c>
      <c r="L52" t="str">
        <f>'Table-View'!J63</f>
        <v>Existing</v>
      </c>
      <c r="M52" t="str">
        <f>VLOOKUP(C52,Model!C$2:G$226,4,FALSE)</f>
        <v>Date</v>
      </c>
      <c r="N52" t="str">
        <f>VLOOKUP(C52,Model!C$2:G$226,5,FALSE)</f>
        <v>DATE</v>
      </c>
      <c r="O52" t="b">
        <f t="shared" si="1"/>
        <v>1</v>
      </c>
    </row>
    <row r="53" spans="1:15" ht="28.8">
      <c r="A53" t="s">
        <v>2385</v>
      </c>
      <c r="C53" t="str">
        <f>'Table-View'!A64&amp;IF(L72="Remove","_________________del","")</f>
        <v>Booking Date</v>
      </c>
      <c r="D53" t="str">
        <f>'Table-View'!B64</f>
        <v>BKG_DT</v>
      </c>
      <c r="E53" t="s">
        <v>157</v>
      </c>
      <c r="F53" t="s">
        <v>10</v>
      </c>
      <c r="G53" s="2" t="str">
        <f>'Table-View'!H64</f>
        <v>System generated Date Time stamp when the record was created.  In SIS would be represented by Effective Date.</v>
      </c>
      <c r="H53" t="str">
        <f>IF('Table-View'!E64="No","NOT NULL","NULL")</f>
        <v>NULL</v>
      </c>
      <c r="J53" t="str">
        <f t="shared" si="0"/>
        <v>Date</v>
      </c>
      <c r="K53" t="s">
        <v>2404</v>
      </c>
      <c r="L53" t="str">
        <f>'Table-View'!J64</f>
        <v>Existing</v>
      </c>
      <c r="M53" t="str">
        <f>VLOOKUP(C53,Model!C$2:G$226,4,FALSE)</f>
        <v>Date</v>
      </c>
      <c r="N53" t="str">
        <f>VLOOKUP(C53,Model!C$2:G$226,5,FALSE)</f>
        <v>DATE</v>
      </c>
      <c r="O53" t="b">
        <f t="shared" si="1"/>
        <v>1</v>
      </c>
    </row>
    <row r="54" spans="1:15">
      <c r="A54" t="s">
        <v>2385</v>
      </c>
      <c r="C54" t="str">
        <f>'Table-View'!A65&amp;IF(L73="Remove","_________________del","")</f>
        <v>Branch Code</v>
      </c>
      <c r="D54" t="str">
        <f>'Table-View'!B65</f>
        <v>BR_CD</v>
      </c>
      <c r="E54" t="s">
        <v>2409</v>
      </c>
      <c r="F54" t="s">
        <v>10</v>
      </c>
      <c r="G54" s="2" t="str">
        <f>'Table-View'!H65</f>
        <v>Entity Code of the Financial Advisor that is executing the trade.</v>
      </c>
      <c r="H54" t="str">
        <f>IF('Table-View'!E65="No","NOT NULL","NULL")</f>
        <v>NULL</v>
      </c>
      <c r="J54" t="str">
        <f t="shared" si="0"/>
        <v>Code_20</v>
      </c>
      <c r="K54" t="s">
        <v>2404</v>
      </c>
      <c r="L54" t="str">
        <f>'Table-View'!J65</f>
        <v>Existing</v>
      </c>
      <c r="M54" t="str">
        <f>VLOOKUP(C54,Model!C$2:G$226,4,FALSE)</f>
        <v>Code_20</v>
      </c>
      <c r="N54" t="str">
        <f>VLOOKUP(C54,Model!C$2:G$226,5,FALSE)</f>
        <v>VARCHAR2(20)</v>
      </c>
      <c r="O54" t="b">
        <f t="shared" si="1"/>
        <v>1</v>
      </c>
    </row>
    <row r="55" spans="1:15" ht="43.2">
      <c r="A55" t="s">
        <v>2385</v>
      </c>
      <c r="C55" t="str">
        <f>'Table-View'!A66&amp;IF(L74="Remove","_________________del","")</f>
        <v>Brokerage Arrangement Id</v>
      </c>
      <c r="D55" t="str">
        <f>'Table-View'!B66</f>
        <v>BKR_AR_ID</v>
      </c>
      <c r="E55" t="s">
        <v>133</v>
      </c>
      <c r="F55" t="s">
        <v>10</v>
      </c>
      <c r="G55" s="2" t="str">
        <f>'Table-View'!H66</f>
        <v>Brokerage arrangement associated with the Arrangement id. If the transaction is for a brokerage arrangement than both will have same value.</v>
      </c>
      <c r="H55" t="str">
        <f>IF('Table-View'!E66="No","NOT NULL","NULL")</f>
        <v>NULL</v>
      </c>
      <c r="J55" t="str">
        <f t="shared" si="0"/>
        <v>NINI</v>
      </c>
      <c r="K55" t="s">
        <v>2404</v>
      </c>
      <c r="L55" t="str">
        <f>'Table-View'!J66</f>
        <v>Existing</v>
      </c>
      <c r="M55" t="str">
        <f>VLOOKUP(C55,Model!C$2:G$226,4,FALSE)</f>
        <v>NINI</v>
      </c>
      <c r="N55" t="str">
        <f>VLOOKUP(C55,Model!C$2:G$226,5,FALSE)</f>
        <v>NUMBER(38,0)</v>
      </c>
      <c r="O55" t="b">
        <f t="shared" si="1"/>
        <v>1</v>
      </c>
    </row>
    <row r="56" spans="1:15">
      <c r="A56" t="s">
        <v>2385</v>
      </c>
      <c r="C56" t="str">
        <f>'Table-View'!A67&amp;IF(L75="Remove","_________________del","")</f>
        <v>Buy Sell Indicator</v>
      </c>
      <c r="D56" t="str">
        <f>'Table-View'!B67</f>
        <v>BUY_SELL_IND</v>
      </c>
      <c r="E56" t="s">
        <v>2420</v>
      </c>
      <c r="F56" t="s">
        <v>10</v>
      </c>
      <c r="G56" s="2" t="str">
        <f>'Table-View'!H67</f>
        <v>Indicator to determine whether the transaction is a sale or a purchase</v>
      </c>
      <c r="H56" t="str">
        <f>IF('Table-View'!E67="No","NOT NULL","NULL")</f>
        <v>NULL</v>
      </c>
      <c r="J56" t="str">
        <f t="shared" si="0"/>
        <v>Code_10</v>
      </c>
      <c r="K56" t="s">
        <v>2404</v>
      </c>
      <c r="L56" t="str">
        <f>'Table-View'!J67</f>
        <v>Existing</v>
      </c>
      <c r="M56" t="str">
        <f>VLOOKUP(C56,Model!C$2:G$226,4,FALSE)</f>
        <v>Code_10</v>
      </c>
      <c r="N56" t="str">
        <f>VLOOKUP(C56,Model!C$2:G$226,5,FALSE)</f>
        <v>VARCHAR2(10)</v>
      </c>
      <c r="O56" t="b">
        <f t="shared" si="1"/>
        <v>1</v>
      </c>
    </row>
    <row r="57" spans="1:15" ht="57.6">
      <c r="A57" t="s">
        <v>2385</v>
      </c>
      <c r="C57" t="str">
        <f>'Table-View'!A68&amp;IF(L76="Remove","_________________del","")</f>
        <v>Cash Activity Category</v>
      </c>
      <c r="D57" t="str">
        <f>'Table-View'!B68</f>
        <v>CASH_AVY_CGY</v>
      </c>
      <c r="E57" t="s">
        <v>2421</v>
      </c>
      <c r="F57" t="s">
        <v>10</v>
      </c>
      <c r="G57" s="2" t="str">
        <f>'Table-View'!H68</f>
        <v>Represents the specific Category of activity such as a 'Purchase' or 'Income'. Further refinement of the categories are captured under Activity Type.
This field will be populated only if the transaction has a Cash leg.</v>
      </c>
      <c r="H57" t="str">
        <f>IF('Table-View'!E68="No","NOT NULL","NULL")</f>
        <v>NULL</v>
      </c>
      <c r="J57" t="str">
        <f t="shared" si="0"/>
        <v>Name_25</v>
      </c>
      <c r="K57" t="s">
        <v>2404</v>
      </c>
      <c r="L57" t="str">
        <f>'Table-View'!J68</f>
        <v>Update</v>
      </c>
      <c r="M57" t="str">
        <f>VLOOKUP(C57,Model!C$2:G$226,4,FALSE)</f>
        <v>Name_25</v>
      </c>
      <c r="N57" t="str">
        <f>VLOOKUP(C57,Model!C$2:G$226,5,FALSE)</f>
        <v>VARCHAR2(25)</v>
      </c>
      <c r="O57" t="b">
        <f t="shared" si="1"/>
        <v>1</v>
      </c>
    </row>
    <row r="58" spans="1:15" ht="43.2">
      <c r="A58" t="s">
        <v>2385</v>
      </c>
      <c r="C58" t="str">
        <f>'Table-View'!A69&amp;IF(L77="Remove","_________________del","")</f>
        <v>Cash Simplified Display Activity Category</v>
      </c>
      <c r="D58" t="str">
        <f>'Table-View'!B69</f>
        <v>CASH_SIMP_DSPL_AVY_CGY</v>
      </c>
      <c r="E58" t="s">
        <v>2421</v>
      </c>
      <c r="F58" t="s">
        <v>10</v>
      </c>
      <c r="G58" s="2" t="str">
        <f>'Table-View'!H69</f>
        <v>Simplified Display activity category shown to advisor in applications like client center.
This field will be populated only if the transaction has a Cash leg.</v>
      </c>
      <c r="H58" t="str">
        <f>IF('Table-View'!E69="No","NOT NULL","NULL")</f>
        <v>NULL</v>
      </c>
      <c r="J58" t="str">
        <f t="shared" si="0"/>
        <v>Name_25</v>
      </c>
      <c r="K58" t="s">
        <v>2404</v>
      </c>
      <c r="L58" t="str">
        <f>'Table-View'!J69</f>
        <v>Add</v>
      </c>
      <c r="M58" t="str">
        <f>VLOOKUP(C58,Model!C$2:G$226,4,FALSE)</f>
        <v>Name_25</v>
      </c>
      <c r="N58" t="str">
        <f>VLOOKUP(C58,Model!C$2:G$226,5,FALSE)</f>
        <v>VARCHAR2(25)</v>
      </c>
      <c r="O58" t="b">
        <f t="shared" si="1"/>
        <v>1</v>
      </c>
    </row>
    <row r="59" spans="1:15" ht="28.8">
      <c r="A59" t="s">
        <v>2385</v>
      </c>
      <c r="C59" t="str">
        <f>'Table-View'!A70&amp;IF(L78="Remove","_________________del","")</f>
        <v>Cash Activity Classification Id</v>
      </c>
      <c r="D59" t="str">
        <f>'Table-View'!B70</f>
        <v>CSH_AVY_CL_ID</v>
      </c>
      <c r="E59" t="s">
        <v>133</v>
      </c>
      <c r="F59" t="s">
        <v>10</v>
      </c>
      <c r="G59" s="2" t="str">
        <f>'Table-View'!H70</f>
        <v>CDS assigned identifier for the activity class.
This field will be populated only if the transaction has a Cash leg.</v>
      </c>
      <c r="H59" t="str">
        <f>IF('Table-View'!E70="No","NOT NULL","NULL")</f>
        <v>NULL</v>
      </c>
      <c r="J59" t="str">
        <f t="shared" si="0"/>
        <v>NINI</v>
      </c>
      <c r="K59" t="s">
        <v>2404</v>
      </c>
      <c r="L59" t="str">
        <f>'Table-View'!J70</f>
        <v>Existing</v>
      </c>
      <c r="M59" t="str">
        <f>VLOOKUP(C59,Model!C$2:G$226,4,FALSE)</f>
        <v>NINI</v>
      </c>
      <c r="N59" t="str">
        <f>VLOOKUP(C59,Model!C$2:G$226,5,FALSE)</f>
        <v>NUMBER(38,0)</v>
      </c>
      <c r="O59" t="b">
        <f t="shared" si="1"/>
        <v>1</v>
      </c>
    </row>
    <row r="60" spans="1:15" ht="28.8">
      <c r="A60" t="s">
        <v>2385</v>
      </c>
      <c r="C60" t="str">
        <f>'Table-View'!A71&amp;IF(L79="Remove","_________________del","")</f>
        <v>Cash Activity Type</v>
      </c>
      <c r="D60" t="str">
        <f>'Table-View'!B71</f>
        <v>CASH_AVY_TP</v>
      </c>
      <c r="E60" t="s">
        <v>2406</v>
      </c>
      <c r="F60" t="s">
        <v>10</v>
      </c>
      <c r="G60" s="2" t="str">
        <f>'Table-View'!H71</f>
        <v>Represents a more refined view of the Activity Category.
This field will be populated only if the transaction has a Cash leg.</v>
      </c>
      <c r="H60" t="str">
        <f>IF('Table-View'!E71="No","NOT NULL","NULL")</f>
        <v>NULL</v>
      </c>
      <c r="J60" t="str">
        <f t="shared" si="0"/>
        <v>Name_100</v>
      </c>
      <c r="K60" t="s">
        <v>2404</v>
      </c>
      <c r="L60" t="str">
        <f>'Table-View'!J71</f>
        <v>Existing</v>
      </c>
      <c r="M60" t="str">
        <f>VLOOKUP(C60,Model!C$2:G$226,4,FALSE)</f>
        <v>Name_100</v>
      </c>
      <c r="N60" t="str">
        <f>VLOOKUP(C60,Model!C$2:G$226,5,FALSE)</f>
        <v>VARCHAR2(100)</v>
      </c>
      <c r="O60" t="b">
        <f t="shared" si="1"/>
        <v>1</v>
      </c>
    </row>
    <row r="61" spans="1:15" ht="43.2">
      <c r="A61" t="s">
        <v>2385</v>
      </c>
      <c r="C61" t="str">
        <f>'Table-View'!A72&amp;IF(L80="Remove","_________________del","")</f>
        <v>Cash Simplified Display Activity Type</v>
      </c>
      <c r="D61" t="str">
        <f>'Table-View'!B72</f>
        <v>CASH_SIMP_DSPL_AVY_TP</v>
      </c>
      <c r="E61" t="s">
        <v>2406</v>
      </c>
      <c r="F61" t="s">
        <v>10</v>
      </c>
      <c r="G61" s="2" t="str">
        <f>'Table-View'!H72</f>
        <v>Simplified Display activity type shown to advisor in applications like client center.
This field will be populated only if the transaction has a Cash leg.</v>
      </c>
      <c r="H61" t="str">
        <f>IF('Table-View'!E72="No","NOT NULL","NULL")</f>
        <v>NULL</v>
      </c>
      <c r="J61" t="str">
        <f t="shared" si="0"/>
        <v>Name_100</v>
      </c>
      <c r="K61" t="s">
        <v>2404</v>
      </c>
      <c r="L61" t="str">
        <f>'Table-View'!J72</f>
        <v>Add</v>
      </c>
      <c r="M61" t="str">
        <f>VLOOKUP(C61,Model!C$2:G$226,4,FALSE)</f>
        <v>Name_100</v>
      </c>
      <c r="N61" t="str">
        <f>VLOOKUP(C61,Model!C$2:G$226,5,FALSE)</f>
        <v>VARCHAR2(100)</v>
      </c>
      <c r="O61" t="b">
        <f t="shared" si="1"/>
        <v>1</v>
      </c>
    </row>
    <row r="62" spans="1:15" ht="43.2">
      <c r="A62" t="s">
        <v>2385</v>
      </c>
      <c r="C62" t="str">
        <f>'Table-View'!A73&amp;IF(L81="Remove","_________________del","")</f>
        <v>Cash Alternate Description Trailer 2</v>
      </c>
      <c r="D62" t="str">
        <f>'Table-View'!B73</f>
        <v>CASH_ALT_DSC_TRAILER_2</v>
      </c>
      <c r="E62" t="s">
        <v>2422</v>
      </c>
      <c r="F62" t="s">
        <v>10</v>
      </c>
      <c r="G62" s="2" t="str">
        <f>'Table-View'!H73</f>
        <v>Second line of unformatted, monolingual narrative booking information. SIS trailer field 2. 
This field will be populated only if the transaction has a Cash leg.</v>
      </c>
      <c r="H62" t="str">
        <f>IF('Table-View'!E73="No","NOT NULL","NULL")</f>
        <v>NULL</v>
      </c>
      <c r="J62" t="str">
        <f t="shared" si="0"/>
        <v>Name_256</v>
      </c>
      <c r="K62" t="s">
        <v>2404</v>
      </c>
      <c r="L62" t="str">
        <f>'Table-View'!J73</f>
        <v>Existing</v>
      </c>
      <c r="M62" t="str">
        <f>VLOOKUP(C62,Model!C$2:G$226,4,FALSE)</f>
        <v>Name_256</v>
      </c>
      <c r="N62" t="str">
        <f>VLOOKUP(C62,Model!C$2:G$226,5,FALSE)</f>
        <v>VARCHAR2(256)</v>
      </c>
      <c r="O62" t="b">
        <f t="shared" si="1"/>
        <v>1</v>
      </c>
    </row>
    <row r="63" spans="1:15" ht="28.8">
      <c r="A63" t="s">
        <v>2385</v>
      </c>
      <c r="C63" t="str">
        <f>'Table-View'!A74&amp;IF(L82="Remove","_________________del","")</f>
        <v>Cash Asset Package External Qualifier</v>
      </c>
      <c r="D63" t="str">
        <f>'Table-View'!B74</f>
        <v>CASH_APA_EXT_QUALFR</v>
      </c>
      <c r="E63" t="s">
        <v>2403</v>
      </c>
      <c r="F63" t="s">
        <v>10</v>
      </c>
      <c r="G63" s="2" t="str">
        <f>'Table-View'!H74</f>
        <v>Qualifier code from the external source system.
This field will be populated only if the transaction has a Cash leg.</v>
      </c>
      <c r="H63" t="str">
        <f>IF('Table-View'!E74="No","NOT NULL","NULL")</f>
        <v>NULL</v>
      </c>
      <c r="J63" t="str">
        <f t="shared" si="0"/>
        <v>Code_50</v>
      </c>
      <c r="K63" t="s">
        <v>2404</v>
      </c>
      <c r="L63" t="str">
        <f>'Table-View'!J74</f>
        <v>Add</v>
      </c>
      <c r="M63" t="str">
        <f>VLOOKUP(C63,Model!C$2:G$226,4,FALSE)</f>
        <v>Code_50</v>
      </c>
      <c r="N63" t="str">
        <f>VLOOKUP(C63,Model!C$2:G$226,5,FALSE)</f>
        <v>VARCHAR2(50)</v>
      </c>
      <c r="O63" t="b">
        <f t="shared" si="1"/>
        <v>1</v>
      </c>
    </row>
    <row r="64" spans="1:15" ht="43.2">
      <c r="A64" t="s">
        <v>2385</v>
      </c>
      <c r="C64" t="str">
        <f>'Table-View'!A75&amp;IF(L83="Remove","_________________del","")</f>
        <v>Cash Asset Package Id</v>
      </c>
      <c r="D64" t="str">
        <f>'Table-View'!B75</f>
        <v>CSH_APA_ID</v>
      </c>
      <c r="E64" t="s">
        <v>133</v>
      </c>
      <c r="F64" t="s">
        <v>10</v>
      </c>
      <c r="G64" s="2" t="str">
        <f>'Table-View'!H75</f>
        <v>APA_ID from CCAL APA table. It is recorded here for the purpose of maintaining a link with the source. 
This field will be populated only if the transaction has a Cash leg.</v>
      </c>
      <c r="H64" t="str">
        <f>IF('Table-View'!E75="No","NOT NULL","NULL")</f>
        <v>NULL</v>
      </c>
      <c r="J64" t="str">
        <f t="shared" si="0"/>
        <v>NINI</v>
      </c>
      <c r="K64" t="s">
        <v>2404</v>
      </c>
      <c r="L64" t="str">
        <f>'Table-View'!J75</f>
        <v>Existing</v>
      </c>
      <c r="M64" t="str">
        <f>VLOOKUP(C64,Model!C$2:G$226,4,FALSE)</f>
        <v>NINI</v>
      </c>
      <c r="N64" t="str">
        <f>VLOOKUP(C64,Model!C$2:G$226,5,FALSE)</f>
        <v>NUMBER(38,0)</v>
      </c>
      <c r="O64" t="b">
        <f t="shared" si="1"/>
        <v>1</v>
      </c>
    </row>
    <row r="65" spans="1:15" ht="28.8">
      <c r="A65" t="s">
        <v>2385</v>
      </c>
      <c r="C65" t="str">
        <f>'Table-View'!A76&amp;IF(L84="Remove","_________________del","")</f>
        <v>Cash Asset Package Type Code</v>
      </c>
      <c r="D65" t="str">
        <f>'Table-View'!B76</f>
        <v>CASH_APA_TP_CD</v>
      </c>
      <c r="E65" t="s">
        <v>2409</v>
      </c>
      <c r="F65" t="s">
        <v>10</v>
      </c>
      <c r="G65" s="2" t="str">
        <f>'Table-View'!H76</f>
        <v>Code associated with Asset Package Type Id.
This field will be populated only if the transaction has a Cash leg.</v>
      </c>
      <c r="H65" t="str">
        <f>IF('Table-View'!E76="No","NOT NULL","NULL")</f>
        <v>NULL</v>
      </c>
      <c r="J65" t="str">
        <f t="shared" si="0"/>
        <v>Code_20</v>
      </c>
      <c r="K65" t="s">
        <v>2404</v>
      </c>
      <c r="L65" t="str">
        <f>'Table-View'!J76</f>
        <v>Existing</v>
      </c>
      <c r="M65" t="str">
        <f>VLOOKUP(C65,Model!C$2:G$226,4,FALSE)</f>
        <v>Code_20</v>
      </c>
      <c r="N65" t="str">
        <f>VLOOKUP(C65,Model!C$2:G$226,5,FALSE)</f>
        <v>VARCHAR2(20)</v>
      </c>
      <c r="O65" t="b">
        <f t="shared" si="1"/>
        <v>1</v>
      </c>
    </row>
    <row r="66" spans="1:15" ht="28.8">
      <c r="A66" t="s">
        <v>2385</v>
      </c>
      <c r="C66" t="str">
        <f>'Table-View'!A77&amp;IF(L85="Remove","_________________del","")</f>
        <v>Cash Asset Package Type Description</v>
      </c>
      <c r="D66" t="str">
        <f>'Table-View'!B77</f>
        <v>CASH_APA_TP_DSC</v>
      </c>
      <c r="E66" t="s">
        <v>2423</v>
      </c>
      <c r="F66" t="s">
        <v>10</v>
      </c>
      <c r="G66" s="2" t="str">
        <f>'Table-View'!H77</f>
        <v>Description associated with Asset Package Type Id.
This field will be populated only if the transaction has a Cash leg.</v>
      </c>
      <c r="H66" t="str">
        <f>IF('Table-View'!E77="No","NOT NULL","NULL")</f>
        <v>NULL</v>
      </c>
      <c r="J66" t="str">
        <f t="shared" si="0"/>
        <v>Description_1000</v>
      </c>
      <c r="K66" t="s">
        <v>2404</v>
      </c>
      <c r="L66" t="str">
        <f>'Table-View'!J77</f>
        <v>Existing</v>
      </c>
      <c r="M66" t="str">
        <f>VLOOKUP(C66,Model!C$2:G$226,4,FALSE)</f>
        <v>Description_1000</v>
      </c>
      <c r="N66" t="str">
        <f>VLOOKUP(C66,Model!C$2:G$226,5,FALSE)</f>
        <v>VARCHAR2(1000)</v>
      </c>
      <c r="O66" t="b">
        <f t="shared" si="1"/>
        <v>1</v>
      </c>
    </row>
    <row r="67" spans="1:15" ht="28.8">
      <c r="A67" t="s">
        <v>2385</v>
      </c>
      <c r="C67" t="str">
        <f>'Table-View'!A78&amp;IF(L86="Remove","_________________del","")</f>
        <v>Cash Asset Package Type Id</v>
      </c>
      <c r="D67" t="str">
        <f>'Table-View'!B78</f>
        <v>CSH_APA_TP_ID</v>
      </c>
      <c r="E67" t="s">
        <v>133</v>
      </c>
      <c r="F67" t="s">
        <v>10</v>
      </c>
      <c r="G67" s="2" t="str">
        <f>'Table-View'!H78</f>
        <v>Asset Pacakge type Id from CCAL core.
This field will be populated only if the transaction has a Cash leg.</v>
      </c>
      <c r="H67" t="str">
        <f>IF('Table-View'!E78="No","NOT NULL","NULL")</f>
        <v>NULL</v>
      </c>
      <c r="J67" t="str">
        <f t="shared" ref="J67:J130" si="2">IF(O67,IF(M67=0,"",M67),"")</f>
        <v>NINI</v>
      </c>
      <c r="K67" t="s">
        <v>2404</v>
      </c>
      <c r="L67" t="str">
        <f>'Table-View'!J78</f>
        <v>Existing</v>
      </c>
      <c r="M67" t="str">
        <f>VLOOKUP(C67,Model!C$2:G$226,4,FALSE)</f>
        <v>NINI</v>
      </c>
      <c r="N67" t="str">
        <f>VLOOKUP(C67,Model!C$2:G$226,5,FALSE)</f>
        <v>NUMBER(38,0)</v>
      </c>
      <c r="O67" t="b">
        <f t="shared" ref="O67:O130" si="3">SUBSTITUTE(SUBSTITUTE(SUBSTITUTE(N67,"VARCHAR2(","VARCHAR("),"NUMBER(","NUMERIC("),"TIMESTAMP(6)","TIMESTAMP/DATE")=E67</f>
        <v>1</v>
      </c>
    </row>
    <row r="68" spans="1:15" ht="28.8">
      <c r="A68" t="s">
        <v>2385</v>
      </c>
      <c r="C68" t="str">
        <f>'Table-View'!A79&amp;IF(L87="Remove","_________________del","")</f>
        <v>Cash asset Package Type Name</v>
      </c>
      <c r="D68" t="str">
        <f>'Table-View'!B79</f>
        <v>CASH_APA_TP_NM</v>
      </c>
      <c r="E68" t="s">
        <v>2407</v>
      </c>
      <c r="F68" t="s">
        <v>10</v>
      </c>
      <c r="G68" s="2" t="str">
        <f>'Table-View'!H79</f>
        <v>Name of Asset Package Type Id.
This field will be populated only if the transaction has a Cash leg.</v>
      </c>
      <c r="H68" t="str">
        <f>IF('Table-View'!E79="No","NOT NULL","NULL")</f>
        <v>NULL</v>
      </c>
      <c r="J68" t="str">
        <f t="shared" si="2"/>
        <v>Name_200</v>
      </c>
      <c r="K68" t="s">
        <v>2404</v>
      </c>
      <c r="L68" t="str">
        <f>'Table-View'!J79</f>
        <v>Update</v>
      </c>
      <c r="M68" t="str">
        <f>VLOOKUP(C68,Model!C$2:G$226,4,FALSE)</f>
        <v>Name_200</v>
      </c>
      <c r="N68" t="str">
        <f>VLOOKUP(C68,Model!C$2:G$226,5,FALSE)</f>
        <v>VARCHAR2(200)</v>
      </c>
      <c r="O68" t="b">
        <f t="shared" si="3"/>
        <v>1</v>
      </c>
    </row>
    <row r="69" spans="1:15" ht="28.8">
      <c r="A69" t="s">
        <v>2385</v>
      </c>
      <c r="C69" t="str">
        <f>'Table-View'!A80&amp;IF(L88="Remove","_________________del","")</f>
        <v>Cash Cird Product Id</v>
      </c>
      <c r="D69" t="str">
        <f>'Table-View'!B80</f>
        <v>CASH_CIRD_PD_ID</v>
      </c>
      <c r="E69" t="s">
        <v>133</v>
      </c>
      <c r="F69" t="s">
        <v>10</v>
      </c>
      <c r="G69" s="2" t="str">
        <f>'Table-View'!H80</f>
        <v>CIRD identifier for product.
This field will be populated only if the transaction has a Cash leg.</v>
      </c>
      <c r="H69" t="str">
        <f>IF('Table-View'!E80="No","NOT NULL","NULL")</f>
        <v>NULL</v>
      </c>
      <c r="J69" t="str">
        <f t="shared" si="2"/>
        <v>NINI</v>
      </c>
      <c r="K69" t="s">
        <v>2404</v>
      </c>
      <c r="L69" t="str">
        <f>'Table-View'!J80</f>
        <v>Existing</v>
      </c>
      <c r="M69" t="str">
        <f>VLOOKUP(C69,Model!C$2:G$226,4,FALSE)</f>
        <v>NINI</v>
      </c>
      <c r="N69" t="str">
        <f>VLOOKUP(C69,Model!C$2:G$226,5,FALSE)</f>
        <v>NUMBER(38,0)</v>
      </c>
      <c r="O69" t="b">
        <f t="shared" si="3"/>
        <v>1</v>
      </c>
    </row>
    <row r="70" spans="1:15" ht="28.8">
      <c r="A70" t="s">
        <v>2385</v>
      </c>
      <c r="C70" t="str">
        <f>'Table-View'!A81&amp;IF(L89="Remove","_________________del","")</f>
        <v>Cash Debit Credit Code</v>
      </c>
      <c r="D70" t="str">
        <f>'Table-View'!B81</f>
        <v>CASH_DB_CR_CD</v>
      </c>
      <c r="E70" t="s">
        <v>2409</v>
      </c>
      <c r="F70" t="s">
        <v>10</v>
      </c>
      <c r="G70" s="2" t="str">
        <f>'Table-View'!H81</f>
        <v>A code representing Debit / Credit (e.g. D / C)
This field will be populated only if the transaction has a Cash leg.</v>
      </c>
      <c r="H70" t="str">
        <f>IF('Table-View'!E81="No","NOT NULL","NULL")</f>
        <v>NULL</v>
      </c>
      <c r="J70" t="str">
        <f t="shared" si="2"/>
        <v>Code_20</v>
      </c>
      <c r="K70" t="s">
        <v>2404</v>
      </c>
      <c r="L70" t="str">
        <f>'Table-View'!J81</f>
        <v>Update</v>
      </c>
      <c r="M70" t="str">
        <f>VLOOKUP(C70,Model!C$2:G$226,4,FALSE)</f>
        <v>Code_20</v>
      </c>
      <c r="N70" t="str">
        <f>VLOOKUP(C70,Model!C$2:G$226,5,FALSE)</f>
        <v>VARCHAR2(20)</v>
      </c>
      <c r="O70" t="b">
        <f t="shared" si="3"/>
        <v>1</v>
      </c>
    </row>
    <row r="71" spans="1:15" ht="28.8">
      <c r="A71" t="s">
        <v>2385</v>
      </c>
      <c r="C71" t="str">
        <f>'Table-View'!A82&amp;IF(L90="Remove","_________________del","")</f>
        <v>Cash Debit Credit Name</v>
      </c>
      <c r="D71" t="str">
        <f>'Table-View'!B82</f>
        <v>CASH_DB_CR_NM</v>
      </c>
      <c r="E71" t="s">
        <v>2406</v>
      </c>
      <c r="F71" t="s">
        <v>10</v>
      </c>
      <c r="G71" s="2" t="str">
        <f>'Table-View'!H82</f>
        <v>A Name representing Debit / Credit (e.g. Debit / Credit)
This field will be populated only if the transaction has a Cash leg.</v>
      </c>
      <c r="H71" t="str">
        <f>IF('Table-View'!E82="No","NOT NULL","NULL")</f>
        <v>NULL</v>
      </c>
      <c r="J71" t="str">
        <f t="shared" si="2"/>
        <v>Name_100</v>
      </c>
      <c r="K71" t="s">
        <v>2404</v>
      </c>
      <c r="L71" t="str">
        <f>'Table-View'!J82</f>
        <v>Update</v>
      </c>
      <c r="M71" t="str">
        <f>VLOOKUP(C71,Model!C$2:G$226,4,FALSE)</f>
        <v>Name_100</v>
      </c>
      <c r="N71" t="str">
        <f>VLOOKUP(C71,Model!C$2:G$226,5,FALSE)</f>
        <v>VARCHAR2(100)</v>
      </c>
      <c r="O71" t="b">
        <f t="shared" si="3"/>
        <v>1</v>
      </c>
    </row>
    <row r="72" spans="1:15" ht="43.2">
      <c r="A72" t="s">
        <v>2385</v>
      </c>
      <c r="C72" t="str">
        <f>'Table-View'!A83&amp;IF(L91="Remove","_________________del","")</f>
        <v>Cash Description Trailer 1</v>
      </c>
      <c r="D72" t="str">
        <f>'Table-View'!B83</f>
        <v>CASH_DSC_TRAILER_1</v>
      </c>
      <c r="E72" t="s">
        <v>2422</v>
      </c>
      <c r="F72" t="s">
        <v>10</v>
      </c>
      <c r="G72" s="2" t="str">
        <f>'Table-View'!H83</f>
        <v>First line of unformatted, monolingual narrative booking information. SIS Trailer field 1.
This field will be populated only if the transaction has a Cash leg.</v>
      </c>
      <c r="H72" t="str">
        <f>IF('Table-View'!E83="No","NOT NULL","NULL")</f>
        <v>NULL</v>
      </c>
      <c r="J72" t="str">
        <f t="shared" si="2"/>
        <v>Name_256</v>
      </c>
      <c r="K72" t="s">
        <v>2404</v>
      </c>
      <c r="L72" t="str">
        <f>'Table-View'!J83</f>
        <v>Existing</v>
      </c>
      <c r="M72" t="str">
        <f>VLOOKUP(C72,Model!C$2:G$226,4,FALSE)</f>
        <v>Name_256</v>
      </c>
      <c r="N72" t="str">
        <f>VLOOKUP(C72,Model!C$2:G$226,5,FALSE)</f>
        <v>VARCHAR2(256)</v>
      </c>
      <c r="O72" t="b">
        <f t="shared" si="3"/>
        <v>1</v>
      </c>
    </row>
    <row r="73" spans="1:15">
      <c r="A73" t="s">
        <v>2385</v>
      </c>
      <c r="C73" t="str">
        <f>'Table-View'!A84&amp;IF(L92="Remove","_________________del","")</f>
        <v>Cash Flow Generation Flag</v>
      </c>
      <c r="D73" t="str">
        <f>'Table-View'!B84</f>
        <v>CF_GEN_F</v>
      </c>
      <c r="E73" t="s">
        <v>2424</v>
      </c>
      <c r="F73" t="s">
        <v>10</v>
      </c>
      <c r="G73" s="2" t="str">
        <f>'Table-View'!H84</f>
        <v>Cash Flow Generation Flag</v>
      </c>
      <c r="H73" t="str">
        <f>IF('Table-View'!E84="No","NOT NULL","NULL")</f>
        <v>NULL</v>
      </c>
      <c r="J73" t="str">
        <f t="shared" si="2"/>
        <v/>
      </c>
      <c r="K73" t="s">
        <v>2404</v>
      </c>
      <c r="L73" t="str">
        <f>'Table-View'!J84</f>
        <v>Existing</v>
      </c>
      <c r="M73">
        <f>VLOOKUP(C73,Model!C$2:G$226,4,FALSE)</f>
        <v>0</v>
      </c>
      <c r="N73" t="str">
        <f>VLOOKUP(C73,Model!C$2:G$226,5,FALSE)</f>
        <v>VARCHAR2(2)</v>
      </c>
      <c r="O73" t="b">
        <f t="shared" si="3"/>
        <v>1</v>
      </c>
    </row>
    <row r="74" spans="1:15">
      <c r="A74" t="s">
        <v>2385</v>
      </c>
      <c r="C74" t="str">
        <f>'Table-View'!A85&amp;IF(L93="Remove","_________________del","")</f>
        <v>Cash Position Type Code</v>
      </c>
      <c r="D74" t="str">
        <f>'Table-View'!B85</f>
        <v>CASH_POS_TP_CD</v>
      </c>
      <c r="E74" t="s">
        <v>2420</v>
      </c>
      <c r="F74" t="s">
        <v>10</v>
      </c>
      <c r="G74" s="2" t="str">
        <f>'Table-View'!H85</f>
        <v>Coded name for the Cash Postion Type e.g., rjtgs2i, rtc</v>
      </c>
      <c r="H74" t="str">
        <f>IF('Table-View'!E85="No","NOT NULL","NULL")</f>
        <v>NULL</v>
      </c>
      <c r="J74" t="str">
        <f t="shared" si="2"/>
        <v>Code_10</v>
      </c>
      <c r="K74" t="s">
        <v>2404</v>
      </c>
      <c r="L74" t="str">
        <f>'Table-View'!J85</f>
        <v>Existing</v>
      </c>
      <c r="M74" t="str">
        <f>VLOOKUP(C74,Model!C$2:G$226,4,FALSE)</f>
        <v>Code_10</v>
      </c>
      <c r="N74" t="str">
        <f>VLOOKUP(C74,Model!C$2:G$226,5,FALSE)</f>
        <v>VARCHAR2(10)</v>
      </c>
      <c r="O74" t="b">
        <f t="shared" si="3"/>
        <v>1</v>
      </c>
    </row>
    <row r="75" spans="1:15">
      <c r="A75" t="s">
        <v>2385</v>
      </c>
      <c r="C75" t="str">
        <f>'Table-View'!A86&amp;IF(L94="Remove","_________________del","")</f>
        <v>Cash Position Type Dimension Id</v>
      </c>
      <c r="D75" t="str">
        <f>'Table-View'!B86</f>
        <v>CASH_POS_TP_DIM_ID</v>
      </c>
      <c r="E75" t="s">
        <v>133</v>
      </c>
      <c r="F75" t="s">
        <v>10</v>
      </c>
      <c r="G75" s="2" t="str">
        <f>'Table-View'!H86</f>
        <v>Surrogate Key for Cash Position Type</v>
      </c>
      <c r="H75" t="str">
        <f>IF('Table-View'!E86="No","NOT NULL","NULL")</f>
        <v>NOT NULL</v>
      </c>
      <c r="J75" t="str">
        <f t="shared" si="2"/>
        <v>NINI</v>
      </c>
      <c r="K75" t="s">
        <v>2404</v>
      </c>
      <c r="L75" t="str">
        <f>'Table-View'!J86</f>
        <v>Existing</v>
      </c>
      <c r="M75" t="str">
        <f>VLOOKUP(C75,Model!C$2:G$226,4,FALSE)</f>
        <v>NINI</v>
      </c>
      <c r="N75" t="str">
        <f>VLOOKUP(C75,Model!C$2:G$226,5,FALSE)</f>
        <v>NUMBER(38,0)</v>
      </c>
      <c r="O75" t="b">
        <f t="shared" si="3"/>
        <v>1</v>
      </c>
    </row>
    <row r="76" spans="1:15" ht="43.2">
      <c r="A76" t="s">
        <v>2385</v>
      </c>
      <c r="C76" t="str">
        <f>'Table-View'!A87&amp;IF(L95="Remove","_________________del","")</f>
        <v>Cash Position Type Name</v>
      </c>
      <c r="D76" t="str">
        <f>'Table-View'!B87</f>
        <v>CASH_POS_TP_NM</v>
      </c>
      <c r="E76" t="s">
        <v>2425</v>
      </c>
      <c r="F76" t="s">
        <v>10</v>
      </c>
      <c r="G76" s="2" t="str">
        <f>'Table-View'!H87</f>
        <v>Identifying how the cash position is treated at the end of the day for purposes of cash segregation and sweeps. e.g., Goldman Sachs Federal Fund - Income, Real Time Cash</v>
      </c>
      <c r="H76" t="str">
        <f>IF('Table-View'!E87="No","NOT NULL","NULL")</f>
        <v>NULL</v>
      </c>
      <c r="J76" t="str">
        <f t="shared" si="2"/>
        <v>Name_75</v>
      </c>
      <c r="K76" t="s">
        <v>2404</v>
      </c>
      <c r="L76" t="str">
        <f>'Table-View'!J87</f>
        <v>Existing</v>
      </c>
      <c r="M76" t="str">
        <f>VLOOKUP(C76,Model!C$2:G$226,4,FALSE)</f>
        <v>Name_75</v>
      </c>
      <c r="N76" t="str">
        <f>VLOOKUP(C76,Model!C$2:G$226,5,FALSE)</f>
        <v>VARCHAR2(75)</v>
      </c>
      <c r="O76" t="b">
        <f t="shared" si="3"/>
        <v>1</v>
      </c>
    </row>
    <row r="77" spans="1:15">
      <c r="A77" t="s">
        <v>2385</v>
      </c>
      <c r="C77" t="str">
        <f>'Table-View'!A88&amp;IF(L96="Remove","_________________del","")</f>
        <v>Cash Position Type Id</v>
      </c>
      <c r="D77" t="str">
        <f>'Table-View'!B88</f>
        <v>CASH_POS_TP_ID</v>
      </c>
      <c r="E77" t="s">
        <v>133</v>
      </c>
      <c r="F77" t="s">
        <v>10</v>
      </c>
      <c r="G77" s="2" t="str">
        <f>'Table-View'!H88</f>
        <v>An Id representing Cash position type</v>
      </c>
      <c r="H77" t="str">
        <f>IF('Table-View'!E88="No","NOT NULL","NULL")</f>
        <v>NULL</v>
      </c>
      <c r="J77" t="str">
        <f t="shared" si="2"/>
        <v>NINI</v>
      </c>
      <c r="K77" t="s">
        <v>2404</v>
      </c>
      <c r="L77" t="str">
        <f>'Table-View'!J88</f>
        <v>Add</v>
      </c>
      <c r="M77" t="str">
        <f>VLOOKUP(C77,Model!C$2:G$226,4,FALSE)</f>
        <v>NINI</v>
      </c>
      <c r="N77" t="str">
        <f>VLOOKUP(C77,Model!C$2:G$226,5,FALSE)</f>
        <v>NUMBER(38,0)</v>
      </c>
      <c r="O77" t="b">
        <f t="shared" si="3"/>
        <v>1</v>
      </c>
    </row>
    <row r="78" spans="1:15">
      <c r="A78" t="s">
        <v>2385</v>
      </c>
      <c r="C78" t="str">
        <f>'Table-View'!A89&amp;IF(L97="Remove","_________________del","")</f>
        <v>Cash CCAL Product Id</v>
      </c>
      <c r="D78" t="str">
        <f>'Table-View'!B89</f>
        <v>CASH_PD_ID</v>
      </c>
      <c r="E78" t="s">
        <v>133</v>
      </c>
      <c r="F78" t="s">
        <v>10</v>
      </c>
      <c r="G78" s="2" t="str">
        <f>'Table-View'!H89</f>
        <v>Product Identifier from Cash Asset package</v>
      </c>
      <c r="H78" t="str">
        <f>IF('Table-View'!E89="No","NOT NULL","NULL")</f>
        <v>NULL</v>
      </c>
      <c r="J78" t="str">
        <f t="shared" si="2"/>
        <v>NINI</v>
      </c>
      <c r="K78" t="s">
        <v>2404</v>
      </c>
      <c r="L78" t="str">
        <f>'Table-View'!J89</f>
        <v>Existing</v>
      </c>
      <c r="M78" t="str">
        <f>VLOOKUP(C78,Model!C$2:G$226,4,FALSE)</f>
        <v>NINI</v>
      </c>
      <c r="N78" t="str">
        <f>VLOOKUP(C78,Model!C$2:G$226,5,FALSE)</f>
        <v>NUMBER(38,0)</v>
      </c>
      <c r="O78" t="b">
        <f t="shared" si="3"/>
        <v>1</v>
      </c>
    </row>
    <row r="79" spans="1:15" ht="28.8">
      <c r="A79" t="s">
        <v>2385</v>
      </c>
      <c r="C79" t="str">
        <f>'Table-View'!A90&amp;IF(L98="Remove","_________________del","")</f>
        <v>Cash Investment Product Dim Id</v>
      </c>
      <c r="D79" t="str">
        <f>'Table-View'!B90</f>
        <v>CASH_PD_DIM_ID</v>
      </c>
      <c r="E79" t="s">
        <v>133</v>
      </c>
      <c r="F79" t="s">
        <v>10</v>
      </c>
      <c r="G79" s="2" t="str">
        <f>'Table-View'!H90</f>
        <v>Surrogate key for Instrument Product Dim.
This field will be populated only if the transaction has a Cash leg.</v>
      </c>
      <c r="H79" t="str">
        <f>IF('Table-View'!E90="No","NOT NULL","NULL")</f>
        <v>NOT NULL</v>
      </c>
      <c r="J79" t="str">
        <f t="shared" si="2"/>
        <v>NINI</v>
      </c>
      <c r="K79" t="s">
        <v>2404</v>
      </c>
      <c r="L79" t="str">
        <f>'Table-View'!J90</f>
        <v>Existing</v>
      </c>
      <c r="M79" t="str">
        <f>VLOOKUP(C79,Model!C$2:G$226,4,FALSE)</f>
        <v>NINI</v>
      </c>
      <c r="N79" t="str">
        <f>VLOOKUP(C79,Model!C$2:G$226,5,FALSE)</f>
        <v>NUMBER(38,0)</v>
      </c>
      <c r="O79" t="b">
        <f t="shared" si="3"/>
        <v>1</v>
      </c>
    </row>
    <row r="80" spans="1:15" ht="28.8">
      <c r="A80" t="s">
        <v>2385</v>
      </c>
      <c r="C80" t="str">
        <f>'Table-View'!A91&amp;IF(L99="Remove","_________________del","")</f>
        <v>Cash Source Sequence Number</v>
      </c>
      <c r="D80" t="str">
        <f>'Table-View'!B91</f>
        <v>CASH_SRC_SEQ_NUM</v>
      </c>
      <c r="E80" t="s">
        <v>133</v>
      </c>
      <c r="F80" t="s">
        <v>10</v>
      </c>
      <c r="G80" s="2" t="str">
        <f>'Table-View'!H91</f>
        <v>Sequence Number assigned by source system.
This field will be populated only if the transaction has a Cash leg.</v>
      </c>
      <c r="H80" t="str">
        <f>IF('Table-View'!E91="No","NOT NULL","NULL")</f>
        <v>NULL</v>
      </c>
      <c r="J80" t="str">
        <f t="shared" si="2"/>
        <v>NINI</v>
      </c>
      <c r="K80" t="s">
        <v>2404</v>
      </c>
      <c r="L80" t="str">
        <f>'Table-View'!J91</f>
        <v>Update</v>
      </c>
      <c r="M80" t="str">
        <f>VLOOKUP(C80,Model!C$2:G$226,4,FALSE)</f>
        <v>NINI</v>
      </c>
      <c r="N80" t="str">
        <f>VLOOKUP(C80,Model!C$2:G$226,5,FALSE)</f>
        <v>NUMBER(38,0)</v>
      </c>
      <c r="O80" t="b">
        <f t="shared" si="3"/>
        <v>1</v>
      </c>
    </row>
    <row r="81" spans="1:15" ht="28.8">
      <c r="A81" t="s">
        <v>2385</v>
      </c>
      <c r="C81" t="str">
        <f>'Table-View'!A92&amp;IF(L100="Remove","_________________del","")</f>
        <v>Cash System Base Currency Amount</v>
      </c>
      <c r="D81" t="str">
        <f>'Table-View'!B92</f>
        <v>CASH_SBC_AMT</v>
      </c>
      <c r="E81" t="s">
        <v>560</v>
      </c>
      <c r="F81" t="s">
        <v>10</v>
      </c>
      <c r="G81" s="2" t="str">
        <f>'Table-View'!H92</f>
        <v>Transaction Amount expressed in System Base Currency.
This field will be populated only if the transaction has a Cash leg.</v>
      </c>
      <c r="H81" t="str">
        <f>IF('Table-View'!E92="No","NOT NULL","NULL")</f>
        <v>NULL</v>
      </c>
      <c r="J81" t="str">
        <f t="shared" si="2"/>
        <v>A38d6</v>
      </c>
      <c r="K81" t="s">
        <v>2404</v>
      </c>
      <c r="L81" t="str">
        <f>'Table-View'!J92</f>
        <v>Update</v>
      </c>
      <c r="M81" t="str">
        <f>VLOOKUP(C81,Model!C$2:G$226,4,FALSE)</f>
        <v>A38d6</v>
      </c>
      <c r="N81" t="str">
        <f>VLOOKUP(C81,Model!C$2:G$226,5,FALSE)</f>
        <v>NUMBER(38,6)</v>
      </c>
      <c r="O81" t="b">
        <f t="shared" si="3"/>
        <v>1</v>
      </c>
    </row>
    <row r="82" spans="1:15" ht="43.2">
      <c r="A82" t="s">
        <v>2385</v>
      </c>
      <c r="C82" t="str">
        <f>'Table-View'!A93&amp;IF(L101="Remove","_________________del","")</f>
        <v>Cash Transaction Amount</v>
      </c>
      <c r="D82" t="str">
        <f>'Table-View'!B93</f>
        <v>CASH_TXN_AMT</v>
      </c>
      <c r="E82" t="s">
        <v>560</v>
      </c>
      <c r="F82" t="s">
        <v>10</v>
      </c>
      <c r="G82" s="2" t="str">
        <f>'Table-View'!H93</f>
        <v>Transaction amount applicable to the Asset package in transaction currency.
This field will be populated only if the transaction has a Cash leg.</v>
      </c>
      <c r="H82" t="str">
        <f>IF('Table-View'!E93="No","NOT NULL","NULL")</f>
        <v>NULL</v>
      </c>
      <c r="J82" t="str">
        <f t="shared" si="2"/>
        <v>A38d6</v>
      </c>
      <c r="K82" t="s">
        <v>2404</v>
      </c>
      <c r="L82" t="str">
        <f>'Table-View'!J93</f>
        <v>Update</v>
      </c>
      <c r="M82" t="str">
        <f>VLOOKUP(C82,Model!C$2:G$226,4,FALSE)</f>
        <v>A38d6</v>
      </c>
      <c r="N82" t="str">
        <f>VLOOKUP(C82,Model!C$2:G$226,5,FALSE)</f>
        <v>NUMBER(38,6)</v>
      </c>
      <c r="O82" t="b">
        <f t="shared" si="3"/>
        <v>1</v>
      </c>
    </row>
    <row r="83" spans="1:15">
      <c r="A83" t="s">
        <v>2385</v>
      </c>
      <c r="C83" t="str">
        <f>'Table-View'!A94&amp;IF(L102="Remove","_________________del","")</f>
        <v>Client Friendly Description</v>
      </c>
      <c r="D83" t="str">
        <f>'Table-View'!B94</f>
        <v>CLNT_FRIENDLY_DSC</v>
      </c>
      <c r="E83" t="s">
        <v>2422</v>
      </c>
      <c r="F83" t="s">
        <v>10</v>
      </c>
      <c r="G83" s="2" t="str">
        <f>'Table-View'!H94</f>
        <v>Client friendly description of the Asset package.</v>
      </c>
      <c r="H83" t="str">
        <f>IF('Table-View'!E94="No","NOT NULL","NULL")</f>
        <v>NULL</v>
      </c>
      <c r="J83" t="str">
        <f t="shared" si="2"/>
        <v>Name_256</v>
      </c>
      <c r="K83" t="s">
        <v>2404</v>
      </c>
      <c r="L83" t="str">
        <f>'Table-View'!J94</f>
        <v>Existing</v>
      </c>
      <c r="M83" t="str">
        <f>VLOOKUP(C83,Model!C$2:G$226,4,FALSE)</f>
        <v>Name_256</v>
      </c>
      <c r="N83" t="str">
        <f>VLOOKUP(C83,Model!C$2:G$226,5,FALSE)</f>
        <v>VARCHAR2(256)</v>
      </c>
      <c r="O83" t="b">
        <f t="shared" si="3"/>
        <v>1</v>
      </c>
    </row>
    <row r="84" spans="1:15">
      <c r="A84" t="s">
        <v>2385</v>
      </c>
      <c r="C84" t="str">
        <f>'Table-View'!A95&amp;IF(L103="Remove","_________________del","")</f>
        <v>Create Datetime</v>
      </c>
      <c r="D84" t="str">
        <f>'Table-View'!B95</f>
        <v>CRT_DTM</v>
      </c>
      <c r="E84" t="s">
        <v>157</v>
      </c>
      <c r="F84" t="s">
        <v>10</v>
      </c>
      <c r="G84" s="2" t="str">
        <f>'Table-View'!H95</f>
        <v>The exact date when a record was first created.</v>
      </c>
      <c r="H84" t="str">
        <f>IF('Table-View'!E95="No","NOT NULL","NULL")</f>
        <v>NOT NULL</v>
      </c>
      <c r="J84" t="str">
        <f t="shared" si="2"/>
        <v>Create Datetime</v>
      </c>
      <c r="K84" t="s">
        <v>2404</v>
      </c>
      <c r="L84" t="str">
        <f>'Table-View'!J95</f>
        <v>Existing</v>
      </c>
      <c r="M84" t="str">
        <f>VLOOKUP(C84,Model!C$2:G$226,4,FALSE)</f>
        <v>Create Datetime</v>
      </c>
      <c r="N84" t="str">
        <f>VLOOKUP(C84,Model!C$2:G$226,5,FALSE)</f>
        <v>DATE</v>
      </c>
      <c r="O84" t="b">
        <f t="shared" si="3"/>
        <v>1</v>
      </c>
    </row>
    <row r="85" spans="1:15" ht="28.8">
      <c r="A85" t="s">
        <v>2385</v>
      </c>
      <c r="C85" t="str">
        <f>'Table-View'!A96&amp;IF(L104="Remove","_________________del","")</f>
        <v>Create User Name</v>
      </c>
      <c r="D85" t="str">
        <f>'Table-View'!B96</f>
        <v>CRT_USR_NM</v>
      </c>
      <c r="E85" t="s">
        <v>2422</v>
      </c>
      <c r="F85" t="s">
        <v>10</v>
      </c>
      <c r="G85" s="2" t="str">
        <f>'Table-View'!H96</f>
        <v>The name that represents the user who created an occurrence of a record.</v>
      </c>
      <c r="H85" t="str">
        <f>IF('Table-View'!E96="No","NOT NULL","NULL")</f>
        <v>NOT NULL</v>
      </c>
      <c r="J85" t="str">
        <f t="shared" si="2"/>
        <v>Name_256</v>
      </c>
      <c r="K85" t="s">
        <v>2404</v>
      </c>
      <c r="L85" t="str">
        <f>'Table-View'!J96</f>
        <v>Update</v>
      </c>
      <c r="M85" t="str">
        <f>VLOOKUP(C85,Model!C$2:G$226,4,FALSE)</f>
        <v>Name_256</v>
      </c>
      <c r="N85" t="str">
        <f>VLOOKUP(C85,Model!C$2:G$226,5,FALSE)</f>
        <v>VARCHAR2(256)</v>
      </c>
      <c r="O85" t="b">
        <f t="shared" si="3"/>
        <v>1</v>
      </c>
    </row>
    <row r="86" spans="1:15">
      <c r="A86" t="s">
        <v>2385</v>
      </c>
      <c r="C86" t="str">
        <f>'Table-View'!A97&amp;IF(L105="Remove","_________________del","")</f>
        <v>Currency Code</v>
      </c>
      <c r="D86" t="str">
        <f>'Table-View'!B97</f>
        <v>CCY_CD</v>
      </c>
      <c r="E86" t="s">
        <v>2416</v>
      </c>
      <c r="F86" t="s">
        <v>10</v>
      </c>
      <c r="G86" s="2" t="str">
        <f>'Table-View'!H97</f>
        <v>ISO Currency Code for transaction amount</v>
      </c>
      <c r="H86" t="str">
        <f>IF('Table-View'!E97="No","NOT NULL","NULL")</f>
        <v>NULL</v>
      </c>
      <c r="J86" t="str">
        <f t="shared" si="2"/>
        <v>Code_03</v>
      </c>
      <c r="K86" t="s">
        <v>2404</v>
      </c>
      <c r="L86" t="str">
        <f>'Table-View'!J97</f>
        <v>Existing</v>
      </c>
      <c r="M86" t="str">
        <f>VLOOKUP(C86,Model!C$2:G$226,4,FALSE)</f>
        <v>Code_03</v>
      </c>
      <c r="N86" t="str">
        <f>VLOOKUP(C86,Model!C$2:G$226,5,FALSE)</f>
        <v>VARCHAR2(3)</v>
      </c>
      <c r="O86" t="b">
        <f t="shared" si="3"/>
        <v>1</v>
      </c>
    </row>
    <row r="87" spans="1:15">
      <c r="A87" t="s">
        <v>2385</v>
      </c>
      <c r="C87" t="str">
        <f>'Table-View'!A98&amp;IF(L106="Remove","_________________del","")</f>
        <v>Currency Dimension Id</v>
      </c>
      <c r="D87" t="str">
        <f>'Table-View'!B98</f>
        <v>CCY_DIM_ID</v>
      </c>
      <c r="E87" t="s">
        <v>133</v>
      </c>
      <c r="F87" t="s">
        <v>10</v>
      </c>
      <c r="G87" s="2" t="str">
        <f>'Table-View'!H98</f>
        <v>Surrogate key for Currency dimension based on Currency Code.</v>
      </c>
      <c r="H87" t="str">
        <f>IF('Table-View'!E98="No","NOT NULL","NULL")</f>
        <v>NULL</v>
      </c>
      <c r="J87" t="str">
        <f t="shared" si="2"/>
        <v>NINI</v>
      </c>
      <c r="K87" t="s">
        <v>2404</v>
      </c>
      <c r="L87" t="str">
        <f>'Table-View'!J98</f>
        <v>Existing</v>
      </c>
      <c r="M87" t="str">
        <f>VLOOKUP(C87,Model!C$2:G$226,4,FALSE)</f>
        <v>NINI</v>
      </c>
      <c r="N87" t="str">
        <f>VLOOKUP(C87,Model!C$2:G$226,5,FALSE)</f>
        <v>NUMBER(38,0)</v>
      </c>
      <c r="O87" t="b">
        <f t="shared" si="3"/>
        <v>1</v>
      </c>
    </row>
    <row r="88" spans="1:15" ht="28.8">
      <c r="A88" t="s">
        <v>2385</v>
      </c>
      <c r="C88" t="str">
        <f>'Table-View'!A99&amp;IF(L107="Remove","_________________del","")</f>
        <v>Department Of Labor Indicator Code</v>
      </c>
      <c r="D88" t="str">
        <f>'Table-View'!B99</f>
        <v>DOL_IND_CD</v>
      </c>
      <c r="E88" t="s">
        <v>2409</v>
      </c>
      <c r="F88" t="s">
        <v>10</v>
      </c>
      <c r="G88" s="2" t="str">
        <f>'Table-View'!H99</f>
        <v>A code that identifies whether or not an account is deemed eligible in accordance with the DOL fiduciary rule.</v>
      </c>
      <c r="H88" t="str">
        <f>IF('Table-View'!E99="No","NOT NULL","NULL")</f>
        <v>NULL</v>
      </c>
      <c r="J88" t="str">
        <f t="shared" si="2"/>
        <v>Code_20</v>
      </c>
      <c r="K88" t="s">
        <v>2404</v>
      </c>
      <c r="L88" t="str">
        <f>'Table-View'!J99</f>
        <v>Existing</v>
      </c>
      <c r="M88" t="str">
        <f>VLOOKUP(C88,Model!C$2:G$226,4,FALSE)</f>
        <v>Code_20</v>
      </c>
      <c r="N88" t="str">
        <f>VLOOKUP(C88,Model!C$2:G$226,5,FALSE)</f>
        <v>VARCHAR2(20)</v>
      </c>
      <c r="O88" t="b">
        <f t="shared" si="3"/>
        <v>1</v>
      </c>
    </row>
    <row r="89" spans="1:15" ht="28.8">
      <c r="A89" t="s">
        <v>2385</v>
      </c>
      <c r="C89" t="str">
        <f>'Table-View'!A100&amp;IF(L108="Remove","_________________del","")</f>
        <v>Department Of Labor Indicator Id</v>
      </c>
      <c r="D89" t="str">
        <f>'Table-View'!B100</f>
        <v>DOL_IND_ID</v>
      </c>
      <c r="E89" t="s">
        <v>133</v>
      </c>
      <c r="F89" t="s">
        <v>10</v>
      </c>
      <c r="G89" s="2" t="str">
        <f>'Table-View'!H100</f>
        <v>Identifier of whether or not an account is deemed eligible in accordance with the DOL fiduciary rule.</v>
      </c>
      <c r="H89" t="str">
        <f>IF('Table-View'!E100="No","NOT NULL","NULL")</f>
        <v>NULL</v>
      </c>
      <c r="J89" t="str">
        <f t="shared" si="2"/>
        <v>NINI</v>
      </c>
      <c r="K89" t="s">
        <v>2404</v>
      </c>
      <c r="L89" t="str">
        <f>'Table-View'!J100</f>
        <v>Existing</v>
      </c>
      <c r="M89" t="str">
        <f>VLOOKUP(C89,Model!C$2:G$226,4,FALSE)</f>
        <v>NINI</v>
      </c>
      <c r="N89" t="str">
        <f>VLOOKUP(C89,Model!C$2:G$226,5,FALSE)</f>
        <v>NUMBER(38,0)</v>
      </c>
      <c r="O89" t="b">
        <f t="shared" si="3"/>
        <v>1</v>
      </c>
    </row>
    <row r="90" spans="1:15" ht="28.8">
      <c r="A90" t="s">
        <v>2385</v>
      </c>
      <c r="C90" t="str">
        <f>'Table-View'!A101&amp;IF(L109="Remove","_________________del","")</f>
        <v>Department Of Labor Indicator Name</v>
      </c>
      <c r="D90" t="str">
        <f>'Table-View'!B101</f>
        <v>DOL_IND_NM</v>
      </c>
      <c r="E90" t="s">
        <v>2407</v>
      </c>
      <c r="F90" t="s">
        <v>10</v>
      </c>
      <c r="G90" s="2" t="str">
        <f>'Table-View'!H101</f>
        <v>Name that identifies whether or not an account is deemed eligible in accordance with the DOL fiduciary rule.</v>
      </c>
      <c r="H90" t="str">
        <f>IF('Table-View'!E101="No","NOT NULL","NULL")</f>
        <v>NULL</v>
      </c>
      <c r="J90" t="str">
        <f t="shared" si="2"/>
        <v>Name_200</v>
      </c>
      <c r="K90" t="s">
        <v>2404</v>
      </c>
      <c r="L90" t="str">
        <f>'Table-View'!J101</f>
        <v>Existing</v>
      </c>
      <c r="M90" t="str">
        <f>VLOOKUP(C90,Model!C$2:G$226,4,FALSE)</f>
        <v>Name_200</v>
      </c>
      <c r="N90" t="str">
        <f>VLOOKUP(C90,Model!C$2:G$226,5,FALSE)</f>
        <v>VARCHAR2(200)</v>
      </c>
      <c r="O90" t="b">
        <f t="shared" si="3"/>
        <v>1</v>
      </c>
    </row>
    <row r="91" spans="1:15" ht="28.8">
      <c r="A91" t="s">
        <v>2385</v>
      </c>
      <c r="C91" t="str">
        <f>'Table-View'!A102&amp;IF(L110="Remove","_________________del","")</f>
        <v>Exchange Code</v>
      </c>
      <c r="D91" t="str">
        <f>'Table-View'!B102</f>
        <v>EXG_CD</v>
      </c>
      <c r="E91" t="s">
        <v>2417</v>
      </c>
      <c r="F91" t="s">
        <v>10</v>
      </c>
      <c r="G91" s="2" t="str">
        <f>'Table-View'!H102</f>
        <v>Code to indicate an exchange where a given trade was executed.  CIRD uses the MIC code where available/provided.</v>
      </c>
      <c r="H91" t="str">
        <f>IF('Table-View'!E102="No","NOT NULL","NULL")</f>
        <v>NULL</v>
      </c>
      <c r="J91" t="str">
        <f t="shared" si="2"/>
        <v>Code_30</v>
      </c>
      <c r="K91" t="s">
        <v>2404</v>
      </c>
      <c r="L91" t="str">
        <f>'Table-View'!J102</f>
        <v>Existing</v>
      </c>
      <c r="M91" t="str">
        <f>VLOOKUP(C91,Model!C$2:G$226,4,FALSE)</f>
        <v>Code_30</v>
      </c>
      <c r="N91" t="str">
        <f>VLOOKUP(C91,Model!C$2:G$226,5,FALSE)</f>
        <v>VARCHAR2(30)</v>
      </c>
      <c r="O91" t="b">
        <f t="shared" si="3"/>
        <v>1</v>
      </c>
    </row>
    <row r="92" spans="1:15" ht="28.8">
      <c r="A92" t="s">
        <v>2385</v>
      </c>
      <c r="C92" t="str">
        <f>'Table-View'!A103&amp;IF(L111="Remove","_________________del","")</f>
        <v>Exchange Name</v>
      </c>
      <c r="D92" t="str">
        <f>'Table-View'!B103</f>
        <v>EXG_NM</v>
      </c>
      <c r="E92" t="s">
        <v>2426</v>
      </c>
      <c r="F92" t="s">
        <v>10</v>
      </c>
      <c r="G92" s="2" t="str">
        <f>'Table-View'!H103</f>
        <v>Name that represents an exchange where a given trade was executed.  CIRD uses the MIC code where available/provided.</v>
      </c>
      <c r="H92" t="str">
        <f>IF('Table-View'!E103="No","NOT NULL","NULL")</f>
        <v>NULL</v>
      </c>
      <c r="J92" t="str">
        <f t="shared" si="2"/>
        <v>Name500</v>
      </c>
      <c r="K92" t="s">
        <v>2404</v>
      </c>
      <c r="L92" t="str">
        <f>'Table-View'!J103</f>
        <v>Existing</v>
      </c>
      <c r="M92" t="str">
        <f>VLOOKUP(C92,Model!C$2:G$226,4,FALSE)</f>
        <v>Name500</v>
      </c>
      <c r="N92" t="str">
        <f>VLOOKUP(C92,Model!C$2:G$226,5,FALSE)</f>
        <v>VARCHAR2(500)</v>
      </c>
      <c r="O92" t="b">
        <f t="shared" si="3"/>
        <v>1</v>
      </c>
    </row>
    <row r="93" spans="1:15" ht="57.6">
      <c r="A93" t="s">
        <v>2385</v>
      </c>
      <c r="C93" t="str">
        <f>'Table-View'!A104&amp;IF(L112="Remove","_________________del","")</f>
        <v>Execution Date</v>
      </c>
      <c r="D93" t="str">
        <f>'Table-View'!B104</f>
        <v>EXEC_DTM</v>
      </c>
      <c r="E93" t="s">
        <v>2427</v>
      </c>
      <c r="F93" t="s">
        <v>10</v>
      </c>
      <c r="G93" s="2" t="str">
        <f>'Table-View'!H104</f>
        <v>System generated date time stamp when the order manager determined the information as binding and liable against 3rd parties. That is when an order is executed in the marketplace. This field holds timestamp at microsec level.</v>
      </c>
      <c r="H93" t="str">
        <f>IF('Table-View'!E104="No","NOT NULL","NULL")</f>
        <v>NULL</v>
      </c>
      <c r="J93" t="str">
        <f t="shared" si="2"/>
        <v>Timestamp</v>
      </c>
      <c r="K93" t="s">
        <v>2404</v>
      </c>
      <c r="L93" t="str">
        <f>'Table-View'!J104</f>
        <v>Update</v>
      </c>
      <c r="M93" t="str">
        <f>VLOOKUP(C93,Model!C$2:G$226,4,FALSE)</f>
        <v>Timestamp</v>
      </c>
      <c r="N93" t="str">
        <f>VLOOKUP(C93,Model!C$2:G$226,5,FALSE)</f>
        <v>TIMESTAMP(6)</v>
      </c>
      <c r="O93" t="b">
        <f t="shared" si="3"/>
        <v>1</v>
      </c>
    </row>
    <row r="94" spans="1:15" ht="43.2">
      <c r="A94" t="s">
        <v>2385</v>
      </c>
      <c r="C94" t="str">
        <f>'Table-View'!A105&amp;IF(L113="Remove","_________________del","")</f>
        <v>Execution Subtype Code</v>
      </c>
      <c r="D94" t="str">
        <f>'Table-View'!B105</f>
        <v>EXEC_SBTP_CD</v>
      </c>
      <c r="E94" t="s">
        <v>2409</v>
      </c>
      <c r="F94" t="s">
        <v>10</v>
      </c>
      <c r="G94" s="2" t="str">
        <f>'Table-View'!H105</f>
        <v>A code for the execution sub-types allow the refinement of execution types for an order manager’s internal diversification only such as strategy level type, e.g.. Bullish Vertical spread, stop limit order.</v>
      </c>
      <c r="H94" t="str">
        <f>IF('Table-View'!E105="No","NOT NULL","NULL")</f>
        <v>NULL</v>
      </c>
      <c r="J94" t="str">
        <f t="shared" si="2"/>
        <v>Code_20</v>
      </c>
      <c r="K94" t="s">
        <v>2404</v>
      </c>
      <c r="L94" t="str">
        <f>'Table-View'!J105</f>
        <v>Existing</v>
      </c>
      <c r="M94" t="str">
        <f>VLOOKUP(C94,Model!C$2:G$226,4,FALSE)</f>
        <v>Code_20</v>
      </c>
      <c r="N94" t="str">
        <f>VLOOKUP(C94,Model!C$2:G$226,5,FALSE)</f>
        <v>VARCHAR2(20)</v>
      </c>
      <c r="O94" t="b">
        <f t="shared" si="3"/>
        <v>1</v>
      </c>
    </row>
    <row r="95" spans="1:15" ht="57.6">
      <c r="A95" t="s">
        <v>2385</v>
      </c>
      <c r="C95" t="str">
        <f>'Table-View'!A106&amp;IF(L114="Remove","_________________del","")</f>
        <v>Execution Subtype Description</v>
      </c>
      <c r="D95" t="str">
        <f>'Table-View'!B106</f>
        <v>EXEC_SBTP_DSC</v>
      </c>
      <c r="E95" t="s">
        <v>2423</v>
      </c>
      <c r="F95" t="s">
        <v>10</v>
      </c>
      <c r="G95" s="2" t="str">
        <f>'Table-View'!H106</f>
        <v>A description for the execution sub-types allow the refinement of execution types for an order manager’s internal diversification only such as strategy level type, e.g.. Bullish Vertical spread, stop limit order.</v>
      </c>
      <c r="H95" t="str">
        <f>IF('Table-View'!E106="No","NOT NULL","NULL")</f>
        <v>NULL</v>
      </c>
      <c r="J95" t="str">
        <f t="shared" si="2"/>
        <v>Description_1000</v>
      </c>
      <c r="K95" t="s">
        <v>2404</v>
      </c>
      <c r="L95" t="str">
        <f>'Table-View'!J106</f>
        <v>Existing</v>
      </c>
      <c r="M95" t="str">
        <f>VLOOKUP(C95,Model!C$2:G$226,4,FALSE)</f>
        <v>Description_1000</v>
      </c>
      <c r="N95" t="str">
        <f>VLOOKUP(C95,Model!C$2:G$226,5,FALSE)</f>
        <v>VARCHAR2(1000)</v>
      </c>
      <c r="O95" t="b">
        <f t="shared" si="3"/>
        <v>1</v>
      </c>
    </row>
    <row r="96" spans="1:15" ht="57.6">
      <c r="A96" t="s">
        <v>2385</v>
      </c>
      <c r="C96" t="str">
        <f>'Table-View'!A107&amp;IF(L115="Remove","_________________del","")</f>
        <v>Execution Subtype Id</v>
      </c>
      <c r="D96" t="str">
        <f>'Table-View'!B107</f>
        <v>EXEC_SBTP_ID</v>
      </c>
      <c r="E96" t="s">
        <v>133</v>
      </c>
      <c r="F96" t="s">
        <v>10</v>
      </c>
      <c r="G96" s="2" t="str">
        <f>'Table-View'!H107</f>
        <v>Unique numeric identifier tied to various sub-types of trade executions. Execution sub-types allow the refinement of execution types for an order manager’s internal diversification only such as strategy level type, e.g.. Bullish Vertical spread, stop limit order.</v>
      </c>
      <c r="H96" t="str">
        <f>IF('Table-View'!E107="No","NOT NULL","NULL")</f>
        <v>NULL</v>
      </c>
      <c r="J96" t="str">
        <f t="shared" si="2"/>
        <v>NINI</v>
      </c>
      <c r="K96" t="s">
        <v>2404</v>
      </c>
      <c r="L96" t="str">
        <f>'Table-View'!J107</f>
        <v>Existing</v>
      </c>
      <c r="M96" t="str">
        <f>VLOOKUP(C96,Model!C$2:G$226,4,FALSE)</f>
        <v>NINI</v>
      </c>
      <c r="N96" t="str">
        <f>VLOOKUP(C96,Model!C$2:G$226,5,FALSE)</f>
        <v>NUMBER(38,0)</v>
      </c>
      <c r="O96" t="b">
        <f t="shared" si="3"/>
        <v>1</v>
      </c>
    </row>
    <row r="97" spans="1:15" ht="43.2">
      <c r="A97" t="s">
        <v>2385</v>
      </c>
      <c r="C97" t="str">
        <f>'Table-View'!A108&amp;IF(L116="Remove","_________________del","")</f>
        <v>Execution Subtype Name</v>
      </c>
      <c r="D97" t="str">
        <f>'Table-View'!B108</f>
        <v>EXEC_SBTP_NM</v>
      </c>
      <c r="E97" t="s">
        <v>2407</v>
      </c>
      <c r="F97" t="s">
        <v>10</v>
      </c>
      <c r="G97" s="2" t="str">
        <f>'Table-View'!H108</f>
        <v>Name for the execution sub-types allow the refinement of execution types for an order manager’s internal diversification only such as strategy level type, e.g.. Bullish Vertical spread, stop limit order.</v>
      </c>
      <c r="H97" t="str">
        <f>IF('Table-View'!E108="No","NOT NULL","NULL")</f>
        <v>NULL</v>
      </c>
      <c r="J97" t="str">
        <f t="shared" si="2"/>
        <v>Name_200</v>
      </c>
      <c r="K97" t="s">
        <v>2404</v>
      </c>
      <c r="L97" t="str">
        <f>'Table-View'!J108</f>
        <v>Existing</v>
      </c>
      <c r="M97" t="str">
        <f>VLOOKUP(C97,Model!C$2:G$226,4,FALSE)</f>
        <v>Name_200</v>
      </c>
      <c r="N97" t="str">
        <f>VLOOKUP(C97,Model!C$2:G$226,5,FALSE)</f>
        <v>VARCHAR2(200)</v>
      </c>
      <c r="O97" t="b">
        <f t="shared" si="3"/>
        <v>1</v>
      </c>
    </row>
    <row r="98" spans="1:15" ht="100.8">
      <c r="A98" t="s">
        <v>2385</v>
      </c>
      <c r="C98" t="str">
        <f>'Table-View'!A109&amp;IF(L117="Remove","_________________del","")</f>
        <v>Execution Type Code</v>
      </c>
      <c r="D98" t="str">
        <f>'Table-View'!B109</f>
        <v>EXEC_TP_CD</v>
      </c>
      <c r="E98" t="s">
        <v>2409</v>
      </c>
      <c r="F98" t="s">
        <v>10</v>
      </c>
      <c r="G98" s="2" t="str">
        <f>'Table-View'!H109</f>
        <v>Code that represents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H98" t="str">
        <f>IF('Table-View'!E109="No","NOT NULL","NULL")</f>
        <v>NULL</v>
      </c>
      <c r="J98" t="str">
        <f t="shared" si="2"/>
        <v>Code_20</v>
      </c>
      <c r="K98" t="s">
        <v>2404</v>
      </c>
      <c r="L98" t="str">
        <f>'Table-View'!J109</f>
        <v>Existing</v>
      </c>
      <c r="M98" t="str">
        <f>VLOOKUP(C98,Model!C$2:G$226,4,FALSE)</f>
        <v>Code_20</v>
      </c>
      <c r="N98" t="str">
        <f>VLOOKUP(C98,Model!C$2:G$226,5,FALSE)</f>
        <v>VARCHAR2(20)</v>
      </c>
      <c r="O98" t="b">
        <f t="shared" si="3"/>
        <v>1</v>
      </c>
    </row>
    <row r="99" spans="1:15" ht="100.8">
      <c r="A99" t="s">
        <v>2385</v>
      </c>
      <c r="C99" t="str">
        <f>'Table-View'!A110&amp;IF(L118="Remove","_________________del","")</f>
        <v>Execution Type Description</v>
      </c>
      <c r="D99" t="str">
        <f>'Table-View'!B110</f>
        <v>EXEC_TP_DSC</v>
      </c>
      <c r="E99" t="s">
        <v>2423</v>
      </c>
      <c r="F99" t="s">
        <v>10</v>
      </c>
      <c r="G99" s="2" t="str">
        <f>'Table-View'!H110</f>
        <v>Description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H99" t="str">
        <f>IF('Table-View'!E110="No","NOT NULL","NULL")</f>
        <v>NULL</v>
      </c>
      <c r="J99" t="str">
        <f t="shared" si="2"/>
        <v>Description_1000</v>
      </c>
      <c r="K99" t="s">
        <v>2404</v>
      </c>
      <c r="L99" t="str">
        <f>'Table-View'!J110</f>
        <v>Existing</v>
      </c>
      <c r="M99" t="str">
        <f>VLOOKUP(C99,Model!C$2:G$226,4,FALSE)</f>
        <v>Description_1000</v>
      </c>
      <c r="N99" t="str">
        <f>VLOOKUP(C99,Model!C$2:G$226,5,FALSE)</f>
        <v>VARCHAR2(1000)</v>
      </c>
      <c r="O99" t="b">
        <f t="shared" si="3"/>
        <v>1</v>
      </c>
    </row>
    <row r="100" spans="1:15" ht="100.8">
      <c r="A100" t="s">
        <v>2385</v>
      </c>
      <c r="C100" t="str">
        <f>'Table-View'!A111&amp;IF(L119="Remove","_________________del","")</f>
        <v>Execution Type Id</v>
      </c>
      <c r="D100" t="str">
        <f>'Table-View'!B111</f>
        <v>EXEC_TP_ID</v>
      </c>
      <c r="E100" t="s">
        <v>133</v>
      </c>
      <c r="F100" t="s">
        <v>10</v>
      </c>
      <c r="G100" s="2" t="str">
        <f>'Table-View'!H111</f>
        <v>Identifier for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H100" t="str">
        <f>IF('Table-View'!E111="No","NOT NULL","NULL")</f>
        <v>NULL</v>
      </c>
      <c r="J100" t="str">
        <f t="shared" si="2"/>
        <v>NINI</v>
      </c>
      <c r="K100" t="s">
        <v>2404</v>
      </c>
      <c r="L100" t="str">
        <f>'Table-View'!J111</f>
        <v>Existing</v>
      </c>
      <c r="M100" t="str">
        <f>VLOOKUP(C100,Model!C$2:G$226,4,FALSE)</f>
        <v>NINI</v>
      </c>
      <c r="N100" t="str">
        <f>VLOOKUP(C100,Model!C$2:G$226,5,FALSE)</f>
        <v>NUMBER(38,0)</v>
      </c>
      <c r="O100" t="b">
        <f t="shared" si="3"/>
        <v>1</v>
      </c>
    </row>
    <row r="101" spans="1:15" ht="100.8">
      <c r="A101" t="s">
        <v>2385</v>
      </c>
      <c r="C101" t="str">
        <f>'Table-View'!A112&amp;IF(L120="Remove","_________________del","")</f>
        <v>Execution Type Name</v>
      </c>
      <c r="D101" t="str">
        <f>'Table-View'!B112</f>
        <v>EXEC_TP_NM</v>
      </c>
      <c r="E101" t="s">
        <v>2407</v>
      </c>
      <c r="F101" t="s">
        <v>10</v>
      </c>
      <c r="G101" s="2" t="str">
        <f>'Table-View'!H112</f>
        <v>Name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H101" t="str">
        <f>IF('Table-View'!E112="No","NOT NULL","NULL")</f>
        <v>NULL</v>
      </c>
      <c r="J101" t="str">
        <f t="shared" si="2"/>
        <v>Name_200</v>
      </c>
      <c r="K101" t="s">
        <v>2404</v>
      </c>
      <c r="L101" t="str">
        <f>'Table-View'!J112</f>
        <v>Existing</v>
      </c>
      <c r="M101" t="str">
        <f>VLOOKUP(C101,Model!C$2:G$226,4,FALSE)</f>
        <v>Name_200</v>
      </c>
      <c r="N101" t="str">
        <f>VLOOKUP(C101,Model!C$2:G$226,5,FALSE)</f>
        <v>VARCHAR2(200)</v>
      </c>
      <c r="O101" t="b">
        <f t="shared" si="3"/>
        <v>1</v>
      </c>
    </row>
    <row r="102" spans="1:15" ht="43.2">
      <c r="A102" t="s">
        <v>2385</v>
      </c>
      <c r="C102" t="str">
        <f>'Table-View'!A113&amp;IF(L121="Remove","_________________del","")</f>
        <v>FA Number</v>
      </c>
      <c r="D102" t="str">
        <f>'Table-View'!B113</f>
        <v>FA_NUM</v>
      </c>
      <c r="E102" t="s">
        <v>2409</v>
      </c>
      <c r="F102" t="s">
        <v>10</v>
      </c>
      <c r="G102" s="2" t="str">
        <f>'Table-View'!H113</f>
        <v>A 4 character value assigned to one or more FAs for purposes of paying commissions. Accounts are assigned one FA Number. The FA Number is used to relate Advisors to client accounts.</v>
      </c>
      <c r="H102" t="str">
        <f>IF('Table-View'!E113="No","NOT NULL","NULL")</f>
        <v>NULL</v>
      </c>
      <c r="J102" t="str">
        <f t="shared" si="2"/>
        <v>Code_20</v>
      </c>
      <c r="K102" t="s">
        <v>2404</v>
      </c>
      <c r="L102" t="str">
        <f>'Table-View'!J113</f>
        <v>Existing</v>
      </c>
      <c r="M102" t="str">
        <f>VLOOKUP(C102,Model!C$2:G$226,4,FALSE)</f>
        <v>Code_20</v>
      </c>
      <c r="N102" t="str">
        <f>VLOOKUP(C102,Model!C$2:G$226,5,FALSE)</f>
        <v>VARCHAR2(20)</v>
      </c>
      <c r="O102" t="b">
        <f t="shared" si="3"/>
        <v>1</v>
      </c>
    </row>
    <row r="103" spans="1:15" ht="28.8">
      <c r="A103" t="s">
        <v>2385</v>
      </c>
      <c r="C103" t="str">
        <f>'Table-View'!A114&amp;IF(L122="Remove","_________________del","")</f>
        <v>Legacy Cancellation Compliance Reason Type Code</v>
      </c>
      <c r="D103" t="str">
        <f>'Table-View'!B114</f>
        <v>LGCY_CNCL_CMPLN_RSN_TP_CD</v>
      </c>
      <c r="E103" t="s">
        <v>2409</v>
      </c>
      <c r="F103" t="s">
        <v>10</v>
      </c>
      <c r="G103" s="2" t="str">
        <f>'Table-View'!H114</f>
        <v>A code that indicates the Legacy Cancellation Compliance Reason Type.</v>
      </c>
      <c r="H103" t="str">
        <f>IF('Table-View'!E114="No","NOT NULL","NULL")</f>
        <v>NULL</v>
      </c>
      <c r="J103" t="str">
        <f t="shared" si="2"/>
        <v>Code_20</v>
      </c>
      <c r="K103" t="s">
        <v>2404</v>
      </c>
      <c r="L103" t="str">
        <f>'Table-View'!J114</f>
        <v>Existing</v>
      </c>
      <c r="M103" t="str">
        <f>VLOOKUP(C103,Model!C$2:G$226,4,FALSE)</f>
        <v>Code_20</v>
      </c>
      <c r="N103" t="str">
        <f>VLOOKUP(C103,Model!C$2:G$226,5,FALSE)</f>
        <v>VARCHAR2(20)</v>
      </c>
      <c r="O103" t="b">
        <f t="shared" si="3"/>
        <v>1</v>
      </c>
    </row>
    <row r="104" spans="1:15" ht="28.8">
      <c r="A104" t="s">
        <v>2385</v>
      </c>
      <c r="C104" t="str">
        <f>'Table-View'!A115&amp;IF(L123="Remove","_________________del","")</f>
        <v>Legacy Cancellation Compliance Reason Type Dimension Id</v>
      </c>
      <c r="D104" t="str">
        <f>'Table-View'!B115</f>
        <v>LGCY_CNCL_CMPLN_RSN_DIM_ID</v>
      </c>
      <c r="E104" t="s">
        <v>133</v>
      </c>
      <c r="F104" t="s">
        <v>10</v>
      </c>
      <c r="G104" s="2" t="str">
        <f>'Table-View'!H115</f>
        <v>Surrogate key for Legacy Cancellation Compliance Reason Type dimension.</v>
      </c>
      <c r="H104" t="str">
        <f>IF('Table-View'!E115="No","NOT NULL","NULL")</f>
        <v>NOT NULL</v>
      </c>
      <c r="J104" t="str">
        <f t="shared" si="2"/>
        <v>NINI</v>
      </c>
      <c r="K104" t="s">
        <v>2404</v>
      </c>
      <c r="L104" t="str">
        <f>'Table-View'!J115</f>
        <v>Existing</v>
      </c>
      <c r="M104" t="str">
        <f>VLOOKUP(C104,Model!C$2:G$226,4,FALSE)</f>
        <v>NINI</v>
      </c>
      <c r="N104" t="str">
        <f>VLOOKUP(C104,Model!C$2:G$226,5,FALSE)</f>
        <v>NUMBER(38,0)</v>
      </c>
      <c r="O104" t="b">
        <f t="shared" si="3"/>
        <v>1</v>
      </c>
    </row>
    <row r="105" spans="1:15" ht="43.2">
      <c r="A105" t="s">
        <v>2385</v>
      </c>
      <c r="C105" t="str">
        <f>'Table-View'!A116&amp;IF(L124="Remove","_________________del","")</f>
        <v>Legacy Cancellation Compliance Reason Type Name</v>
      </c>
      <c r="D105" t="str">
        <f>'Table-View'!B116</f>
        <v>LGCY_CNCL_CMPLN_RSN_TP_NM</v>
      </c>
      <c r="E105" t="s">
        <v>2407</v>
      </c>
      <c r="F105" t="s">
        <v>10</v>
      </c>
      <c r="G105" s="2" t="str">
        <f>'Table-View'!H116</f>
        <v>Name of the Legacy Cancellation Compliance Reason Type.
This will provide specific reason as to why a trade was cancelled, such as due to a price correction.</v>
      </c>
      <c r="H105" t="str">
        <f>IF('Table-View'!E116="No","NOT NULL","NULL")</f>
        <v>NULL</v>
      </c>
      <c r="J105" t="str">
        <f t="shared" si="2"/>
        <v>Name_200</v>
      </c>
      <c r="K105" t="s">
        <v>2404</v>
      </c>
      <c r="L105" t="str">
        <f>'Table-View'!J116</f>
        <v>Existing</v>
      </c>
      <c r="M105" t="str">
        <f>VLOOKUP(C105,Model!C$2:G$226,4,FALSE)</f>
        <v>Name_200</v>
      </c>
      <c r="N105" t="str">
        <f>VLOOKUP(C105,Model!C$2:G$226,5,FALSE)</f>
        <v>VARCHAR2(200)</v>
      </c>
      <c r="O105" t="b">
        <f t="shared" si="3"/>
        <v>1</v>
      </c>
    </row>
    <row r="106" spans="1:15">
      <c r="A106" t="s">
        <v>2385</v>
      </c>
      <c r="C106" t="str">
        <f>'Table-View'!A117&amp;IF(L125="Remove","_________________del","")</f>
        <v>Legacy Cancellation Compliance Reason Type Id</v>
      </c>
      <c r="D106" t="str">
        <f>'Table-View'!B117</f>
        <v>LGCY_CNCL_CMPLN_RSN_TP_ID</v>
      </c>
      <c r="E106" t="s">
        <v>133</v>
      </c>
      <c r="F106" t="s">
        <v>10</v>
      </c>
      <c r="G106" s="2" t="str">
        <f>'Table-View'!H117</f>
        <v>Identifier for the Legacy Cancellation Compliance Reason Type.</v>
      </c>
      <c r="H106" t="str">
        <f>IF('Table-View'!E117="No","NOT NULL","NULL")</f>
        <v>NULL</v>
      </c>
      <c r="J106" t="str">
        <f t="shared" si="2"/>
        <v>NINI</v>
      </c>
      <c r="K106" t="s">
        <v>2404</v>
      </c>
      <c r="L106" t="str">
        <f>'Table-View'!J117</f>
        <v>Add</v>
      </c>
      <c r="M106" t="str">
        <f>VLOOKUP(C106,Model!C$2:G$226,4,FALSE)</f>
        <v>NINI</v>
      </c>
      <c r="N106" t="str">
        <f>VLOOKUP(C106,Model!C$2:G$226,5,FALSE)</f>
        <v>NUMBER(38,0)</v>
      </c>
      <c r="O106" t="b">
        <f t="shared" si="3"/>
        <v>1</v>
      </c>
    </row>
    <row r="107" spans="1:15" ht="28.8">
      <c r="A107" t="s">
        <v>2385</v>
      </c>
      <c r="C107" t="str">
        <f>'Table-View'!A118&amp;IF(L126="Remove","_________________del","")</f>
        <v>Legacy Cancellation Compliance Source Type Code</v>
      </c>
      <c r="D107" t="str">
        <f>'Table-View'!B118</f>
        <v>LGCY_CNCL_CMPLN_SRC_TP_CD</v>
      </c>
      <c r="E107" t="s">
        <v>2409</v>
      </c>
      <c r="F107" t="s">
        <v>10</v>
      </c>
      <c r="G107" s="2" t="str">
        <f>'Table-View'!H118</f>
        <v>A code that indicates the Legacy Cancellation Compliance Source Type.</v>
      </c>
      <c r="H107" t="str">
        <f>IF('Table-View'!E118="No","NOT NULL","NULL")</f>
        <v>NULL</v>
      </c>
      <c r="J107" t="str">
        <f t="shared" si="2"/>
        <v>Code_20</v>
      </c>
      <c r="K107" t="s">
        <v>2404</v>
      </c>
      <c r="L107" t="str">
        <f>'Table-View'!J118</f>
        <v>Existing</v>
      </c>
      <c r="M107" t="str">
        <f>VLOOKUP(C107,Model!C$2:G$226,4,FALSE)</f>
        <v>Code_20</v>
      </c>
      <c r="N107" t="str">
        <f>VLOOKUP(C107,Model!C$2:G$226,5,FALSE)</f>
        <v>VARCHAR2(20)</v>
      </c>
      <c r="O107" t="b">
        <f t="shared" si="3"/>
        <v>1</v>
      </c>
    </row>
    <row r="108" spans="1:15" ht="28.8">
      <c r="A108" t="s">
        <v>2385</v>
      </c>
      <c r="C108" t="str">
        <f>'Table-View'!A119&amp;IF(L127="Remove","_________________del","")</f>
        <v>Legacy Cancellation Compliance Source Type Dimension Id</v>
      </c>
      <c r="D108" t="str">
        <f>'Table-View'!B119</f>
        <v>LGCY_CNCL_CMPLN_SRC_DIM_ID</v>
      </c>
      <c r="E108" t="s">
        <v>133</v>
      </c>
      <c r="F108" t="s">
        <v>10</v>
      </c>
      <c r="G108" s="2" t="str">
        <f>'Table-View'!H119</f>
        <v>Surrogate key for Legacy Cancellation Compliance Source Type Dimension.</v>
      </c>
      <c r="H108" t="str">
        <f>IF('Table-View'!E119="No","NOT NULL","NULL")</f>
        <v>NOT NULL</v>
      </c>
      <c r="J108" t="str">
        <f t="shared" si="2"/>
        <v>NINI</v>
      </c>
      <c r="K108" t="s">
        <v>2404</v>
      </c>
      <c r="L108" t="str">
        <f>'Table-View'!J119</f>
        <v>Existing</v>
      </c>
      <c r="M108" t="str">
        <f>VLOOKUP(C108,Model!C$2:G$226,4,FALSE)</f>
        <v>NINI</v>
      </c>
      <c r="N108" t="str">
        <f>VLOOKUP(C108,Model!C$2:G$226,5,FALSE)</f>
        <v>NUMBER(38,0)</v>
      </c>
      <c r="O108" t="b">
        <f t="shared" si="3"/>
        <v>1</v>
      </c>
    </row>
    <row r="109" spans="1:15" ht="43.2">
      <c r="A109" t="s">
        <v>2385</v>
      </c>
      <c r="C109" t="str">
        <f>'Table-View'!A120&amp;IF(L128="Remove","_________________del","")</f>
        <v>Legacy Cancellation Compliance Source Type Name</v>
      </c>
      <c r="D109" t="str">
        <f>'Table-View'!B120</f>
        <v>LGCY_CNCL_CMPLN_SRC_TP_NM</v>
      </c>
      <c r="E109" t="s">
        <v>2407</v>
      </c>
      <c r="F109" t="s">
        <v>10</v>
      </c>
      <c r="G109" s="2" t="str">
        <f>'Table-View'!H120</f>
        <v>Name of the Legacy Cancellation Compliance Source Type.
This will provide which internal or external source executed the trade cancellation, such as Purchase &amp; Sales department.</v>
      </c>
      <c r="H109" t="str">
        <f>IF('Table-View'!E120="No","NOT NULL","NULL")</f>
        <v>NULL</v>
      </c>
      <c r="J109" t="str">
        <f t="shared" si="2"/>
        <v>Name_200</v>
      </c>
      <c r="K109" t="s">
        <v>2404</v>
      </c>
      <c r="L109" t="str">
        <f>'Table-View'!J120</f>
        <v>Existing</v>
      </c>
      <c r="M109" t="str">
        <f>VLOOKUP(C109,Model!C$2:G$226,4,FALSE)</f>
        <v>Name_200</v>
      </c>
      <c r="N109" t="str">
        <f>VLOOKUP(C109,Model!C$2:G$226,5,FALSE)</f>
        <v>VARCHAR2(200)</v>
      </c>
      <c r="O109" t="b">
        <f t="shared" si="3"/>
        <v>1</v>
      </c>
    </row>
    <row r="110" spans="1:15">
      <c r="A110" t="s">
        <v>2385</v>
      </c>
      <c r="C110" t="str">
        <f>'Table-View'!A121&amp;IF(L129="Remove","_________________del","")</f>
        <v>Legacy Cancellation Compliance Source Type Id</v>
      </c>
      <c r="D110" t="str">
        <f>'Table-View'!B121</f>
        <v>LGCY_CNCL_CMPLN_SRC_TP_ID</v>
      </c>
      <c r="E110" t="s">
        <v>133</v>
      </c>
      <c r="F110" t="s">
        <v>10</v>
      </c>
      <c r="G110" s="2" t="str">
        <f>'Table-View'!H121</f>
        <v>Identifier for the Legacy Cancellation Compliance Source Type.</v>
      </c>
      <c r="H110" t="str">
        <f>IF('Table-View'!E121="No","NOT NULL","NULL")</f>
        <v>NULL</v>
      </c>
      <c r="J110" t="str">
        <f t="shared" si="2"/>
        <v>NINI</v>
      </c>
      <c r="K110" t="s">
        <v>2404</v>
      </c>
      <c r="L110" t="str">
        <f>'Table-View'!J121</f>
        <v>Add</v>
      </c>
      <c r="M110" t="str">
        <f>VLOOKUP(C110,Model!C$2:G$226,4,FALSE)</f>
        <v>NINI</v>
      </c>
      <c r="N110" t="str">
        <f>VLOOKUP(C110,Model!C$2:G$226,5,FALSE)</f>
        <v>NUMBER(38,0)</v>
      </c>
      <c r="O110" t="b">
        <f t="shared" si="3"/>
        <v>1</v>
      </c>
    </row>
    <row r="111" spans="1:15" ht="28.8">
      <c r="A111" t="s">
        <v>2385</v>
      </c>
      <c r="C111" t="str">
        <f>'Table-View'!A122&amp;IF(L130="Remove","_________________del","")</f>
        <v>Legacy Market Type Code</v>
      </c>
      <c r="D111" t="str">
        <f>'Table-View'!B122</f>
        <v>LGCY_MKT_TP_CD</v>
      </c>
      <c r="E111" t="s">
        <v>2409</v>
      </c>
      <c r="F111" t="s">
        <v>10</v>
      </c>
      <c r="G111" s="2" t="str">
        <f>'Table-View'!H122</f>
        <v>Code to indicate what type of market the trade was executed in. Eg. NYSE, OTC, CBOE, etc</v>
      </c>
      <c r="H111" t="str">
        <f>IF('Table-View'!E122="No","NOT NULL","NULL")</f>
        <v>NULL</v>
      </c>
      <c r="J111" t="str">
        <f t="shared" si="2"/>
        <v>Code_20</v>
      </c>
      <c r="K111" t="s">
        <v>2404</v>
      </c>
      <c r="L111" t="str">
        <f>'Table-View'!J122</f>
        <v>Existing</v>
      </c>
      <c r="M111" t="str">
        <f>VLOOKUP(C111,Model!C$2:G$226,4,FALSE)</f>
        <v>Code_20</v>
      </c>
      <c r="N111" t="str">
        <f>VLOOKUP(C111,Model!C$2:G$226,5,FALSE)</f>
        <v>VARCHAR2(20)</v>
      </c>
      <c r="O111" t="b">
        <f t="shared" si="3"/>
        <v>1</v>
      </c>
    </row>
    <row r="112" spans="1:15">
      <c r="A112" t="s">
        <v>2385</v>
      </c>
      <c r="C112" t="str">
        <f>'Table-View'!A123&amp;IF(L131="Remove","_________________del","")</f>
        <v>Legacy Market Type Dimension Id</v>
      </c>
      <c r="D112" t="str">
        <f>'Table-View'!B123</f>
        <v>LGCY_MKT_TP_DIM_ID</v>
      </c>
      <c r="E112" t="s">
        <v>133</v>
      </c>
      <c r="F112" t="s">
        <v>10</v>
      </c>
      <c r="G112" s="2" t="str">
        <f>'Table-View'!H123</f>
        <v>Surrogate key for Legacy Market Type Dimension.</v>
      </c>
      <c r="H112" t="str">
        <f>IF('Table-View'!E123="No","NOT NULL","NULL")</f>
        <v>NOT NULL</v>
      </c>
      <c r="J112" t="str">
        <f t="shared" si="2"/>
        <v>NINI</v>
      </c>
      <c r="K112" t="s">
        <v>2404</v>
      </c>
      <c r="L112" t="str">
        <f>'Table-View'!J123</f>
        <v>Existing</v>
      </c>
      <c r="M112" t="str">
        <f>VLOOKUP(C112,Model!C$2:G$226,4,FALSE)</f>
        <v>NINI</v>
      </c>
      <c r="N112" t="str">
        <f>VLOOKUP(C112,Model!C$2:G$226,5,FALSE)</f>
        <v>NUMBER(38,0)</v>
      </c>
      <c r="O112" t="b">
        <f t="shared" si="3"/>
        <v>1</v>
      </c>
    </row>
    <row r="113" spans="1:15" ht="28.8">
      <c r="A113" t="s">
        <v>2385</v>
      </c>
      <c r="C113" t="str">
        <f>'Table-View'!A124&amp;IF(L132="Remove","_________________del","")</f>
        <v>Legacy Market Type Name</v>
      </c>
      <c r="D113" t="str">
        <f>'Table-View'!B124</f>
        <v>LGCY_MKT_TP_NM</v>
      </c>
      <c r="E113" t="s">
        <v>2407</v>
      </c>
      <c r="F113" t="s">
        <v>10</v>
      </c>
      <c r="G113" s="2" t="str">
        <f>'Table-View'!H124</f>
        <v>Name that represents what type of market the trade was executed in. Eg. NYSE, OTC, CBOE, etc</v>
      </c>
      <c r="H113" t="str">
        <f>IF('Table-View'!E124="No","NOT NULL","NULL")</f>
        <v>NULL</v>
      </c>
      <c r="J113" t="str">
        <f t="shared" si="2"/>
        <v>Name_200</v>
      </c>
      <c r="K113" t="s">
        <v>2404</v>
      </c>
      <c r="L113" t="str">
        <f>'Table-View'!J124</f>
        <v>Existing</v>
      </c>
      <c r="M113" t="str">
        <f>VLOOKUP(C113,Model!C$2:G$226,4,FALSE)</f>
        <v>Name_200</v>
      </c>
      <c r="N113" t="str">
        <f>VLOOKUP(C113,Model!C$2:G$226,5,FALSE)</f>
        <v>VARCHAR2(200)</v>
      </c>
      <c r="O113" t="b">
        <f t="shared" si="3"/>
        <v>1</v>
      </c>
    </row>
    <row r="114" spans="1:15" ht="28.8">
      <c r="A114" t="s">
        <v>2385</v>
      </c>
      <c r="C114" t="str">
        <f>'Table-View'!A125&amp;IF(L133="Remove","_________________del","")</f>
        <v>Legacy Market Type Id</v>
      </c>
      <c r="D114" t="str">
        <f>'Table-View'!B125</f>
        <v>LGCY_MKT_TP_ID</v>
      </c>
      <c r="E114" t="s">
        <v>133</v>
      </c>
      <c r="F114" t="s">
        <v>10</v>
      </c>
      <c r="G114" s="2" t="str">
        <f>'Table-View'!H125</f>
        <v>Identifier that represents what type of market the trade was executed in.</v>
      </c>
      <c r="H114" t="str">
        <f>IF('Table-View'!E125="No","NOT NULL","NULL")</f>
        <v>NULL</v>
      </c>
      <c r="J114" t="str">
        <f t="shared" si="2"/>
        <v>NINI</v>
      </c>
      <c r="K114" t="s">
        <v>2404</v>
      </c>
      <c r="L114" t="str">
        <f>'Table-View'!J125</f>
        <v>Add</v>
      </c>
      <c r="M114" t="str">
        <f>VLOOKUP(C114,Model!C$2:G$226,4,FALSE)</f>
        <v>NINI</v>
      </c>
      <c r="N114" t="str">
        <f>VLOOKUP(C114,Model!C$2:G$226,5,FALSE)</f>
        <v>NUMBER(38,0)</v>
      </c>
      <c r="O114" t="b">
        <f t="shared" si="3"/>
        <v>1</v>
      </c>
    </row>
    <row r="115" spans="1:15" ht="28.8">
      <c r="A115" t="s">
        <v>2385</v>
      </c>
      <c r="C115" t="str">
        <f>'Table-View'!A126&amp;IF(L134="Remove","_________________del","")</f>
        <v>Legacy Trade Capacity Type Code</v>
      </c>
      <c r="D115" t="str">
        <f>'Table-View'!B126</f>
        <v>LGCY_TRD_CPCTY_TP_CD</v>
      </c>
      <c r="E115" t="s">
        <v>2409</v>
      </c>
      <c r="F115" t="s">
        <v>10</v>
      </c>
      <c r="G115" s="2" t="str">
        <f>'Table-View'!H126</f>
        <v>Code to show what type of capacity the trade was executed in. Eg. acting as principal or agency.</v>
      </c>
      <c r="H115" t="str">
        <f>IF('Table-View'!E126="No","NOT NULL","NULL")</f>
        <v>NULL</v>
      </c>
      <c r="J115" t="str">
        <f t="shared" si="2"/>
        <v>Code_20</v>
      </c>
      <c r="K115" t="s">
        <v>2404</v>
      </c>
      <c r="L115" t="str">
        <f>'Table-View'!J126</f>
        <v>Existing</v>
      </c>
      <c r="M115" t="str">
        <f>VLOOKUP(C115,Model!C$2:G$226,4,FALSE)</f>
        <v>Code_20</v>
      </c>
      <c r="N115" t="str">
        <f>VLOOKUP(C115,Model!C$2:G$226,5,FALSE)</f>
        <v>VARCHAR2(20)</v>
      </c>
      <c r="O115" t="b">
        <f t="shared" si="3"/>
        <v>1</v>
      </c>
    </row>
    <row r="116" spans="1:15">
      <c r="A116" t="s">
        <v>2385</v>
      </c>
      <c r="C116" t="str">
        <f>'Table-View'!A127&amp;IF(L135="Remove","_________________del","")</f>
        <v>Legacy Trade Capacity Type Dimension Id</v>
      </c>
      <c r="D116" t="str">
        <f>'Table-View'!B127</f>
        <v>LGCY_TRD_CPCTY_TP_DIM_ID</v>
      </c>
      <c r="E116" t="s">
        <v>133</v>
      </c>
      <c r="F116" t="s">
        <v>10</v>
      </c>
      <c r="G116" s="2" t="str">
        <f>'Table-View'!H127</f>
        <v>Surrogate key for Legacy trade Capacity Type Dimension.</v>
      </c>
      <c r="H116" t="str">
        <f>IF('Table-View'!E127="No","NOT NULL","NULL")</f>
        <v>NOT NULL</v>
      </c>
      <c r="J116" t="str">
        <f t="shared" si="2"/>
        <v>NINI</v>
      </c>
      <c r="K116" t="s">
        <v>2404</v>
      </c>
      <c r="L116" t="str">
        <f>'Table-View'!J127</f>
        <v>Existing</v>
      </c>
      <c r="M116" t="str">
        <f>VLOOKUP(C116,Model!C$2:G$226,4,FALSE)</f>
        <v>NINI</v>
      </c>
      <c r="N116" t="str">
        <f>VLOOKUP(C116,Model!C$2:G$226,5,FALSE)</f>
        <v>NUMBER(38,0)</v>
      </c>
      <c r="O116" t="b">
        <f t="shared" si="3"/>
        <v>1</v>
      </c>
    </row>
    <row r="117" spans="1:15" ht="28.8">
      <c r="A117" t="s">
        <v>2385</v>
      </c>
      <c r="C117" t="str">
        <f>'Table-View'!A128&amp;IF(L136="Remove","_________________del","")</f>
        <v>Legacy Trade Capacity Type Name</v>
      </c>
      <c r="D117" t="str">
        <f>'Table-View'!B128</f>
        <v>LGCY_TRD_CPCTY_TP_NM</v>
      </c>
      <c r="E117" t="s">
        <v>2407</v>
      </c>
      <c r="F117" t="s">
        <v>10</v>
      </c>
      <c r="G117" s="2" t="str">
        <f>'Table-View'!H128</f>
        <v>Name that represents what type of capacity the trade was executed in. Eg. acting as principal or agency.</v>
      </c>
      <c r="H117" t="str">
        <f>IF('Table-View'!E128="No","NOT NULL","NULL")</f>
        <v>NULL</v>
      </c>
      <c r="J117" t="str">
        <f t="shared" si="2"/>
        <v>Name_200</v>
      </c>
      <c r="K117" t="s">
        <v>2404</v>
      </c>
      <c r="L117" t="str">
        <f>'Table-View'!J128</f>
        <v>Existing</v>
      </c>
      <c r="M117" t="str">
        <f>VLOOKUP(C117,Model!C$2:G$226,4,FALSE)</f>
        <v>Name_200</v>
      </c>
      <c r="N117" t="str">
        <f>VLOOKUP(C117,Model!C$2:G$226,5,FALSE)</f>
        <v>VARCHAR2(200)</v>
      </c>
      <c r="O117" t="b">
        <f t="shared" si="3"/>
        <v>1</v>
      </c>
    </row>
    <row r="118" spans="1:15" ht="28.8">
      <c r="A118" t="s">
        <v>2385</v>
      </c>
      <c r="C118" t="str">
        <f>'Table-View'!A129&amp;IF(L137="Remove","_________________del","")</f>
        <v>Legacy Trade Capacity Type Id</v>
      </c>
      <c r="D118" t="str">
        <f>'Table-View'!B129</f>
        <v>LGCY_TRD_CPCTY_TP_ID</v>
      </c>
      <c r="E118" t="s">
        <v>133</v>
      </c>
      <c r="F118" t="s">
        <v>10</v>
      </c>
      <c r="G118" s="2" t="str">
        <f>'Table-View'!H129</f>
        <v>Identifier that represents what type of capacity the trade was executed in.</v>
      </c>
      <c r="H118" t="str">
        <f>IF('Table-View'!E129="No","NOT NULL","NULL")</f>
        <v>NULL</v>
      </c>
      <c r="J118" t="str">
        <f t="shared" si="2"/>
        <v>NINI</v>
      </c>
      <c r="K118" t="s">
        <v>2404</v>
      </c>
      <c r="L118" t="str">
        <f>'Table-View'!J129</f>
        <v>Add</v>
      </c>
      <c r="M118" t="str">
        <f>VLOOKUP(C118,Model!C$2:G$226,4,FALSE)</f>
        <v>NINI</v>
      </c>
      <c r="N118" t="str">
        <f>VLOOKUP(C118,Model!C$2:G$226,5,FALSE)</f>
        <v>NUMBER(38,0)</v>
      </c>
      <c r="O118" t="b">
        <f t="shared" si="3"/>
        <v>1</v>
      </c>
    </row>
    <row r="119" spans="1:15" ht="28.8">
      <c r="A119" t="s">
        <v>2385</v>
      </c>
      <c r="C119" t="str">
        <f>'Table-View'!A130&amp;IF(L138="Remove","_________________del","")</f>
        <v>Offset Arrangement Id</v>
      </c>
      <c r="D119" t="str">
        <f>'Table-View'!B130</f>
        <v>OFST_AR_ID</v>
      </c>
      <c r="E119" t="s">
        <v>133</v>
      </c>
      <c r="F119" t="s">
        <v>10</v>
      </c>
      <c r="G119" s="2" t="str">
        <f>'Table-View'!H130</f>
        <v>If the APA was satisfied by offsetting with another RJ arrangement then, this column will contain the offsetted arrangement.</v>
      </c>
      <c r="H119" t="str">
        <f>IF('Table-View'!E130="No","NOT NULL","NULL")</f>
        <v>NULL</v>
      </c>
      <c r="J119" t="str">
        <f t="shared" si="2"/>
        <v>NINI</v>
      </c>
      <c r="K119" t="s">
        <v>2404</v>
      </c>
      <c r="L119" t="str">
        <f>'Table-View'!J130</f>
        <v>Existing</v>
      </c>
      <c r="M119" t="str">
        <f>VLOOKUP(C119,Model!C$2:G$226,4,FALSE)</f>
        <v>NINI</v>
      </c>
      <c r="N119" t="str">
        <f>VLOOKUP(C119,Model!C$2:G$226,5,FALSE)</f>
        <v>NUMBER(38,0)</v>
      </c>
      <c r="O119" t="b">
        <f t="shared" si="3"/>
        <v>1</v>
      </c>
    </row>
    <row r="120" spans="1:15" ht="57.6">
      <c r="A120" t="s">
        <v>2385</v>
      </c>
      <c r="C120" t="str">
        <f>'Table-View'!A131&amp;IF(L139="Remove","_________________del","")</f>
        <v>Option Class Code</v>
      </c>
      <c r="D120" t="str">
        <f>'Table-View'!B131</f>
        <v>OPT_CLSS_CD</v>
      </c>
      <c r="E120" t="s">
        <v>2420</v>
      </c>
      <c r="F120" t="s">
        <v>10</v>
      </c>
      <c r="G120" s="2" t="str">
        <f>'Table-View'!H131</f>
        <v>Field to indicate whether the trade is to Open or Close a position. This field will contain O if the transaction is an option trade to open a position in the account.It will contain C if the transaction is an option trade to close a position.Otherwise the field will have NA</v>
      </c>
      <c r="H120" t="str">
        <f>IF('Table-View'!E131="No","NOT NULL","NULL")</f>
        <v>NULL</v>
      </c>
      <c r="J120" t="str">
        <f t="shared" si="2"/>
        <v>Code_10</v>
      </c>
      <c r="K120" t="s">
        <v>2404</v>
      </c>
      <c r="L120" t="str">
        <f>'Table-View'!J131</f>
        <v>Existing</v>
      </c>
      <c r="M120" t="str">
        <f>VLOOKUP(C120,Model!C$2:G$226,4,FALSE)</f>
        <v>Code_10</v>
      </c>
      <c r="N120" t="str">
        <f>VLOOKUP(C120,Model!C$2:G$226,5,FALSE)</f>
        <v>VARCHAR2(10)</v>
      </c>
      <c r="O120" t="b">
        <f t="shared" si="3"/>
        <v>1</v>
      </c>
    </row>
    <row r="121" spans="1:15" ht="28.8">
      <c r="A121" t="s">
        <v>2385</v>
      </c>
      <c r="C121" t="str">
        <f>'Table-View'!A132&amp;IF(L140="Remove","_________________del","")</f>
        <v>Order Management System Executing Type Code</v>
      </c>
      <c r="D121" t="str">
        <f>'Table-View'!B132</f>
        <v>OMS_EXEC_TP_CD</v>
      </c>
      <c r="E121" t="s">
        <v>2409</v>
      </c>
      <c r="F121" t="s">
        <v>10</v>
      </c>
      <c r="G121" s="2" t="str">
        <f>'Table-View'!H132</f>
        <v>A code for the type of trade executions used in the Order Management System in a code format.</v>
      </c>
      <c r="H121" t="str">
        <f>IF('Table-View'!E132="No","NOT NULL","NULL")</f>
        <v>NULL</v>
      </c>
      <c r="J121" t="str">
        <f t="shared" si="2"/>
        <v>Code_20</v>
      </c>
      <c r="K121" t="s">
        <v>2404</v>
      </c>
      <c r="L121" t="str">
        <f>'Table-View'!J132</f>
        <v>Existing</v>
      </c>
      <c r="M121" t="str">
        <f>VLOOKUP(C121,Model!C$2:G$226,4,FALSE)</f>
        <v>Code_20</v>
      </c>
      <c r="N121" t="str">
        <f>VLOOKUP(C121,Model!C$2:G$226,5,FALSE)</f>
        <v>VARCHAR2(20)</v>
      </c>
      <c r="O121" t="b">
        <f t="shared" si="3"/>
        <v>1</v>
      </c>
    </row>
    <row r="122" spans="1:15" ht="28.8">
      <c r="A122" t="s">
        <v>2385</v>
      </c>
      <c r="C122" t="str">
        <f>'Table-View'!A133&amp;IF(L141="Remove","_________________del","")</f>
        <v>Order Management System Executing Type Description</v>
      </c>
      <c r="D122" t="str">
        <f>'Table-View'!B133</f>
        <v>OMS_EXEC_TP_DSC</v>
      </c>
      <c r="E122" t="s">
        <v>2423</v>
      </c>
      <c r="F122" t="s">
        <v>10</v>
      </c>
      <c r="G122" s="2" t="str">
        <f>'Table-View'!H133</f>
        <v>A description for the type of trade executions used in the Order Management System in a code format.</v>
      </c>
      <c r="H122" t="str">
        <f>IF('Table-View'!E133="No","NOT NULL","NULL")</f>
        <v>NULL</v>
      </c>
      <c r="J122" t="str">
        <f t="shared" si="2"/>
        <v>Description_1000</v>
      </c>
      <c r="K122" t="s">
        <v>2404</v>
      </c>
      <c r="L122" t="str">
        <f>'Table-View'!J133</f>
        <v>Existing</v>
      </c>
      <c r="M122" t="str">
        <f>VLOOKUP(C122,Model!C$2:G$226,4,FALSE)</f>
        <v>Description_1000</v>
      </c>
      <c r="N122" t="str">
        <f>VLOOKUP(C122,Model!C$2:G$226,5,FALSE)</f>
        <v>VARCHAR2(1000)</v>
      </c>
      <c r="O122" t="b">
        <f t="shared" si="3"/>
        <v>1</v>
      </c>
    </row>
    <row r="123" spans="1:15" ht="28.8">
      <c r="A123" t="s">
        <v>2385</v>
      </c>
      <c r="C123" t="str">
        <f>'Table-View'!A134&amp;IF(L142="Remove","_________________del","")</f>
        <v>Order Management System Executing Type Id</v>
      </c>
      <c r="D123" t="str">
        <f>'Table-View'!B134</f>
        <v>OMS_EXEC_TP_ID</v>
      </c>
      <c r="E123" t="s">
        <v>133</v>
      </c>
      <c r="F123" t="s">
        <v>10</v>
      </c>
      <c r="G123" s="2" t="str">
        <f>'Table-View'!H134</f>
        <v>Identifier for the type of trade executions used in the Order Management System in a code format.</v>
      </c>
      <c r="H123" t="str">
        <f>IF('Table-View'!E134="No","NOT NULL","NULL")</f>
        <v>NULL</v>
      </c>
      <c r="J123" t="str">
        <f t="shared" si="2"/>
        <v>NINI</v>
      </c>
      <c r="K123" t="s">
        <v>2404</v>
      </c>
      <c r="L123" t="str">
        <f>'Table-View'!J134</f>
        <v>Existing</v>
      </c>
      <c r="M123" t="str">
        <f>VLOOKUP(C123,Model!C$2:G$226,4,FALSE)</f>
        <v>NINI</v>
      </c>
      <c r="N123" t="str">
        <f>VLOOKUP(C123,Model!C$2:G$226,5,FALSE)</f>
        <v>NUMBER(38,0)</v>
      </c>
      <c r="O123" t="b">
        <f t="shared" si="3"/>
        <v>1</v>
      </c>
    </row>
    <row r="124" spans="1:15" ht="43.2">
      <c r="A124" t="s">
        <v>2385</v>
      </c>
      <c r="C124" t="str">
        <f>'Table-View'!A135&amp;IF(L143="Remove","_________________del","")</f>
        <v>Order Management System Executing Type Name</v>
      </c>
      <c r="D124" t="str">
        <f>'Table-View'!B135</f>
        <v>OMS_EXEC_TP_NM</v>
      </c>
      <c r="E124" t="s">
        <v>2407</v>
      </c>
      <c r="F124" t="s">
        <v>10</v>
      </c>
      <c r="G124" s="2" t="str">
        <f>'Table-View'!H135</f>
        <v>Name of the type of trade executions used in the Order Management System. Examples of OMS execution types would be 'Agency', 'Principal', 'Open Repo', 'Close Repo' etc.</v>
      </c>
      <c r="H124" t="str">
        <f>IF('Table-View'!E135="No","NOT NULL","NULL")</f>
        <v>NULL</v>
      </c>
      <c r="J124" t="str">
        <f t="shared" si="2"/>
        <v>Name_200</v>
      </c>
      <c r="K124" t="s">
        <v>2404</v>
      </c>
      <c r="L124" t="str">
        <f>'Table-View'!J135</f>
        <v>Existing</v>
      </c>
      <c r="M124" t="str">
        <f>VLOOKUP(C124,Model!C$2:G$226,4,FALSE)</f>
        <v>Name_200</v>
      </c>
      <c r="N124" t="str">
        <f>VLOOKUP(C124,Model!C$2:G$226,5,FALSE)</f>
        <v>VARCHAR2(200)</v>
      </c>
      <c r="O124" t="b">
        <f t="shared" si="3"/>
        <v>1</v>
      </c>
    </row>
    <row r="125" spans="1:15" ht="43.2">
      <c r="A125" t="s">
        <v>2385</v>
      </c>
      <c r="C125" t="str">
        <f>'Table-View'!A136&amp;IF(L144="Remove","_________________del","")</f>
        <v>Order Management System Order Key</v>
      </c>
      <c r="D125" t="str">
        <f>'Table-View'!B136</f>
        <v>OMS_ORDR_KEY</v>
      </c>
      <c r="E125" t="s">
        <v>2409</v>
      </c>
      <c r="F125" t="s">
        <v>10</v>
      </c>
      <c r="G125" s="2" t="str">
        <f>'Table-View'!H136</f>
        <v>Unique system generated key from OMS system. This field is required in the CAT extracts and will be used to find the newOrderFDID, a field required on Allocation events (MEPA events).</v>
      </c>
      <c r="H125" t="str">
        <f>IF('Table-View'!E136="No","NOT NULL","NULL")</f>
        <v>NULL</v>
      </c>
      <c r="J125" t="str">
        <f t="shared" si="2"/>
        <v>Code_20</v>
      </c>
      <c r="K125" t="s">
        <v>2404</v>
      </c>
      <c r="L125" t="str">
        <f>'Table-View'!J136</f>
        <v>Existing</v>
      </c>
      <c r="M125" t="str">
        <f>VLOOKUP(C125,Model!C$2:G$226,4,FALSE)</f>
        <v>Code_20</v>
      </c>
      <c r="N125" t="str">
        <f>VLOOKUP(C125,Model!C$2:G$226,5,FALSE)</f>
        <v>VARCHAR2(20)</v>
      </c>
      <c r="O125" t="b">
        <f t="shared" si="3"/>
        <v>1</v>
      </c>
    </row>
    <row r="126" spans="1:15" ht="28.8">
      <c r="A126" t="s">
        <v>2385</v>
      </c>
      <c r="C126" t="str">
        <f>'Table-View'!A137&amp;IF(L145="Remove","_________________del","")</f>
        <v>Original Booking Date</v>
      </c>
      <c r="D126" t="str">
        <f>'Table-View'!B137</f>
        <v>ORIG_BKG_DT</v>
      </c>
      <c r="E126" t="s">
        <v>157</v>
      </c>
      <c r="F126" t="s">
        <v>10</v>
      </c>
      <c r="G126" s="2" t="str">
        <f>'Table-View'!H137</f>
        <v>This represents the business day date when the quantity has been “booked” in the system.</v>
      </c>
      <c r="H126" t="str">
        <f>IF('Table-View'!E137="No","NOT NULL","NULL")</f>
        <v>NULL</v>
      </c>
      <c r="J126" t="str">
        <f t="shared" si="2"/>
        <v>Date</v>
      </c>
      <c r="K126" t="s">
        <v>2404</v>
      </c>
      <c r="L126" t="str">
        <f>'Table-View'!J137</f>
        <v>Existing</v>
      </c>
      <c r="M126" t="str">
        <f>VLOOKUP(C126,Model!C$2:G$226,4,FALSE)</f>
        <v>Date</v>
      </c>
      <c r="N126" t="str">
        <f>VLOOKUP(C126,Model!C$2:G$226,5,FALSE)</f>
        <v>DATE</v>
      </c>
      <c r="O126" t="b">
        <f t="shared" si="3"/>
        <v>1</v>
      </c>
    </row>
    <row r="127" spans="1:15" ht="28.8">
      <c r="A127" t="s">
        <v>2385</v>
      </c>
      <c r="C127" t="str">
        <f>'Table-View'!A138&amp;IF(L146="Remove","_________________del","")</f>
        <v>Original Trade Number</v>
      </c>
      <c r="D127" t="str">
        <f>'Table-View'!B138</f>
        <v>ORIG_TRD_NUM</v>
      </c>
      <c r="E127" t="s">
        <v>2414</v>
      </c>
      <c r="F127" t="s">
        <v>10</v>
      </c>
      <c r="G127" s="2" t="str">
        <f>'Table-View'!H138</f>
        <v>Original trade number when a trade is being cancelled, corrected, reversed (if available).</v>
      </c>
      <c r="H127" t="str">
        <f>IF('Table-View'!E138="No","NOT NULL","NULL")</f>
        <v>NULL</v>
      </c>
      <c r="J127" t="str">
        <f t="shared" si="2"/>
        <v>Trade Number</v>
      </c>
      <c r="K127" t="s">
        <v>2404</v>
      </c>
      <c r="L127" t="str">
        <f>'Table-View'!J138</f>
        <v>Existing</v>
      </c>
      <c r="M127" t="str">
        <f>VLOOKUP(C127,Model!C$2:G$226,4,FALSE)</f>
        <v>Trade Number</v>
      </c>
      <c r="N127" t="str">
        <f>VLOOKUP(C127,Model!C$2:G$226,5,FALSE)</f>
        <v>VARCHAR2(15)</v>
      </c>
      <c r="O127" t="b">
        <f t="shared" si="3"/>
        <v>1</v>
      </c>
    </row>
    <row r="128" spans="1:15" ht="28.8">
      <c r="A128" t="s">
        <v>2385</v>
      </c>
      <c r="C128" t="str">
        <f>'Table-View'!A139&amp;IF(L147="Remove","_________________del","")</f>
        <v>Orignal Trade Date</v>
      </c>
      <c r="D128" t="str">
        <f>'Table-View'!B139</f>
        <v>ORIG_TD</v>
      </c>
      <c r="E128" t="s">
        <v>157</v>
      </c>
      <c r="F128" t="s">
        <v>10</v>
      </c>
      <c r="G128" s="2" t="str">
        <f>'Table-View'!H139</f>
        <v>The date trade took place at fund company (specific to level 4 mutual funds).</v>
      </c>
      <c r="H128" t="str">
        <f>IF('Table-View'!E139="No","NOT NULL","NULL")</f>
        <v>NULL</v>
      </c>
      <c r="J128" t="str">
        <f t="shared" si="2"/>
        <v>Date</v>
      </c>
      <c r="K128" t="s">
        <v>2404</v>
      </c>
      <c r="L128" t="str">
        <f>'Table-View'!J139</f>
        <v>Existing</v>
      </c>
      <c r="M128" t="str">
        <f>VLOOKUP(C128,Model!C$2:G$226,4,FALSE)</f>
        <v>Date</v>
      </c>
      <c r="N128" t="str">
        <f>VLOOKUP(C128,Model!C$2:G$226,5,FALSE)</f>
        <v>DATE</v>
      </c>
      <c r="O128" t="b">
        <f t="shared" si="3"/>
        <v>1</v>
      </c>
    </row>
    <row r="129" spans="1:15">
      <c r="A129" t="s">
        <v>2385</v>
      </c>
      <c r="C129" t="str">
        <f>'Table-View'!A140&amp;IF(L148="Remove","_________________del","")</f>
        <v>Related Transaction Source System Dim Id</v>
      </c>
      <c r="D129" t="str">
        <f>'Table-View'!B140</f>
        <v>REL_TXN_SRC_STM_DIM_ID</v>
      </c>
      <c r="E129" t="s">
        <v>133</v>
      </c>
      <c r="F129" t="s">
        <v>10</v>
      </c>
      <c r="G129" s="2" t="str">
        <f>'Table-View'!H140</f>
        <v>Surrogate key for Related Transaction Source System Dimension.</v>
      </c>
      <c r="H129" t="str">
        <f>IF('Table-View'!E140="No","NOT NULL","NULL")</f>
        <v>NOT NULL</v>
      </c>
      <c r="J129" t="s">
        <v>2428</v>
      </c>
      <c r="K129" t="s">
        <v>2404</v>
      </c>
      <c r="L129" t="str">
        <f>'Table-View'!J140</f>
        <v>Existing</v>
      </c>
      <c r="M129" t="e">
        <f>VLOOKUP(C129,Model!C$2:G$226,4,FALSE)</f>
        <v>#N/A</v>
      </c>
      <c r="N129" t="e">
        <f>VLOOKUP(C129,Model!C$2:G$226,5,FALSE)</f>
        <v>#N/A</v>
      </c>
      <c r="O129" t="e">
        <f t="shared" si="3"/>
        <v>#N/A</v>
      </c>
    </row>
    <row r="130" spans="1:15">
      <c r="A130" t="s">
        <v>2385</v>
      </c>
      <c r="C130" t="str">
        <f>'Table-View'!A141&amp;IF(L149="Remove","_________________del","")</f>
        <v>Related Transaction Source System Id</v>
      </c>
      <c r="D130" t="str">
        <f>'Table-View'!B141</f>
        <v>REL_TXN_SRC_STM_ID</v>
      </c>
      <c r="E130" t="s">
        <v>133</v>
      </c>
      <c r="F130" t="s">
        <v>10</v>
      </c>
      <c r="G130" s="2" t="str">
        <f>'Table-View'!H141</f>
        <v>CDS assigned source system id for related transaction</v>
      </c>
      <c r="H130" t="str">
        <f>IF('Table-View'!E141="No","NOT NULL","NULL")</f>
        <v>NULL</v>
      </c>
      <c r="J130" t="e">
        <f t="shared" si="2"/>
        <v>#N/A</v>
      </c>
      <c r="K130" t="s">
        <v>2404</v>
      </c>
      <c r="L130" t="str">
        <f>'Table-View'!J141</f>
        <v>Add</v>
      </c>
      <c r="M130" t="e">
        <f>VLOOKUP(C130,Model!C$2:G$226,4,FALSE)</f>
        <v>#N/A</v>
      </c>
      <c r="N130" t="e">
        <f>VLOOKUP(C130,Model!C$2:G$226,5,FALSE)</f>
        <v>#N/A</v>
      </c>
      <c r="O130" t="e">
        <f t="shared" si="3"/>
        <v>#N/A</v>
      </c>
    </row>
    <row r="131" spans="1:15">
      <c r="A131" t="s">
        <v>2385</v>
      </c>
      <c r="C131" t="str">
        <f>'Table-View'!A142&amp;IF(L150="Remove","_________________del","")</f>
        <v>Related Transaction Source System Code</v>
      </c>
      <c r="D131" t="str">
        <f>'Table-View'!B142</f>
        <v>REL_TXN_SRC_STM_CD</v>
      </c>
      <c r="E131" t="s">
        <v>2409</v>
      </c>
      <c r="F131" t="s">
        <v>10</v>
      </c>
      <c r="G131" s="2" t="str">
        <f>'Table-View'!H142</f>
        <v>CDS assigned source system code for related transaction</v>
      </c>
      <c r="H131" t="str">
        <f>IF('Table-View'!E142="No","NOT NULL","NULL")</f>
        <v>NULL</v>
      </c>
      <c r="J131" t="e">
        <f t="shared" ref="J131:J190" si="4">IF(O131,IF(M131=0,"",M131),"")</f>
        <v>#N/A</v>
      </c>
      <c r="K131" t="s">
        <v>2404</v>
      </c>
      <c r="L131" t="str">
        <f>'Table-View'!J142</f>
        <v>Add</v>
      </c>
      <c r="M131" t="e">
        <f>VLOOKUP(C131,Model!C$2:G$226,4,FALSE)</f>
        <v>#N/A</v>
      </c>
      <c r="N131" t="e">
        <f>VLOOKUP(C131,Model!C$2:G$226,5,FALSE)</f>
        <v>#N/A</v>
      </c>
      <c r="O131" t="e">
        <f t="shared" ref="O131:O194" si="5">SUBSTITUTE(SUBSTITUTE(SUBSTITUTE(N131,"VARCHAR2(","VARCHAR("),"NUMBER(","NUMERIC("),"TIMESTAMP(6)","TIMESTAMP/DATE")=E131</f>
        <v>#N/A</v>
      </c>
    </row>
    <row r="132" spans="1:15">
      <c r="A132" t="s">
        <v>2385</v>
      </c>
      <c r="C132" t="str">
        <f>'Table-View'!A143&amp;IF(L151="Remove","_________________del","")</f>
        <v>Related Transaction Relationship Type Id</v>
      </c>
      <c r="D132" t="str">
        <f>'Table-View'!B143</f>
        <v>REL_TXN_RLTNP_TP_ID</v>
      </c>
      <c r="E132" t="s">
        <v>133</v>
      </c>
      <c r="F132" t="s">
        <v>10</v>
      </c>
      <c r="G132" s="2" t="str">
        <f>'Table-View'!H143</f>
        <v>Identifier for Relationship type with the related transaction</v>
      </c>
      <c r="H132" t="str">
        <f>IF('Table-View'!E143="No","NOT NULL","NULL")</f>
        <v>NULL</v>
      </c>
      <c r="J132" t="e">
        <f t="shared" si="4"/>
        <v>#N/A</v>
      </c>
      <c r="K132" t="s">
        <v>2404</v>
      </c>
      <c r="L132" t="str">
        <f>'Table-View'!J143</f>
        <v>Add</v>
      </c>
      <c r="M132" t="e">
        <f>VLOOKUP(C132,Model!C$2:G$226,4,FALSE)</f>
        <v>#N/A</v>
      </c>
      <c r="N132" t="e">
        <f>VLOOKUP(C132,Model!C$2:G$226,5,FALSE)</f>
        <v>#N/A</v>
      </c>
      <c r="O132" t="e">
        <f t="shared" si="5"/>
        <v>#N/A</v>
      </c>
    </row>
    <row r="133" spans="1:15" ht="28.8">
      <c r="A133" t="s">
        <v>2385</v>
      </c>
      <c r="C133" t="str">
        <f>'Table-View'!A144&amp;IF(L152="Remove","_________________del","")</f>
        <v>Related Transaction Relationship Type Code</v>
      </c>
      <c r="D133" t="str">
        <f>'Table-View'!B144</f>
        <v>REL_TXN_RLTNP_TP_CD</v>
      </c>
      <c r="E133" t="s">
        <v>2409</v>
      </c>
      <c r="F133" t="s">
        <v>10</v>
      </c>
      <c r="G133" s="2" t="str">
        <f>'Table-View'!H144</f>
        <v>Code of Relationship type with the target transaction E.g.R01, R02, R03</v>
      </c>
      <c r="H133" t="str">
        <f>IF('Table-View'!E144="No","NOT NULL","NULL")</f>
        <v>NULL</v>
      </c>
      <c r="J133" t="e">
        <f t="shared" si="4"/>
        <v>#N/A</v>
      </c>
      <c r="K133" t="s">
        <v>2404</v>
      </c>
      <c r="L133" t="str">
        <f>'Table-View'!J144</f>
        <v>Add</v>
      </c>
      <c r="M133" t="e">
        <f>VLOOKUP(C133,Model!C$2:G$226,4,FALSE)</f>
        <v>#N/A</v>
      </c>
      <c r="N133" t="e">
        <f>VLOOKUP(C133,Model!C$2:G$226,5,FALSE)</f>
        <v>#N/A</v>
      </c>
      <c r="O133" t="e">
        <f t="shared" si="5"/>
        <v>#N/A</v>
      </c>
    </row>
    <row r="134" spans="1:15" ht="28.8">
      <c r="A134" t="s">
        <v>2385</v>
      </c>
      <c r="C134" t="str">
        <f>'Table-View'!A145&amp;IF(L153="Remove","_________________del","")</f>
        <v>Related Transaction Relationship Type Name</v>
      </c>
      <c r="D134" t="str">
        <f>'Table-View'!B145</f>
        <v>REL_TXN_RLTNP_TP_NM</v>
      </c>
      <c r="E134" t="s">
        <v>2406</v>
      </c>
      <c r="F134" t="s">
        <v>10</v>
      </c>
      <c r="G134" s="2" t="str">
        <f>'Table-View'!H145</f>
        <v>Name of Relation ship with the target transaction E.g. Reversal, Cancel, Correct</v>
      </c>
      <c r="H134" t="str">
        <f>IF('Table-View'!E145="No","NOT NULL","NULL")</f>
        <v>NULL</v>
      </c>
      <c r="J134" t="e">
        <f t="shared" si="4"/>
        <v>#N/A</v>
      </c>
      <c r="K134" t="s">
        <v>2404</v>
      </c>
      <c r="L134" t="str">
        <f>'Table-View'!J145</f>
        <v>Add</v>
      </c>
      <c r="M134" t="e">
        <f>VLOOKUP(C134,Model!C$2:G$226,4,FALSE)</f>
        <v>#N/A</v>
      </c>
      <c r="N134" t="e">
        <f>VLOOKUP(C134,Model!C$2:G$226,5,FALSE)</f>
        <v>#N/A</v>
      </c>
      <c r="O134" t="e">
        <f t="shared" si="5"/>
        <v>#N/A</v>
      </c>
    </row>
    <row r="135" spans="1:15" ht="43.2">
      <c r="A135" t="s">
        <v>2385</v>
      </c>
      <c r="C135" t="str">
        <f>'Table-View'!A146&amp;IF(L154="Remove","_________________del","")</f>
        <v>Sales Charge Rate Multiplier Number</v>
      </c>
      <c r="D135" t="str">
        <f>'Table-View'!B146</f>
        <v>SALE_CHRG_RATE_MULTI_NUM</v>
      </c>
      <c r="E135" t="s">
        <v>560</v>
      </c>
      <c r="F135" t="s">
        <v>10</v>
      </c>
      <c r="G135" s="2" t="str">
        <f>'Table-View'!H146</f>
        <v>Sales charge expressed as a multiplier for the portion represented by the asset package. This column will have values if Sales Charge Rate is expressed as a multipler.</v>
      </c>
      <c r="H135" t="str">
        <f>IF('Table-View'!E146="No","NOT NULL","NULL")</f>
        <v>NULL</v>
      </c>
      <c r="J135" t="e">
        <f t="shared" si="4"/>
        <v>#N/A</v>
      </c>
      <c r="K135" t="s">
        <v>2404</v>
      </c>
      <c r="L135" t="str">
        <f>'Table-View'!J146</f>
        <v>Add</v>
      </c>
      <c r="M135" t="e">
        <f>VLOOKUP(C135,Model!C$2:G$226,4,FALSE)</f>
        <v>#N/A</v>
      </c>
      <c r="N135" t="e">
        <f>VLOOKUP(C135,Model!C$2:G$226,5,FALSE)</f>
        <v>#N/A</v>
      </c>
      <c r="O135" t="e">
        <f t="shared" si="5"/>
        <v>#N/A</v>
      </c>
    </row>
    <row r="136" spans="1:15" ht="43.2">
      <c r="A136" t="s">
        <v>2385</v>
      </c>
      <c r="C136" t="str">
        <f>'Table-View'!A147&amp;IF(L155="Remove","_________________del","")</f>
        <v>Sales Charge Rate</v>
      </c>
      <c r="D136" t="str">
        <f>'Table-View'!B147</f>
        <v>SALE_CHRG_RATE_PCT</v>
      </c>
      <c r="E136" t="s">
        <v>560</v>
      </c>
      <c r="F136" t="s">
        <v>10</v>
      </c>
      <c r="G136" s="2" t="str">
        <f>'Table-View'!H147</f>
        <v>Sales charge expressed as percent for the portion represented by the asset package. This column will have values if Sales Charge Rate Type Identifier indicates that it was recorded as a percentage in CCAL</v>
      </c>
      <c r="H136" t="str">
        <f>IF('Table-View'!E147="No","NOT NULL","NULL")</f>
        <v>NULL</v>
      </c>
      <c r="J136" t="e">
        <f t="shared" si="4"/>
        <v>#N/A</v>
      </c>
      <c r="K136" t="s">
        <v>2404</v>
      </c>
      <c r="L136" t="str">
        <f>'Table-View'!J147</f>
        <v>Update</v>
      </c>
      <c r="M136" t="e">
        <f>VLOOKUP(C136,Model!C$2:G$226,4,FALSE)</f>
        <v>#N/A</v>
      </c>
      <c r="N136" t="e">
        <f>VLOOKUP(C136,Model!C$2:G$226,5,FALSE)</f>
        <v>#N/A</v>
      </c>
      <c r="O136" t="e">
        <f t="shared" si="5"/>
        <v>#N/A</v>
      </c>
    </row>
    <row r="137" spans="1:15">
      <c r="A137" t="s">
        <v>2385</v>
      </c>
      <c r="C137" t="str">
        <f>'Table-View'!A148&amp;IF(L156="Remove","_________________del","")</f>
        <v>Sales Charge Rate Type Code</v>
      </c>
      <c r="D137" t="str">
        <f>'Table-View'!B148</f>
        <v>SALE_CHRG_RATE_TP_CD</v>
      </c>
      <c r="E137" t="s">
        <v>2409</v>
      </c>
      <c r="F137" t="s">
        <v>10</v>
      </c>
      <c r="G137" s="2" t="str">
        <f>'Table-View'!H148</f>
        <v>A code representing the type of value stored for sales charge</v>
      </c>
      <c r="H137" t="str">
        <f>IF('Table-View'!E148="No","NOT NULL","NULL")</f>
        <v>NULL</v>
      </c>
      <c r="J137" t="e">
        <f t="shared" si="4"/>
        <v>#N/A</v>
      </c>
      <c r="K137" t="s">
        <v>2404</v>
      </c>
      <c r="L137" t="str">
        <f>'Table-View'!J148</f>
        <v>Update</v>
      </c>
      <c r="M137" t="e">
        <f>VLOOKUP(C137,Model!C$2:G$226,4,FALSE)</f>
        <v>#N/A</v>
      </c>
      <c r="N137" t="e">
        <f>VLOOKUP(C137,Model!C$2:G$226,5,FALSE)</f>
        <v>#N/A</v>
      </c>
      <c r="O137" t="e">
        <f t="shared" si="5"/>
        <v>#N/A</v>
      </c>
    </row>
    <row r="138" spans="1:15">
      <c r="A138" t="s">
        <v>2385</v>
      </c>
      <c r="C138" t="str">
        <f>'Table-View'!A149&amp;IF(L157="Remove","_________________del","")</f>
        <v>Sales Charge Rate Type Id</v>
      </c>
      <c r="D138" t="str">
        <f>'Table-View'!B149</f>
        <v>SALE_CHRG_RATE_TP_ID</v>
      </c>
      <c r="E138" t="s">
        <v>133</v>
      </c>
      <c r="F138" t="s">
        <v>10</v>
      </c>
      <c r="G138" s="2" t="str">
        <f>'Table-View'!H149</f>
        <v>Identifier representing the type of value stored for sales charge</v>
      </c>
      <c r="H138" t="str">
        <f>IF('Table-View'!E149="No","NOT NULL","NULL")</f>
        <v>NULL</v>
      </c>
      <c r="J138" t="e">
        <f t="shared" si="4"/>
        <v>#N/A</v>
      </c>
      <c r="K138" t="s">
        <v>2404</v>
      </c>
      <c r="L138" t="str">
        <f>'Table-View'!J149</f>
        <v>Existing</v>
      </c>
      <c r="M138" t="e">
        <f>VLOOKUP(C138,Model!C$2:G$226,4,FALSE)</f>
        <v>#N/A</v>
      </c>
      <c r="N138" t="e">
        <f>VLOOKUP(C138,Model!C$2:G$226,5,FALSE)</f>
        <v>#N/A</v>
      </c>
      <c r="O138" t="e">
        <f t="shared" si="5"/>
        <v>#N/A</v>
      </c>
    </row>
    <row r="139" spans="1:15">
      <c r="A139" t="s">
        <v>2385</v>
      </c>
      <c r="C139" t="str">
        <f>'Table-View'!A150&amp;IF(L158="Remove","_________________del","")</f>
        <v>Sales Charge Rate Type Name</v>
      </c>
      <c r="D139" t="str">
        <f>'Table-View'!B150</f>
        <v>SALE_CHRG_RATE_TP_NM</v>
      </c>
      <c r="E139" t="s">
        <v>2407</v>
      </c>
      <c r="F139" t="s">
        <v>10</v>
      </c>
      <c r="G139" s="2" t="str">
        <f>'Table-View'!H150</f>
        <v>Name of Sales charge type Percentage or Multiplier.</v>
      </c>
      <c r="H139" t="str">
        <f>IF('Table-View'!E150="No","NOT NULL","NULL")</f>
        <v>NULL</v>
      </c>
      <c r="J139" t="e">
        <f t="shared" si="4"/>
        <v>#N/A</v>
      </c>
      <c r="K139" t="s">
        <v>2404</v>
      </c>
      <c r="L139" t="str">
        <f>'Table-View'!J150</f>
        <v>Existing</v>
      </c>
      <c r="M139" t="e">
        <f>VLOOKUP(C139,Model!C$2:G$226,4,FALSE)</f>
        <v>#N/A</v>
      </c>
      <c r="N139" t="e">
        <f>VLOOKUP(C139,Model!C$2:G$226,5,FALSE)</f>
        <v>#N/A</v>
      </c>
      <c r="O139" t="e">
        <f t="shared" si="5"/>
        <v>#N/A</v>
      </c>
    </row>
    <row r="140" spans="1:15" ht="57.6">
      <c r="A140" t="s">
        <v>2385</v>
      </c>
      <c r="C140" t="str">
        <f>'Table-View'!A151&amp;IF(L159="Remove","_________________del","")</f>
        <v>Security Activity Category</v>
      </c>
      <c r="D140" t="str">
        <f>'Table-View'!B151</f>
        <v>SCR_AVY_CGY</v>
      </c>
      <c r="E140" t="s">
        <v>2421</v>
      </c>
      <c r="F140" t="s">
        <v>10</v>
      </c>
      <c r="G140" s="2" t="str">
        <f>'Table-View'!H151</f>
        <v>Represents the specific Category of activity such as a 'Purchase' or 'Income'. Further refinement of the categories are captured under Activity Type.
This field will be populated only if the transaction has a Security leg.</v>
      </c>
      <c r="H140" t="str">
        <f>IF('Table-View'!E151="No","NOT NULL","NULL")</f>
        <v>NULL</v>
      </c>
      <c r="J140" t="e">
        <f t="shared" si="4"/>
        <v>#N/A</v>
      </c>
      <c r="K140" t="s">
        <v>2404</v>
      </c>
      <c r="L140" t="str">
        <f>'Table-View'!J151</f>
        <v>Update</v>
      </c>
      <c r="M140" t="e">
        <f>VLOOKUP(C140,Model!C$2:G$226,4,FALSE)</f>
        <v>#N/A</v>
      </c>
      <c r="N140" t="e">
        <f>VLOOKUP(C140,Model!C$2:G$226,5,FALSE)</f>
        <v>#N/A</v>
      </c>
      <c r="O140" t="e">
        <f t="shared" si="5"/>
        <v>#N/A</v>
      </c>
    </row>
    <row r="141" spans="1:15" ht="43.2">
      <c r="A141" t="s">
        <v>2385</v>
      </c>
      <c r="C141" t="str">
        <f>'Table-View'!A152&amp;IF(L160="Remove","_________________del","")</f>
        <v>Security Simplified Display Activity Category</v>
      </c>
      <c r="D141" t="str">
        <f>'Table-View'!B152</f>
        <v>SCR_SIMP_DSPL_AVY_CGY</v>
      </c>
      <c r="E141" t="s">
        <v>2421</v>
      </c>
      <c r="F141" t="s">
        <v>10</v>
      </c>
      <c r="G141" s="2" t="str">
        <f>'Table-View'!H152</f>
        <v>Simplified Display activity category shown to advisor in applications like client center.
This field will be populated only if the transaction has a Security leg.</v>
      </c>
      <c r="H141" t="str">
        <f>IF('Table-View'!E152="No","NOT NULL","NULL")</f>
        <v>NULL</v>
      </c>
      <c r="J141" t="e">
        <f t="shared" si="4"/>
        <v>#N/A</v>
      </c>
      <c r="K141" t="s">
        <v>2404</v>
      </c>
      <c r="L141" t="str">
        <f>'Table-View'!J152</f>
        <v>Add</v>
      </c>
      <c r="M141" t="e">
        <f>VLOOKUP(C141,Model!C$2:G$226,4,FALSE)</f>
        <v>#N/A</v>
      </c>
      <c r="N141" t="e">
        <f>VLOOKUP(C141,Model!C$2:G$226,5,FALSE)</f>
        <v>#N/A</v>
      </c>
      <c r="O141" t="e">
        <f t="shared" si="5"/>
        <v>#N/A</v>
      </c>
    </row>
    <row r="142" spans="1:15" ht="28.8">
      <c r="A142" t="s">
        <v>2385</v>
      </c>
      <c r="C142" t="str">
        <f>'Table-View'!A153&amp;IF(L161="Remove","_________________del","")</f>
        <v>Security Activity Classification Id</v>
      </c>
      <c r="D142" t="str">
        <f>'Table-View'!B153</f>
        <v>SEC_AVY_CL_ID</v>
      </c>
      <c r="E142" t="s">
        <v>133</v>
      </c>
      <c r="F142" t="s">
        <v>10</v>
      </c>
      <c r="G142" s="2" t="str">
        <f>'Table-View'!H153</f>
        <v>CDS assigned identifier for the activity class.
This field will be populated only if the transaction has a Security leg.</v>
      </c>
      <c r="H142" t="str">
        <f>IF('Table-View'!E153="No","NOT NULL","NULL")</f>
        <v>NULL</v>
      </c>
      <c r="J142" t="e">
        <f t="shared" si="4"/>
        <v>#N/A</v>
      </c>
      <c r="K142" t="s">
        <v>2404</v>
      </c>
      <c r="L142" t="str">
        <f>'Table-View'!J153</f>
        <v>Existing</v>
      </c>
      <c r="M142" t="e">
        <f>VLOOKUP(C142,Model!C$2:G$226,4,FALSE)</f>
        <v>#N/A</v>
      </c>
      <c r="N142" t="e">
        <f>VLOOKUP(C142,Model!C$2:G$226,5,FALSE)</f>
        <v>#N/A</v>
      </c>
      <c r="O142" t="e">
        <f t="shared" si="5"/>
        <v>#N/A</v>
      </c>
    </row>
    <row r="143" spans="1:15" ht="28.8">
      <c r="A143" t="s">
        <v>2385</v>
      </c>
      <c r="C143" t="str">
        <f>'Table-View'!A154&amp;IF(L162="Remove","_________________del","")</f>
        <v>Security Activity Type</v>
      </c>
      <c r="D143" t="str">
        <f>'Table-View'!B154</f>
        <v>SCR_AVY_TP</v>
      </c>
      <c r="E143" t="s">
        <v>2406</v>
      </c>
      <c r="F143" t="s">
        <v>10</v>
      </c>
      <c r="G143" s="2" t="str">
        <f>'Table-View'!H154</f>
        <v>Represents a more refined view of the Activity Category.
This field will be populated only if the transaction has a Security leg.</v>
      </c>
      <c r="H143" t="str">
        <f>IF('Table-View'!E154="No","NOT NULL","NULL")</f>
        <v>NULL</v>
      </c>
      <c r="J143" t="e">
        <f t="shared" si="4"/>
        <v>#N/A</v>
      </c>
      <c r="K143" t="s">
        <v>2404</v>
      </c>
      <c r="L143" t="str">
        <f>'Table-View'!J154</f>
        <v>Existing</v>
      </c>
      <c r="M143" t="e">
        <f>VLOOKUP(C143,Model!C$2:G$226,4,FALSE)</f>
        <v>#N/A</v>
      </c>
      <c r="N143" t="e">
        <f>VLOOKUP(C143,Model!C$2:G$226,5,FALSE)</f>
        <v>#N/A</v>
      </c>
      <c r="O143" t="e">
        <f t="shared" si="5"/>
        <v>#N/A</v>
      </c>
    </row>
    <row r="144" spans="1:15" ht="43.2">
      <c r="A144" t="s">
        <v>2385</v>
      </c>
      <c r="C144" t="str">
        <f>'Table-View'!A155&amp;IF(L163="Remove","_________________del","")</f>
        <v>Security Simplified Display Activity Type</v>
      </c>
      <c r="D144" t="str">
        <f>'Table-View'!B155</f>
        <v>SCR_SIMP_DSPL_AVY_TP</v>
      </c>
      <c r="E144" t="s">
        <v>2406</v>
      </c>
      <c r="F144" t="s">
        <v>10</v>
      </c>
      <c r="G144" s="2" t="str">
        <f>'Table-View'!H155</f>
        <v>Simplified Display activity type shown to advisor in applications like client center.
This field will be populated only if the transaction has a Security leg.</v>
      </c>
      <c r="H144" t="str">
        <f>IF('Table-View'!E155="No","NOT NULL","NULL")</f>
        <v>NULL</v>
      </c>
      <c r="J144" t="e">
        <f t="shared" si="4"/>
        <v>#N/A</v>
      </c>
      <c r="K144" t="s">
        <v>2404</v>
      </c>
      <c r="L144" t="str">
        <f>'Table-View'!J155</f>
        <v>Add</v>
      </c>
      <c r="M144" t="e">
        <f>VLOOKUP(C144,Model!C$2:G$226,4,FALSE)</f>
        <v>#N/A</v>
      </c>
      <c r="N144" t="e">
        <f>VLOOKUP(C144,Model!C$2:G$226,5,FALSE)</f>
        <v>#N/A</v>
      </c>
      <c r="O144" t="e">
        <f t="shared" si="5"/>
        <v>#N/A</v>
      </c>
    </row>
    <row r="145" spans="1:15" ht="43.2">
      <c r="A145" t="s">
        <v>2385</v>
      </c>
      <c r="C145" t="str">
        <f>'Table-View'!A156&amp;IF(L164="Remove","_________________del","")</f>
        <v>Security Alternate Description Trailer 2</v>
      </c>
      <c r="D145" t="str">
        <f>'Table-View'!B156</f>
        <v>SEC_ALT_DSC_TRAILER_2</v>
      </c>
      <c r="E145" t="s">
        <v>2422</v>
      </c>
      <c r="F145" t="s">
        <v>10</v>
      </c>
      <c r="G145" s="2" t="str">
        <f>'Table-View'!H156</f>
        <v>Second line of unformatted, monolingual narrative booking information. SIS trailer field 2. 
This field will be populated only if the transaction has a Security leg.</v>
      </c>
      <c r="H145" t="str">
        <f>IF('Table-View'!E156="No","NOT NULL","NULL")</f>
        <v>NULL</v>
      </c>
      <c r="J145" t="e">
        <f t="shared" si="4"/>
        <v>#N/A</v>
      </c>
      <c r="K145" t="s">
        <v>2404</v>
      </c>
      <c r="L145" t="str">
        <f>'Table-View'!J156</f>
        <v>Existing</v>
      </c>
      <c r="M145" t="e">
        <f>VLOOKUP(C145,Model!C$2:G$226,4,FALSE)</f>
        <v>#N/A</v>
      </c>
      <c r="N145" t="e">
        <f>VLOOKUP(C145,Model!C$2:G$226,5,FALSE)</f>
        <v>#N/A</v>
      </c>
      <c r="O145" t="e">
        <f t="shared" si="5"/>
        <v>#N/A</v>
      </c>
    </row>
    <row r="146" spans="1:15" ht="28.8">
      <c r="A146" t="s">
        <v>2385</v>
      </c>
      <c r="C146" t="str">
        <f>'Table-View'!A157&amp;IF(L165="Remove","_________________del","")</f>
        <v>Security Asset Package External Qualifier</v>
      </c>
      <c r="D146" t="str">
        <f>'Table-View'!B157</f>
        <v>SEC_APA_EXT_QUALFR</v>
      </c>
      <c r="E146" t="s">
        <v>2403</v>
      </c>
      <c r="F146" t="s">
        <v>10</v>
      </c>
      <c r="G146" s="2" t="str">
        <f>'Table-View'!H157</f>
        <v>Qualifier code from the external source system.
This field will be populated only if the transaction has a Security leg.</v>
      </c>
      <c r="H146" t="str">
        <f>IF('Table-View'!E157="No","NOT NULL","NULL")</f>
        <v>NULL</v>
      </c>
      <c r="J146" t="e">
        <f t="shared" si="4"/>
        <v>#N/A</v>
      </c>
      <c r="K146" t="s">
        <v>2404</v>
      </c>
      <c r="L146" t="str">
        <f>'Table-View'!J157</f>
        <v>Update</v>
      </c>
      <c r="M146" t="e">
        <f>VLOOKUP(C146,Model!C$2:G$226,4,FALSE)</f>
        <v>#N/A</v>
      </c>
      <c r="N146" t="e">
        <f>VLOOKUP(C146,Model!C$2:G$226,5,FALSE)</f>
        <v>#N/A</v>
      </c>
      <c r="O146" t="e">
        <f t="shared" si="5"/>
        <v>#N/A</v>
      </c>
    </row>
    <row r="147" spans="1:15" ht="43.2">
      <c r="A147" t="s">
        <v>2385</v>
      </c>
      <c r="C147" t="str">
        <f>'Table-View'!A158&amp;IF(L166="Remove","_________________del","")</f>
        <v>Security Asset Package Id</v>
      </c>
      <c r="D147" t="str">
        <f>'Table-View'!B158</f>
        <v>SEC_APA_ID</v>
      </c>
      <c r="E147" t="s">
        <v>133</v>
      </c>
      <c r="F147" t="s">
        <v>10</v>
      </c>
      <c r="G147" s="2" t="str">
        <f>'Table-View'!H158</f>
        <v>APA_ID from CCAL APA table. It is recorded here for the purpose of maintaining a link with the source. 
This field will be populated only if the transaction has a Security leg.</v>
      </c>
      <c r="H147" t="str">
        <f>IF('Table-View'!E158="No","NOT NULL","NULL")</f>
        <v>NULL</v>
      </c>
      <c r="J147" t="e">
        <f t="shared" si="4"/>
        <v>#N/A</v>
      </c>
      <c r="K147" t="s">
        <v>2404</v>
      </c>
      <c r="L147" t="str">
        <f>'Table-View'!J158</f>
        <v>Existing</v>
      </c>
      <c r="M147" t="e">
        <f>VLOOKUP(C147,Model!C$2:G$226,4,FALSE)</f>
        <v>#N/A</v>
      </c>
      <c r="N147" t="e">
        <f>VLOOKUP(C147,Model!C$2:G$226,5,FALSE)</f>
        <v>#N/A</v>
      </c>
      <c r="O147" t="e">
        <f t="shared" si="5"/>
        <v>#N/A</v>
      </c>
    </row>
    <row r="148" spans="1:15" ht="28.8">
      <c r="A148" t="s">
        <v>2385</v>
      </c>
      <c r="C148" t="str">
        <f>'Table-View'!A159&amp;IF(L167="Remove","_________________del","")</f>
        <v>Security Asset Package Type Code</v>
      </c>
      <c r="D148" t="str">
        <f>'Table-View'!B159</f>
        <v>SCR_APA_TP_CD</v>
      </c>
      <c r="E148" t="s">
        <v>2409</v>
      </c>
      <c r="F148" t="s">
        <v>10</v>
      </c>
      <c r="G148" s="2" t="str">
        <f>'Table-View'!H159</f>
        <v>Code associated with Asset Package Type Id.
This field will be populated only if the transaction has a Security leg.</v>
      </c>
      <c r="H148" t="str">
        <f>IF('Table-View'!E159="No","NOT NULL","NULL")</f>
        <v>NULL</v>
      </c>
      <c r="J148" t="e">
        <f t="shared" si="4"/>
        <v>#N/A</v>
      </c>
      <c r="K148" t="s">
        <v>2404</v>
      </c>
      <c r="L148" t="str">
        <f>'Table-View'!J159</f>
        <v>Existing</v>
      </c>
      <c r="M148" t="e">
        <f>VLOOKUP(C148,Model!C$2:G$226,4,FALSE)</f>
        <v>#N/A</v>
      </c>
      <c r="N148" t="e">
        <f>VLOOKUP(C148,Model!C$2:G$226,5,FALSE)</f>
        <v>#N/A</v>
      </c>
      <c r="O148" t="e">
        <f t="shared" si="5"/>
        <v>#N/A</v>
      </c>
    </row>
    <row r="149" spans="1:15" ht="28.8">
      <c r="A149" t="s">
        <v>2385</v>
      </c>
      <c r="C149" t="str">
        <f>'Table-View'!A160&amp;IF(L168="Remove","_________________del","")</f>
        <v>Security Asset Package Type Description</v>
      </c>
      <c r="D149" t="str">
        <f>'Table-View'!B160</f>
        <v>SCR_APA_TP_DSC</v>
      </c>
      <c r="E149" t="s">
        <v>2423</v>
      </c>
      <c r="F149" t="s">
        <v>10</v>
      </c>
      <c r="G149" s="2" t="str">
        <f>'Table-View'!H160</f>
        <v>Description associated with Asset Package Type Id.
This field will be populated only if the transaction has a Security leg.</v>
      </c>
      <c r="H149" t="str">
        <f>IF('Table-View'!E160="No","NOT NULL","NULL")</f>
        <v>NULL</v>
      </c>
      <c r="J149" t="e">
        <f t="shared" si="4"/>
        <v>#N/A</v>
      </c>
      <c r="K149" t="s">
        <v>2404</v>
      </c>
      <c r="L149" t="str">
        <f>'Table-View'!J160</f>
        <v>Existing</v>
      </c>
      <c r="M149" t="e">
        <f>VLOOKUP(C149,Model!C$2:G$226,4,FALSE)</f>
        <v>#N/A</v>
      </c>
      <c r="N149" t="e">
        <f>VLOOKUP(C149,Model!C$2:G$226,5,FALSE)</f>
        <v>#N/A</v>
      </c>
      <c r="O149" t="e">
        <f t="shared" si="5"/>
        <v>#N/A</v>
      </c>
    </row>
    <row r="150" spans="1:15" ht="28.8">
      <c r="A150" t="s">
        <v>2385</v>
      </c>
      <c r="C150" t="str">
        <f>'Table-View'!A161&amp;IF(L169="Remove","_________________del","")</f>
        <v>Security Asset Package Type Id</v>
      </c>
      <c r="D150" t="str">
        <f>'Table-View'!B161</f>
        <v>SEC_APA_TP_ID</v>
      </c>
      <c r="E150" t="s">
        <v>133</v>
      </c>
      <c r="F150" t="s">
        <v>10</v>
      </c>
      <c r="G150" s="2" t="str">
        <f>'Table-View'!H161</f>
        <v>Asset Pacakge type Id from CCAL core.
This field will be populated only if the transaction has a Security leg.</v>
      </c>
      <c r="H150" t="str">
        <f>IF('Table-View'!E161="No","NOT NULL","NULL")</f>
        <v>NULL</v>
      </c>
      <c r="J150" t="e">
        <f t="shared" si="4"/>
        <v>#N/A</v>
      </c>
      <c r="K150" t="s">
        <v>2404</v>
      </c>
      <c r="L150" t="str">
        <f>'Table-View'!J161</f>
        <v>Existing</v>
      </c>
      <c r="M150" t="e">
        <f>VLOOKUP(C150,Model!C$2:G$226,4,FALSE)</f>
        <v>#N/A</v>
      </c>
      <c r="N150" t="e">
        <f>VLOOKUP(C150,Model!C$2:G$226,5,FALSE)</f>
        <v>#N/A</v>
      </c>
      <c r="O150" t="e">
        <f t="shared" si="5"/>
        <v>#N/A</v>
      </c>
    </row>
    <row r="151" spans="1:15" ht="28.8">
      <c r="A151" t="s">
        <v>2385</v>
      </c>
      <c r="C151" t="str">
        <f>'Table-View'!A162&amp;IF(L170="Remove","_________________del","")</f>
        <v>Security Asset Package Type Name</v>
      </c>
      <c r="D151" t="str">
        <f>'Table-View'!B162</f>
        <v>SCR_APA_TP_NM</v>
      </c>
      <c r="E151" t="s">
        <v>2407</v>
      </c>
      <c r="F151" t="s">
        <v>10</v>
      </c>
      <c r="G151" s="2" t="str">
        <f>'Table-View'!H162</f>
        <v>Name of Asset Package Type Id.
This field will be populated only if the transaction has a Security leg.</v>
      </c>
      <c r="H151" t="str">
        <f>IF('Table-View'!E162="No","NOT NULL","NULL")</f>
        <v>NULL</v>
      </c>
      <c r="J151" t="e">
        <f t="shared" si="4"/>
        <v>#N/A</v>
      </c>
      <c r="K151" t="s">
        <v>2404</v>
      </c>
      <c r="L151" t="str">
        <f>'Table-View'!J162</f>
        <v>Update</v>
      </c>
      <c r="M151" t="e">
        <f>VLOOKUP(C151,Model!C$2:G$226,4,FALSE)</f>
        <v>#N/A</v>
      </c>
      <c r="N151" t="e">
        <f>VLOOKUP(C151,Model!C$2:G$226,5,FALSE)</f>
        <v>#N/A</v>
      </c>
      <c r="O151" t="e">
        <f t="shared" si="5"/>
        <v>#N/A</v>
      </c>
    </row>
    <row r="152" spans="1:15" ht="28.8">
      <c r="A152" t="s">
        <v>2385</v>
      </c>
      <c r="C152" t="str">
        <f>'Table-View'!A163&amp;IF(L171="Remove","_________________del","")</f>
        <v>Security CIRD Product Id</v>
      </c>
      <c r="D152" t="str">
        <f>'Table-View'!B163</f>
        <v>SEC_CIRD_PD_ID</v>
      </c>
      <c r="E152" t="s">
        <v>133</v>
      </c>
      <c r="F152" t="s">
        <v>10</v>
      </c>
      <c r="G152" s="2" t="str">
        <f>'Table-View'!H163</f>
        <v>CIRD identifier for product.
This field will be populated only if the transaction has a Security leg.</v>
      </c>
      <c r="H152" t="str">
        <f>IF('Table-View'!E163="No","NOT NULL","NULL")</f>
        <v>NULL</v>
      </c>
      <c r="J152" t="e">
        <f t="shared" si="4"/>
        <v>#N/A</v>
      </c>
      <c r="K152" t="s">
        <v>2404</v>
      </c>
      <c r="L152" t="str">
        <f>'Table-View'!J163</f>
        <v>Existing</v>
      </c>
      <c r="M152" t="e">
        <f>VLOOKUP(C152,Model!C$2:G$226,4,FALSE)</f>
        <v>#N/A</v>
      </c>
      <c r="N152" t="e">
        <f>VLOOKUP(C152,Model!C$2:G$226,5,FALSE)</f>
        <v>#N/A</v>
      </c>
      <c r="O152" t="e">
        <f t="shared" si="5"/>
        <v>#N/A</v>
      </c>
    </row>
    <row r="153" spans="1:15" ht="28.8">
      <c r="A153" t="s">
        <v>2385</v>
      </c>
      <c r="C153" t="str">
        <f>'Table-View'!A164&amp;IF(L172="Remove","_________________del","")</f>
        <v>Security Debit Credit Code</v>
      </c>
      <c r="D153" t="str">
        <f>'Table-View'!B164</f>
        <v>SEC_DB_CR_CD</v>
      </c>
      <c r="E153" t="s">
        <v>2409</v>
      </c>
      <c r="F153" t="s">
        <v>10</v>
      </c>
      <c r="G153" s="2" t="str">
        <f>'Table-View'!H164</f>
        <v>A code representing Debit / Credit (e.g. D / C)
This field will be populated only if the transaction has a Security leg.</v>
      </c>
      <c r="H153" t="str">
        <f>IF('Table-View'!E164="No","NOT NULL","NULL")</f>
        <v>NULL</v>
      </c>
      <c r="J153" t="e">
        <f t="shared" si="4"/>
        <v>#N/A</v>
      </c>
      <c r="K153" t="s">
        <v>2404</v>
      </c>
      <c r="L153" t="str">
        <f>'Table-View'!J164</f>
        <v>Update</v>
      </c>
      <c r="M153" t="e">
        <f>VLOOKUP(C153,Model!C$2:G$226,4,FALSE)</f>
        <v>#N/A</v>
      </c>
      <c r="N153" t="e">
        <f>VLOOKUP(C153,Model!C$2:G$226,5,FALSE)</f>
        <v>#N/A</v>
      </c>
      <c r="O153" t="e">
        <f t="shared" si="5"/>
        <v>#N/A</v>
      </c>
    </row>
    <row r="154" spans="1:15" ht="28.8">
      <c r="A154" t="s">
        <v>2385</v>
      </c>
      <c r="C154" t="str">
        <f>'Table-View'!A165&amp;IF(L173="Remove","_________________del","")</f>
        <v>Security Debit Credit Name</v>
      </c>
      <c r="D154" t="str">
        <f>'Table-View'!B165</f>
        <v>SEC_DB_CR_NM</v>
      </c>
      <c r="E154" t="s">
        <v>2406</v>
      </c>
      <c r="F154" t="s">
        <v>10</v>
      </c>
      <c r="G154" s="2" t="str">
        <f>'Table-View'!H165</f>
        <v>A Name representing Debit / Credit (e.g. Debit / Credit)
This field will be populated only if the transaction has a Security leg.</v>
      </c>
      <c r="H154" t="str">
        <f>IF('Table-View'!E165="No","NOT NULL","NULL")</f>
        <v>NULL</v>
      </c>
      <c r="J154" t="e">
        <f t="shared" si="4"/>
        <v>#N/A</v>
      </c>
      <c r="K154" t="s">
        <v>2404</v>
      </c>
      <c r="L154" t="str">
        <f>'Table-View'!J165</f>
        <v>Update</v>
      </c>
      <c r="M154" t="e">
        <f>VLOOKUP(C154,Model!C$2:G$226,4,FALSE)</f>
        <v>#N/A</v>
      </c>
      <c r="N154" t="e">
        <f>VLOOKUP(C154,Model!C$2:G$226,5,FALSE)</f>
        <v>#N/A</v>
      </c>
      <c r="O154" t="e">
        <f t="shared" si="5"/>
        <v>#N/A</v>
      </c>
    </row>
    <row r="155" spans="1:15" ht="43.2">
      <c r="A155" t="s">
        <v>2385</v>
      </c>
      <c r="C155" t="str">
        <f>'Table-View'!A166&amp;IF(L174="Remove","_________________del","")</f>
        <v>Security Description Trailer 1</v>
      </c>
      <c r="D155" t="str">
        <f>'Table-View'!B166</f>
        <v>SEC_DSC_TRAILER_1</v>
      </c>
      <c r="E155" t="s">
        <v>2422</v>
      </c>
      <c r="F155" t="s">
        <v>10</v>
      </c>
      <c r="G155" s="2" t="str">
        <f>'Table-View'!H166</f>
        <v>First line of unformatted, monolingual narrative booking information. SIS Trailer field 1.
This field will be populated only if the transaction has a Security leg.</v>
      </c>
      <c r="H155" t="str">
        <f>IF('Table-View'!E166="No","NOT NULL","NULL")</f>
        <v>NULL</v>
      </c>
      <c r="J155" t="e">
        <f t="shared" si="4"/>
        <v>#N/A</v>
      </c>
      <c r="K155" t="s">
        <v>2404</v>
      </c>
      <c r="L155" t="str">
        <f>'Table-View'!J166</f>
        <v>Existing</v>
      </c>
      <c r="M155" t="e">
        <f>VLOOKUP(C155,Model!C$2:G$226,4,FALSE)</f>
        <v>#N/A</v>
      </c>
      <c r="N155" t="e">
        <f>VLOOKUP(C155,Model!C$2:G$226,5,FALSE)</f>
        <v>#N/A</v>
      </c>
      <c r="O155" t="e">
        <f t="shared" si="5"/>
        <v>#N/A</v>
      </c>
    </row>
    <row r="156" spans="1:15" ht="28.8">
      <c r="A156" t="s">
        <v>2385</v>
      </c>
      <c r="C156" t="str">
        <f>'Table-View'!A167&amp;IF(L175="Remove","_________________del","")</f>
        <v>Security Original Quantity</v>
      </c>
      <c r="D156" t="str">
        <f>'Table-View'!B167</f>
        <v>SEC_ORIG_QTY</v>
      </c>
      <c r="E156" t="s">
        <v>560</v>
      </c>
      <c r="F156" t="s">
        <v>10</v>
      </c>
      <c r="G156" s="2" t="str">
        <f>'Table-View'!H167</f>
        <v>Original Quantity of the Package.
This field will be populated only if the transaction has a Security leg.</v>
      </c>
      <c r="H156" t="str">
        <f>IF('Table-View'!E167="No","NOT NULL","NULL")</f>
        <v>NULL</v>
      </c>
      <c r="J156" t="e">
        <f t="shared" si="4"/>
        <v>#N/A</v>
      </c>
      <c r="K156" t="s">
        <v>2404</v>
      </c>
      <c r="L156" t="str">
        <f>'Table-View'!J167</f>
        <v>Update</v>
      </c>
      <c r="M156" t="e">
        <f>VLOOKUP(C156,Model!C$2:G$226,4,FALSE)</f>
        <v>#N/A</v>
      </c>
      <c r="N156" t="e">
        <f>VLOOKUP(C156,Model!C$2:G$226,5,FALSE)</f>
        <v>#N/A</v>
      </c>
      <c r="O156" t="e">
        <f t="shared" si="5"/>
        <v>#N/A</v>
      </c>
    </row>
    <row r="157" spans="1:15" ht="28.8">
      <c r="A157" t="s">
        <v>2385</v>
      </c>
      <c r="C157" t="str">
        <f>'Table-View'!A168&amp;IF(L176="Remove","_________________del","")</f>
        <v>Security source CUSIP</v>
      </c>
      <c r="D157" t="str">
        <f>'Table-View'!B168</f>
        <v>SEC_SRC_CUSIP</v>
      </c>
      <c r="E157" t="s">
        <v>2409</v>
      </c>
      <c r="F157" t="s">
        <v>10</v>
      </c>
      <c r="G157" s="2" t="str">
        <f>'Table-View'!H168</f>
        <v>CUSIP from source system.
This field will be populated only if the transaction has a Security leg.</v>
      </c>
      <c r="H157" t="str">
        <f>IF('Table-View'!E168="No","NOT NULL","NULL")</f>
        <v>NULL</v>
      </c>
      <c r="J157" t="e">
        <f t="shared" si="4"/>
        <v>#N/A</v>
      </c>
      <c r="K157" t="s">
        <v>2404</v>
      </c>
      <c r="L157" t="str">
        <f>'Table-View'!J168</f>
        <v>Existing</v>
      </c>
      <c r="M157" t="e">
        <f>VLOOKUP(C157,Model!C$2:G$226,4,FALSE)</f>
        <v>#N/A</v>
      </c>
      <c r="N157" t="e">
        <f>VLOOKUP(C157,Model!C$2:G$226,5,FALSE)</f>
        <v>#N/A</v>
      </c>
      <c r="O157" t="e">
        <f t="shared" si="5"/>
        <v>#N/A</v>
      </c>
    </row>
    <row r="158" spans="1:15">
      <c r="A158" t="s">
        <v>2385</v>
      </c>
      <c r="C158" t="str">
        <f>'Table-View'!A169&amp;IF(L177="Remove","_________________del","")</f>
        <v>Security Product Id</v>
      </c>
      <c r="D158" t="str">
        <f>'Table-View'!B169</f>
        <v>SEC_PD_ID</v>
      </c>
      <c r="E158" t="s">
        <v>133</v>
      </c>
      <c r="F158" t="s">
        <v>10</v>
      </c>
      <c r="G158" s="2" t="str">
        <f>'Table-View'!H169</f>
        <v>Product Identifier from Security Asset package</v>
      </c>
      <c r="H158" t="str">
        <f>IF('Table-View'!E169="No","NOT NULL","NULL")</f>
        <v>NULL</v>
      </c>
      <c r="J158" t="e">
        <f t="shared" si="4"/>
        <v>#N/A</v>
      </c>
      <c r="K158" t="s">
        <v>2404</v>
      </c>
      <c r="L158" t="str">
        <f>'Table-View'!J169</f>
        <v>Existing</v>
      </c>
      <c r="M158" t="e">
        <f>VLOOKUP(C158,Model!C$2:G$226,4,FALSE)</f>
        <v>#N/A</v>
      </c>
      <c r="N158" t="e">
        <f>VLOOKUP(C158,Model!C$2:G$226,5,FALSE)</f>
        <v>#N/A</v>
      </c>
      <c r="O158" t="e">
        <f t="shared" si="5"/>
        <v>#N/A</v>
      </c>
    </row>
    <row r="159" spans="1:15" ht="28.8">
      <c r="A159" t="s">
        <v>2385</v>
      </c>
      <c r="C159" t="str">
        <f>'Table-View'!A170&amp;IF(L178="Remove","_________________del","")</f>
        <v>Security Investment Product Dim Id</v>
      </c>
      <c r="D159" t="str">
        <f>'Table-View'!B170</f>
        <v>SEC_PD_DIM_ID</v>
      </c>
      <c r="E159" t="s">
        <v>133</v>
      </c>
      <c r="F159" t="s">
        <v>10</v>
      </c>
      <c r="G159" s="2" t="str">
        <f>'Table-View'!H170</f>
        <v>Surrogate key for Instrument Product Dim.
This field will be populated only if the transaction has a Security leg.</v>
      </c>
      <c r="H159" t="str">
        <f>IF('Table-View'!E170="No","NOT NULL","NULL")</f>
        <v>NOT NULL</v>
      </c>
      <c r="J159" t="e">
        <f t="shared" si="4"/>
        <v>#N/A</v>
      </c>
      <c r="K159" t="s">
        <v>2404</v>
      </c>
      <c r="L159" t="str">
        <f>'Table-View'!J170</f>
        <v>Existing</v>
      </c>
      <c r="M159" t="e">
        <f>VLOOKUP(C159,Model!C$2:G$226,4,FALSE)</f>
        <v>#N/A</v>
      </c>
      <c r="N159" t="e">
        <f>VLOOKUP(C159,Model!C$2:G$226,5,FALSE)</f>
        <v>#N/A</v>
      </c>
      <c r="O159" t="e">
        <f t="shared" si="5"/>
        <v>#N/A</v>
      </c>
    </row>
    <row r="160" spans="1:15">
      <c r="A160" t="s">
        <v>2385</v>
      </c>
      <c r="C160" t="str">
        <f>'Table-View'!A171&amp;IF(L179="Remove","_________________del","")</f>
        <v>Security Price In Transaction Currency</v>
      </c>
      <c r="D160" t="str">
        <f>'Table-View'!B171</f>
        <v>SEC_PRC_IN_TXN_CCY</v>
      </c>
      <c r="E160" t="s">
        <v>928</v>
      </c>
      <c r="F160" t="s">
        <v>10</v>
      </c>
      <c r="G160" s="2" t="str">
        <f>'Table-View'!H171</f>
        <v>Price of the securities instrument in transaction currency.</v>
      </c>
      <c r="H160" t="str">
        <f>IF('Table-View'!E171="No","NOT NULL","NULL")</f>
        <v>NULL</v>
      </c>
      <c r="J160" t="e">
        <f t="shared" si="4"/>
        <v>#N/A</v>
      </c>
      <c r="K160" t="s">
        <v>2404</v>
      </c>
      <c r="L160" t="str">
        <f>'Table-View'!J171</f>
        <v>Update</v>
      </c>
      <c r="M160" t="e">
        <f>VLOOKUP(C160,Model!C$2:G$226,4,FALSE)</f>
        <v>#N/A</v>
      </c>
      <c r="N160" t="e">
        <f>VLOOKUP(C160,Model!C$2:G$226,5,FALSE)</f>
        <v>#N/A</v>
      </c>
      <c r="O160" t="e">
        <f t="shared" si="5"/>
        <v>#N/A</v>
      </c>
    </row>
    <row r="161" spans="1:15" ht="57.6">
      <c r="A161" t="s">
        <v>2385</v>
      </c>
      <c r="C161" t="str">
        <f>'Table-View'!A172&amp;IF(L180="Remove","_________________del","")</f>
        <v>Security Source Price In System Base Currency</v>
      </c>
      <c r="D161" t="str">
        <f>'Table-View'!B172</f>
        <v>SEC_SRC_PRC_IN_SBC</v>
      </c>
      <c r="E161" t="s">
        <v>928</v>
      </c>
      <c r="F161" t="s">
        <v>10</v>
      </c>
      <c r="G161" s="2" t="str">
        <f>'Table-View'!H172</f>
        <v>Principal amount of the trade execution expressed in the system base currency. This value should not include commissions or fees associated with the trade.
This field will be populated only if the transaction has a Security leg.</v>
      </c>
      <c r="H161" t="str">
        <f>IF('Table-View'!E172="No","NOT NULL","NULL")</f>
        <v>NULL</v>
      </c>
      <c r="J161" t="e">
        <f t="shared" si="4"/>
        <v>#N/A</v>
      </c>
      <c r="K161" t="s">
        <v>2404</v>
      </c>
      <c r="L161" t="str">
        <f>'Table-View'!J172</f>
        <v>Update</v>
      </c>
      <c r="M161" t="e">
        <f>VLOOKUP(C161,Model!C$2:G$226,4,FALSE)</f>
        <v>#N/A</v>
      </c>
      <c r="N161" t="e">
        <f>VLOOKUP(C161,Model!C$2:G$226,5,FALSE)</f>
        <v>#N/A</v>
      </c>
      <c r="O161" t="e">
        <f t="shared" si="5"/>
        <v>#N/A</v>
      </c>
    </row>
    <row r="162" spans="1:15" ht="28.8">
      <c r="A162" t="s">
        <v>2385</v>
      </c>
      <c r="C162" t="str">
        <f>'Table-View'!A173&amp;IF(L181="Remove","_________________del","")</f>
        <v>Security Source Sequence Number</v>
      </c>
      <c r="D162" t="str">
        <f>'Table-View'!B173</f>
        <v>SEC_SRC_SEQ_NUM</v>
      </c>
      <c r="E162" t="s">
        <v>133</v>
      </c>
      <c r="F162" t="s">
        <v>10</v>
      </c>
      <c r="G162" s="2" t="str">
        <f>'Table-View'!H173</f>
        <v>Sequence Number assigned by source system.
This field will be populated only if the transaction has a Security leg.</v>
      </c>
      <c r="H162" t="str">
        <f>IF('Table-View'!E173="No","NOT NULL","NULL")</f>
        <v>NULL</v>
      </c>
      <c r="J162" t="e">
        <f t="shared" si="4"/>
        <v>#N/A</v>
      </c>
      <c r="K162" t="s">
        <v>2404</v>
      </c>
      <c r="L162" t="str">
        <f>'Table-View'!J173</f>
        <v>Update</v>
      </c>
      <c r="M162" t="e">
        <f>VLOOKUP(C162,Model!C$2:G$226,4,FALSE)</f>
        <v>#N/A</v>
      </c>
      <c r="N162" t="e">
        <f>VLOOKUP(C162,Model!C$2:G$226,5,FALSE)</f>
        <v>#N/A</v>
      </c>
      <c r="O162" t="e">
        <f t="shared" si="5"/>
        <v>#N/A</v>
      </c>
    </row>
    <row r="163" spans="1:15" ht="28.8">
      <c r="A163" t="s">
        <v>2385</v>
      </c>
      <c r="C163" t="str">
        <f>'Table-View'!A174&amp;IF(L182="Remove","_________________del","")</f>
        <v>Security System Base Currency Amount</v>
      </c>
      <c r="D163" t="str">
        <f>'Table-View'!B174</f>
        <v>SEC_SBC_AMT</v>
      </c>
      <c r="E163" t="s">
        <v>560</v>
      </c>
      <c r="F163" t="s">
        <v>10</v>
      </c>
      <c r="G163" s="2" t="str">
        <f>'Table-View'!H174</f>
        <v>Transaction Amount expressed in System Base Currency.
This field will be populated only if the transaction has a Security leg.</v>
      </c>
      <c r="H163" t="str">
        <f>IF('Table-View'!E174="No","NOT NULL","NULL")</f>
        <v>NULL</v>
      </c>
      <c r="J163" t="e">
        <f t="shared" si="4"/>
        <v>#N/A</v>
      </c>
      <c r="K163" t="s">
        <v>2404</v>
      </c>
      <c r="L163" t="str">
        <f>'Table-View'!J174</f>
        <v>Update</v>
      </c>
      <c r="M163" t="e">
        <f>VLOOKUP(C163,Model!C$2:G$226,4,FALSE)</f>
        <v>#N/A</v>
      </c>
      <c r="N163" t="e">
        <f>VLOOKUP(C163,Model!C$2:G$226,5,FALSE)</f>
        <v>#N/A</v>
      </c>
      <c r="O163" t="e">
        <f t="shared" si="5"/>
        <v>#N/A</v>
      </c>
    </row>
    <row r="164" spans="1:15" ht="43.2">
      <c r="A164" t="s">
        <v>2385</v>
      </c>
      <c r="C164" t="str">
        <f>'Table-View'!A175&amp;IF(L183="Remove","_________________del","")</f>
        <v>Security Transaction Amount</v>
      </c>
      <c r="D164" t="str">
        <f>'Table-View'!B175</f>
        <v>SEC_TXN_AMT</v>
      </c>
      <c r="E164" t="s">
        <v>560</v>
      </c>
      <c r="F164" t="s">
        <v>10</v>
      </c>
      <c r="G164" s="2" t="str">
        <f>'Table-View'!H175</f>
        <v>Transaction amount applicable to the Asset package in transaction currency.
This field will be populated only if the transaction has a Security leg.</v>
      </c>
      <c r="H164" t="str">
        <f>IF('Table-View'!E175="No","NOT NULL","NULL")</f>
        <v>NULL</v>
      </c>
      <c r="J164" t="e">
        <f t="shared" si="4"/>
        <v>#N/A</v>
      </c>
      <c r="K164" t="s">
        <v>2404</v>
      </c>
      <c r="L164" t="str">
        <f>'Table-View'!J175</f>
        <v>Update</v>
      </c>
      <c r="M164" t="e">
        <f>VLOOKUP(C164,Model!C$2:G$226,4,FALSE)</f>
        <v>#N/A</v>
      </c>
      <c r="N164" t="e">
        <f>VLOOKUP(C164,Model!C$2:G$226,5,FALSE)</f>
        <v>#N/A</v>
      </c>
      <c r="O164" t="e">
        <f t="shared" si="5"/>
        <v>#N/A</v>
      </c>
    </row>
    <row r="165" spans="1:15" ht="57.6">
      <c r="A165" t="s">
        <v>2385</v>
      </c>
      <c r="C165" t="str">
        <f>'Table-View'!A176&amp;IF(L184="Remove","_________________del","")</f>
        <v>Settlement Date</v>
      </c>
      <c r="D165" t="str">
        <f>'Table-View'!B176</f>
        <v>SD</v>
      </c>
      <c r="E165" t="s">
        <v>157</v>
      </c>
      <c r="F165" t="s">
        <v>10</v>
      </c>
      <c r="G165" s="2" t="str">
        <f>'Table-View'!H176</f>
        <v>Settlement date is a securities industry term describing the date on which a trade settles. That is, the actual day on which transfer of cash or assets is completed and is usually a few days after the trade was done.</v>
      </c>
      <c r="H165" t="str">
        <f>IF('Table-View'!E176="No","NOT NULL","NULL")</f>
        <v>NULL</v>
      </c>
      <c r="J165" t="e">
        <f t="shared" si="4"/>
        <v>#N/A</v>
      </c>
      <c r="K165" t="s">
        <v>2404</v>
      </c>
      <c r="L165" t="str">
        <f>'Table-View'!J176</f>
        <v>Existing</v>
      </c>
      <c r="M165" t="e">
        <f>VLOOKUP(C165,Model!C$2:G$226,4,FALSE)</f>
        <v>#N/A</v>
      </c>
      <c r="N165" t="e">
        <f>VLOOKUP(C165,Model!C$2:G$226,5,FALSE)</f>
        <v>#N/A</v>
      </c>
      <c r="O165" t="e">
        <f t="shared" si="5"/>
        <v>#N/A</v>
      </c>
    </row>
    <row r="166" spans="1:15" ht="28.8">
      <c r="A166" t="s">
        <v>2385</v>
      </c>
      <c r="C166" t="str">
        <f>'Table-View'!A177&amp;IF(L185="Remove","_________________del","")</f>
        <v>Settlement Date Dimension Id</v>
      </c>
      <c r="D166" t="str">
        <f>'Table-View'!B177</f>
        <v>SD_DIM_ID</v>
      </c>
      <c r="E166" t="s">
        <v>133</v>
      </c>
      <c r="F166" t="s">
        <v>10</v>
      </c>
      <c r="G166" s="2" t="str">
        <f>'Table-View'!H177</f>
        <v>Synthetic Key identifying a single date in the DATE Dimension based on Settlement date</v>
      </c>
      <c r="H166" t="str">
        <f>IF('Table-View'!E177="No","NOT NULL","NULL")</f>
        <v>NOT NULL</v>
      </c>
      <c r="J166" t="e">
        <f t="shared" si="4"/>
        <v>#N/A</v>
      </c>
      <c r="K166" t="s">
        <v>2404</v>
      </c>
      <c r="L166" t="str">
        <f>'Table-View'!J177</f>
        <v>Existing</v>
      </c>
      <c r="M166" t="e">
        <f>VLOOKUP(C166,Model!C$2:G$226,4,FALSE)</f>
        <v>#N/A</v>
      </c>
      <c r="N166" t="e">
        <f>VLOOKUP(C166,Model!C$2:G$226,5,FALSE)</f>
        <v>#N/A</v>
      </c>
      <c r="O166" t="e">
        <f t="shared" si="5"/>
        <v>#N/A</v>
      </c>
    </row>
    <row r="167" spans="1:15" ht="28.8">
      <c r="A167" t="s">
        <v>2385</v>
      </c>
      <c r="C167" t="str">
        <f>'Table-View'!A178&amp;IF(L186="Remove","_________________del","")</f>
        <v>Source Create User Name</v>
      </c>
      <c r="D167" t="str">
        <f>'Table-View'!B178</f>
        <v>SRC_CRT_USRNM</v>
      </c>
      <c r="E167" t="s">
        <v>2403</v>
      </c>
      <c r="F167" t="s">
        <v>10</v>
      </c>
      <c r="G167" s="2" t="str">
        <f>'Table-View'!H178</f>
        <v>The name that represents the user/process that created row in the primary source table</v>
      </c>
      <c r="H167" t="str">
        <f>IF('Table-View'!E178="No","NOT NULL","NULL")</f>
        <v>NULL</v>
      </c>
      <c r="J167" t="e">
        <f t="shared" si="4"/>
        <v>#N/A</v>
      </c>
      <c r="K167" t="s">
        <v>2404</v>
      </c>
      <c r="L167" t="str">
        <f>'Table-View'!J178</f>
        <v>Existing</v>
      </c>
      <c r="M167" t="e">
        <f>VLOOKUP(C167,Model!C$2:G$226,4,FALSE)</f>
        <v>#N/A</v>
      </c>
      <c r="N167" t="e">
        <f>VLOOKUP(C167,Model!C$2:G$226,5,FALSE)</f>
        <v>#N/A</v>
      </c>
      <c r="O167" t="e">
        <f t="shared" si="5"/>
        <v>#N/A</v>
      </c>
    </row>
    <row r="168" spans="1:15">
      <c r="A168" t="s">
        <v>2385</v>
      </c>
      <c r="C168" t="str">
        <f>'Table-View'!A179&amp;IF(L187="Remove","_________________del","")</f>
        <v>Source Effective Date</v>
      </c>
      <c r="D168" t="str">
        <f>'Table-View'!B179</f>
        <v>SRC_EFF_DT</v>
      </c>
      <c r="E168" t="s">
        <v>157</v>
      </c>
      <c r="F168" t="s">
        <v>10</v>
      </c>
      <c r="G168" s="2" t="str">
        <f>'Table-View'!H179</f>
        <v>Effective date of the APA in the source system</v>
      </c>
      <c r="H168" t="str">
        <f>IF('Table-View'!E179="No","NOT NULL","NULL")</f>
        <v>NULL</v>
      </c>
      <c r="J168" t="e">
        <f t="shared" si="4"/>
        <v>#N/A</v>
      </c>
      <c r="K168" t="s">
        <v>2404</v>
      </c>
      <c r="L168" t="str">
        <f>'Table-View'!J179</f>
        <v>Existing</v>
      </c>
      <c r="M168" t="e">
        <f>VLOOKUP(C168,Model!C$2:G$226,4,FALSE)</f>
        <v>#N/A</v>
      </c>
      <c r="N168" t="e">
        <f>VLOOKUP(C168,Model!C$2:G$226,5,FALSE)</f>
        <v>#N/A</v>
      </c>
      <c r="O168" t="e">
        <f t="shared" si="5"/>
        <v>#N/A</v>
      </c>
    </row>
    <row r="169" spans="1:15" ht="57.6">
      <c r="A169" t="s">
        <v>2385</v>
      </c>
      <c r="C169" t="str">
        <f>'Table-View'!A180&amp;IF(L188="Remove","_________________del","")</f>
        <v>Source Entry Channel Type Code</v>
      </c>
      <c r="D169" t="str">
        <f>'Table-View'!B180</f>
        <v>SRC_ENTR_CNL_TP_CD</v>
      </c>
      <c r="E169" t="s">
        <v>2409</v>
      </c>
      <c r="F169" t="s">
        <v>10</v>
      </c>
      <c r="G169" s="2" t="str">
        <f>'Table-View'!H180</f>
        <v>A code for the communication channel through which the order is placed. If client called to place order, this value could be phone order, if a transaction is system-generated, it could be system, if written instruction was provided by client, it could be written order, etc.</v>
      </c>
      <c r="H169" t="str">
        <f>IF('Table-View'!E180="No","NOT NULL","NULL")</f>
        <v>NULL</v>
      </c>
      <c r="J169" t="e">
        <f t="shared" si="4"/>
        <v>#N/A</v>
      </c>
      <c r="K169" t="s">
        <v>2404</v>
      </c>
      <c r="L169" t="str">
        <f>'Table-View'!J180</f>
        <v>Existing</v>
      </c>
      <c r="M169" t="e">
        <f>VLOOKUP(C169,Model!C$2:G$226,4,FALSE)</f>
        <v>#N/A</v>
      </c>
      <c r="N169" t="e">
        <f>VLOOKUP(C169,Model!C$2:G$226,5,FALSE)</f>
        <v>#N/A</v>
      </c>
      <c r="O169" t="e">
        <f t="shared" si="5"/>
        <v>#N/A</v>
      </c>
    </row>
    <row r="170" spans="1:15">
      <c r="A170" t="s">
        <v>2385</v>
      </c>
      <c r="C170" t="str">
        <f>'Table-View'!A181&amp;IF(L189="Remove","_________________del","")</f>
        <v>Source Entry Channel Type Dimension Id</v>
      </c>
      <c r="D170" t="str">
        <f>'Table-View'!B181</f>
        <v>SRC_ENTR_CNL_TP_DIM_ID</v>
      </c>
      <c r="E170" t="s">
        <v>133</v>
      </c>
      <c r="F170" t="s">
        <v>10</v>
      </c>
      <c r="G170" s="2" t="str">
        <f>'Table-View'!H181</f>
        <v>Surrogate key for the Source Entry Channel Type Dimension</v>
      </c>
      <c r="H170" t="str">
        <f>IF('Table-View'!E181="No","NOT NULL","NULL")</f>
        <v>NOT NULL</v>
      </c>
      <c r="J170" t="e">
        <f t="shared" si="4"/>
        <v>#N/A</v>
      </c>
      <c r="K170" t="s">
        <v>2404</v>
      </c>
      <c r="L170" t="str">
        <f>'Table-View'!J181</f>
        <v>Existing</v>
      </c>
      <c r="M170" t="e">
        <f>VLOOKUP(C170,Model!C$2:G$226,4,FALSE)</f>
        <v>#N/A</v>
      </c>
      <c r="N170" t="e">
        <f>VLOOKUP(C170,Model!C$2:G$226,5,FALSE)</f>
        <v>#N/A</v>
      </c>
      <c r="O170" t="e">
        <f t="shared" si="5"/>
        <v>#N/A</v>
      </c>
    </row>
    <row r="171" spans="1:15" ht="57.6">
      <c r="A171" t="s">
        <v>2385</v>
      </c>
      <c r="C171" t="str">
        <f>'Table-View'!A182&amp;IF(L190="Remove","_________________del","")</f>
        <v>Source Entry Channel Type Name</v>
      </c>
      <c r="D171" t="str">
        <f>'Table-View'!B182</f>
        <v>SRC_ENTR_CNL_TP_NM</v>
      </c>
      <c r="E171" t="s">
        <v>2407</v>
      </c>
      <c r="F171" t="s">
        <v>10</v>
      </c>
      <c r="G171" s="2" t="str">
        <f>'Table-View'!H182</f>
        <v>Name for the communication channel through which the order is placed. If client called to place order, this value could be phone order, if a transaction is system-generated, it could be system, if written instruction was provided by client, it could be written order, etc.</v>
      </c>
      <c r="H171" t="str">
        <f>IF('Table-View'!E182="No","NOT NULL","NULL")</f>
        <v>NULL</v>
      </c>
      <c r="J171" t="e">
        <f t="shared" si="4"/>
        <v>#N/A</v>
      </c>
      <c r="K171" t="s">
        <v>2404</v>
      </c>
      <c r="L171" t="str">
        <f>'Table-View'!J182</f>
        <v>Existing</v>
      </c>
      <c r="M171" t="e">
        <f>VLOOKUP(C171,Model!C$2:G$226,4,FALSE)</f>
        <v>#N/A</v>
      </c>
      <c r="N171" t="e">
        <f>VLOOKUP(C171,Model!C$2:G$226,5,FALSE)</f>
        <v>#N/A</v>
      </c>
      <c r="O171" t="e">
        <f t="shared" si="5"/>
        <v>#N/A</v>
      </c>
    </row>
    <row r="172" spans="1:15">
      <c r="A172" t="s">
        <v>2385</v>
      </c>
      <c r="C172" t="str">
        <f>'Table-View'!A183&amp;IF(L191="Remove","_________________del","")</f>
        <v>Source Entry Channel Type Id</v>
      </c>
      <c r="D172" t="str">
        <f>'Table-View'!B183</f>
        <v>SRC_ENTR_CNL_TP_ID</v>
      </c>
      <c r="E172" t="s">
        <v>133</v>
      </c>
      <c r="F172" t="s">
        <v>10</v>
      </c>
      <c r="G172" s="2" t="str">
        <f>'Table-View'!H183</f>
        <v>Identifier for the Source Entry Channel Type</v>
      </c>
      <c r="H172" t="str">
        <f>IF('Table-View'!E183="No","NOT NULL","NULL")</f>
        <v>NULL</v>
      </c>
      <c r="J172" t="e">
        <f t="shared" si="4"/>
        <v>#N/A</v>
      </c>
      <c r="K172" t="s">
        <v>2404</v>
      </c>
      <c r="L172" t="str">
        <f>'Table-View'!J183</f>
        <v>Add</v>
      </c>
      <c r="M172" t="e">
        <f>VLOOKUP(C172,Model!C$2:G$226,4,FALSE)</f>
        <v>#N/A</v>
      </c>
      <c r="N172" t="e">
        <f>VLOOKUP(C172,Model!C$2:G$226,5,FALSE)</f>
        <v>#N/A</v>
      </c>
      <c r="O172" t="e">
        <f t="shared" si="5"/>
        <v>#N/A</v>
      </c>
    </row>
    <row r="173" spans="1:15" ht="28.8">
      <c r="A173" t="s">
        <v>2385</v>
      </c>
      <c r="C173" t="str">
        <f>'Table-View'!A184&amp;IF(L192="Remove","_________________del","")</f>
        <v>Source Entry Datetime</v>
      </c>
      <c r="D173" t="str">
        <f>'Table-View'!B184</f>
        <v>SRC_ENTR_DTM</v>
      </c>
      <c r="E173" t="s">
        <v>2427</v>
      </c>
      <c r="F173" t="s">
        <v>10</v>
      </c>
      <c r="G173" s="2" t="str">
        <f>'Table-View'!H184</f>
        <v>Time stamp of first occurrence of the transaction in the order entry system.</v>
      </c>
      <c r="H173" t="str">
        <f>IF('Table-View'!E184="No","NOT NULL","NULL")</f>
        <v>NULL</v>
      </c>
      <c r="J173" t="e">
        <f t="shared" si="4"/>
        <v>#N/A</v>
      </c>
      <c r="K173" t="s">
        <v>2404</v>
      </c>
      <c r="L173" t="str">
        <f>'Table-View'!J184</f>
        <v>Existing</v>
      </c>
      <c r="M173" t="e">
        <f>VLOOKUP(C173,Model!C$2:G$226,4,FALSE)</f>
        <v>#N/A</v>
      </c>
      <c r="N173" t="e">
        <f>VLOOKUP(C173,Model!C$2:G$226,5,FALSE)</f>
        <v>#N/A</v>
      </c>
      <c r="O173" t="e">
        <f t="shared" si="5"/>
        <v>#N/A</v>
      </c>
    </row>
    <row r="174" spans="1:15">
      <c r="A174" t="s">
        <v>2385</v>
      </c>
      <c r="C174" t="str">
        <f>'Table-View'!A185&amp;IF(L193="Remove","_________________del","")</f>
        <v>Source Processing Type Dimension Id</v>
      </c>
      <c r="D174" t="str">
        <f>'Table-View'!B185</f>
        <v>SRC_PCS_TP_DIM_ID</v>
      </c>
      <c r="E174" t="s">
        <v>133</v>
      </c>
      <c r="F174" t="s">
        <v>10</v>
      </c>
      <c r="G174" s="2" t="str">
        <f>'Table-View'!H185</f>
        <v>Surrogate key for Source Processing Type Dimension.</v>
      </c>
      <c r="H174" t="str">
        <f>IF('Table-View'!E185="No","NOT NULL","NULL")</f>
        <v>NOT NULL</v>
      </c>
      <c r="J174" t="e">
        <f t="shared" si="4"/>
        <v>#N/A</v>
      </c>
      <c r="K174" t="s">
        <v>2404</v>
      </c>
      <c r="L174" t="str">
        <f>'Table-View'!J185</f>
        <v>Existing</v>
      </c>
      <c r="M174" t="e">
        <f>VLOOKUP(C174,Model!C$2:G$226,4,FALSE)</f>
        <v>#N/A</v>
      </c>
      <c r="N174" t="e">
        <f>VLOOKUP(C174,Model!C$2:G$226,5,FALSE)</f>
        <v>#N/A</v>
      </c>
      <c r="O174" t="e">
        <f t="shared" si="5"/>
        <v>#N/A</v>
      </c>
    </row>
    <row r="175" spans="1:15">
      <c r="A175" t="s">
        <v>2385</v>
      </c>
      <c r="C175" t="str">
        <f>'Table-View'!A186&amp;IF(L194="Remove","_________________del","")</f>
        <v>Source Processing Type Id</v>
      </c>
      <c r="D175" t="str">
        <f>'Table-View'!B186</f>
        <v>SRC_PCS_TP_ID</v>
      </c>
      <c r="E175" t="s">
        <v>133</v>
      </c>
      <c r="F175" t="s">
        <v>10</v>
      </c>
      <c r="G175" s="2" t="str">
        <f>'Table-View'!H186</f>
        <v>Identifier for the Source Processing Type</v>
      </c>
      <c r="H175" t="str">
        <f>IF('Table-View'!E186="No","NOT NULL","NULL")</f>
        <v>NULL</v>
      </c>
      <c r="J175" t="e">
        <f t="shared" si="4"/>
        <v>#N/A</v>
      </c>
      <c r="K175" t="s">
        <v>2404</v>
      </c>
      <c r="L175" t="str">
        <f>'Table-View'!J186</f>
        <v>Add</v>
      </c>
      <c r="M175" t="e">
        <f>VLOOKUP(C175,Model!C$2:G$226,4,FALSE)</f>
        <v>#N/A</v>
      </c>
      <c r="N175" t="e">
        <f>VLOOKUP(C175,Model!C$2:G$226,5,FALSE)</f>
        <v>#N/A</v>
      </c>
      <c r="O175" t="e">
        <f t="shared" si="5"/>
        <v>#N/A</v>
      </c>
    </row>
    <row r="176" spans="1:15" ht="28.8">
      <c r="A176" t="s">
        <v>2385</v>
      </c>
      <c r="C176" t="str">
        <f>'Table-View'!A187&amp;IF(L195="Remove","_________________del","")</f>
        <v>Source Processing Type Code</v>
      </c>
      <c r="D176" t="str">
        <f>'Table-View'!B187</f>
        <v>SRC_PCS_TP_CD</v>
      </c>
      <c r="E176" t="s">
        <v>2409</v>
      </c>
      <c r="F176" t="s">
        <v>10</v>
      </c>
      <c r="G176" s="2" t="str">
        <f>'Table-View'!H187</f>
        <v>A code for the source processing type, values include backdated, initial, cancel, correction or reversal.</v>
      </c>
      <c r="H176" t="str">
        <f>IF('Table-View'!E187="No","NOT NULL","NULL")</f>
        <v>NULL</v>
      </c>
      <c r="J176" t="e">
        <f t="shared" si="4"/>
        <v>#N/A</v>
      </c>
      <c r="K176" t="s">
        <v>2404</v>
      </c>
      <c r="L176" t="str">
        <f>'Table-View'!J187</f>
        <v>Existing</v>
      </c>
      <c r="M176" t="e">
        <f>VLOOKUP(C176,Model!C$2:G$226,4,FALSE)</f>
        <v>#N/A</v>
      </c>
      <c r="N176" t="e">
        <f>VLOOKUP(C176,Model!C$2:G$226,5,FALSE)</f>
        <v>#N/A</v>
      </c>
      <c r="O176" t="e">
        <f t="shared" si="5"/>
        <v>#N/A</v>
      </c>
    </row>
    <row r="177" spans="1:15" ht="28.8">
      <c r="A177" t="s">
        <v>2385</v>
      </c>
      <c r="C177" t="str">
        <f>'Table-View'!A188&amp;IF(L196="Remove","_________________del","")</f>
        <v>Source Processing Type Name</v>
      </c>
      <c r="D177" t="str">
        <f>'Table-View'!B188</f>
        <v>SRC_PCS_TP_NM</v>
      </c>
      <c r="E177" t="s">
        <v>2407</v>
      </c>
      <c r="F177" t="s">
        <v>10</v>
      </c>
      <c r="G177" s="2" t="str">
        <f>'Table-View'!H188</f>
        <v>Name of the source processing type, values include backdated, initial, cancel, correction or reversal.</v>
      </c>
      <c r="H177" t="str">
        <f>IF('Table-View'!E188="No","NOT NULL","NULL")</f>
        <v>NULL</v>
      </c>
      <c r="J177" t="e">
        <f t="shared" si="4"/>
        <v>#N/A</v>
      </c>
      <c r="K177" t="s">
        <v>2404</v>
      </c>
      <c r="L177" t="str">
        <f>'Table-View'!J188</f>
        <v>Existing</v>
      </c>
      <c r="M177" t="e">
        <f>VLOOKUP(C177,Model!C$2:G$226,4,FALSE)</f>
        <v>#N/A</v>
      </c>
      <c r="N177" t="e">
        <f>VLOOKUP(C177,Model!C$2:G$226,5,FALSE)</f>
        <v>#N/A</v>
      </c>
      <c r="O177" t="e">
        <f t="shared" si="5"/>
        <v>#N/A</v>
      </c>
    </row>
    <row r="178" spans="1:15" ht="28.8">
      <c r="A178" t="s">
        <v>2385</v>
      </c>
      <c r="C178" t="str">
        <f>'Table-View'!A189&amp;IF(L197="Remove","_________________del","")</f>
        <v>Source System Code</v>
      </c>
      <c r="D178" t="str">
        <f>'Table-View'!B189</f>
        <v>SRC_STM_CD</v>
      </c>
      <c r="E178" t="s">
        <v>2409</v>
      </c>
      <c r="F178" t="s">
        <v>10</v>
      </c>
      <c r="G178" s="2" t="str">
        <f>'Table-View'!H189</f>
        <v>Code for the source system information coming from Transaction. e.g., BKRBO1, BKRBO2, RJBNK1, ISO</v>
      </c>
      <c r="H178" t="str">
        <f>IF('Table-View'!E189="No","NOT NULL","NULL")</f>
        <v>NULL</v>
      </c>
      <c r="J178" t="e">
        <f t="shared" si="4"/>
        <v>#N/A</v>
      </c>
      <c r="K178" t="s">
        <v>2404</v>
      </c>
      <c r="L178" t="str">
        <f>'Table-View'!J189</f>
        <v>Existing</v>
      </c>
      <c r="M178" t="e">
        <f>VLOOKUP(C178,Model!C$2:G$226,4,FALSE)</f>
        <v>#N/A</v>
      </c>
      <c r="N178" t="e">
        <f>VLOOKUP(C178,Model!C$2:G$226,5,FALSE)</f>
        <v>#N/A</v>
      </c>
      <c r="O178" t="e">
        <f t="shared" si="5"/>
        <v>#N/A</v>
      </c>
    </row>
    <row r="179" spans="1:15" ht="28.8">
      <c r="A179" t="s">
        <v>2385</v>
      </c>
      <c r="C179" t="str">
        <f>'Table-View'!A190&amp;IF(L198="Remove","_________________del","")</f>
        <v>Transaction Source System Dimension Id</v>
      </c>
      <c r="D179" t="str">
        <f>'Table-View'!B190</f>
        <v>TXN_SRC_STM_DIM_ID</v>
      </c>
      <c r="E179" t="s">
        <v>133</v>
      </c>
      <c r="F179" t="s">
        <v>10</v>
      </c>
      <c r="G179" s="2" t="str">
        <f>'Table-View'!H190</f>
        <v>Surrogate Key for Source system dimension based on source system information coming from Transaction.</v>
      </c>
      <c r="H179" t="str">
        <f>IF('Table-View'!E190="No","NOT NULL","NULL")</f>
        <v>NOT NULL</v>
      </c>
      <c r="J179" t="e">
        <f t="shared" si="4"/>
        <v>#N/A</v>
      </c>
      <c r="K179" t="s">
        <v>2404</v>
      </c>
      <c r="L179" t="str">
        <f>'Table-View'!J190</f>
        <v>Existing</v>
      </c>
      <c r="M179" t="e">
        <f>VLOOKUP(C179,Model!C$2:G$226,4,FALSE)</f>
        <v>#N/A</v>
      </c>
      <c r="N179" t="e">
        <f>VLOOKUP(C179,Model!C$2:G$226,5,FALSE)</f>
        <v>#N/A</v>
      </c>
      <c r="O179" t="e">
        <f t="shared" si="5"/>
        <v>#N/A</v>
      </c>
    </row>
    <row r="180" spans="1:15" ht="43.2">
      <c r="A180" t="s">
        <v>2385</v>
      </c>
      <c r="C180" t="str">
        <f>'Table-View'!A191&amp;IF(L199="Remove","_________________del","")</f>
        <v>Source Transaction Code</v>
      </c>
      <c r="D180" t="str">
        <f>'Table-View'!B191</f>
        <v>SRC_TXN_CODE</v>
      </c>
      <c r="E180" t="s">
        <v>133</v>
      </c>
      <c r="F180" t="s">
        <v>10</v>
      </c>
      <c r="G180" s="2" t="str">
        <f>'Table-View'!H191</f>
        <v>A code that represents the source of the transaction.  Possible values of transaction code include CD Adjustment, Interest Adjustment, and Withdrawal/Redemption.</v>
      </c>
      <c r="H180" t="str">
        <f>IF('Table-View'!E191="No","NOT NULL","NULL")</f>
        <v>NULL</v>
      </c>
      <c r="J180" t="e">
        <f t="shared" si="4"/>
        <v>#N/A</v>
      </c>
      <c r="K180" t="s">
        <v>2404</v>
      </c>
      <c r="L180" t="str">
        <f>'Table-View'!J191</f>
        <v>Existing</v>
      </c>
      <c r="M180" t="e">
        <f>VLOOKUP(C180,Model!C$2:G$226,4,FALSE)</f>
        <v>#N/A</v>
      </c>
      <c r="N180" t="e">
        <f>VLOOKUP(C180,Model!C$2:G$226,5,FALSE)</f>
        <v>#N/A</v>
      </c>
      <c r="O180" t="e">
        <f t="shared" si="5"/>
        <v>#N/A</v>
      </c>
    </row>
    <row r="181" spans="1:15" ht="28.8">
      <c r="A181" t="s">
        <v>2385</v>
      </c>
      <c r="C181" t="str">
        <f>'Table-View'!A192&amp;IF(L200="Remove","_________________del","")</f>
        <v>System Base Currency Calculation Date</v>
      </c>
      <c r="D181" t="str">
        <f>'Table-View'!B192</f>
        <v>SBC_CCY_CALC_DT</v>
      </c>
      <c r="E181" t="s">
        <v>157</v>
      </c>
      <c r="F181" t="s">
        <v>10</v>
      </c>
      <c r="G181" s="2" t="str">
        <f>'Table-View'!H192</f>
        <v>Date and time  when transaction amount was converted to system base currency</v>
      </c>
      <c r="H181" t="str">
        <f>IF('Table-View'!E192="No","NOT NULL","NULL")</f>
        <v>NULL</v>
      </c>
      <c r="J181" t="e">
        <f t="shared" si="4"/>
        <v>#N/A</v>
      </c>
      <c r="K181" t="s">
        <v>2404</v>
      </c>
      <c r="L181" t="str">
        <f>'Table-View'!J192</f>
        <v>Existing</v>
      </c>
      <c r="M181" t="e">
        <f>VLOOKUP(C181,Model!C$2:G$226,4,FALSE)</f>
        <v>#N/A</v>
      </c>
      <c r="N181" t="e">
        <f>VLOOKUP(C181,Model!C$2:G$226,5,FALSE)</f>
        <v>#N/A</v>
      </c>
      <c r="O181" t="e">
        <f t="shared" si="5"/>
        <v>#N/A</v>
      </c>
    </row>
    <row r="182" spans="1:15" ht="28.8">
      <c r="A182" t="s">
        <v>2385</v>
      </c>
      <c r="C182" t="str">
        <f>'Table-View'!A193&amp;IF(L201="Remove","_________________del","")</f>
        <v>System Base Currency Code</v>
      </c>
      <c r="D182" t="str">
        <f>'Table-View'!B193</f>
        <v>SBC_CCY_CD</v>
      </c>
      <c r="E182" t="s">
        <v>2416</v>
      </c>
      <c r="F182" t="s">
        <v>10</v>
      </c>
      <c r="G182" s="2" t="str">
        <f>'Table-View'!H193</f>
        <v>Product identifier of the system base currency. This is USD for data coming from CDS currently..</v>
      </c>
      <c r="H182" t="str">
        <f>IF('Table-View'!E193="No","NOT NULL","NULL")</f>
        <v>NULL</v>
      </c>
      <c r="J182" t="e">
        <f t="shared" si="4"/>
        <v>#N/A</v>
      </c>
      <c r="K182" t="s">
        <v>2404</v>
      </c>
      <c r="L182" t="str">
        <f>'Table-View'!J193</f>
        <v>Existing</v>
      </c>
      <c r="M182" t="e">
        <f>VLOOKUP(C182,Model!C$2:G$226,4,FALSE)</f>
        <v>#N/A</v>
      </c>
      <c r="N182" t="e">
        <f>VLOOKUP(C182,Model!C$2:G$226,5,FALSE)</f>
        <v>#N/A</v>
      </c>
      <c r="O182" t="e">
        <f t="shared" si="5"/>
        <v>#N/A</v>
      </c>
    </row>
    <row r="183" spans="1:15">
      <c r="A183" t="s">
        <v>2385</v>
      </c>
      <c r="C183" t="str">
        <f>'Table-View'!A194&amp;IF(L202="Remove","_________________del","")</f>
        <v>System Base Currency Dimension Id</v>
      </c>
      <c r="D183" t="str">
        <f>'Table-View'!B194</f>
        <v>SBC_CCY_DIM_ID</v>
      </c>
      <c r="E183" t="s">
        <v>133</v>
      </c>
      <c r="F183" t="s">
        <v>10</v>
      </c>
      <c r="G183" s="2" t="str">
        <f>'Table-View'!H194</f>
        <v>Surrogate key for Currency dimension</v>
      </c>
      <c r="H183" t="str">
        <f>IF('Table-View'!E194="No","NOT NULL","NULL")</f>
        <v>NOT NULL</v>
      </c>
      <c r="J183" t="e">
        <f t="shared" si="4"/>
        <v>#N/A</v>
      </c>
      <c r="K183" t="s">
        <v>2404</v>
      </c>
      <c r="L183" t="str">
        <f>'Table-View'!J194</f>
        <v>Existing</v>
      </c>
      <c r="M183" t="e">
        <f>VLOOKUP(C183,Model!C$2:G$226,4,FALSE)</f>
        <v>#N/A</v>
      </c>
      <c r="N183" t="e">
        <f>VLOOKUP(C183,Model!C$2:G$226,5,FALSE)</f>
        <v>#N/A</v>
      </c>
      <c r="O183" t="e">
        <f t="shared" si="5"/>
        <v>#N/A</v>
      </c>
    </row>
    <row r="184" spans="1:15" ht="28.8">
      <c r="A184" t="s">
        <v>2385</v>
      </c>
      <c r="C184" t="str">
        <f>'Table-View'!A195&amp;IF(L203="Remove","_________________del","")</f>
        <v>System Base Currency Exchange Rate</v>
      </c>
      <c r="D184" t="str">
        <f>'Table-View'!B195</f>
        <v>SBC_EXG_RATE</v>
      </c>
      <c r="E184" t="s">
        <v>560</v>
      </c>
      <c r="F184" t="s">
        <v>10</v>
      </c>
      <c r="G184" s="2" t="str">
        <f>'Table-View'!H195</f>
        <v>Exchange rate used to calculate transaction amount in system base currency</v>
      </c>
      <c r="H184" t="str">
        <f>IF('Table-View'!E195="No","NOT NULL","NULL")</f>
        <v>NULL</v>
      </c>
      <c r="J184" t="e">
        <f t="shared" si="4"/>
        <v>#N/A</v>
      </c>
      <c r="K184" t="s">
        <v>2404</v>
      </c>
      <c r="L184" t="str">
        <f>'Table-View'!J195</f>
        <v>Update</v>
      </c>
      <c r="M184" t="e">
        <f>VLOOKUP(C184,Model!C$2:G$226,4,FALSE)</f>
        <v>#N/A</v>
      </c>
      <c r="N184" t="e">
        <f>VLOOKUP(C184,Model!C$2:G$226,5,FALSE)</f>
        <v>#N/A</v>
      </c>
      <c r="O184" t="e">
        <f t="shared" si="5"/>
        <v>#N/A</v>
      </c>
    </row>
    <row r="185" spans="1:15" ht="28.8">
      <c r="A185" t="s">
        <v>2385</v>
      </c>
      <c r="C185" t="str">
        <f>'Table-View'!A196&amp;IF(L204="Remove","_________________del","")</f>
        <v>Target Transaction Id</v>
      </c>
      <c r="D185" t="str">
        <f>'Table-View'!B196</f>
        <v>REL_TXN_ID</v>
      </c>
      <c r="E185" t="s">
        <v>133</v>
      </c>
      <c r="F185" t="s">
        <v>10</v>
      </c>
      <c r="G185" s="2" t="str">
        <f>'Table-View'!H196</f>
        <v>The CDS assigned numeric identfier of the related (target) transaction that this current transaction is cancelling/correcting/reversing.</v>
      </c>
      <c r="H185" t="str">
        <f>IF('Table-View'!E196="No","NOT NULL","NULL")</f>
        <v>NULL</v>
      </c>
      <c r="J185" t="e">
        <f t="shared" si="4"/>
        <v>#N/A</v>
      </c>
      <c r="K185" t="s">
        <v>2404</v>
      </c>
      <c r="L185" t="str">
        <f>'Table-View'!J196</f>
        <v>Update</v>
      </c>
      <c r="M185" t="e">
        <f>VLOOKUP(C185,Model!C$2:G$226,4,FALSE)</f>
        <v>#N/A</v>
      </c>
      <c r="N185" t="e">
        <f>VLOOKUP(C185,Model!C$2:G$226,5,FALSE)</f>
        <v>#N/A</v>
      </c>
      <c r="O185" t="e">
        <f t="shared" si="5"/>
        <v>#N/A</v>
      </c>
    </row>
    <row r="186" spans="1:15">
      <c r="A186" t="s">
        <v>2385</v>
      </c>
      <c r="C186" t="str">
        <f>'Table-View'!A197&amp;IF(L205="Remove","_________________del","")</f>
        <v>Trade Date</v>
      </c>
      <c r="D186" t="str">
        <f>'Table-View'!B197</f>
        <v>TD</v>
      </c>
      <c r="E186" t="s">
        <v>157</v>
      </c>
      <c r="F186" t="s">
        <v>10</v>
      </c>
      <c r="G186" s="2" t="str">
        <f>'Table-View'!H197</f>
        <v>Trade date of the transaction</v>
      </c>
      <c r="H186" t="str">
        <f>IF('Table-View'!E197="No","NOT NULL","NULL")</f>
        <v>NOT NULL</v>
      </c>
      <c r="J186" t="e">
        <f t="shared" si="4"/>
        <v>#N/A</v>
      </c>
      <c r="K186" t="s">
        <v>2404</v>
      </c>
      <c r="L186" t="str">
        <f>'Table-View'!J197</f>
        <v>Update</v>
      </c>
      <c r="M186" t="e">
        <f>VLOOKUP(C186,Model!C$2:G$226,4,FALSE)</f>
        <v>#N/A</v>
      </c>
      <c r="N186" t="e">
        <f>VLOOKUP(C186,Model!C$2:G$226,5,FALSE)</f>
        <v>#N/A</v>
      </c>
      <c r="O186" t="e">
        <f t="shared" si="5"/>
        <v>#N/A</v>
      </c>
    </row>
    <row r="187" spans="1:15" ht="28.8">
      <c r="A187" t="s">
        <v>2385</v>
      </c>
      <c r="C187" t="str">
        <f>'Table-View'!A198&amp;IF(L206="Remove","_________________del","")</f>
        <v>Trade Number</v>
      </c>
      <c r="D187" t="str">
        <f>'Table-View'!B198</f>
        <v>TRD_NUM</v>
      </c>
      <c r="E187" t="s">
        <v>2414</v>
      </c>
      <c r="F187" t="s">
        <v>10</v>
      </c>
      <c r="G187" s="2" t="str">
        <f>'Table-View'!H198</f>
        <v>An identification number of the trade (transaction number) that represents an executed FMI trade transaction.</v>
      </c>
      <c r="H187" t="str">
        <f>IF('Table-View'!E198="No","NOT NULL","NULL")</f>
        <v>NULL</v>
      </c>
      <c r="J187" t="e">
        <f t="shared" si="4"/>
        <v>#N/A</v>
      </c>
      <c r="K187" t="s">
        <v>2404</v>
      </c>
      <c r="L187" t="str">
        <f>'Table-View'!J198</f>
        <v>Existing</v>
      </c>
      <c r="M187" t="e">
        <f>VLOOKUP(C187,Model!C$2:G$226,4,FALSE)</f>
        <v>#N/A</v>
      </c>
      <c r="N187" t="e">
        <f>VLOOKUP(C187,Model!C$2:G$226,5,FALSE)</f>
        <v>#N/A</v>
      </c>
      <c r="O187" t="e">
        <f t="shared" si="5"/>
        <v>#N/A</v>
      </c>
    </row>
    <row r="188" spans="1:15">
      <c r="A188" t="s">
        <v>2385</v>
      </c>
      <c r="C188" t="str">
        <f>'Table-View'!A199&amp;IF(L207="Remove","_________________del","")</f>
        <v>Trade Solicitation Type Dimension Id</v>
      </c>
      <c r="D188" t="str">
        <f>'Table-View'!B199</f>
        <v>TRD_SLCT_TP_DIM_ID</v>
      </c>
      <c r="E188" t="s">
        <v>133</v>
      </c>
      <c r="F188" t="s">
        <v>10</v>
      </c>
      <c r="G188" s="2" t="str">
        <f>'Table-View'!H199</f>
        <v>Surrogate key for the Trade Solicitation Type Dimension</v>
      </c>
      <c r="H188" t="str">
        <f>IF('Table-View'!E199="No","NOT NULL","NULL")</f>
        <v>NOT NULL</v>
      </c>
      <c r="J188" t="e">
        <f t="shared" si="4"/>
        <v>#N/A</v>
      </c>
      <c r="K188" t="s">
        <v>2404</v>
      </c>
      <c r="L188" t="str">
        <f>'Table-View'!J199</f>
        <v>Existing</v>
      </c>
      <c r="M188" t="e">
        <f>VLOOKUP(C188,Model!C$2:G$226,4,FALSE)</f>
        <v>#N/A</v>
      </c>
      <c r="N188" t="e">
        <f>VLOOKUP(C188,Model!C$2:G$226,5,FALSE)</f>
        <v>#N/A</v>
      </c>
      <c r="O188" t="e">
        <f t="shared" si="5"/>
        <v>#N/A</v>
      </c>
    </row>
    <row r="189" spans="1:15">
      <c r="A189" t="s">
        <v>2385</v>
      </c>
      <c r="C189" t="str">
        <f>'Table-View'!A200&amp;IF(L208="Remove","_________________del","")</f>
        <v>Trade Solicitation Type Id</v>
      </c>
      <c r="D189" t="str">
        <f>'Table-View'!B200</f>
        <v>TRD_SLCT_TP_ID</v>
      </c>
      <c r="E189" t="s">
        <v>133</v>
      </c>
      <c r="F189" t="s">
        <v>10</v>
      </c>
      <c r="G189" s="2" t="str">
        <f>'Table-View'!H200</f>
        <v>Identifier for the Trade Solicitation Type</v>
      </c>
      <c r="H189" t="str">
        <f>IF('Table-View'!E200="No","NOT NULL","NULL")</f>
        <v>NULL</v>
      </c>
      <c r="J189" t="e">
        <f t="shared" si="4"/>
        <v>#N/A</v>
      </c>
      <c r="K189" t="s">
        <v>2404</v>
      </c>
      <c r="L189" t="str">
        <f>'Table-View'!J200</f>
        <v>Add</v>
      </c>
      <c r="M189" t="e">
        <f>VLOOKUP(C189,Model!C$2:G$226,4,FALSE)</f>
        <v>#N/A</v>
      </c>
      <c r="N189" t="e">
        <f>VLOOKUP(C189,Model!C$2:G$226,5,FALSE)</f>
        <v>#N/A</v>
      </c>
      <c r="O189" t="e">
        <f t="shared" si="5"/>
        <v>#N/A</v>
      </c>
    </row>
    <row r="190" spans="1:15" ht="43.2">
      <c r="A190" t="s">
        <v>2385</v>
      </c>
      <c r="C190" t="str">
        <f>'Table-View'!A201&amp;IF(L209="Remove","_________________del","")</f>
        <v>Trade Solicitation Type Code</v>
      </c>
      <c r="D190" t="str">
        <f>'Table-View'!B201</f>
        <v>TRD_SLCT_TP_CD</v>
      </c>
      <c r="E190" t="s">
        <v>2409</v>
      </c>
      <c r="F190" t="s">
        <v>10</v>
      </c>
      <c r="G190" s="2" t="str">
        <f>'Table-View'!H201</f>
        <v>A code for the solicitation method in which the trade was executed.  A trade can be initiated by the broker, the client, or done at discretion of broker in discretionary accounts.</v>
      </c>
      <c r="H190" t="str">
        <f>IF('Table-View'!E201="No","NOT NULL","NULL")</f>
        <v>NULL</v>
      </c>
      <c r="J190" t="e">
        <f t="shared" si="4"/>
        <v>#N/A</v>
      </c>
      <c r="K190" t="s">
        <v>2404</v>
      </c>
      <c r="L190" t="str">
        <f>'Table-View'!J201</f>
        <v>Existing</v>
      </c>
      <c r="M190" t="e">
        <f>VLOOKUP(C190,Model!C$2:G$226,4,FALSE)</f>
        <v>#N/A</v>
      </c>
      <c r="N190" t="e">
        <f>VLOOKUP(C190,Model!C$2:G$226,5,FALSE)</f>
        <v>#N/A</v>
      </c>
      <c r="O190" t="e">
        <f t="shared" si="5"/>
        <v>#N/A</v>
      </c>
    </row>
    <row r="191" spans="1:15" ht="43.2">
      <c r="A191" t="s">
        <v>2385</v>
      </c>
      <c r="C191" t="str">
        <f>'Table-View'!A202&amp;IF(L210="Remove","_________________del","")</f>
        <v>Trade Solicitation Type Name_________________del</v>
      </c>
      <c r="D191" t="str">
        <f>'Table-View'!B202</f>
        <v>TRD_SLCT_TP_NM</v>
      </c>
      <c r="E191" t="s">
        <v>2407</v>
      </c>
      <c r="F191" t="s">
        <v>10</v>
      </c>
      <c r="G191" s="2" t="str">
        <f>'Table-View'!H202</f>
        <v>Tname of the solicitation method in which the trade was executed.  A trade can be initiated by the broker, the client, or done at discretion of broker in discretionary accounts.</v>
      </c>
      <c r="H191" t="str">
        <f>IF('Table-View'!E202="No","NOT NULL","NULL")</f>
        <v>NULL</v>
      </c>
      <c r="K191" t="s">
        <v>2404</v>
      </c>
      <c r="L191" t="str">
        <f>'Table-View'!J202</f>
        <v>Existing</v>
      </c>
      <c r="M191" t="e">
        <f>VLOOKUP(C191,Model!C$2:G$226,4,FALSE)</f>
        <v>#N/A</v>
      </c>
      <c r="N191" t="e">
        <f>VLOOKUP(C191,Model!C$2:G$226,5,FALSE)</f>
        <v>#N/A</v>
      </c>
      <c r="O191" t="e">
        <f t="shared" si="5"/>
        <v>#N/A</v>
      </c>
    </row>
    <row r="192" spans="1:15">
      <c r="A192" t="s">
        <v>2385</v>
      </c>
      <c r="C192" t="str">
        <f>'Table-View'!A203&amp;IF(L211="Remove","_________________del","")</f>
        <v>Transaction Classification Flag_________________del</v>
      </c>
      <c r="D192" t="str">
        <f>'Table-View'!B203</f>
        <v>TXN_CL_F</v>
      </c>
      <c r="E192" t="s">
        <v>2424</v>
      </c>
      <c r="F192" t="s">
        <v>10</v>
      </c>
      <c r="G192" s="2" t="str">
        <f>'Table-View'!H203</f>
        <v>Transaction Classification Flag</v>
      </c>
      <c r="H192" t="str">
        <f>IF('Table-View'!E203="No","NOT NULL","NULL")</f>
        <v>NULL</v>
      </c>
      <c r="K192" t="s">
        <v>2404</v>
      </c>
      <c r="L192" t="str">
        <f>'Table-View'!J203</f>
        <v>Existing</v>
      </c>
      <c r="M192" t="e">
        <f>VLOOKUP(C192,Model!C$2:G$226,4,FALSE)</f>
        <v>#N/A</v>
      </c>
      <c r="N192" t="e">
        <f>VLOOKUP(C192,Model!C$2:G$226,5,FALSE)</f>
        <v>#N/A</v>
      </c>
      <c r="O192" t="e">
        <f t="shared" si="5"/>
        <v>#N/A</v>
      </c>
    </row>
    <row r="193" spans="1:15">
      <c r="A193" t="s">
        <v>2385</v>
      </c>
      <c r="C193" t="str">
        <f>'Table-View'!A204&amp;IF(L212="Remove","_________________del","")</f>
        <v>Transaction Id_________________del</v>
      </c>
      <c r="D193" t="str">
        <f>'Table-View'!B204</f>
        <v>TXN_ID</v>
      </c>
      <c r="E193" t="s">
        <v>133</v>
      </c>
      <c r="F193" t="s">
        <v>10</v>
      </c>
      <c r="G193" s="2" t="str">
        <f>'Table-View'!H204</f>
        <v>CDS assigned numeric identfier of the transaction</v>
      </c>
      <c r="H193" t="str">
        <f>IF('Table-View'!E204="No","NOT NULL","NULL")</f>
        <v>NOT NULL</v>
      </c>
      <c r="J193" t="s">
        <v>2428</v>
      </c>
      <c r="K193" t="s">
        <v>2404</v>
      </c>
      <c r="L193" t="str">
        <f>'Table-View'!J204</f>
        <v>Existing</v>
      </c>
      <c r="M193" t="e">
        <f>VLOOKUP(C193,Model!C$2:G$226,4,FALSE)</f>
        <v>#N/A</v>
      </c>
      <c r="N193" t="e">
        <f>VLOOKUP(C193,Model!C$2:G$226,5,FALSE)</f>
        <v>#N/A</v>
      </c>
      <c r="O193" t="e">
        <f t="shared" si="5"/>
        <v>#N/A</v>
      </c>
    </row>
    <row r="194" spans="1:15" ht="28.8">
      <c r="A194" t="s">
        <v>2385</v>
      </c>
      <c r="C194" t="str">
        <f>'Table-View'!A205&amp;IF(L213="Remove","_________________del","")</f>
        <v>Transaction Source Key_________________del</v>
      </c>
      <c r="D194" t="str">
        <f>'Table-View'!B205</f>
        <v>TXN_SRC_KEY</v>
      </c>
      <c r="E194" t="s">
        <v>2407</v>
      </c>
      <c r="F194" t="s">
        <v>10</v>
      </c>
      <c r="G194" s="2" t="str">
        <f>'Table-View'!H205</f>
        <v>A unique key which will help tie a CCAL transaction to the original source system transaction for research purposes.</v>
      </c>
      <c r="H194" t="str">
        <f>IF('Table-View'!E205="No","NOT NULL","NULL")</f>
        <v>NULL</v>
      </c>
      <c r="K194" t="s">
        <v>2404</v>
      </c>
      <c r="L194" t="str">
        <f>'Table-View'!J205</f>
        <v>Existing</v>
      </c>
      <c r="M194" t="e">
        <f>VLOOKUP(C194,Model!C$2:G$226,4,FALSE)</f>
        <v>#N/A</v>
      </c>
      <c r="N194" t="e">
        <f>VLOOKUP(C194,Model!C$2:G$226,5,FALSE)</f>
        <v>#N/A</v>
      </c>
      <c r="O194" t="e">
        <f t="shared" si="5"/>
        <v>#N/A</v>
      </c>
    </row>
    <row r="195" spans="1:15" ht="57.6">
      <c r="A195" t="s">
        <v>2385</v>
      </c>
      <c r="C195" t="str">
        <f>'Table-View'!A206&amp;IF(L214="Remove","_________________del","")</f>
        <v>Transaction Subtype Code_________________del</v>
      </c>
      <c r="D195" t="str">
        <f>'Table-View'!B206</f>
        <v>TXN_SUB_TP_CD</v>
      </c>
      <c r="E195" t="s">
        <v>2409</v>
      </c>
      <c r="F195" t="s">
        <v>10</v>
      </c>
      <c r="G195" s="2" t="str">
        <f>'Table-View'!H206</f>
        <v>Code assigned to each transaction subtype. Transaction subtypes offer narrower sub-classification of transactions Base on definition within the line-of-business or source system such as 'ATM Deposit' or '3rd Party ACH' to further refine a transaction type of 'Cash Deposit'.</v>
      </c>
      <c r="H195" t="str">
        <f>IF('Table-View'!E206="No","NOT NULL","NULL")</f>
        <v>NULL</v>
      </c>
      <c r="K195" t="s">
        <v>2404</v>
      </c>
      <c r="L195" t="str">
        <f>'Table-View'!J206</f>
        <v>Existing</v>
      </c>
      <c r="M195" t="e">
        <f>VLOOKUP(C195,Model!C$2:G$226,4,FALSE)</f>
        <v>#N/A</v>
      </c>
      <c r="N195" t="e">
        <f>VLOOKUP(C195,Model!C$2:G$226,5,FALSE)</f>
        <v>#N/A</v>
      </c>
      <c r="O195" t="e">
        <f t="shared" ref="O195:O233" si="6">SUBSTITUTE(SUBSTITUTE(SUBSTITUTE(N195,"VARCHAR2(","VARCHAR("),"NUMBER(","NUMERIC("),"TIMESTAMP(6)","TIMESTAMP/DATE")=E195</f>
        <v>#N/A</v>
      </c>
    </row>
    <row r="196" spans="1:15">
      <c r="A196" t="s">
        <v>2385</v>
      </c>
      <c r="C196" t="str">
        <f>'Table-View'!A207&amp;IF(L215="Remove","_________________del","")</f>
        <v>Transaction Subtype Description</v>
      </c>
      <c r="D196" t="str">
        <f>'Table-View'!B207</f>
        <v>TXN_SUB_TP_DSC</v>
      </c>
      <c r="E196" t="s">
        <v>2423</v>
      </c>
      <c r="F196" t="s">
        <v>10</v>
      </c>
      <c r="G196" s="2" t="str">
        <f>'Table-View'!H207</f>
        <v>Description for the Transaction Subtype code</v>
      </c>
      <c r="H196" t="str">
        <f>IF('Table-View'!E207="No","NOT NULL","NULL")</f>
        <v>NULL</v>
      </c>
      <c r="J196" t="e">
        <f t="shared" ref="J196:J219" si="7">IF(O196,IF(M196=0,"",M196),"")</f>
        <v>#N/A</v>
      </c>
      <c r="K196" t="s">
        <v>2404</v>
      </c>
      <c r="L196" t="str">
        <f>'Table-View'!J207</f>
        <v>Existing</v>
      </c>
      <c r="M196" t="e">
        <f>VLOOKUP(C196,Model!C$2:G$226,4,FALSE)</f>
        <v>#N/A</v>
      </c>
      <c r="N196" t="e">
        <f>VLOOKUP(C196,Model!C$2:G$226,5,FALSE)</f>
        <v>#N/A</v>
      </c>
      <c r="O196" t="e">
        <f t="shared" si="6"/>
        <v>#N/A</v>
      </c>
    </row>
    <row r="197" spans="1:15" ht="28.8">
      <c r="A197" t="s">
        <v>2385</v>
      </c>
      <c r="C197" t="str">
        <f>'Table-View'!A208&amp;IF(L216="Remove","_________________del","")</f>
        <v>Transaction Subtype Id</v>
      </c>
      <c r="D197" t="str">
        <f>'Table-View'!B208</f>
        <v>TXN_SBTP_ID</v>
      </c>
      <c r="E197" t="s">
        <v>133</v>
      </c>
      <c r="F197" t="s">
        <v>10</v>
      </c>
      <c r="G197" s="2" t="str">
        <f>'Table-View'!H208</f>
        <v>CDS assigned Identifier for the transaction subtype  - used for data lineage</v>
      </c>
      <c r="H197" t="str">
        <f>IF('Table-View'!E208="No","NOT NULL","NULL")</f>
        <v>NULL</v>
      </c>
      <c r="J197" t="e">
        <f t="shared" si="7"/>
        <v>#N/A</v>
      </c>
      <c r="K197" t="s">
        <v>2404</v>
      </c>
      <c r="L197" t="str">
        <f>'Table-View'!J208</f>
        <v>Existing</v>
      </c>
      <c r="M197" t="e">
        <f>VLOOKUP(C197,Model!C$2:G$226,4,FALSE)</f>
        <v>#N/A</v>
      </c>
      <c r="N197" t="e">
        <f>VLOOKUP(C197,Model!C$2:G$226,5,FALSE)</f>
        <v>#N/A</v>
      </c>
      <c r="O197" t="e">
        <f t="shared" si="6"/>
        <v>#N/A</v>
      </c>
    </row>
    <row r="198" spans="1:15" ht="57.6">
      <c r="A198" t="s">
        <v>2385</v>
      </c>
      <c r="C198" t="str">
        <f>'Table-View'!A209&amp;IF(L217="Remove","_________________del","")</f>
        <v>Transaction Subtype Name</v>
      </c>
      <c r="D198" t="str">
        <f>'Table-View'!B209</f>
        <v>TXN_SUB_TP_NM</v>
      </c>
      <c r="E198" t="s">
        <v>2407</v>
      </c>
      <c r="F198" t="s">
        <v>10</v>
      </c>
      <c r="G198" s="2" t="str">
        <f>'Table-View'!H209</f>
        <v>Name of each transaction subtype. Transaction subtypes offer narrower sub-classification of transactions Base on definition within the line-of-business or source system such as 'ATM Deposit' or '3rd Party ACH' to further refine a transaction type of 'Cash Deposit'.</v>
      </c>
      <c r="H198" t="str">
        <f>IF('Table-View'!E209="No","NOT NULL","NULL")</f>
        <v>NULL</v>
      </c>
      <c r="J198" t="e">
        <f t="shared" si="7"/>
        <v>#N/A</v>
      </c>
      <c r="K198" t="s">
        <v>2404</v>
      </c>
      <c r="L198" t="str">
        <f>'Table-View'!J209</f>
        <v>Existing</v>
      </c>
      <c r="M198" t="e">
        <f>VLOOKUP(C198,Model!C$2:G$226,4,FALSE)</f>
        <v>#N/A</v>
      </c>
      <c r="N198" t="e">
        <f>VLOOKUP(C198,Model!C$2:G$226,5,FALSE)</f>
        <v>#N/A</v>
      </c>
      <c r="O198" t="e">
        <f t="shared" si="6"/>
        <v>#N/A</v>
      </c>
    </row>
    <row r="199" spans="1:15" ht="72">
      <c r="A199" t="s">
        <v>2385</v>
      </c>
      <c r="C199" t="str">
        <f>'Table-View'!A210&amp;IF(L218="Remove","_________________del","")</f>
        <v>Transaction Type Code</v>
      </c>
      <c r="D199" t="str">
        <f>'Table-View'!B210</f>
        <v>TXN_TP_CD</v>
      </c>
      <c r="E199" t="s">
        <v>2409</v>
      </c>
      <c r="F199" t="s">
        <v>10</v>
      </c>
      <c r="G199" s="2" t="str">
        <f>'Table-View'!H210</f>
        <v>Transaction type codes define transactions from different source systems of different types of trades. The codes start with the key letter "T", followed by 4-character abbreviations which indicate the source system, and end with 3-digit numbers represent different types of trade.</v>
      </c>
      <c r="H199" t="str">
        <f>IF('Table-View'!E210="No","NOT NULL","NULL")</f>
        <v>NULL</v>
      </c>
      <c r="J199" t="e">
        <f t="shared" si="7"/>
        <v>#N/A</v>
      </c>
      <c r="K199" t="s">
        <v>2404</v>
      </c>
      <c r="L199" t="str">
        <f>'Table-View'!J210</f>
        <v>Existing</v>
      </c>
      <c r="M199" t="e">
        <f>VLOOKUP(C199,Model!C$2:G$226,4,FALSE)</f>
        <v>#N/A</v>
      </c>
      <c r="N199" t="e">
        <f>VLOOKUP(C199,Model!C$2:G$226,5,FALSE)</f>
        <v>#N/A</v>
      </c>
      <c r="O199" t="e">
        <f t="shared" si="6"/>
        <v>#N/A</v>
      </c>
    </row>
    <row r="200" spans="1:15">
      <c r="A200" t="s">
        <v>2385</v>
      </c>
      <c r="C200" t="str">
        <f>'Table-View'!A211&amp;IF(L219="Remove","_________________del","")</f>
        <v>Transaction Type Description</v>
      </c>
      <c r="D200" t="str">
        <f>'Table-View'!B211</f>
        <v>TXN_TP_DSC</v>
      </c>
      <c r="E200" t="s">
        <v>2423</v>
      </c>
      <c r="F200" t="s">
        <v>10</v>
      </c>
      <c r="G200" s="2" t="str">
        <f>'Table-View'!H211</f>
        <v>Description for the Transaction type</v>
      </c>
      <c r="H200" t="str">
        <f>IF('Table-View'!E211="No","NOT NULL","NULL")</f>
        <v>NULL</v>
      </c>
      <c r="J200" t="e">
        <f t="shared" si="7"/>
        <v>#N/A</v>
      </c>
      <c r="K200" t="s">
        <v>2404</v>
      </c>
      <c r="L200" t="str">
        <f>'Table-View'!J211</f>
        <v>Existing</v>
      </c>
      <c r="M200" t="e">
        <f>VLOOKUP(C200,Model!C$2:G$226,4,FALSE)</f>
        <v>#N/A</v>
      </c>
      <c r="N200" t="e">
        <f>VLOOKUP(C200,Model!C$2:G$226,5,FALSE)</f>
        <v>#N/A</v>
      </c>
      <c r="O200" t="e">
        <f t="shared" si="6"/>
        <v>#N/A</v>
      </c>
    </row>
    <row r="201" spans="1:15">
      <c r="A201" t="s">
        <v>2385</v>
      </c>
      <c r="C201" t="str">
        <f>'Table-View'!A212&amp;IF(L220="Remove","_________________del","")</f>
        <v>Transaction Type Id</v>
      </c>
      <c r="D201" t="str">
        <f>'Table-View'!B212</f>
        <v>TXN_TP_ID</v>
      </c>
      <c r="E201" t="s">
        <v>133</v>
      </c>
      <c r="F201" t="s">
        <v>10</v>
      </c>
      <c r="G201" s="2" t="str">
        <f>'Table-View'!H212</f>
        <v>Identifier for the Transaction type</v>
      </c>
      <c r="H201" t="str">
        <f>IF('Table-View'!E212="No","NOT NULL","NULL")</f>
        <v>NULL</v>
      </c>
      <c r="J201" t="e">
        <f t="shared" si="7"/>
        <v>#N/A</v>
      </c>
      <c r="K201" t="s">
        <v>2404</v>
      </c>
      <c r="L201" t="str">
        <f>'Table-View'!J212</f>
        <v>Existing</v>
      </c>
      <c r="M201" t="e">
        <f>VLOOKUP(C201,Model!C$2:G$226,4,FALSE)</f>
        <v>#N/A</v>
      </c>
      <c r="N201" t="e">
        <f>VLOOKUP(C201,Model!C$2:G$226,5,FALSE)</f>
        <v>#N/A</v>
      </c>
      <c r="O201" t="e">
        <f t="shared" si="6"/>
        <v>#N/A</v>
      </c>
    </row>
    <row r="202" spans="1:15" ht="28.8">
      <c r="A202" t="s">
        <v>2385</v>
      </c>
      <c r="C202" t="str">
        <f>'Table-View'!A213&amp;IF(L221="Remove","_________________del","")</f>
        <v>Transaction Type Name</v>
      </c>
      <c r="D202" t="str">
        <f>'Table-View'!B213</f>
        <v>TXN_TP_NM</v>
      </c>
      <c r="E202" t="s">
        <v>2407</v>
      </c>
      <c r="F202" t="s">
        <v>10</v>
      </c>
      <c r="G202" s="2" t="str">
        <f>'Table-View'!H213</f>
        <v>Name that represents transactions from different source systems of different types of trades.</v>
      </c>
      <c r="H202" t="str">
        <f>IF('Table-View'!E213="No","NOT NULL","NULL")</f>
        <v>NULL</v>
      </c>
      <c r="J202" t="e">
        <f t="shared" si="7"/>
        <v>#N/A</v>
      </c>
      <c r="K202" t="s">
        <v>2404</v>
      </c>
      <c r="L202" t="str">
        <f>'Table-View'!J213</f>
        <v>Existing</v>
      </c>
      <c r="M202" t="e">
        <f>VLOOKUP(C202,Model!C$2:G$226,4,FALSE)</f>
        <v>#N/A</v>
      </c>
      <c r="N202" t="e">
        <f>VLOOKUP(C202,Model!C$2:G$226,5,FALSE)</f>
        <v>#N/A</v>
      </c>
      <c r="O202" t="e">
        <f t="shared" si="6"/>
        <v>#N/A</v>
      </c>
    </row>
    <row r="203" spans="1:15" ht="28.8">
      <c r="A203" t="s">
        <v>2385</v>
      </c>
      <c r="C203" t="str">
        <f>'Table-View'!A214&amp;IF(L222="Remove","_________________del","")</f>
        <v>Original Source System Id</v>
      </c>
      <c r="D203" t="str">
        <f>'Table-View'!B214</f>
        <v>ORIG_SRC_STM_ID</v>
      </c>
      <c r="E203" t="s">
        <v>133</v>
      </c>
      <c r="F203" t="s">
        <v>10</v>
      </c>
      <c r="G203" s="2" t="str">
        <f>'Table-View'!H214</f>
        <v>Identifier of the source system from which CDS database receives/obtains the underlying record.</v>
      </c>
      <c r="H203" t="str">
        <f>IF('Table-View'!E214="No","NOT NULL","NULL")</f>
        <v>NULL</v>
      </c>
      <c r="J203" t="str">
        <f t="shared" si="7"/>
        <v>NINI</v>
      </c>
      <c r="K203" t="s">
        <v>2404</v>
      </c>
      <c r="L203" t="str">
        <f>'Table-View'!J214</f>
        <v>Existing</v>
      </c>
      <c r="M203" t="str">
        <f>VLOOKUP(C203,Model!C$2:G$226,4,FALSE)</f>
        <v>NINI</v>
      </c>
      <c r="N203" t="str">
        <f>VLOOKUP(C203,Model!C$2:G$226,5,FALSE)</f>
        <v>NUMBER(38,0)</v>
      </c>
      <c r="O203" t="b">
        <f t="shared" si="6"/>
        <v>1</v>
      </c>
    </row>
    <row r="204" spans="1:15" ht="28.8">
      <c r="A204" t="s">
        <v>2385</v>
      </c>
      <c r="C204" t="str">
        <f>'Table-View'!A215&amp;IF(L223="Remove","_________________del","")</f>
        <v>Original Source System Code</v>
      </c>
      <c r="D204" t="str">
        <f>'Table-View'!B215</f>
        <v>ORIG_SRC_STM_CD</v>
      </c>
      <c r="E204" t="s">
        <v>2420</v>
      </c>
      <c r="F204" t="s">
        <v>10</v>
      </c>
      <c r="G204" s="2" t="str">
        <f>'Table-View'!H215</f>
        <v>Code that represents the source system from which CDS database receives/obtains the underlying record.</v>
      </c>
      <c r="H204" t="str">
        <f>IF('Table-View'!E215="No","NOT NULL","NULL")</f>
        <v>NULL</v>
      </c>
      <c r="J204" t="str">
        <f t="shared" si="7"/>
        <v>Code_10</v>
      </c>
      <c r="K204" t="s">
        <v>2404</v>
      </c>
      <c r="L204" t="str">
        <f>'Table-View'!J215</f>
        <v>Existing</v>
      </c>
      <c r="M204" t="str">
        <f>VLOOKUP(C204,Model!C$2:G$226,4,FALSE)</f>
        <v>Code_10</v>
      </c>
      <c r="N204" t="str">
        <f>VLOOKUP(C204,Model!C$2:G$226,5,FALSE)</f>
        <v>VARCHAR2(10)</v>
      </c>
      <c r="O204" t="b">
        <f t="shared" si="6"/>
        <v>1</v>
      </c>
    </row>
    <row r="205" spans="1:15">
      <c r="A205" t="s">
        <v>2385</v>
      </c>
      <c r="C205" t="str">
        <f>'Table-View'!A216&amp;IF(L224="Remove","_________________del","")</f>
        <v>Brokerage Arrangement Dim Id</v>
      </c>
      <c r="D205" t="str">
        <f>'Table-View'!B216</f>
        <v>BKR_AR_DIM_ID</v>
      </c>
      <c r="E205" t="s">
        <v>133</v>
      </c>
      <c r="F205" t="s">
        <v>10</v>
      </c>
      <c r="G205" s="2" t="str">
        <f>'Table-View'!H216</f>
        <v>Surrogate Key for Brokerage Arrangement Dimension</v>
      </c>
      <c r="H205" t="str">
        <f>IF('Table-View'!E216="No","NOT NULL","NULL")</f>
        <v>NOT NULL</v>
      </c>
      <c r="J205" t="str">
        <f t="shared" si="7"/>
        <v>NINI</v>
      </c>
      <c r="K205" t="s">
        <v>2404</v>
      </c>
      <c r="L205" t="str">
        <f>'Table-View'!J216</f>
        <v>Existing</v>
      </c>
      <c r="M205" t="str">
        <f>VLOOKUP(C205,Model!C$2:G$226,4,FALSE)</f>
        <v>NINI</v>
      </c>
      <c r="N205" t="str">
        <f>VLOOKUP(C205,Model!C$2:G$226,5,FALSE)</f>
        <v>NUMBER(38,0)</v>
      </c>
      <c r="O205" t="b">
        <f t="shared" si="6"/>
        <v>1</v>
      </c>
    </row>
    <row r="206" spans="1:15">
      <c r="A206" t="s">
        <v>2385</v>
      </c>
      <c r="C206" t="str">
        <f>'Table-View'!A217&amp;IF(L225="Remove","_________________del","")</f>
        <v>Offset Arrangement Dim Id</v>
      </c>
      <c r="D206" t="str">
        <f>'Table-View'!B217</f>
        <v>OFST_AR_DIM_ID</v>
      </c>
      <c r="E206" t="s">
        <v>133</v>
      </c>
      <c r="F206" t="s">
        <v>10</v>
      </c>
      <c r="G206" s="2" t="str">
        <f>'Table-View'!H217</f>
        <v>Surrogate Key for offset Arrangement Dimension</v>
      </c>
      <c r="H206" t="str">
        <f>IF('Table-View'!E217="No","NOT NULL","NULL")</f>
        <v>NOT NULL</v>
      </c>
      <c r="J206" t="s">
        <v>2428</v>
      </c>
      <c r="K206" t="s">
        <v>2404</v>
      </c>
      <c r="L206" t="str">
        <f>'Table-View'!J217</f>
        <v>Existing</v>
      </c>
      <c r="M206" t="e">
        <f>VLOOKUP(C206,Model!C$2:G$226,4,FALSE)</f>
        <v>#N/A</v>
      </c>
      <c r="N206" t="e">
        <f>VLOOKUP(C206,Model!C$2:G$226,5,FALSE)</f>
        <v>#N/A</v>
      </c>
      <c r="O206" t="e">
        <f t="shared" si="6"/>
        <v>#N/A</v>
      </c>
    </row>
    <row r="207" spans="1:15">
      <c r="A207" t="s">
        <v>2385</v>
      </c>
      <c r="C207" t="str">
        <f>'Table-View'!A218&amp;IF(L226="Remove","_________________del","")</f>
        <v>Arrangement Dimension Id</v>
      </c>
      <c r="D207" t="str">
        <f>'Table-View'!B218</f>
        <v>AR_DIM_ID</v>
      </c>
      <c r="E207" t="s">
        <v>133</v>
      </c>
      <c r="F207" t="s">
        <v>10</v>
      </c>
      <c r="G207" s="2" t="str">
        <f>'Table-View'!H218</f>
        <v>Surrogate Key for Arrangement Dimension corresponding to AR_ID</v>
      </c>
      <c r="H207" t="str">
        <f>IF('Table-View'!E218="No","NOT NULL","NULL")</f>
        <v>NOT NULL</v>
      </c>
      <c r="J207" t="str">
        <f t="shared" si="7"/>
        <v>NINI</v>
      </c>
      <c r="K207" t="s">
        <v>2404</v>
      </c>
      <c r="L207" t="str">
        <f>'Table-View'!J218</f>
        <v>Existing</v>
      </c>
      <c r="M207" t="str">
        <f>VLOOKUP(C207,Model!C$2:G$226,4,FALSE)</f>
        <v>NINI</v>
      </c>
      <c r="N207" t="str">
        <f>VLOOKUP(C207,Model!C$2:G$226,5,FALSE)</f>
        <v>NUMBER(38,0)</v>
      </c>
      <c r="O207" t="b">
        <f t="shared" si="6"/>
        <v>1</v>
      </c>
    </row>
    <row r="208" spans="1:15" ht="28.8">
      <c r="A208" t="s">
        <v>2385</v>
      </c>
      <c r="C208" t="str">
        <f>'Table-View'!A219&amp;IF(L227="Remove","_________________del","")</f>
        <v>Last Update User Name</v>
      </c>
      <c r="D208" t="str">
        <f>'Table-View'!B219</f>
        <v>LAST_UDT_USR_NM</v>
      </c>
      <c r="E208" t="s">
        <v>2422</v>
      </c>
      <c r="F208" t="s">
        <v>10</v>
      </c>
      <c r="G208" s="2" t="str">
        <f>'Table-View'!H219</f>
        <v>The name that represents the user or application who inserted, updated, or deleted each occurrence of row</v>
      </c>
      <c r="H208" t="str">
        <f>IF('Table-View'!E219="No","NOT NULL","NULL")</f>
        <v>NOT NULL</v>
      </c>
      <c r="J208" t="str">
        <f t="shared" si="7"/>
        <v>Name_256</v>
      </c>
      <c r="K208" t="s">
        <v>2404</v>
      </c>
      <c r="L208" t="str">
        <f>'Table-View'!J219</f>
        <v>Add</v>
      </c>
      <c r="M208" t="str">
        <f>VLOOKUP(C208,Model!C$2:G$226,4,FALSE)</f>
        <v>Name_256</v>
      </c>
      <c r="N208" t="str">
        <f>VLOOKUP(C208,Model!C$2:G$226,5,FALSE)</f>
        <v>VARCHAR2(256)</v>
      </c>
      <c r="O208" t="b">
        <f t="shared" si="6"/>
        <v>1</v>
      </c>
    </row>
    <row r="209" spans="1:15" ht="28.8">
      <c r="A209" t="s">
        <v>2385</v>
      </c>
      <c r="C209" t="str">
        <f>'Table-View'!A220&amp;IF(L228="Remove","_________________del","")</f>
        <v>Last Update Datetime</v>
      </c>
      <c r="D209" t="str">
        <f>'Table-View'!B220</f>
        <v>LAST_UDT_DTM</v>
      </c>
      <c r="E209" t="s">
        <v>157</v>
      </c>
      <c r="F209" t="s">
        <v>10</v>
      </c>
      <c r="G209" s="2" t="str">
        <f>'Table-View'!H220</f>
        <v>The exact date and time when an occurrence is inserted, updated, or deleted a row</v>
      </c>
      <c r="H209" t="str">
        <f>IF('Table-View'!E220="No","NOT NULL","NULL")</f>
        <v>NOT NULL</v>
      </c>
      <c r="J209" t="str">
        <f t="shared" si="7"/>
        <v>Last Update Datetime</v>
      </c>
      <c r="K209" t="s">
        <v>2404</v>
      </c>
      <c r="L209" t="str">
        <f>'Table-View'!J220</f>
        <v>Add</v>
      </c>
      <c r="M209" t="str">
        <f>VLOOKUP(C209,Model!C$2:G$226,4,FALSE)</f>
        <v>Last Update Datetime</v>
      </c>
      <c r="N209" t="str">
        <f>VLOOKUP(C209,Model!C$2:G$226,5,FALSE)</f>
        <v>DATE</v>
      </c>
      <c r="O209" t="b">
        <f t="shared" si="6"/>
        <v>1</v>
      </c>
    </row>
    <row r="210" spans="1:15">
      <c r="A210" t="s">
        <v>2385</v>
      </c>
      <c r="C210" t="str">
        <f>'Table-View'!A221&amp;IF(L229="Remove","_________________del","")</f>
        <v>EOD Arrangement Dimension Id</v>
      </c>
      <c r="D210" t="str">
        <f>'Table-View'!B221</f>
        <v>EOD_AR_DIM_ID</v>
      </c>
      <c r="E210" t="s">
        <v>133</v>
      </c>
      <c r="F210" t="s">
        <v>10</v>
      </c>
      <c r="G210" s="2">
        <f>'Table-View'!H221</f>
        <v>0</v>
      </c>
      <c r="H210" t="str">
        <f>IF('Table-View'!E221="No","NOT NULL","NULL")</f>
        <v>NULL</v>
      </c>
      <c r="J210" t="s">
        <v>2429</v>
      </c>
      <c r="K210" t="s">
        <v>2404</v>
      </c>
      <c r="L210" t="str">
        <f>'Table-View'!J221</f>
        <v>Remove</v>
      </c>
      <c r="M210" t="e">
        <f>VLOOKUP(C210,Model!C$2:G$226,4,FALSE)</f>
        <v>#N/A</v>
      </c>
      <c r="N210" t="e">
        <f>VLOOKUP(C210,Model!C$2:G$226,5,FALSE)</f>
        <v>#N/A</v>
      </c>
      <c r="O210" t="e">
        <f t="shared" si="6"/>
        <v>#N/A</v>
      </c>
    </row>
    <row r="211" spans="1:15">
      <c r="A211" t="s">
        <v>2385</v>
      </c>
      <c r="C211" t="str">
        <f>'Table-View'!A222&amp;IF(L230="Remove","_________________del","")</f>
        <v>EOD Brokerage Arrangement Dimension Id</v>
      </c>
      <c r="D211" t="str">
        <f>'Table-View'!B222</f>
        <v>EOD_BKR_AR_DIM_ID</v>
      </c>
      <c r="E211" t="s">
        <v>133</v>
      </c>
      <c r="F211" t="s">
        <v>10</v>
      </c>
      <c r="G211" s="2">
        <f>'Table-View'!H222</f>
        <v>0</v>
      </c>
      <c r="H211" t="str">
        <f>IF('Table-View'!E222="No","NOT NULL","NULL")</f>
        <v>NULL</v>
      </c>
      <c r="J211" t="s">
        <v>2429</v>
      </c>
      <c r="K211" t="s">
        <v>2404</v>
      </c>
      <c r="L211" t="str">
        <f>'Table-View'!J222</f>
        <v>Remove</v>
      </c>
      <c r="M211" t="e">
        <f>VLOOKUP(C211,Model!C$2:G$226,4,FALSE)</f>
        <v>#N/A</v>
      </c>
      <c r="N211" t="e">
        <f>VLOOKUP(C211,Model!C$2:G$226,5,FALSE)</f>
        <v>#N/A</v>
      </c>
      <c r="O211" t="e">
        <f t="shared" si="6"/>
        <v>#N/A</v>
      </c>
    </row>
    <row r="212" spans="1:15">
      <c r="A212" t="s">
        <v>2385</v>
      </c>
      <c r="C212" t="str">
        <f>'Table-View'!A223&amp;IF(L231="Remove","_________________del","")</f>
        <v>EOD Cash Product Dim Id</v>
      </c>
      <c r="D212" t="str">
        <f>'Table-View'!B223</f>
        <v>EOD_CASH_PD_DIM_ID</v>
      </c>
      <c r="E212" t="s">
        <v>133</v>
      </c>
      <c r="F212" t="s">
        <v>10</v>
      </c>
      <c r="G212" s="2">
        <f>'Table-View'!H223</f>
        <v>0</v>
      </c>
      <c r="H212" t="str">
        <f>IF('Table-View'!E223="No","NOT NULL","NULL")</f>
        <v>NULL</v>
      </c>
      <c r="J212" t="s">
        <v>2429</v>
      </c>
      <c r="K212" t="s">
        <v>2404</v>
      </c>
      <c r="L212" t="str">
        <f>'Table-View'!J223</f>
        <v>Remove</v>
      </c>
      <c r="M212" t="e">
        <f>VLOOKUP(C212,Model!C$2:G$226,4,FALSE)</f>
        <v>#N/A</v>
      </c>
      <c r="N212" t="e">
        <f>VLOOKUP(C212,Model!C$2:G$226,5,FALSE)</f>
        <v>#N/A</v>
      </c>
      <c r="O212" t="e">
        <f t="shared" si="6"/>
        <v>#N/A</v>
      </c>
    </row>
    <row r="213" spans="1:15">
      <c r="A213" t="s">
        <v>2385</v>
      </c>
      <c r="C213" t="str">
        <f>'Table-View'!A224&amp;IF(L232="Remove","_________________del","")</f>
        <v>EOD Offset Arrangement Dim Id</v>
      </c>
      <c r="D213" t="str">
        <f>'Table-View'!B224</f>
        <v>EOD_OFST_AR_DIM_ID</v>
      </c>
      <c r="E213" t="s">
        <v>133</v>
      </c>
      <c r="F213" t="s">
        <v>10</v>
      </c>
      <c r="G213" s="2">
        <f>'Table-View'!H224</f>
        <v>0</v>
      </c>
      <c r="H213" t="str">
        <f>IF('Table-View'!E224="No","NOT NULL","NULL")</f>
        <v>NULL</v>
      </c>
      <c r="J213" t="s">
        <v>2429</v>
      </c>
      <c r="K213" t="s">
        <v>2404</v>
      </c>
      <c r="L213" t="str">
        <f>'Table-View'!J224</f>
        <v>Remove</v>
      </c>
      <c r="M213" t="e">
        <f>VLOOKUP(C213,Model!C$2:G$226,4,FALSE)</f>
        <v>#N/A</v>
      </c>
      <c r="N213" t="e">
        <f>VLOOKUP(C213,Model!C$2:G$226,5,FALSE)</f>
        <v>#N/A</v>
      </c>
      <c r="O213" t="e">
        <f t="shared" si="6"/>
        <v>#N/A</v>
      </c>
    </row>
    <row r="214" spans="1:15">
      <c r="A214" t="s">
        <v>2385</v>
      </c>
      <c r="C214" t="str">
        <f>'Table-View'!A225&amp;IF(L233="Remove","_________________del","")</f>
        <v>EOD Security Product Dim Id</v>
      </c>
      <c r="D214" t="str">
        <f>'Table-View'!B225</f>
        <v>EOD_SEC_PD_DIM_ID</v>
      </c>
      <c r="E214" t="s">
        <v>133</v>
      </c>
      <c r="F214" t="s">
        <v>10</v>
      </c>
      <c r="G214" s="2">
        <f>'Table-View'!H225</f>
        <v>0</v>
      </c>
      <c r="H214" t="str">
        <f>IF('Table-View'!E225="No","NOT NULL","NULL")</f>
        <v>NULL</v>
      </c>
      <c r="J214" t="s">
        <v>2429</v>
      </c>
      <c r="K214" t="s">
        <v>2404</v>
      </c>
      <c r="L214" t="str">
        <f>'Table-View'!J225</f>
        <v>Remove</v>
      </c>
      <c r="M214" t="e">
        <f>VLOOKUP(C214,Model!C$2:G$226,4,FALSE)</f>
        <v>#N/A</v>
      </c>
      <c r="N214" t="e">
        <f>VLOOKUP(C214,Model!C$2:G$226,5,FALSE)</f>
        <v>#N/A</v>
      </c>
      <c r="O214" t="e">
        <f t="shared" si="6"/>
        <v>#N/A</v>
      </c>
    </row>
    <row r="215" spans="1:15">
      <c r="A215" t="s">
        <v>2385</v>
      </c>
      <c r="C215" t="str">
        <f>'Table-View'!A226&amp;IF(L234="Remove","_________________del","")</f>
        <v>Session Number</v>
      </c>
      <c r="D215" t="str">
        <f>'Table-View'!B226</f>
        <v>SESS_NO</v>
      </c>
      <c r="E215" t="s">
        <v>133</v>
      </c>
      <c r="F215" t="s">
        <v>10</v>
      </c>
      <c r="G215" s="2" t="str">
        <f>'Table-View'!H226</f>
        <v>ODI Session Number which created this record</v>
      </c>
      <c r="H215" t="str">
        <f>IF('Table-View'!E226="No","NOT NULL","NULL")</f>
        <v>NULL</v>
      </c>
      <c r="J215" t="e">
        <f t="shared" si="7"/>
        <v>#N/A</v>
      </c>
      <c r="K215" t="s">
        <v>2404</v>
      </c>
      <c r="L215" t="str">
        <f>'Table-View'!J226</f>
        <v>Existing</v>
      </c>
      <c r="M215" t="e">
        <f>VLOOKUP(C215,Model!C$2:G$226,4,FALSE)</f>
        <v>#N/A</v>
      </c>
      <c r="N215" t="e">
        <f>VLOOKUP(C215,Model!C$2:G$226,5,FALSE)</f>
        <v>#N/A</v>
      </c>
      <c r="O215" t="e">
        <f t="shared" si="6"/>
        <v>#N/A</v>
      </c>
    </row>
    <row r="216" spans="1:15" ht="43.2">
      <c r="A216" t="s">
        <v>2385</v>
      </c>
      <c r="C216" t="str">
        <f>'Table-View'!A227&amp;IF(L235="Remove","_________________del","")</f>
        <v>Security Option Symbol</v>
      </c>
      <c r="D216" t="str">
        <f>'Table-View'!B227</f>
        <v>SCR_OPT_SYMB</v>
      </c>
      <c r="E216" t="s">
        <v>2406</v>
      </c>
      <c r="F216" t="s">
        <v>10</v>
      </c>
      <c r="G216" s="2" t="str">
        <f>'Table-View'!H227</f>
        <v>Display form of the Option Symbol that includes underlying security symbol, expiration date, option type and strike price for the option series</v>
      </c>
      <c r="H216" t="str">
        <f>IF('Table-View'!E227="No","NOT NULL","NULL")</f>
        <v>NULL</v>
      </c>
      <c r="J216" t="e">
        <f t="shared" si="7"/>
        <v>#N/A</v>
      </c>
      <c r="K216" t="s">
        <v>2404</v>
      </c>
      <c r="L216" t="str">
        <f>'Table-View'!J227</f>
        <v>Add</v>
      </c>
      <c r="M216" t="e">
        <f>VLOOKUP(C216,Model!C$2:G$226,4,FALSE)</f>
        <v>#N/A</v>
      </c>
      <c r="N216" t="e">
        <f>VLOOKUP(C216,Model!C$2:G$226,5,FALSE)</f>
        <v>#N/A</v>
      </c>
      <c r="O216" t="e">
        <f t="shared" si="6"/>
        <v>#N/A</v>
      </c>
    </row>
    <row r="217" spans="1:15" ht="43.2">
      <c r="A217" t="s">
        <v>2385</v>
      </c>
      <c r="C217" t="str">
        <f>'Table-View'!A228&amp;IF(L236="Remove","_________________del","")</f>
        <v>Derived Trade Capacity Code</v>
      </c>
      <c r="D217" t="str">
        <f>'Table-View'!B228</f>
        <v>DRVD_TRD_CPCTY_CD</v>
      </c>
      <c r="E217" t="s">
        <v>2409</v>
      </c>
      <c r="F217" t="s">
        <v>10</v>
      </c>
      <c r="G217" s="2" t="str">
        <f>'Table-View'!H228</f>
        <v>Unique Code derived to show type of capacity based on combination of legacy trade capacity and OMS execution type. Eg. acting as principal or agency.</v>
      </c>
      <c r="H217" t="str">
        <f>IF('Table-View'!E228="No","NOT NULL","NULL")</f>
        <v>NULL</v>
      </c>
      <c r="J217" t="str">
        <f t="shared" si="7"/>
        <v>Code_20</v>
      </c>
      <c r="K217" t="s">
        <v>2404</v>
      </c>
      <c r="L217" t="str">
        <f>'Table-View'!J228</f>
        <v>Add</v>
      </c>
      <c r="M217" t="str">
        <f>VLOOKUP(C217,Model!C$2:G$226,4,FALSE)</f>
        <v>Code_20</v>
      </c>
      <c r="N217" t="str">
        <f>VLOOKUP(C217,Model!C$2:G$226,5,FALSE)</f>
        <v>VARCHAR2(20)</v>
      </c>
      <c r="O217" t="b">
        <f t="shared" si="6"/>
        <v>1</v>
      </c>
    </row>
    <row r="218" spans="1:15" ht="43.2">
      <c r="A218" t="s">
        <v>2385</v>
      </c>
      <c r="C218" t="str">
        <f>'Table-View'!A229&amp;IF(L237="Remove","_________________del","")</f>
        <v>Derived Trade Capacity Name</v>
      </c>
      <c r="D218" t="str">
        <f>'Table-View'!B229</f>
        <v>DRVD_TRD_CPCTY_NM</v>
      </c>
      <c r="E218" t="s">
        <v>2407</v>
      </c>
      <c r="F218" t="s">
        <v>10</v>
      </c>
      <c r="G218" s="2" t="str">
        <f>'Table-View'!H229</f>
        <v>Derived Unique Name that represents what type of capacity based on combination of legacy trade capacity and OMS execution type the trade was executed in. Eg. acting as principal or agency.</v>
      </c>
      <c r="H218" t="str">
        <f>IF('Table-View'!E229="No","NOT NULL","NULL")</f>
        <v>NULL</v>
      </c>
      <c r="J218" t="str">
        <f t="shared" si="7"/>
        <v>Name_200</v>
      </c>
      <c r="K218" t="s">
        <v>2404</v>
      </c>
      <c r="L218" t="str">
        <f>'Table-View'!J229</f>
        <v>Add</v>
      </c>
      <c r="M218" t="str">
        <f>VLOOKUP(C218,Model!C$2:G$226,4,FALSE)</f>
        <v>Name_200</v>
      </c>
      <c r="N218" t="str">
        <f>VLOOKUP(C218,Model!C$2:G$226,5,FALSE)</f>
        <v>VARCHAR2(200)</v>
      </c>
      <c r="O218" t="b">
        <f t="shared" si="6"/>
        <v>1</v>
      </c>
    </row>
    <row r="219" spans="1:15" ht="43.2">
      <c r="A219" t="s">
        <v>2385</v>
      </c>
      <c r="C219" t="str">
        <f>'Table-View'!A230&amp;IF(L238="Remove","_________________del","")</f>
        <v>Derived Trade Capacity Id</v>
      </c>
      <c r="D219" t="str">
        <f>'Table-View'!B230</f>
        <v>DRVD_TRD_CPCTY_ID</v>
      </c>
      <c r="E219" t="s">
        <v>133</v>
      </c>
      <c r="F219" t="s">
        <v>10</v>
      </c>
      <c r="G219" s="2" t="str">
        <f>'Table-View'!H230</f>
        <v>Unique Identifier derived to show type of capacity based on combination of legacy trade capacity and OMS execution type. Eg. acting as principal or agency.</v>
      </c>
      <c r="H219" t="str">
        <f>IF('Table-View'!E230="No","NOT NULL","NULL")</f>
        <v>NULL</v>
      </c>
      <c r="J219" t="str">
        <f t="shared" si="7"/>
        <v>NINI</v>
      </c>
      <c r="K219" t="s">
        <v>2404</v>
      </c>
      <c r="L219" t="str">
        <f>'Table-View'!J230</f>
        <v>Add</v>
      </c>
      <c r="M219" t="str">
        <f>VLOOKUP(C219,Model!C$2:G$226,4,FALSE)</f>
        <v>NINI</v>
      </c>
      <c r="N219" t="str">
        <f>VLOOKUP(C219,Model!C$2:G$226,5,FALSE)</f>
        <v>NUMBER(38,0)</v>
      </c>
      <c r="O219" t="b">
        <f t="shared" si="6"/>
        <v>1</v>
      </c>
    </row>
    <row r="220" spans="1:15" ht="28.8">
      <c r="A220" t="s">
        <v>2385</v>
      </c>
      <c r="C220" t="str">
        <f>'Table-View'!A231&amp;IF(L239="Remove","_________________del","")</f>
        <v>Additional Trade Instruction</v>
      </c>
      <c r="E220" t="s">
        <v>2430</v>
      </c>
      <c r="F220" t="s">
        <v>10</v>
      </c>
      <c r="G220" s="2" t="str">
        <f>'Table-View'!H231</f>
        <v>Five character code used to override an Edit Message to give the system special handling instructions for the trade.</v>
      </c>
      <c r="H220" t="str">
        <f>IF('Table-View'!E231="No","NOT NULL","NULL")</f>
        <v>NULL</v>
      </c>
      <c r="K220" t="s">
        <v>2404</v>
      </c>
      <c r="L220" t="str">
        <f>'Table-View'!J231</f>
        <v>Add</v>
      </c>
      <c r="M220">
        <f>VLOOKUP(C220,Model!C$2:G$226,4,FALSE)</f>
        <v>0</v>
      </c>
      <c r="N220" t="str">
        <f>VLOOKUP(C220,Model!C$2:G$226,5,FALSE)</f>
        <v>VARCHAR2(5)</v>
      </c>
      <c r="O220" t="b">
        <f t="shared" si="6"/>
        <v>1</v>
      </c>
    </row>
    <row r="221" spans="1:15" ht="72">
      <c r="A221" t="s">
        <v>2385</v>
      </c>
      <c r="C221" t="str">
        <f>'Table-View'!A232&amp;IF(L240="Remove","_________________del","")</f>
        <v>Trade Factor Rate</v>
      </c>
      <c r="E221" t="s">
        <v>1189</v>
      </c>
      <c r="F221" t="s">
        <v>10</v>
      </c>
      <c r="G221" s="2" t="str">
        <f>'Table-View'!H232</f>
        <v>The ratio of the current principal amount of a security to its original principal amount.
It is a numeric field indicating the amortization factor associated with the trade of a GNMA bond, FNMA bond, FHLMC bond, or any bond carrying a factor. All other records should have a value of 1.000.</v>
      </c>
      <c r="H221" t="str">
        <f>IF('Table-View'!E232="No","NOT NULL","NULL")</f>
        <v>NULL</v>
      </c>
      <c r="K221" t="s">
        <v>2404</v>
      </c>
      <c r="L221" t="str">
        <f>'Table-View'!J232</f>
        <v>Add</v>
      </c>
      <c r="M221" t="e">
        <f>VLOOKUP(C221,Model!C$2:G$226,4,FALSE)</f>
        <v>#N/A</v>
      </c>
      <c r="N221" t="e">
        <f>VLOOKUP(C221,Model!C$2:G$226,5,FALSE)</f>
        <v>#N/A</v>
      </c>
      <c r="O221" t="e">
        <f t="shared" si="6"/>
        <v>#N/A</v>
      </c>
    </row>
    <row r="222" spans="1:15">
      <c r="A222" t="s">
        <v>2385</v>
      </c>
      <c r="C222" t="str">
        <f>'Table-View'!A233&amp;IF(L241="Remove","_________________del","")</f>
        <v>Markup Rate</v>
      </c>
      <c r="E222" t="s">
        <v>1195</v>
      </c>
      <c r="F222" t="s">
        <v>10</v>
      </c>
      <c r="G222" s="2" t="str">
        <f>'Table-View'!H233</f>
        <v>Percentage added to a product cost to determine its final price.</v>
      </c>
      <c r="H222" t="str">
        <f>IF('Table-View'!E233="No","NOT NULL","NULL")</f>
        <v>NULL</v>
      </c>
      <c r="J222" t="s">
        <v>2431</v>
      </c>
      <c r="K222" t="s">
        <v>2404</v>
      </c>
      <c r="L222" t="str">
        <f>'Table-View'!J233</f>
        <v>Add</v>
      </c>
      <c r="M222" t="str">
        <f>VLOOKUP(C222,Model!C$2:G$226,4,FALSE)</f>
        <v>AMOUNT_22d6</v>
      </c>
      <c r="N222" t="str">
        <f>VLOOKUP(C222,Model!C$2:G$226,5,FALSE)</f>
        <v>NUMBER(22,6)</v>
      </c>
      <c r="O222" t="b">
        <f t="shared" si="6"/>
        <v>1</v>
      </c>
    </row>
    <row r="223" spans="1:15" ht="28.8">
      <c r="A223" t="s">
        <v>2385</v>
      </c>
      <c r="C223" t="str">
        <f>'Table-View'!A234&amp;IF(L242="Remove","_________________del","")</f>
        <v>Standard Commission Amount</v>
      </c>
      <c r="E223" t="s">
        <v>1195</v>
      </c>
      <c r="F223" t="s">
        <v>10</v>
      </c>
      <c r="G223" s="2" t="str">
        <f>'Table-View'!H234</f>
        <v>Standard amount to be charged by broker or intermediary for trade execution.</v>
      </c>
      <c r="H223" t="str">
        <f>IF('Table-View'!E234="No","NOT NULL","NULL")</f>
        <v>NULL</v>
      </c>
      <c r="J223" t="s">
        <v>2431</v>
      </c>
      <c r="K223" t="s">
        <v>2404</v>
      </c>
      <c r="L223" t="str">
        <f>'Table-View'!J234</f>
        <v>Add</v>
      </c>
      <c r="M223" t="e">
        <f>VLOOKUP(C223,Model!C$2:G$226,4,FALSE)</f>
        <v>#N/A</v>
      </c>
      <c r="N223" t="e">
        <f>VLOOKUP(C223,Model!C$2:G$226,5,FALSE)</f>
        <v>#N/A</v>
      </c>
      <c r="O223" t="e">
        <f t="shared" si="6"/>
        <v>#N/A</v>
      </c>
    </row>
    <row r="224" spans="1:15" ht="28.8">
      <c r="A224" t="s">
        <v>2385</v>
      </c>
      <c r="C224" t="str">
        <f>'Table-View'!A235&amp;IF(L243="Remove","_________________del","")</f>
        <v>Actual Commission Amount</v>
      </c>
      <c r="E224" t="s">
        <v>560</v>
      </c>
      <c r="F224" t="s">
        <v>10</v>
      </c>
      <c r="G224" s="2" t="str">
        <f>'Table-View'!H235</f>
        <v>Actual amount charged by broker or intermediary for a trade execution.</v>
      </c>
      <c r="H224" t="str">
        <f>IF('Table-View'!E235="No","NOT NULL","NULL")</f>
        <v>NULL</v>
      </c>
      <c r="J224" t="s">
        <v>2432</v>
      </c>
      <c r="K224" t="s">
        <v>2404</v>
      </c>
      <c r="L224" t="str">
        <f>'Table-View'!J235</f>
        <v>Add</v>
      </c>
      <c r="M224" t="str">
        <f>VLOOKUP(C224,Model!C$2:G$226,4,FALSE)</f>
        <v>A38d6</v>
      </c>
      <c r="N224" t="str">
        <f>VLOOKUP(C224,Model!C$2:G$226,5,FALSE)</f>
        <v>NUMBER(38,6)</v>
      </c>
      <c r="O224" t="b">
        <f t="shared" si="6"/>
        <v>1</v>
      </c>
    </row>
    <row r="225" spans="1:15" ht="28.8">
      <c r="A225" t="s">
        <v>2385</v>
      </c>
      <c r="C225" t="str">
        <f>'Table-View'!A236&amp;IF(L244="Remove","_________________del","")</f>
        <v>Trade Processing Fee Amount</v>
      </c>
      <c r="E225" t="s">
        <v>560</v>
      </c>
      <c r="F225" t="s">
        <v>10</v>
      </c>
      <c r="G225" s="2" t="str">
        <f>'Table-View'!H236</f>
        <v>Amount charged to cover the operational costs associated with the post-execution processing of a trade</v>
      </c>
      <c r="H225" t="str">
        <f>IF('Table-View'!E236="No","NOT NULL","NULL")</f>
        <v>NULL</v>
      </c>
      <c r="J225" t="s">
        <v>2432</v>
      </c>
      <c r="K225" t="s">
        <v>2404</v>
      </c>
      <c r="L225" t="str">
        <f>'Table-View'!J236</f>
        <v>Add</v>
      </c>
      <c r="M225" t="e">
        <f>VLOOKUP(C225,Model!C$2:G$226,4,FALSE)</f>
        <v>#N/A</v>
      </c>
      <c r="N225" t="e">
        <f>VLOOKUP(C225,Model!C$2:G$226,5,FALSE)</f>
        <v>#N/A</v>
      </c>
      <c r="O225" t="e">
        <f t="shared" si="6"/>
        <v>#N/A</v>
      </c>
    </row>
    <row r="226" spans="1:15" ht="57.6">
      <c r="A226" t="s">
        <v>2385</v>
      </c>
      <c r="C226" t="str">
        <f>'Table-View'!A237&amp;IF(L245="Remove","_________________del","")</f>
        <v>SEC Fee Amount</v>
      </c>
      <c r="E226" t="s">
        <v>560</v>
      </c>
      <c r="F226" t="s">
        <v>10</v>
      </c>
      <c r="G226" s="2" t="str">
        <f>'Table-View'!H237</f>
        <v>Regulatory fee charged on the sale of exchange-listed securities, collected under Section 31 of the Securities Exchange Act of 1934. It is designed to help fund operations of the US Securities and Exchange Commission (SEC)</v>
      </c>
      <c r="H226" t="str">
        <f>IF('Table-View'!E237="No","NOT NULL","NULL")</f>
        <v>NULL</v>
      </c>
      <c r="J226" t="s">
        <v>2432</v>
      </c>
      <c r="K226" t="s">
        <v>2404</v>
      </c>
      <c r="L226" t="str">
        <f>'Table-View'!J237</f>
        <v>Add</v>
      </c>
      <c r="M226" t="e">
        <f>VLOOKUP(C226,Model!C$2:G$226,4,FALSE)</f>
        <v>#N/A</v>
      </c>
      <c r="N226" t="e">
        <f>VLOOKUP(C226,Model!C$2:G$226,5,FALSE)</f>
        <v>#N/A</v>
      </c>
      <c r="O226" t="e">
        <f t="shared" si="6"/>
        <v>#N/A</v>
      </c>
    </row>
    <row r="227" spans="1:15" ht="28.8">
      <c r="A227" t="s">
        <v>2385</v>
      </c>
      <c r="C227" t="str">
        <f>'Table-View'!A238&amp;IF(L246="Remove","_________________del","")</f>
        <v>Accrued Interest Amount</v>
      </c>
      <c r="E227" t="s">
        <v>560</v>
      </c>
      <c r="F227" t="s">
        <v>10</v>
      </c>
      <c r="G227" s="2" t="str">
        <f>'Table-View'!H238</f>
        <v>The amount of fixed income security interest that has accumulated between the most recent interest payment and the trade</v>
      </c>
      <c r="H227" t="str">
        <f>IF('Table-View'!E238="No","NOT NULL","NULL")</f>
        <v>NULL</v>
      </c>
      <c r="J227" t="s">
        <v>2432</v>
      </c>
      <c r="K227" t="s">
        <v>2404</v>
      </c>
      <c r="L227" t="str">
        <f>'Table-View'!J238</f>
        <v>Add</v>
      </c>
      <c r="M227" t="str">
        <f>VLOOKUP(C227,Model!C$2:G$226,4,FALSE)</f>
        <v>A38d6</v>
      </c>
      <c r="N227" t="str">
        <f>VLOOKUP(C227,Model!C$2:G$226,5,FALSE)</f>
        <v>NUMBER(38,6)</v>
      </c>
      <c r="O227" t="b">
        <f t="shared" si="6"/>
        <v>1</v>
      </c>
    </row>
    <row r="228" spans="1:15" ht="28.8">
      <c r="A228" t="s">
        <v>2385</v>
      </c>
      <c r="C228" t="str">
        <f>'Table-View'!A239&amp;IF(L247="Remove","_________________del","")</f>
        <v>Concession Amount</v>
      </c>
      <c r="E228" t="s">
        <v>560</v>
      </c>
      <c r="F228" t="s">
        <v>10</v>
      </c>
      <c r="G228" s="2" t="str">
        <f>'Table-View'!H239</f>
        <v>Amount paid to the broker or firm that facilitates the sale of the mutual fund shares</v>
      </c>
      <c r="H228" t="str">
        <f>IF('Table-View'!E239="No","NOT NULL","NULL")</f>
        <v>NULL</v>
      </c>
      <c r="J228" t="s">
        <v>2432</v>
      </c>
      <c r="K228" t="s">
        <v>2404</v>
      </c>
      <c r="L228" t="str">
        <f>'Table-View'!J239</f>
        <v>Add</v>
      </c>
      <c r="M228" t="str">
        <f>VLOOKUP(C228,Model!C$2:G$226,4,FALSE)</f>
        <v>A38d6</v>
      </c>
      <c r="N228" t="str">
        <f>VLOOKUP(C228,Model!C$2:G$226,5,FALSE)</f>
        <v>NUMBER(38,6)</v>
      </c>
      <c r="O228" t="b">
        <f t="shared" si="6"/>
        <v>1</v>
      </c>
    </row>
    <row r="229" spans="1:15" ht="43.2">
      <c r="A229" t="s">
        <v>2385</v>
      </c>
      <c r="C229" t="str">
        <f>'Table-View'!A240&amp;IF(L248="Remove","_________________del","")</f>
        <v>Contingent Deferred Sales Charge Amount</v>
      </c>
      <c r="E229" t="s">
        <v>560</v>
      </c>
      <c r="F229" t="s">
        <v>10</v>
      </c>
      <c r="G229" s="2" t="str">
        <f>'Table-View'!H240</f>
        <v>Back-end sales charge paid for Class B mutual fund shares within a specified period from the original purchase date. This fee is also known as Exit Fee.</v>
      </c>
      <c r="H229" t="str">
        <f>IF('Table-View'!E240="No","NOT NULL","NULL")</f>
        <v>NULL</v>
      </c>
      <c r="J229" t="s">
        <v>2432</v>
      </c>
      <c r="K229" t="s">
        <v>2404</v>
      </c>
      <c r="L229" t="str">
        <f>'Table-View'!J240</f>
        <v>Add</v>
      </c>
      <c r="M229" t="str">
        <f>VLOOKUP(C229,Model!C$2:G$226,4,FALSE)</f>
        <v>A38d6</v>
      </c>
      <c r="N229" t="str">
        <f>VLOOKUP(C229,Model!C$2:G$226,5,FALSE)</f>
        <v>NUMBER(38,6)</v>
      </c>
      <c r="O229" t="b">
        <f t="shared" si="6"/>
        <v>1</v>
      </c>
    </row>
    <row r="230" spans="1:15" ht="28.8">
      <c r="A230" t="s">
        <v>2385</v>
      </c>
      <c r="C230" t="str">
        <f>'Table-View'!A241&amp;IF(L249="Remove","_________________del","")</f>
        <v>Other Fee Amount</v>
      </c>
      <c r="E230" t="s">
        <v>560</v>
      </c>
      <c r="F230" t="s">
        <v>10</v>
      </c>
      <c r="G230" s="2" t="str">
        <f>'Table-View'!H241</f>
        <v>Aggregation of miscellaneous fees associated with the trade. It includes trade schedule charges, Mutual Fund transaction fees, taxes.</v>
      </c>
      <c r="H230" t="str">
        <f>IF('Table-View'!E241="No","NOT NULL","NULL")</f>
        <v>NULL</v>
      </c>
      <c r="J230" t="s">
        <v>2432</v>
      </c>
      <c r="K230" t="s">
        <v>2404</v>
      </c>
      <c r="L230" t="str">
        <f>'Table-View'!J241</f>
        <v>Add</v>
      </c>
      <c r="M230" t="str">
        <f>VLOOKUP(C230,Model!C$2:G$226,4,FALSE)</f>
        <v>A38d6</v>
      </c>
      <c r="N230" t="str">
        <f>VLOOKUP(C230,Model!C$2:G$226,5,FALSE)</f>
        <v>NUMBER(38,6)</v>
      </c>
      <c r="O230" t="b">
        <f t="shared" si="6"/>
        <v>1</v>
      </c>
    </row>
    <row r="231" spans="1:15">
      <c r="A231" t="s">
        <v>2385</v>
      </c>
      <c r="C231" t="str">
        <f>'Table-View'!A242&amp;IF(L250="Remove","_________________del","")</f>
        <v>Trade Cancelled Flag</v>
      </c>
      <c r="E231" t="s">
        <v>2405</v>
      </c>
      <c r="F231" t="s">
        <v>10</v>
      </c>
      <c r="G231" s="2" t="str">
        <f>'Table-View'!H242</f>
        <v>The flag that indicates that the trade has been cancelled</v>
      </c>
      <c r="H231" t="str">
        <f>IF('Table-View'!E242="No","NOT NULL","NULL")</f>
        <v>NULL</v>
      </c>
      <c r="K231" t="s">
        <v>2404</v>
      </c>
      <c r="L231" t="str">
        <f>'Table-View'!J242</f>
        <v>Add</v>
      </c>
      <c r="M231" t="e">
        <f>VLOOKUP(C231,Model!C$2:G$226,4,FALSE)</f>
        <v>#N/A</v>
      </c>
      <c r="N231" t="e">
        <f>VLOOKUP(C231,Model!C$2:G$226,5,FALSE)</f>
        <v>#N/A</v>
      </c>
      <c r="O231" t="e">
        <f t="shared" si="6"/>
        <v>#N/A</v>
      </c>
    </row>
    <row r="232" spans="1:15" ht="72">
      <c r="A232" t="s">
        <v>2385</v>
      </c>
      <c r="C232" t="str">
        <f>'Table-View'!A243&amp;IF(L251="Remove","_________________del","")</f>
        <v>Symbol</v>
      </c>
      <c r="E232" t="s">
        <v>2407</v>
      </c>
      <c r="F232" t="s">
        <v>10</v>
      </c>
      <c r="G232" s="2" t="str">
        <f>'Table-View'!H243</f>
        <v>A ticker symbol or stock symbol is an abbreviation used to uniquely identify publicly traded shares of a particular stock on a particular stock market. A stock symbol may consist of letters, numbers or a combination of both. This is the symbol that is in the executing exchange.</v>
      </c>
      <c r="H232" t="str">
        <f>IF('Table-View'!E243="No","NOT NULL","NULL")</f>
        <v>NULL</v>
      </c>
      <c r="K232" t="s">
        <v>2404</v>
      </c>
      <c r="L232">
        <f>'Table-View'!J243</f>
        <v>0</v>
      </c>
      <c r="M232" t="e">
        <f>VLOOKUP(C232,Model!C$2:G$226,4,FALSE)</f>
        <v>#N/A</v>
      </c>
      <c r="N232" t="e">
        <f>VLOOKUP(C232,Model!C$2:G$226,5,FALSE)</f>
        <v>#N/A</v>
      </c>
      <c r="O232" t="e">
        <f t="shared" si="6"/>
        <v>#N/A</v>
      </c>
    </row>
    <row r="233" spans="1:15" ht="43.2">
      <c r="A233" t="s">
        <v>2385</v>
      </c>
      <c r="C233" t="str">
        <f>'Table-View'!A244&amp;IF(L252="Remove","_________________del","")</f>
        <v>ISIN</v>
      </c>
      <c r="E233" t="s">
        <v>2407</v>
      </c>
      <c r="F233" t="s">
        <v>10</v>
      </c>
      <c r="G233" s="2" t="str">
        <f>'Table-View'!H244</f>
        <v>ISIN stands for International Securities Identification Number. These numbers are unique codes used to identify and track securities worldwide</v>
      </c>
      <c r="H233" t="str">
        <f>IF('Table-View'!E244="No","NOT NULL","NULL")</f>
        <v>NULL</v>
      </c>
      <c r="K233" t="s">
        <v>2404</v>
      </c>
      <c r="L233">
        <f>'Table-View'!J244</f>
        <v>0</v>
      </c>
      <c r="M233">
        <f>VLOOKUP(C233,Model!C$2:G$226,4,FALSE)</f>
        <v>0</v>
      </c>
      <c r="N233" t="str">
        <f>VLOOKUP(C233,Model!C$2:G$226,5,FALSE)</f>
        <v>VARCHAR2(200)</v>
      </c>
      <c r="O233" t="b">
        <f t="shared" si="6"/>
        <v>1</v>
      </c>
    </row>
  </sheetData>
  <autoFilter ref="A1:O233" xr:uid="{AEB09303-4175-45A8-AF3B-62ACAD1A2FCC}"/>
  <phoneticPr fontId="24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AF89E-A1CB-4250-A584-3DF6C8A591AE}">
  <dimension ref="A1:U1335"/>
  <sheetViews>
    <sheetView workbookViewId="0">
      <pane ySplit="1" topLeftCell="A349" activePane="bottomLeft" state="frozen"/>
      <selection pane="bottomLeft" sqref="A1:XFD1"/>
    </sheetView>
  </sheetViews>
  <sheetFormatPr defaultRowHeight="14.4"/>
  <cols>
    <col min="1" max="1" width="29.6640625" customWidth="1"/>
    <col min="2" max="2" width="28.44140625" customWidth="1"/>
    <col min="3" max="3" width="47.33203125" bestFit="1" customWidth="1"/>
    <col min="4" max="4" width="29.33203125" bestFit="1" customWidth="1"/>
    <col min="5" max="5" width="50.6640625" customWidth="1"/>
    <col min="6" max="6" width="17.5546875" bestFit="1" customWidth="1"/>
    <col min="7" max="7" width="19.5546875" bestFit="1" customWidth="1"/>
    <col min="8" max="8" width="21.6640625" bestFit="1" customWidth="1"/>
    <col min="10" max="10" width="5" bestFit="1" customWidth="1"/>
    <col min="11" max="12" width="4" bestFit="1" customWidth="1"/>
    <col min="13" max="15" width="12.6640625" customWidth="1"/>
    <col min="16" max="16" width="32.44140625" bestFit="1" customWidth="1"/>
    <col min="17" max="17" width="27.5546875" customWidth="1"/>
    <col min="18" max="18" width="67.88671875" customWidth="1"/>
    <col min="20" max="20" width="42.109375" customWidth="1"/>
    <col min="21" max="21" width="21" customWidth="1"/>
  </cols>
  <sheetData>
    <row r="1" spans="1:21" ht="15.6">
      <c r="A1" s="9" t="s">
        <v>2433</v>
      </c>
      <c r="B1" s="9" t="s">
        <v>2434</v>
      </c>
      <c r="C1" s="9" t="s">
        <v>2325</v>
      </c>
      <c r="D1" s="9" t="s">
        <v>2435</v>
      </c>
      <c r="E1" s="9" t="s">
        <v>2436</v>
      </c>
      <c r="F1" s="9" t="s">
        <v>57</v>
      </c>
      <c r="G1" s="9" t="s">
        <v>2437</v>
      </c>
      <c r="H1" s="9" t="s">
        <v>2438</v>
      </c>
      <c r="P1" s="9" t="s">
        <v>2439</v>
      </c>
      <c r="Q1" s="9" t="s">
        <v>2440</v>
      </c>
      <c r="R1" s="9" t="s">
        <v>2441</v>
      </c>
      <c r="T1" s="27" t="s">
        <v>2442</v>
      </c>
      <c r="U1" s="27" t="s">
        <v>2443</v>
      </c>
    </row>
    <row r="2" spans="1:21">
      <c r="A2" s="135" t="s">
        <v>2385</v>
      </c>
      <c r="B2" s="135" t="s">
        <v>4</v>
      </c>
      <c r="C2" s="135" t="s">
        <v>2444</v>
      </c>
      <c r="D2" s="135" t="s">
        <v>233</v>
      </c>
      <c r="E2" s="135" t="s">
        <v>234</v>
      </c>
      <c r="F2" s="135" t="s">
        <v>2445</v>
      </c>
      <c r="G2" s="135" t="s">
        <v>82</v>
      </c>
      <c r="H2" s="135" t="s">
        <v>2446</v>
      </c>
      <c r="I2" s="135"/>
      <c r="J2" s="135">
        <v>161</v>
      </c>
      <c r="K2" s="10"/>
      <c r="L2" s="10"/>
      <c r="M2" s="10"/>
    </row>
    <row r="3" spans="1:21" ht="96.6">
      <c r="A3" s="135" t="s">
        <v>2385</v>
      </c>
      <c r="B3" s="135" t="s">
        <v>4</v>
      </c>
      <c r="C3" s="135" t="s">
        <v>208</v>
      </c>
      <c r="D3" s="135" t="s">
        <v>209</v>
      </c>
      <c r="E3" s="136" t="s">
        <v>213</v>
      </c>
      <c r="F3" s="135" t="s">
        <v>2447</v>
      </c>
      <c r="G3" s="135" t="s">
        <v>211</v>
      </c>
      <c r="H3" s="135" t="s">
        <v>2446</v>
      </c>
      <c r="I3" s="135"/>
      <c r="J3" s="135">
        <v>158</v>
      </c>
      <c r="K3" s="10"/>
      <c r="L3" s="10"/>
      <c r="M3" s="10"/>
    </row>
    <row r="4" spans="1:21">
      <c r="A4" s="135" t="s">
        <v>2385</v>
      </c>
      <c r="B4" s="135" t="s">
        <v>4</v>
      </c>
      <c r="C4" s="135" t="s">
        <v>217</v>
      </c>
      <c r="D4" s="135" t="s">
        <v>218</v>
      </c>
      <c r="E4" s="135" t="s">
        <v>220</v>
      </c>
      <c r="F4" s="135" t="s">
        <v>2448</v>
      </c>
      <c r="G4" s="135" t="s">
        <v>62</v>
      </c>
      <c r="H4" s="135" t="s">
        <v>2446</v>
      </c>
      <c r="I4" s="135"/>
      <c r="J4" s="135">
        <v>159</v>
      </c>
      <c r="K4" s="10"/>
      <c r="L4" s="10"/>
      <c r="M4" s="10"/>
    </row>
    <row r="5" spans="1:21">
      <c r="A5" s="135" t="s">
        <v>2385</v>
      </c>
      <c r="B5" s="135" t="s">
        <v>4</v>
      </c>
      <c r="C5" s="135" t="s">
        <v>225</v>
      </c>
      <c r="D5" s="135" t="s">
        <v>226</v>
      </c>
      <c r="E5" s="135" t="s">
        <v>229</v>
      </c>
      <c r="F5" s="135" t="s">
        <v>2449</v>
      </c>
      <c r="G5" s="135" t="s">
        <v>227</v>
      </c>
      <c r="H5" s="135" t="s">
        <v>2446</v>
      </c>
      <c r="I5" s="135"/>
      <c r="J5" s="135">
        <v>160</v>
      </c>
      <c r="K5" s="10"/>
      <c r="L5" s="10"/>
      <c r="M5" s="10"/>
    </row>
    <row r="6" spans="1:21" s="22" customFormat="1">
      <c r="A6" s="135" t="s">
        <v>2385</v>
      </c>
      <c r="B6" s="135" t="s">
        <v>4</v>
      </c>
      <c r="C6" s="135" t="s">
        <v>1393</v>
      </c>
      <c r="D6" s="135" t="s">
        <v>1394</v>
      </c>
      <c r="E6" s="135" t="s">
        <v>1396</v>
      </c>
      <c r="F6" s="135"/>
      <c r="G6" s="135" t="s">
        <v>90</v>
      </c>
      <c r="H6" s="135" t="s">
        <v>2446</v>
      </c>
      <c r="I6" s="135"/>
      <c r="J6" s="135">
        <v>254</v>
      </c>
      <c r="K6" s="10"/>
      <c r="L6" s="10"/>
      <c r="M6" s="10"/>
      <c r="N6"/>
      <c r="O6"/>
      <c r="P6"/>
      <c r="Q6"/>
      <c r="R6"/>
      <c r="S6"/>
      <c r="T6"/>
      <c r="U6"/>
    </row>
    <row r="7" spans="1:21">
      <c r="A7" s="135" t="s">
        <v>2385</v>
      </c>
      <c r="B7" s="135" t="s">
        <v>4</v>
      </c>
      <c r="C7" s="135" t="s">
        <v>1384</v>
      </c>
      <c r="D7" s="135" t="s">
        <v>1385</v>
      </c>
      <c r="E7" s="135" t="s">
        <v>1387</v>
      </c>
      <c r="F7" s="135"/>
      <c r="G7" s="135" t="s">
        <v>139</v>
      </c>
      <c r="H7" s="135" t="s">
        <v>2446</v>
      </c>
      <c r="I7" s="135"/>
      <c r="J7" s="135">
        <v>252</v>
      </c>
      <c r="K7" s="10"/>
      <c r="L7" s="10"/>
      <c r="M7" s="10"/>
    </row>
    <row r="8" spans="1:21">
      <c r="A8" s="135" t="s">
        <v>2385</v>
      </c>
      <c r="B8" s="135" t="s">
        <v>4</v>
      </c>
      <c r="C8" s="135" t="s">
        <v>1476</v>
      </c>
      <c r="D8" s="135" t="s">
        <v>1477</v>
      </c>
      <c r="E8" s="135" t="s">
        <v>1479</v>
      </c>
      <c r="F8" s="135"/>
      <c r="G8" s="135" t="s">
        <v>90</v>
      </c>
      <c r="H8" s="135" t="s">
        <v>2446</v>
      </c>
      <c r="I8" s="135"/>
      <c r="J8" s="135">
        <v>271</v>
      </c>
      <c r="K8" s="10"/>
      <c r="L8" s="10"/>
      <c r="M8" s="10"/>
    </row>
    <row r="9" spans="1:21">
      <c r="A9" s="135" t="s">
        <v>2385</v>
      </c>
      <c r="B9" s="135" t="s">
        <v>4</v>
      </c>
      <c r="C9" s="135" t="s">
        <v>1468</v>
      </c>
      <c r="D9" s="135" t="s">
        <v>1469</v>
      </c>
      <c r="E9" s="135" t="s">
        <v>1471</v>
      </c>
      <c r="F9" s="135"/>
      <c r="G9" s="135" t="s">
        <v>139</v>
      </c>
      <c r="H9" s="135" t="s">
        <v>2446</v>
      </c>
      <c r="I9" s="135"/>
      <c r="J9" s="135">
        <v>269</v>
      </c>
      <c r="K9" s="10"/>
      <c r="L9" s="10"/>
      <c r="M9" s="10"/>
      <c r="P9" s="10" t="e">
        <f>VLOOKUP(C9,Table_view_sorted!A$2:A$215,1,FALSE)</f>
        <v>#N/A</v>
      </c>
      <c r="Q9" t="e">
        <f>VLOOKUP(D9,AVY_FACT!A$2:A$153,1,FALSE)</f>
        <v>#N/A</v>
      </c>
      <c r="R9" t="str">
        <f>D9&amp;"  "&amp;G9&amp;","</f>
        <v>AC_OWNSHP_TP_CD  VARCHAR2(20),</v>
      </c>
      <c r="T9" s="10"/>
      <c r="U9" s="10"/>
    </row>
    <row r="10" spans="1:21">
      <c r="A10" s="135" t="s">
        <v>2385</v>
      </c>
      <c r="B10" s="135" t="s">
        <v>4</v>
      </c>
      <c r="C10" s="135" t="s">
        <v>359</v>
      </c>
      <c r="D10" s="135" t="s">
        <v>360</v>
      </c>
      <c r="E10" s="135" t="s">
        <v>362</v>
      </c>
      <c r="F10" s="135" t="s">
        <v>2445</v>
      </c>
      <c r="G10" s="135" t="s">
        <v>82</v>
      </c>
      <c r="H10" s="135" t="s">
        <v>2446</v>
      </c>
      <c r="I10" s="135"/>
      <c r="J10" s="135">
        <v>102</v>
      </c>
      <c r="K10" s="10"/>
      <c r="L10" s="10"/>
      <c r="M10" s="10"/>
      <c r="P10" s="10" t="str">
        <f>VLOOKUP(C10,Table_view_sorted!A$2:A$215,1,FALSE)</f>
        <v>Accounting Type Code</v>
      </c>
      <c r="Q10" t="str">
        <f>VLOOKUP(D10,AVY_FACT!A$2:A$153,1,FALSE)</f>
        <v>ACG_TP_CD</v>
      </c>
      <c r="R10" t="str">
        <f>D10&amp;"  "&amp;G10&amp;","</f>
        <v>ACG_TP_CD  VARCHAR2(1),</v>
      </c>
      <c r="T10" s="10"/>
      <c r="U10" s="10"/>
    </row>
    <row r="11" spans="1:21">
      <c r="A11" s="135" t="s">
        <v>2385</v>
      </c>
      <c r="B11" s="135" t="s">
        <v>4</v>
      </c>
      <c r="C11" s="135" t="s">
        <v>365</v>
      </c>
      <c r="D11" s="135" t="s">
        <v>366</v>
      </c>
      <c r="E11" s="135" t="s">
        <v>367</v>
      </c>
      <c r="F11" s="135" t="s">
        <v>2428</v>
      </c>
      <c r="G11" s="135" t="s">
        <v>101</v>
      </c>
      <c r="H11" s="135" t="s">
        <v>2450</v>
      </c>
      <c r="I11" s="135"/>
      <c r="J11" s="135">
        <v>41</v>
      </c>
      <c r="K11" s="10"/>
      <c r="L11" s="10"/>
      <c r="M11" s="10"/>
    </row>
    <row r="12" spans="1:21" s="19" customFormat="1">
      <c r="A12" s="135" t="s">
        <v>2385</v>
      </c>
      <c r="B12" s="135" t="s">
        <v>4</v>
      </c>
      <c r="C12" s="135" t="s">
        <v>372</v>
      </c>
      <c r="D12" s="135" t="s">
        <v>373</v>
      </c>
      <c r="E12" s="135" t="s">
        <v>374</v>
      </c>
      <c r="F12" s="135" t="s">
        <v>2429</v>
      </c>
      <c r="G12" s="135" t="s">
        <v>101</v>
      </c>
      <c r="H12" s="135" t="s">
        <v>2446</v>
      </c>
      <c r="I12" s="135"/>
      <c r="J12" s="135">
        <v>192</v>
      </c>
      <c r="K12" s="10"/>
      <c r="L12" s="10"/>
      <c r="M12" s="10"/>
      <c r="N12"/>
      <c r="O12"/>
      <c r="P12"/>
      <c r="Q12"/>
      <c r="R12"/>
      <c r="S12"/>
      <c r="T12"/>
      <c r="U12"/>
    </row>
    <row r="13" spans="1:21" s="20" customFormat="1">
      <c r="A13" s="135" t="s">
        <v>2385</v>
      </c>
      <c r="B13" s="135" t="s">
        <v>4</v>
      </c>
      <c r="C13" s="135" t="s">
        <v>368</v>
      </c>
      <c r="D13" s="135" t="s">
        <v>369</v>
      </c>
      <c r="E13" s="135" t="s">
        <v>371</v>
      </c>
      <c r="F13" s="135" t="s">
        <v>2451</v>
      </c>
      <c r="G13" s="135" t="s">
        <v>302</v>
      </c>
      <c r="H13" s="135" t="s">
        <v>2446</v>
      </c>
      <c r="I13" s="135"/>
      <c r="J13" s="135">
        <v>101</v>
      </c>
      <c r="K13" s="10"/>
      <c r="L13" s="10"/>
      <c r="M13" s="10"/>
      <c r="N13"/>
      <c r="O13"/>
      <c r="P13"/>
      <c r="Q13"/>
      <c r="R13"/>
      <c r="S13"/>
      <c r="T13"/>
      <c r="U13"/>
    </row>
    <row r="14" spans="1:21">
      <c r="A14" s="135" t="s">
        <v>2385</v>
      </c>
      <c r="B14" s="135" t="s">
        <v>4</v>
      </c>
      <c r="C14" s="135" t="s">
        <v>1214</v>
      </c>
      <c r="D14" s="135" t="s">
        <v>2452</v>
      </c>
      <c r="E14" s="135" t="s">
        <v>1216</v>
      </c>
      <c r="F14" s="135" t="s">
        <v>2432</v>
      </c>
      <c r="G14" s="135" t="s">
        <v>559</v>
      </c>
      <c r="H14" s="135" t="s">
        <v>2446</v>
      </c>
      <c r="I14" s="135"/>
      <c r="J14" s="135">
        <v>221</v>
      </c>
      <c r="K14" s="10"/>
      <c r="L14" s="10"/>
      <c r="M14" s="10"/>
    </row>
    <row r="15" spans="1:21" s="20" customFormat="1">
      <c r="A15" s="135" t="s">
        <v>2385</v>
      </c>
      <c r="B15" s="135" t="s">
        <v>4</v>
      </c>
      <c r="C15" s="135" t="s">
        <v>377</v>
      </c>
      <c r="D15" s="135" t="s">
        <v>378</v>
      </c>
      <c r="E15" s="135" t="s">
        <v>380</v>
      </c>
      <c r="F15" s="135" t="s">
        <v>2453</v>
      </c>
      <c r="G15" s="135" t="s">
        <v>82</v>
      </c>
      <c r="H15" s="135" t="s">
        <v>2450</v>
      </c>
      <c r="I15" s="135"/>
      <c r="J15" s="135">
        <v>95</v>
      </c>
      <c r="K15" s="10"/>
      <c r="L15" s="10"/>
      <c r="M15" s="10"/>
      <c r="N15"/>
      <c r="O15"/>
      <c r="P15"/>
      <c r="Q15"/>
      <c r="R15"/>
      <c r="S15"/>
      <c r="T15"/>
      <c r="U15"/>
    </row>
    <row r="16" spans="1:21">
      <c r="A16" s="135" t="s">
        <v>2385</v>
      </c>
      <c r="B16" s="135" t="s">
        <v>4</v>
      </c>
      <c r="C16" s="135" t="s">
        <v>1202</v>
      </c>
      <c r="D16" s="135" t="s">
        <v>2454</v>
      </c>
      <c r="E16" s="135" t="s">
        <v>1204</v>
      </c>
      <c r="F16" s="135" t="s">
        <v>2432</v>
      </c>
      <c r="G16" s="135" t="s">
        <v>559</v>
      </c>
      <c r="H16" s="135" t="s">
        <v>2446</v>
      </c>
      <c r="I16" s="135"/>
      <c r="J16" s="135">
        <v>218</v>
      </c>
      <c r="K16" s="10"/>
      <c r="L16" s="10"/>
      <c r="M16" s="10"/>
    </row>
    <row r="17" spans="1:21">
      <c r="A17" s="135" t="s">
        <v>2385</v>
      </c>
      <c r="B17" s="135" t="s">
        <v>4</v>
      </c>
      <c r="C17" s="135" t="s">
        <v>1177</v>
      </c>
      <c r="D17" s="135" t="s">
        <v>1184</v>
      </c>
      <c r="E17" s="135" t="s">
        <v>1181</v>
      </c>
      <c r="F17" s="135"/>
      <c r="G17" s="135" t="s">
        <v>1179</v>
      </c>
      <c r="H17" s="135" t="s">
        <v>2446</v>
      </c>
      <c r="I17" s="135"/>
      <c r="J17" s="135">
        <v>214</v>
      </c>
      <c r="K17" s="10"/>
      <c r="L17" s="10"/>
      <c r="M17" s="10"/>
    </row>
    <row r="18" spans="1:21">
      <c r="A18" s="135" t="s">
        <v>2385</v>
      </c>
      <c r="B18" s="135" t="s">
        <v>4</v>
      </c>
      <c r="C18" s="135" t="s">
        <v>382</v>
      </c>
      <c r="D18" s="135" t="s">
        <v>383</v>
      </c>
      <c r="E18" s="135" t="s">
        <v>386</v>
      </c>
      <c r="F18" s="135" t="s">
        <v>2419</v>
      </c>
      <c r="G18" s="135" t="s">
        <v>2418</v>
      </c>
      <c r="H18" s="135" t="s">
        <v>2446</v>
      </c>
      <c r="I18" s="135"/>
      <c r="J18" s="135">
        <v>87</v>
      </c>
      <c r="K18" s="10"/>
      <c r="L18" s="10"/>
      <c r="M18" s="10"/>
    </row>
    <row r="19" spans="1:21" s="10" customFormat="1">
      <c r="A19" s="135" t="s">
        <v>2385</v>
      </c>
      <c r="B19" s="135" t="s">
        <v>4</v>
      </c>
      <c r="C19" s="135" t="s">
        <v>392</v>
      </c>
      <c r="D19" s="135" t="s">
        <v>393</v>
      </c>
      <c r="E19" s="135" t="s">
        <v>386</v>
      </c>
      <c r="F19" s="135" t="s">
        <v>2419</v>
      </c>
      <c r="G19" s="135" t="s">
        <v>2418</v>
      </c>
      <c r="H19" s="135" t="s">
        <v>2446</v>
      </c>
      <c r="I19" s="135"/>
      <c r="J19" s="135">
        <v>88</v>
      </c>
      <c r="N19"/>
      <c r="O19"/>
      <c r="P19"/>
      <c r="Q19"/>
      <c r="R19"/>
      <c r="S19"/>
      <c r="T19"/>
      <c r="U19"/>
    </row>
    <row r="20" spans="1:21" s="22" customFormat="1">
      <c r="A20" s="135" t="s">
        <v>2385</v>
      </c>
      <c r="B20" s="135" t="s">
        <v>4</v>
      </c>
      <c r="C20" s="135" t="s">
        <v>1127</v>
      </c>
      <c r="D20" s="135" t="s">
        <v>1120</v>
      </c>
      <c r="E20" s="135" t="s">
        <v>1128</v>
      </c>
      <c r="F20" s="135" t="s">
        <v>2429</v>
      </c>
      <c r="G20" s="135" t="s">
        <v>101</v>
      </c>
      <c r="H20" s="135" t="s">
        <v>2450</v>
      </c>
      <c r="I20" s="135"/>
      <c r="J20" s="135">
        <v>3</v>
      </c>
      <c r="K20" s="10"/>
      <c r="L20" s="10"/>
      <c r="M20" s="10"/>
      <c r="N20"/>
      <c r="O20"/>
      <c r="P20"/>
      <c r="Q20"/>
      <c r="R20"/>
      <c r="S20"/>
      <c r="T20"/>
      <c r="U20"/>
    </row>
    <row r="21" spans="1:21" s="22" customFormat="1">
      <c r="A21" s="135" t="s">
        <v>2385</v>
      </c>
      <c r="B21" s="135" t="s">
        <v>4</v>
      </c>
      <c r="C21" s="135" t="s">
        <v>396</v>
      </c>
      <c r="D21" s="135" t="s">
        <v>397</v>
      </c>
      <c r="E21" s="135" t="s">
        <v>399</v>
      </c>
      <c r="F21" s="135" t="s">
        <v>2429</v>
      </c>
      <c r="G21" s="135" t="s">
        <v>101</v>
      </c>
      <c r="H21" s="135" t="s">
        <v>2446</v>
      </c>
      <c r="I21" s="135"/>
      <c r="J21" s="135">
        <v>103</v>
      </c>
      <c r="K21" s="10"/>
      <c r="L21" s="10"/>
      <c r="M21" s="10"/>
      <c r="N21" s="10"/>
      <c r="O21" s="10"/>
      <c r="P21" s="10" t="str">
        <f>VLOOKUP(C21,Table_view_sorted!A$2:A$215,1,FALSE)</f>
        <v>Arrangement ID</v>
      </c>
      <c r="Q21" t="str">
        <f>VLOOKUP(D21,AVY_FACT!A$2:A$153,1,FALSE)</f>
        <v>AR_ID</v>
      </c>
      <c r="R21" t="str">
        <f>D21&amp;"  "&amp;G21&amp;","</f>
        <v>AR_ID  NUMBER(38,0),</v>
      </c>
      <c r="S21"/>
      <c r="T21" s="10"/>
      <c r="U21" s="10"/>
    </row>
    <row r="22" spans="1:21">
      <c r="A22" s="135" t="s">
        <v>2385</v>
      </c>
      <c r="B22" s="135" t="s">
        <v>4</v>
      </c>
      <c r="C22" s="135" t="s">
        <v>243</v>
      </c>
      <c r="D22" s="135" t="s">
        <v>244</v>
      </c>
      <c r="E22" s="135" t="s">
        <v>246</v>
      </c>
      <c r="F22" s="135" t="s">
        <v>2455</v>
      </c>
      <c r="G22" s="135" t="s">
        <v>139</v>
      </c>
      <c r="H22" s="135" t="s">
        <v>2446</v>
      </c>
      <c r="I22" s="135"/>
      <c r="J22" s="135">
        <v>185</v>
      </c>
      <c r="K22" s="10"/>
      <c r="L22" s="10"/>
      <c r="M22" s="10"/>
    </row>
    <row r="23" spans="1:21">
      <c r="A23" s="135" t="s">
        <v>2385</v>
      </c>
      <c r="B23" s="135" t="s">
        <v>4</v>
      </c>
      <c r="C23" s="135" t="s">
        <v>328</v>
      </c>
      <c r="D23" s="135" t="s">
        <v>329</v>
      </c>
      <c r="E23" s="135" t="s">
        <v>331</v>
      </c>
      <c r="F23" s="135" t="s">
        <v>2455</v>
      </c>
      <c r="G23" s="135" t="s">
        <v>139</v>
      </c>
      <c r="H23" s="135" t="s">
        <v>2446</v>
      </c>
      <c r="I23" s="135"/>
      <c r="J23" s="135">
        <v>190</v>
      </c>
      <c r="K23" s="10"/>
      <c r="L23" s="10"/>
      <c r="M23" s="10"/>
    </row>
    <row r="24" spans="1:21">
      <c r="A24" s="135" t="s">
        <v>2385</v>
      </c>
      <c r="B24" s="135" t="s">
        <v>4</v>
      </c>
      <c r="C24" s="135" t="s">
        <v>332</v>
      </c>
      <c r="D24" s="135" t="s">
        <v>333</v>
      </c>
      <c r="E24" s="135" t="s">
        <v>335</v>
      </c>
      <c r="F24" s="135" t="s">
        <v>2456</v>
      </c>
      <c r="G24" s="135" t="s">
        <v>90</v>
      </c>
      <c r="H24" s="135" t="s">
        <v>2446</v>
      </c>
      <c r="I24" s="135"/>
      <c r="J24" s="135">
        <v>191</v>
      </c>
      <c r="K24" s="10"/>
      <c r="L24" s="10"/>
      <c r="M24" s="10"/>
    </row>
    <row r="25" spans="1:21">
      <c r="A25" s="135" t="s">
        <v>2385</v>
      </c>
      <c r="B25" s="135" t="s">
        <v>4</v>
      </c>
      <c r="C25" s="135" t="s">
        <v>401</v>
      </c>
      <c r="D25" s="135" t="s">
        <v>402</v>
      </c>
      <c r="E25" s="135" t="s">
        <v>2037</v>
      </c>
      <c r="F25" s="135" t="s">
        <v>2457</v>
      </c>
      <c r="G25" s="135" t="s">
        <v>157</v>
      </c>
      <c r="H25" s="135" t="s">
        <v>2446</v>
      </c>
      <c r="I25" s="135"/>
      <c r="J25" s="135">
        <v>104</v>
      </c>
      <c r="K25" s="10"/>
      <c r="L25" s="10"/>
      <c r="M25" s="10"/>
    </row>
    <row r="26" spans="1:21">
      <c r="A26" s="135" t="s">
        <v>2385</v>
      </c>
      <c r="B26" s="135" t="s">
        <v>4</v>
      </c>
      <c r="C26" s="135" t="s">
        <v>407</v>
      </c>
      <c r="D26" s="135" t="s">
        <v>408</v>
      </c>
      <c r="E26" s="135" t="s">
        <v>410</v>
      </c>
      <c r="F26" s="135" t="s">
        <v>2457</v>
      </c>
      <c r="G26" s="135" t="s">
        <v>157</v>
      </c>
      <c r="H26" s="135" t="s">
        <v>2446</v>
      </c>
      <c r="I26" s="135"/>
      <c r="J26" s="135">
        <v>21</v>
      </c>
      <c r="K26" s="10"/>
      <c r="L26" s="10"/>
      <c r="M26" s="10"/>
    </row>
    <row r="27" spans="1:21">
      <c r="A27" s="135" t="s">
        <v>2385</v>
      </c>
      <c r="B27" s="135" t="s">
        <v>4</v>
      </c>
      <c r="C27" s="135" t="s">
        <v>411</v>
      </c>
      <c r="D27" s="135" t="s">
        <v>412</v>
      </c>
      <c r="E27" s="135" t="s">
        <v>414</v>
      </c>
      <c r="F27" s="135" t="s">
        <v>2455</v>
      </c>
      <c r="G27" s="135" t="s">
        <v>139</v>
      </c>
      <c r="H27" s="135" t="s">
        <v>2446</v>
      </c>
      <c r="I27" s="135"/>
      <c r="J27" s="135">
        <v>92</v>
      </c>
      <c r="K27" s="10"/>
      <c r="L27" s="10"/>
      <c r="M27" s="10"/>
    </row>
    <row r="28" spans="1:21" ht="151.80000000000001">
      <c r="A28" s="135" t="s">
        <v>2385</v>
      </c>
      <c r="B28" s="135" t="s">
        <v>4</v>
      </c>
      <c r="C28" s="135" t="s">
        <v>1379</v>
      </c>
      <c r="D28" s="135" t="s">
        <v>1380</v>
      </c>
      <c r="E28" s="136" t="s">
        <v>2458</v>
      </c>
      <c r="F28" s="135"/>
      <c r="G28" s="135" t="s">
        <v>617</v>
      </c>
      <c r="H28" s="135" t="s">
        <v>2446</v>
      </c>
      <c r="I28" s="135"/>
      <c r="J28" s="135">
        <v>251</v>
      </c>
      <c r="K28" s="10"/>
      <c r="L28" s="10"/>
      <c r="M28" s="10"/>
    </row>
    <row r="29" spans="1:21" ht="165.6">
      <c r="A29" s="135" t="s">
        <v>2385</v>
      </c>
      <c r="B29" s="135" t="s">
        <v>4</v>
      </c>
      <c r="C29" s="135" t="s">
        <v>1374</v>
      </c>
      <c r="D29" s="135" t="s">
        <v>1375</v>
      </c>
      <c r="E29" s="136" t="s">
        <v>2459</v>
      </c>
      <c r="F29" s="135"/>
      <c r="G29" s="135" t="s">
        <v>62</v>
      </c>
      <c r="H29" s="135" t="s">
        <v>2446</v>
      </c>
      <c r="I29" s="135"/>
      <c r="J29" s="135">
        <v>250</v>
      </c>
      <c r="K29" s="10"/>
      <c r="L29" s="10"/>
      <c r="M29" s="10"/>
    </row>
    <row r="30" spans="1:21">
      <c r="A30" s="135" t="s">
        <v>2385</v>
      </c>
      <c r="B30" s="135" t="s">
        <v>4</v>
      </c>
      <c r="C30" s="135" t="s">
        <v>1398</v>
      </c>
      <c r="D30" s="135" t="s">
        <v>1399</v>
      </c>
      <c r="E30" s="135" t="s">
        <v>1396</v>
      </c>
      <c r="F30" s="135"/>
      <c r="G30" s="135" t="s">
        <v>90</v>
      </c>
      <c r="H30" s="135" t="s">
        <v>2446</v>
      </c>
      <c r="I30" s="135"/>
      <c r="J30" s="135">
        <v>255</v>
      </c>
      <c r="K30" s="10"/>
      <c r="L30" s="10"/>
      <c r="M30" s="10"/>
      <c r="P30" s="10" t="e">
        <f>VLOOKUP(C30,Table_view_sorted!A$2:A$215,1,FALSE)</f>
        <v>#N/A</v>
      </c>
      <c r="Q30" t="e">
        <f>VLOOKUP(D30,AVY_FACT!A$2:A$153,1,FALSE)</f>
        <v>#N/A</v>
      </c>
      <c r="R30" t="str">
        <f>D30&amp;"  "&amp;G30&amp;","</f>
        <v>BKR_AC_CGY  VARCHAR2(100),</v>
      </c>
      <c r="T30" s="10"/>
      <c r="U30" s="10"/>
    </row>
    <row r="31" spans="1:21">
      <c r="A31" s="135" t="s">
        <v>2385</v>
      </c>
      <c r="B31" s="135" t="s">
        <v>4</v>
      </c>
      <c r="C31" s="135" t="s">
        <v>1390</v>
      </c>
      <c r="D31" s="135" t="s">
        <v>1391</v>
      </c>
      <c r="E31" s="135" t="s">
        <v>1387</v>
      </c>
      <c r="F31" s="135"/>
      <c r="G31" s="135" t="s">
        <v>139</v>
      </c>
      <c r="H31" s="135" t="s">
        <v>2446</v>
      </c>
      <c r="I31" s="135"/>
      <c r="J31" s="135">
        <v>253</v>
      </c>
      <c r="K31" s="10"/>
      <c r="L31" s="10"/>
      <c r="M31" s="10"/>
    </row>
    <row r="32" spans="1:21" s="21" customFormat="1">
      <c r="A32" s="135" t="s">
        <v>2385</v>
      </c>
      <c r="B32" s="135" t="s">
        <v>4</v>
      </c>
      <c r="C32" s="135" t="s">
        <v>1305</v>
      </c>
      <c r="D32" s="135" t="s">
        <v>1306</v>
      </c>
      <c r="E32" s="135" t="s">
        <v>1308</v>
      </c>
      <c r="F32" s="135"/>
      <c r="G32" s="135" t="s">
        <v>62</v>
      </c>
      <c r="H32" s="135" t="s">
        <v>2446</v>
      </c>
      <c r="I32" s="135"/>
      <c r="J32" s="135">
        <v>238</v>
      </c>
      <c r="K32" s="10"/>
      <c r="L32" s="10"/>
      <c r="M32" s="10"/>
      <c r="N32"/>
      <c r="O32"/>
      <c r="P32"/>
      <c r="Q32"/>
      <c r="R32"/>
      <c r="S32"/>
      <c r="T32"/>
      <c r="U32"/>
    </row>
    <row r="33" spans="1:21">
      <c r="A33" s="135" t="s">
        <v>2385</v>
      </c>
      <c r="B33" s="135" t="s">
        <v>4</v>
      </c>
      <c r="C33" s="135" t="s">
        <v>1481</v>
      </c>
      <c r="D33" s="135" t="s">
        <v>1482</v>
      </c>
      <c r="E33" s="135" t="s">
        <v>1479</v>
      </c>
      <c r="F33" s="135"/>
      <c r="G33" s="135" t="s">
        <v>90</v>
      </c>
      <c r="H33" s="135" t="s">
        <v>2446</v>
      </c>
      <c r="I33" s="135"/>
      <c r="J33" s="135">
        <v>272</v>
      </c>
      <c r="K33" s="10"/>
      <c r="L33" s="10"/>
      <c r="M33" s="10"/>
    </row>
    <row r="34" spans="1:21">
      <c r="A34" s="135" t="s">
        <v>2385</v>
      </c>
      <c r="B34" s="135" t="s">
        <v>4</v>
      </c>
      <c r="C34" s="135" t="s">
        <v>1473</v>
      </c>
      <c r="D34" s="135" t="s">
        <v>1474</v>
      </c>
      <c r="E34" s="135" t="s">
        <v>1471</v>
      </c>
      <c r="F34" s="135"/>
      <c r="G34" s="135" t="s">
        <v>139</v>
      </c>
      <c r="H34" s="135" t="s">
        <v>2446</v>
      </c>
      <c r="I34" s="135"/>
      <c r="J34" s="135">
        <v>270</v>
      </c>
      <c r="K34" s="10"/>
      <c r="L34" s="10"/>
      <c r="M34" s="10"/>
    </row>
    <row r="35" spans="1:21">
      <c r="A35" s="135" t="s">
        <v>2385</v>
      </c>
      <c r="B35" s="135" t="s">
        <v>4</v>
      </c>
      <c r="C35" s="135" t="s">
        <v>1117</v>
      </c>
      <c r="D35" s="135" t="s">
        <v>1118</v>
      </c>
      <c r="E35" s="135" t="s">
        <v>1119</v>
      </c>
      <c r="F35" s="135" t="s">
        <v>2429</v>
      </c>
      <c r="G35" s="135" t="s">
        <v>101</v>
      </c>
      <c r="H35" s="135" t="s">
        <v>2450</v>
      </c>
      <c r="I35" s="135"/>
      <c r="J35" s="135">
        <v>4</v>
      </c>
      <c r="K35" s="10"/>
      <c r="L35" s="10"/>
      <c r="M35" s="10"/>
    </row>
    <row r="36" spans="1:21">
      <c r="A36" s="135" t="s">
        <v>2385</v>
      </c>
      <c r="B36" s="135" t="s">
        <v>4</v>
      </c>
      <c r="C36" s="135" t="s">
        <v>416</v>
      </c>
      <c r="D36" s="135" t="s">
        <v>417</v>
      </c>
      <c r="E36" s="135" t="s">
        <v>419</v>
      </c>
      <c r="F36" s="135" t="s">
        <v>2429</v>
      </c>
      <c r="G36" s="135" t="s">
        <v>101</v>
      </c>
      <c r="H36" s="135" t="s">
        <v>2446</v>
      </c>
      <c r="I36" s="135"/>
      <c r="J36" s="135">
        <v>105</v>
      </c>
      <c r="K36" s="10"/>
      <c r="L36" s="10"/>
      <c r="M36" s="10"/>
    </row>
    <row r="37" spans="1:21">
      <c r="A37" s="135" t="s">
        <v>2385</v>
      </c>
      <c r="B37" s="135" t="s">
        <v>4</v>
      </c>
      <c r="C37" s="135" t="s">
        <v>1401</v>
      </c>
      <c r="D37" s="135" t="s">
        <v>1402</v>
      </c>
      <c r="E37" s="135" t="s">
        <v>1404</v>
      </c>
      <c r="F37" s="135"/>
      <c r="G37" s="135" t="s">
        <v>90</v>
      </c>
      <c r="H37" s="135" t="s">
        <v>2446</v>
      </c>
      <c r="I37" s="135"/>
      <c r="J37" s="135">
        <v>256</v>
      </c>
      <c r="K37" s="10"/>
      <c r="L37" s="10"/>
      <c r="M37" s="10"/>
    </row>
    <row r="38" spans="1:21" s="22" customFormat="1">
      <c r="A38" s="135" t="s">
        <v>2385</v>
      </c>
      <c r="B38" s="135" t="s">
        <v>4</v>
      </c>
      <c r="C38" s="135" t="s">
        <v>1406</v>
      </c>
      <c r="D38" s="135" t="s">
        <v>1407</v>
      </c>
      <c r="E38" s="135" t="s">
        <v>1409</v>
      </c>
      <c r="F38" s="135"/>
      <c r="G38" s="135" t="s">
        <v>139</v>
      </c>
      <c r="H38" s="135" t="s">
        <v>2446</v>
      </c>
      <c r="I38" s="135"/>
      <c r="J38" s="135">
        <v>257</v>
      </c>
      <c r="K38" s="10"/>
      <c r="L38" s="10"/>
      <c r="M38" s="10"/>
      <c r="N38"/>
      <c r="O38"/>
      <c r="P38"/>
      <c r="Q38"/>
      <c r="R38"/>
      <c r="S38"/>
      <c r="T38"/>
      <c r="U38"/>
    </row>
    <row r="39" spans="1:21" s="22" customFormat="1">
      <c r="A39" s="135" t="s">
        <v>2385</v>
      </c>
      <c r="B39" s="135" t="s">
        <v>4</v>
      </c>
      <c r="C39" s="135" t="s">
        <v>1365</v>
      </c>
      <c r="D39" s="135" t="s">
        <v>1366</v>
      </c>
      <c r="E39" s="135" t="s">
        <v>1368</v>
      </c>
      <c r="F39" s="135"/>
      <c r="G39" s="135" t="s">
        <v>82</v>
      </c>
      <c r="H39" s="135" t="s">
        <v>2446</v>
      </c>
      <c r="I39" s="135"/>
      <c r="J39" s="135">
        <v>248</v>
      </c>
      <c r="K39" s="10"/>
      <c r="L39" s="10"/>
      <c r="M39" s="10"/>
      <c r="N39"/>
      <c r="O39"/>
      <c r="P39"/>
      <c r="Q39"/>
      <c r="R39"/>
      <c r="S39"/>
      <c r="T39"/>
      <c r="U39"/>
    </row>
    <row r="40" spans="1:21">
      <c r="A40" s="135" t="s">
        <v>2385</v>
      </c>
      <c r="B40" s="135" t="s">
        <v>4</v>
      </c>
      <c r="C40" s="135" t="s">
        <v>1489</v>
      </c>
      <c r="D40" s="135" t="s">
        <v>1490</v>
      </c>
      <c r="E40" s="135" t="s">
        <v>1492</v>
      </c>
      <c r="F40" s="135"/>
      <c r="G40" s="135" t="s">
        <v>82</v>
      </c>
      <c r="H40" s="135" t="s">
        <v>2446</v>
      </c>
      <c r="I40" s="135"/>
      <c r="J40" s="135">
        <v>274</v>
      </c>
      <c r="K40" s="10"/>
      <c r="L40" s="10"/>
      <c r="M40" s="10"/>
    </row>
    <row r="41" spans="1:21">
      <c r="A41" s="135" t="s">
        <v>2385</v>
      </c>
      <c r="B41" s="135" t="s">
        <v>4</v>
      </c>
      <c r="C41" s="135" t="s">
        <v>1484</v>
      </c>
      <c r="D41" s="135" t="s">
        <v>1485</v>
      </c>
      <c r="E41" s="135" t="s">
        <v>1487</v>
      </c>
      <c r="F41" s="135"/>
      <c r="G41" s="135" t="s">
        <v>82</v>
      </c>
      <c r="H41" s="135" t="s">
        <v>2446</v>
      </c>
      <c r="I41" s="135"/>
      <c r="J41" s="135">
        <v>273</v>
      </c>
      <c r="K41" s="10"/>
      <c r="L41" s="10"/>
      <c r="M41" s="10"/>
    </row>
    <row r="42" spans="1:21">
      <c r="A42" s="135" t="s">
        <v>2385</v>
      </c>
      <c r="B42" s="135" t="s">
        <v>4</v>
      </c>
      <c r="C42" s="135" t="s">
        <v>1359</v>
      </c>
      <c r="D42" s="135" t="s">
        <v>1360</v>
      </c>
      <c r="E42" s="135" t="s">
        <v>1362</v>
      </c>
      <c r="F42" s="135"/>
      <c r="G42" s="135" t="s">
        <v>82</v>
      </c>
      <c r="H42" s="135" t="s">
        <v>2446</v>
      </c>
      <c r="I42" s="135"/>
      <c r="J42" s="135">
        <v>247</v>
      </c>
      <c r="K42" s="10"/>
      <c r="L42" s="10"/>
      <c r="M42" s="10"/>
      <c r="P42" s="10" t="e">
        <f>VLOOKUP(C42,Table_view_sorted!A$2:A$215,1,FALSE)</f>
        <v>#N/A</v>
      </c>
      <c r="Q42" t="e">
        <f>VLOOKUP(D42,AVY_FACT!A$2:A$153,1,FALSE)</f>
        <v>#N/A</v>
      </c>
      <c r="R42" t="str">
        <f>D42&amp;"  "&amp;G42&amp;","</f>
        <v>BKR_IRA_F  VARCHAR2(1),</v>
      </c>
      <c r="T42" s="10"/>
      <c r="U42" s="10"/>
    </row>
    <row r="43" spans="1:21">
      <c r="A43" s="135" t="s">
        <v>2385</v>
      </c>
      <c r="B43" s="135" t="s">
        <v>4</v>
      </c>
      <c r="C43" s="135" t="s">
        <v>1371</v>
      </c>
      <c r="D43" s="135" t="s">
        <v>1372</v>
      </c>
      <c r="E43" s="135" t="s">
        <v>1373</v>
      </c>
      <c r="F43" s="135"/>
      <c r="G43" s="135" t="s">
        <v>139</v>
      </c>
      <c r="H43" s="135" t="s">
        <v>2446</v>
      </c>
      <c r="I43" s="135"/>
      <c r="J43" s="135">
        <v>249</v>
      </c>
      <c r="K43" s="10"/>
      <c r="L43" s="10"/>
      <c r="M43" s="10"/>
    </row>
    <row r="44" spans="1:21">
      <c r="A44" s="135" t="s">
        <v>2385</v>
      </c>
      <c r="B44" s="135" t="s">
        <v>4</v>
      </c>
      <c r="C44" s="135" t="s">
        <v>1465</v>
      </c>
      <c r="D44" s="135" t="s">
        <v>1466</v>
      </c>
      <c r="E44" s="135" t="s">
        <v>1463</v>
      </c>
      <c r="F44" s="135"/>
      <c r="G44" s="135" t="s">
        <v>617</v>
      </c>
      <c r="H44" s="135" t="s">
        <v>2446</v>
      </c>
      <c r="I44" s="135"/>
      <c r="J44" s="135">
        <v>268</v>
      </c>
      <c r="K44" s="10"/>
      <c r="L44" s="10"/>
      <c r="M44" s="10"/>
      <c r="P44" s="10" t="e">
        <f>VLOOKUP(C44,Table_view_sorted!A$2:A$215,1,FALSE)</f>
        <v>#N/A</v>
      </c>
      <c r="Q44" s="22" t="e">
        <f>VLOOKUP(D44,AVY_FACT!A$2:A$153,1,FALSE)</f>
        <v>#N/A</v>
      </c>
      <c r="R44" s="22" t="str">
        <f>D44&amp;"  "&amp;G44&amp;","</f>
        <v>BKR_RJ_BSN_UNIT  VARCHAR2(500),</v>
      </c>
      <c r="S44" s="22"/>
      <c r="T44" s="21" t="s">
        <v>2460</v>
      </c>
      <c r="U44" s="21" t="s">
        <v>1142</v>
      </c>
    </row>
    <row r="45" spans="1:21" s="26" customFormat="1">
      <c r="A45" s="135" t="s">
        <v>2385</v>
      </c>
      <c r="B45" s="135" t="s">
        <v>4</v>
      </c>
      <c r="C45" s="135" t="s">
        <v>1457</v>
      </c>
      <c r="D45" s="135" t="s">
        <v>1458</v>
      </c>
      <c r="E45" s="135" t="s">
        <v>1455</v>
      </c>
      <c r="F45" s="135"/>
      <c r="G45" s="135" t="s">
        <v>1453</v>
      </c>
      <c r="H45" s="135" t="s">
        <v>2446</v>
      </c>
      <c r="I45" s="135"/>
      <c r="J45" s="135">
        <v>266</v>
      </c>
      <c r="K45" s="10"/>
      <c r="L45" s="10"/>
      <c r="M45" s="10"/>
      <c r="N45"/>
      <c r="O45"/>
      <c r="P45"/>
      <c r="Q45"/>
      <c r="R45"/>
      <c r="S45"/>
      <c r="T45"/>
      <c r="U45"/>
    </row>
    <row r="46" spans="1:21">
      <c r="A46" s="135" t="s">
        <v>2385</v>
      </c>
      <c r="B46" s="135" t="s">
        <v>4</v>
      </c>
      <c r="C46" s="135" t="s">
        <v>1445</v>
      </c>
      <c r="D46" s="135" t="s">
        <v>1446</v>
      </c>
      <c r="E46" s="135" t="s">
        <v>1448</v>
      </c>
      <c r="F46" s="135"/>
      <c r="G46" s="135" t="s">
        <v>82</v>
      </c>
      <c r="H46" s="135" t="s">
        <v>2446</v>
      </c>
      <c r="I46" s="135"/>
      <c r="J46" s="135">
        <v>264</v>
      </c>
      <c r="K46" s="10"/>
      <c r="L46" s="10"/>
      <c r="M46" s="10"/>
    </row>
    <row r="47" spans="1:21" s="20" customFormat="1">
      <c r="A47" s="135" t="s">
        <v>2385</v>
      </c>
      <c r="B47" s="135" t="s">
        <v>4</v>
      </c>
      <c r="C47" s="135" t="s">
        <v>1494</v>
      </c>
      <c r="D47" s="135" t="s">
        <v>1495</v>
      </c>
      <c r="E47" s="135" t="s">
        <v>1497</v>
      </c>
      <c r="F47" s="135"/>
      <c r="G47" s="135" t="s">
        <v>82</v>
      </c>
      <c r="H47" s="135" t="s">
        <v>2446</v>
      </c>
      <c r="I47" s="135"/>
      <c r="J47" s="135">
        <v>275</v>
      </c>
      <c r="K47" s="10"/>
      <c r="L47" s="10"/>
      <c r="M47" s="10"/>
      <c r="N47"/>
      <c r="O47"/>
      <c r="P47"/>
      <c r="Q47"/>
      <c r="R47"/>
      <c r="S47"/>
      <c r="T47"/>
      <c r="U47"/>
    </row>
    <row r="48" spans="1:21">
      <c r="A48" s="135" t="s">
        <v>2385</v>
      </c>
      <c r="B48" s="135" t="s">
        <v>4</v>
      </c>
      <c r="C48" s="135" t="s">
        <v>1433</v>
      </c>
      <c r="D48" s="135" t="s">
        <v>1434</v>
      </c>
      <c r="E48" s="135" t="s">
        <v>1431</v>
      </c>
      <c r="F48" s="135"/>
      <c r="G48" s="135" t="s">
        <v>101</v>
      </c>
      <c r="H48" s="135" t="s">
        <v>2446</v>
      </c>
      <c r="I48" s="135"/>
      <c r="J48" s="135">
        <v>261</v>
      </c>
      <c r="K48" s="10"/>
      <c r="L48" s="10"/>
      <c r="M48" s="10"/>
      <c r="P48" s="10" t="e">
        <f>VLOOKUP(C48,Table_view_sorted!A$2:A$215,1,FALSE)</f>
        <v>#N/A</v>
      </c>
      <c r="Q48" t="e">
        <f>VLOOKUP(D48,AVY_FACT!A$2:A$153,1,FALSE)</f>
        <v>#N/A</v>
      </c>
      <c r="R48" t="str">
        <f>D48&amp;"  "&amp;G48&amp;","</f>
        <v>BKR_TAX_RPT_CLNT_ID  NUMBER(38,0),</v>
      </c>
      <c r="T48" s="10"/>
      <c r="U48" s="10"/>
    </row>
    <row r="49" spans="1:21" ht="82.8">
      <c r="A49" s="135" t="s">
        <v>2385</v>
      </c>
      <c r="B49" s="135" t="s">
        <v>4</v>
      </c>
      <c r="C49" s="135" t="s">
        <v>1441</v>
      </c>
      <c r="D49" s="135" t="s">
        <v>1442</v>
      </c>
      <c r="E49" s="136" t="s">
        <v>2461</v>
      </c>
      <c r="F49" s="135"/>
      <c r="G49" s="135" t="s">
        <v>82</v>
      </c>
      <c r="H49" s="135" t="s">
        <v>2446</v>
      </c>
      <c r="I49" s="135"/>
      <c r="J49" s="135">
        <v>263</v>
      </c>
      <c r="K49" s="10"/>
      <c r="L49" s="10"/>
      <c r="M49" s="10"/>
    </row>
    <row r="50" spans="1:21" s="26" customFormat="1">
      <c r="A50" s="135" t="s">
        <v>2385</v>
      </c>
      <c r="B50" s="135" t="s">
        <v>4</v>
      </c>
      <c r="C50" s="135" t="s">
        <v>1425</v>
      </c>
      <c r="D50" s="135" t="s">
        <v>1426</v>
      </c>
      <c r="E50" s="135" t="s">
        <v>1423</v>
      </c>
      <c r="F50" s="135"/>
      <c r="G50" s="135" t="s">
        <v>82</v>
      </c>
      <c r="H50" s="135" t="s">
        <v>2446</v>
      </c>
      <c r="I50" s="135"/>
      <c r="J50" s="135">
        <v>259</v>
      </c>
      <c r="K50" s="10"/>
      <c r="L50" s="10"/>
      <c r="M50" s="10"/>
      <c r="N50"/>
      <c r="O50"/>
      <c r="P50"/>
      <c r="Q50"/>
      <c r="R50"/>
      <c r="S50"/>
      <c r="T50"/>
      <c r="U50"/>
    </row>
    <row r="51" spans="1:21">
      <c r="A51" s="135" t="s">
        <v>2385</v>
      </c>
      <c r="B51" s="135" t="s">
        <v>4</v>
      </c>
      <c r="C51" s="135" t="s">
        <v>424</v>
      </c>
      <c r="D51" s="135" t="s">
        <v>425</v>
      </c>
      <c r="E51" s="135" t="s">
        <v>429</v>
      </c>
      <c r="F51" s="135" t="s">
        <v>2462</v>
      </c>
      <c r="G51" s="135" t="s">
        <v>427</v>
      </c>
      <c r="H51" s="135" t="s">
        <v>2446</v>
      </c>
      <c r="I51" s="135"/>
      <c r="J51" s="135">
        <v>52</v>
      </c>
      <c r="K51" s="10"/>
      <c r="L51" s="10"/>
      <c r="M51" s="10"/>
    </row>
    <row r="52" spans="1:21" ht="69">
      <c r="A52" s="135" t="s">
        <v>2385</v>
      </c>
      <c r="B52" s="135" t="s">
        <v>4</v>
      </c>
      <c r="C52" s="135" t="s">
        <v>430</v>
      </c>
      <c r="D52" s="135" t="s">
        <v>431</v>
      </c>
      <c r="E52" s="136" t="s">
        <v>435</v>
      </c>
      <c r="F52" s="135" t="s">
        <v>2463</v>
      </c>
      <c r="G52" s="135" t="s">
        <v>433</v>
      </c>
      <c r="H52" s="135" t="s">
        <v>2446</v>
      </c>
      <c r="I52" s="135"/>
      <c r="J52" s="135">
        <v>85</v>
      </c>
      <c r="K52" s="10"/>
      <c r="L52" s="10"/>
      <c r="M52" s="10"/>
    </row>
    <row r="53" spans="1:21" ht="41.4">
      <c r="A53" s="135" t="s">
        <v>2385</v>
      </c>
      <c r="B53" s="135" t="s">
        <v>4</v>
      </c>
      <c r="C53" s="135" t="s">
        <v>444</v>
      </c>
      <c r="D53" s="135" t="s">
        <v>445</v>
      </c>
      <c r="E53" s="136" t="s">
        <v>447</v>
      </c>
      <c r="F53" s="135" t="s">
        <v>2429</v>
      </c>
      <c r="G53" s="135" t="s">
        <v>101</v>
      </c>
      <c r="H53" s="135" t="s">
        <v>2446</v>
      </c>
      <c r="I53" s="135"/>
      <c r="J53" s="135">
        <v>84</v>
      </c>
      <c r="K53" s="10"/>
      <c r="L53" s="10"/>
      <c r="M53" s="10"/>
    </row>
    <row r="54" spans="1:21" ht="41.4">
      <c r="A54" s="135" t="s">
        <v>2385</v>
      </c>
      <c r="B54" s="135" t="s">
        <v>4</v>
      </c>
      <c r="C54" s="135" t="s">
        <v>451</v>
      </c>
      <c r="D54" s="135" t="s">
        <v>452</v>
      </c>
      <c r="E54" s="136" t="s">
        <v>454</v>
      </c>
      <c r="F54" s="135" t="s">
        <v>2456</v>
      </c>
      <c r="G54" s="135" t="s">
        <v>90</v>
      </c>
      <c r="H54" s="135" t="s">
        <v>2446</v>
      </c>
      <c r="I54" s="135"/>
      <c r="J54" s="135">
        <v>86</v>
      </c>
      <c r="K54" s="10"/>
      <c r="L54" s="10"/>
      <c r="M54" s="10"/>
    </row>
    <row r="55" spans="1:21" ht="55.2">
      <c r="A55" s="135" t="s">
        <v>2385</v>
      </c>
      <c r="B55" s="135" t="s">
        <v>4</v>
      </c>
      <c r="C55" s="135" t="s">
        <v>461</v>
      </c>
      <c r="D55" s="135" t="s">
        <v>462</v>
      </c>
      <c r="E55" s="136" t="s">
        <v>466</v>
      </c>
      <c r="F55" s="135" t="s">
        <v>2464</v>
      </c>
      <c r="G55" s="135" t="s">
        <v>464</v>
      </c>
      <c r="H55" s="135" t="s">
        <v>2446</v>
      </c>
      <c r="I55" s="135"/>
      <c r="J55" s="135">
        <v>50</v>
      </c>
      <c r="K55" s="10"/>
      <c r="L55" s="10"/>
      <c r="M55" s="10"/>
    </row>
    <row r="56" spans="1:21" ht="41.4">
      <c r="A56" s="135" t="s">
        <v>2385</v>
      </c>
      <c r="B56" s="135" t="s">
        <v>4</v>
      </c>
      <c r="C56" s="135" t="s">
        <v>469</v>
      </c>
      <c r="D56" s="135" t="s">
        <v>470</v>
      </c>
      <c r="E56" s="136" t="s">
        <v>472</v>
      </c>
      <c r="F56" s="135" t="s">
        <v>2448</v>
      </c>
      <c r="G56" s="135" t="s">
        <v>62</v>
      </c>
      <c r="H56" s="135" t="s">
        <v>2446</v>
      </c>
      <c r="I56" s="135"/>
      <c r="J56" s="135">
        <v>51</v>
      </c>
      <c r="K56" s="10"/>
      <c r="L56" s="10"/>
      <c r="M56" s="10"/>
    </row>
    <row r="57" spans="1:21" ht="55.2">
      <c r="A57" s="135" t="s">
        <v>2385</v>
      </c>
      <c r="B57" s="135" t="s">
        <v>4</v>
      </c>
      <c r="C57" s="135" t="s">
        <v>474</v>
      </c>
      <c r="D57" s="135" t="s">
        <v>475</v>
      </c>
      <c r="E57" s="136" t="s">
        <v>476</v>
      </c>
      <c r="F57" s="135" t="s">
        <v>2429</v>
      </c>
      <c r="G57" s="135" t="s">
        <v>101</v>
      </c>
      <c r="H57" s="135" t="s">
        <v>2446</v>
      </c>
      <c r="I57" s="135"/>
      <c r="J57" s="135">
        <v>24</v>
      </c>
      <c r="K57" s="10"/>
      <c r="L57" s="10"/>
      <c r="M57" s="10"/>
    </row>
    <row r="58" spans="1:21" ht="41.4">
      <c r="A58" s="135" t="s">
        <v>2385</v>
      </c>
      <c r="B58" s="135" t="s">
        <v>4</v>
      </c>
      <c r="C58" s="135" t="s">
        <v>478</v>
      </c>
      <c r="D58" s="135" t="s">
        <v>479</v>
      </c>
      <c r="E58" s="136" t="s">
        <v>481</v>
      </c>
      <c r="F58" s="135" t="s">
        <v>2455</v>
      </c>
      <c r="G58" s="135" t="s">
        <v>139</v>
      </c>
      <c r="H58" s="135" t="s">
        <v>2446</v>
      </c>
      <c r="I58" s="135"/>
      <c r="J58" s="135">
        <v>81</v>
      </c>
      <c r="K58" s="10"/>
      <c r="L58" s="10"/>
      <c r="M58" s="10"/>
    </row>
    <row r="59" spans="1:21" ht="41.4">
      <c r="A59" s="135" t="s">
        <v>2385</v>
      </c>
      <c r="B59" s="135" t="s">
        <v>4</v>
      </c>
      <c r="C59" s="135" t="s">
        <v>482</v>
      </c>
      <c r="D59" s="135" t="s">
        <v>483</v>
      </c>
      <c r="E59" s="136" t="s">
        <v>487</v>
      </c>
      <c r="F59" s="135" t="s">
        <v>2465</v>
      </c>
      <c r="G59" s="135" t="s">
        <v>485</v>
      </c>
      <c r="H59" s="135" t="s">
        <v>2446</v>
      </c>
      <c r="I59" s="135"/>
      <c r="J59" s="135">
        <v>83</v>
      </c>
      <c r="K59" s="10"/>
      <c r="L59" s="10"/>
      <c r="M59" s="10"/>
    </row>
    <row r="60" spans="1:21" ht="41.4">
      <c r="A60" s="135" t="s">
        <v>2385</v>
      </c>
      <c r="B60" s="135" t="s">
        <v>4</v>
      </c>
      <c r="C60" s="135" t="s">
        <v>489</v>
      </c>
      <c r="D60" s="135" t="s">
        <v>490</v>
      </c>
      <c r="E60" s="136" t="s">
        <v>491</v>
      </c>
      <c r="F60" s="135" t="s">
        <v>2429</v>
      </c>
      <c r="G60" s="135" t="s">
        <v>101</v>
      </c>
      <c r="H60" s="135" t="s">
        <v>2446</v>
      </c>
      <c r="I60" s="135"/>
      <c r="J60" s="135">
        <v>80</v>
      </c>
      <c r="K60" s="10"/>
      <c r="L60" s="10"/>
      <c r="M60" s="10"/>
    </row>
    <row r="61" spans="1:21" ht="41.4">
      <c r="A61" s="135" t="s">
        <v>2385</v>
      </c>
      <c r="B61" s="135" t="s">
        <v>4</v>
      </c>
      <c r="C61" s="135" t="s">
        <v>493</v>
      </c>
      <c r="D61" s="135" t="s">
        <v>494</v>
      </c>
      <c r="E61" s="136" t="s">
        <v>496</v>
      </c>
      <c r="F61" s="135" t="s">
        <v>2466</v>
      </c>
      <c r="G61" s="135" t="s">
        <v>109</v>
      </c>
      <c r="H61" s="135" t="s">
        <v>2446</v>
      </c>
      <c r="I61" s="135"/>
      <c r="J61" s="135">
        <v>82</v>
      </c>
      <c r="K61" s="10"/>
      <c r="L61" s="10"/>
      <c r="M61" s="10"/>
    </row>
    <row r="62" spans="1:21">
      <c r="A62" s="135" t="s">
        <v>2385</v>
      </c>
      <c r="B62" s="135" t="s">
        <v>4</v>
      </c>
      <c r="C62" s="135" t="s">
        <v>540</v>
      </c>
      <c r="D62" s="135" t="s">
        <v>541</v>
      </c>
      <c r="E62" s="135" t="s">
        <v>543</v>
      </c>
      <c r="F62" s="135" t="s">
        <v>2429</v>
      </c>
      <c r="G62" s="135" t="s">
        <v>101</v>
      </c>
      <c r="H62" s="135" t="s">
        <v>2446</v>
      </c>
      <c r="I62" s="135"/>
      <c r="J62" s="135">
        <v>109</v>
      </c>
      <c r="K62" s="10"/>
      <c r="L62" s="10"/>
      <c r="M62" s="10"/>
    </row>
    <row r="63" spans="1:21" ht="41.4">
      <c r="A63" s="135" t="s">
        <v>2385</v>
      </c>
      <c r="B63" s="135" t="s">
        <v>4</v>
      </c>
      <c r="C63" s="135" t="s">
        <v>497</v>
      </c>
      <c r="D63" s="135" t="s">
        <v>498</v>
      </c>
      <c r="E63" s="136" t="s">
        <v>500</v>
      </c>
      <c r="F63" s="135" t="s">
        <v>2429</v>
      </c>
      <c r="G63" s="135" t="s">
        <v>101</v>
      </c>
      <c r="H63" s="135" t="s">
        <v>2446</v>
      </c>
      <c r="I63" s="135"/>
      <c r="J63" s="135">
        <v>106</v>
      </c>
      <c r="K63" s="10"/>
      <c r="L63" s="10"/>
      <c r="M63" s="10"/>
      <c r="P63" s="10" t="str">
        <f>VLOOKUP(C63,Table_view_sorted!A$2:A$215,1,FALSE)</f>
        <v>Cash Cird Product ID</v>
      </c>
      <c r="Q63" t="str">
        <f>VLOOKUP(D63,AVY_FACT!A$2:A$153,1,FALSE)</f>
        <v>CASH_CIRD_PD_ID</v>
      </c>
      <c r="R63" t="str">
        <f>D63&amp;"  "&amp;G63&amp;","</f>
        <v>CASH_CIRD_PD_ID  NUMBER(38,0),</v>
      </c>
      <c r="T63" s="10"/>
      <c r="U63" s="10"/>
    </row>
    <row r="64" spans="1:21" ht="41.4">
      <c r="A64" s="135" t="s">
        <v>2385</v>
      </c>
      <c r="B64" s="135" t="s">
        <v>4</v>
      </c>
      <c r="C64" s="135" t="s">
        <v>504</v>
      </c>
      <c r="D64" s="135" t="s">
        <v>505</v>
      </c>
      <c r="E64" s="136" t="s">
        <v>506</v>
      </c>
      <c r="F64" s="135" t="s">
        <v>2455</v>
      </c>
      <c r="G64" s="135" t="s">
        <v>139</v>
      </c>
      <c r="H64" s="135" t="s">
        <v>2446</v>
      </c>
      <c r="I64" s="135"/>
      <c r="J64" s="135">
        <v>107</v>
      </c>
      <c r="K64" s="10"/>
      <c r="L64" s="10"/>
      <c r="M64" s="10"/>
      <c r="P64" s="10" t="str">
        <f>VLOOKUP(C64,Table_view_sorted!A$2:A$215,1,FALSE)</f>
        <v>Cash debit Credit Code</v>
      </c>
      <c r="Q64" s="20" t="str">
        <f>VLOOKUP(D64,AVY_FACT!A$2:A$153,1,FALSE)</f>
        <v>CASH_DB_CR_CD</v>
      </c>
      <c r="R64" s="20" t="str">
        <f>D64&amp;"  "&amp;G64&amp;","</f>
        <v>CASH_DB_CR_CD  VARCHAR2(20),</v>
      </c>
      <c r="S64" s="20"/>
      <c r="T64" s="19" t="s">
        <v>2467</v>
      </c>
      <c r="U64" s="19" t="s">
        <v>1142</v>
      </c>
    </row>
    <row r="65" spans="1:21" ht="41.4">
      <c r="A65" s="135" t="s">
        <v>2385</v>
      </c>
      <c r="B65" s="135" t="s">
        <v>4</v>
      </c>
      <c r="C65" s="135" t="s">
        <v>508</v>
      </c>
      <c r="D65" s="135" t="s">
        <v>509</v>
      </c>
      <c r="E65" s="136" t="s">
        <v>511</v>
      </c>
      <c r="F65" s="135" t="s">
        <v>2456</v>
      </c>
      <c r="G65" s="135" t="s">
        <v>90</v>
      </c>
      <c r="H65" s="135" t="s">
        <v>2446</v>
      </c>
      <c r="I65" s="135"/>
      <c r="J65" s="135">
        <v>108</v>
      </c>
      <c r="K65" s="10"/>
      <c r="L65" s="10"/>
      <c r="M65" s="10"/>
    </row>
    <row r="66" spans="1:21" ht="55.2">
      <c r="A66" s="135" t="s">
        <v>2385</v>
      </c>
      <c r="B66" s="135" t="s">
        <v>4</v>
      </c>
      <c r="C66" s="135" t="s">
        <v>512</v>
      </c>
      <c r="D66" s="135" t="s">
        <v>513</v>
      </c>
      <c r="E66" s="136" t="s">
        <v>515</v>
      </c>
      <c r="F66" s="135" t="s">
        <v>2464</v>
      </c>
      <c r="G66" s="135" t="s">
        <v>464</v>
      </c>
      <c r="H66" s="135" t="s">
        <v>2446</v>
      </c>
      <c r="I66" s="135"/>
      <c r="J66" s="135">
        <v>49</v>
      </c>
      <c r="K66" s="10"/>
      <c r="L66" s="10"/>
      <c r="M66" s="10"/>
    </row>
    <row r="67" spans="1:21">
      <c r="A67" s="135" t="s">
        <v>2385</v>
      </c>
      <c r="B67" s="135" t="s">
        <v>4</v>
      </c>
      <c r="C67" s="135" t="s">
        <v>517</v>
      </c>
      <c r="D67" s="135" t="s">
        <v>518</v>
      </c>
      <c r="E67" s="135" t="s">
        <v>517</v>
      </c>
      <c r="F67" s="135"/>
      <c r="G67" s="135" t="s">
        <v>519</v>
      </c>
      <c r="H67" s="135" t="s">
        <v>2446</v>
      </c>
      <c r="I67" s="135"/>
      <c r="J67" s="135">
        <v>53</v>
      </c>
      <c r="K67" s="10"/>
      <c r="L67" s="10"/>
      <c r="M67" s="10"/>
    </row>
    <row r="68" spans="1:21" ht="41.4">
      <c r="A68" s="135" t="s">
        <v>2385</v>
      </c>
      <c r="B68" s="135" t="s">
        <v>4</v>
      </c>
      <c r="C68" s="135" t="s">
        <v>545</v>
      </c>
      <c r="D68" s="135" t="s">
        <v>546</v>
      </c>
      <c r="E68" s="136" t="s">
        <v>547</v>
      </c>
      <c r="F68" s="135" t="s">
        <v>2429</v>
      </c>
      <c r="G68" s="135" t="s">
        <v>101</v>
      </c>
      <c r="H68" s="135" t="s">
        <v>2450</v>
      </c>
      <c r="I68" s="135"/>
      <c r="J68" s="135">
        <v>2</v>
      </c>
      <c r="K68" s="10"/>
      <c r="L68" s="10"/>
      <c r="M68" s="10"/>
    </row>
    <row r="69" spans="1:21">
      <c r="A69" s="135" t="s">
        <v>2385</v>
      </c>
      <c r="B69" s="135" t="s">
        <v>4</v>
      </c>
      <c r="C69" s="135" t="s">
        <v>1264</v>
      </c>
      <c r="D69" s="135" t="s">
        <v>1265</v>
      </c>
      <c r="E69" s="135" t="s">
        <v>1266</v>
      </c>
      <c r="F69" s="135" t="s">
        <v>2429</v>
      </c>
      <c r="G69" s="135" t="s">
        <v>101</v>
      </c>
      <c r="H69" s="135" t="s">
        <v>2446</v>
      </c>
      <c r="I69" s="135"/>
      <c r="J69" s="135">
        <v>231</v>
      </c>
      <c r="K69" s="10"/>
      <c r="L69" s="10"/>
      <c r="M69" s="10"/>
    </row>
    <row r="70" spans="1:21">
      <c r="A70" s="135" t="s">
        <v>2385</v>
      </c>
      <c r="B70" s="135" t="s">
        <v>4</v>
      </c>
      <c r="C70" s="135" t="s">
        <v>1271</v>
      </c>
      <c r="D70" s="135" t="s">
        <v>1272</v>
      </c>
      <c r="E70" s="135" t="s">
        <v>1274</v>
      </c>
      <c r="F70" s="135" t="s">
        <v>2468</v>
      </c>
      <c r="G70" s="135" t="s">
        <v>62</v>
      </c>
      <c r="H70" s="135" t="s">
        <v>2446</v>
      </c>
      <c r="I70" s="135"/>
      <c r="J70" s="135">
        <v>232</v>
      </c>
      <c r="K70" s="10"/>
      <c r="L70" s="10"/>
      <c r="M70" s="10"/>
    </row>
    <row r="71" spans="1:21">
      <c r="A71" s="135" t="s">
        <v>2385</v>
      </c>
      <c r="B71" s="135" t="s">
        <v>4</v>
      </c>
      <c r="C71" s="135" t="s">
        <v>521</v>
      </c>
      <c r="D71" s="135" t="s">
        <v>522</v>
      </c>
      <c r="E71" s="135" t="s">
        <v>524</v>
      </c>
      <c r="F71" s="135" t="s">
        <v>2462</v>
      </c>
      <c r="G71" s="135" t="s">
        <v>427</v>
      </c>
      <c r="H71" s="135" t="s">
        <v>2446</v>
      </c>
      <c r="I71" s="135"/>
      <c r="J71" s="135">
        <v>110</v>
      </c>
      <c r="K71" s="10"/>
      <c r="L71" s="10"/>
      <c r="M71" s="10"/>
    </row>
    <row r="72" spans="1:21">
      <c r="A72" s="135" t="s">
        <v>2385</v>
      </c>
      <c r="B72" s="135" t="s">
        <v>4</v>
      </c>
      <c r="C72" s="135" t="s">
        <v>2469</v>
      </c>
      <c r="D72" s="135" t="s">
        <v>528</v>
      </c>
      <c r="E72" s="135" t="s">
        <v>529</v>
      </c>
      <c r="F72" s="135" t="s">
        <v>2429</v>
      </c>
      <c r="G72" s="135" t="s">
        <v>101</v>
      </c>
      <c r="H72" s="135" t="s">
        <v>2446</v>
      </c>
      <c r="I72" s="135"/>
      <c r="J72" s="135">
        <v>6</v>
      </c>
      <c r="K72" s="10"/>
      <c r="L72" s="10"/>
      <c r="M72" s="10"/>
    </row>
    <row r="73" spans="1:21" s="20" customFormat="1">
      <c r="A73" s="135" t="s">
        <v>2385</v>
      </c>
      <c r="B73" s="135" t="s">
        <v>4</v>
      </c>
      <c r="C73" s="135" t="s">
        <v>536</v>
      </c>
      <c r="D73" s="135" t="s">
        <v>537</v>
      </c>
      <c r="E73" s="135" t="s">
        <v>538</v>
      </c>
      <c r="F73" s="135" t="s">
        <v>2429</v>
      </c>
      <c r="G73" s="135" t="s">
        <v>101</v>
      </c>
      <c r="H73" s="135" t="s">
        <v>2446</v>
      </c>
      <c r="I73" s="135"/>
      <c r="J73" s="135">
        <v>196</v>
      </c>
      <c r="K73" s="10"/>
      <c r="L73" s="10"/>
      <c r="M73" s="10"/>
      <c r="N73"/>
      <c r="O73"/>
      <c r="P73"/>
      <c r="Q73"/>
      <c r="R73"/>
      <c r="S73"/>
      <c r="T73"/>
      <c r="U73"/>
    </row>
    <row r="74" spans="1:21">
      <c r="A74" s="135" t="s">
        <v>2385</v>
      </c>
      <c r="B74" s="135" t="s">
        <v>4</v>
      </c>
      <c r="C74" s="135" t="s">
        <v>530</v>
      </c>
      <c r="D74" s="135" t="s">
        <v>531</v>
      </c>
      <c r="E74" s="135" t="s">
        <v>535</v>
      </c>
      <c r="F74" s="135" t="s">
        <v>2470</v>
      </c>
      <c r="G74" s="135" t="s">
        <v>533</v>
      </c>
      <c r="H74" s="135" t="s">
        <v>2446</v>
      </c>
      <c r="I74" s="135"/>
      <c r="J74" s="135">
        <v>111</v>
      </c>
      <c r="K74" s="10"/>
      <c r="L74" s="10"/>
      <c r="M74" s="10"/>
    </row>
    <row r="75" spans="1:21" ht="55.2">
      <c r="A75" s="135" t="s">
        <v>2385</v>
      </c>
      <c r="B75" s="135" t="s">
        <v>4</v>
      </c>
      <c r="C75" s="135" t="s">
        <v>439</v>
      </c>
      <c r="D75" s="135" t="s">
        <v>440</v>
      </c>
      <c r="E75" s="136" t="s">
        <v>442</v>
      </c>
      <c r="F75" s="135" t="s">
        <v>2463</v>
      </c>
      <c r="G75" s="135" t="s">
        <v>433</v>
      </c>
      <c r="H75" s="135" t="s">
        <v>2446</v>
      </c>
      <c r="I75" s="135"/>
      <c r="J75" s="135">
        <v>174</v>
      </c>
      <c r="K75" s="10"/>
      <c r="L75" s="10"/>
      <c r="M75" s="10"/>
      <c r="P75" s="10" t="str">
        <f>VLOOKUP(C75,Table_view_sorted!A$2:A$215,1,FALSE)</f>
        <v>Cash Simplified Display Activity Category</v>
      </c>
      <c r="Q75" t="e">
        <f>VLOOKUP(D75,AVY_FACT!A$2:A$153,1,FALSE)</f>
        <v>#N/A</v>
      </c>
      <c r="R75" t="str">
        <f>D75&amp;"  "&amp;G75&amp;","</f>
        <v>CASH_SIMP_DSPL_AVY_CGY  VARCHAR2(25),</v>
      </c>
      <c r="T75" s="10"/>
      <c r="U75" s="10"/>
    </row>
    <row r="76" spans="1:21" ht="55.2">
      <c r="A76" s="135" t="s">
        <v>2385</v>
      </c>
      <c r="B76" s="135" t="s">
        <v>4</v>
      </c>
      <c r="C76" s="135" t="s">
        <v>456</v>
      </c>
      <c r="D76" s="135" t="s">
        <v>457</v>
      </c>
      <c r="E76" s="136" t="s">
        <v>459</v>
      </c>
      <c r="F76" s="135" t="s">
        <v>2456</v>
      </c>
      <c r="G76" s="135" t="s">
        <v>90</v>
      </c>
      <c r="H76" s="135" t="s">
        <v>2446</v>
      </c>
      <c r="I76" s="135"/>
      <c r="J76" s="135">
        <v>175</v>
      </c>
      <c r="K76" s="10"/>
      <c r="L76" s="10"/>
      <c r="M76" s="10"/>
    </row>
    <row r="77" spans="1:21" ht="41.4">
      <c r="A77" s="135" t="s">
        <v>2385</v>
      </c>
      <c r="B77" s="135" t="s">
        <v>4</v>
      </c>
      <c r="C77" s="135" t="s">
        <v>551</v>
      </c>
      <c r="D77" s="135" t="s">
        <v>552</v>
      </c>
      <c r="E77" s="136" t="s">
        <v>554</v>
      </c>
      <c r="F77" s="135" t="s">
        <v>2429</v>
      </c>
      <c r="G77" s="135" t="s">
        <v>101</v>
      </c>
      <c r="H77" s="135" t="s">
        <v>2446</v>
      </c>
      <c r="I77" s="135"/>
      <c r="J77" s="135">
        <v>45</v>
      </c>
      <c r="K77" s="10"/>
      <c r="L77" s="10"/>
      <c r="M77" s="10"/>
    </row>
    <row r="78" spans="1:21" ht="41.4">
      <c r="A78" s="135" t="s">
        <v>2385</v>
      </c>
      <c r="B78" s="135" t="s">
        <v>4</v>
      </c>
      <c r="C78" s="135" t="s">
        <v>556</v>
      </c>
      <c r="D78" s="135" t="s">
        <v>557</v>
      </c>
      <c r="E78" s="136" t="s">
        <v>561</v>
      </c>
      <c r="F78" s="135" t="s">
        <v>2432</v>
      </c>
      <c r="G78" s="135" t="s">
        <v>559</v>
      </c>
      <c r="H78" s="135" t="s">
        <v>2446</v>
      </c>
      <c r="I78" s="135"/>
      <c r="J78" s="135">
        <v>40</v>
      </c>
      <c r="K78" s="10"/>
      <c r="L78" s="10"/>
      <c r="M78" s="10"/>
    </row>
    <row r="79" spans="1:21" ht="55.2">
      <c r="A79" s="135" t="s">
        <v>2385</v>
      </c>
      <c r="B79" s="135" t="s">
        <v>4</v>
      </c>
      <c r="C79" s="135" t="s">
        <v>564</v>
      </c>
      <c r="D79" s="135" t="s">
        <v>565</v>
      </c>
      <c r="E79" s="136" t="s">
        <v>567</v>
      </c>
      <c r="F79" s="135" t="s">
        <v>2432</v>
      </c>
      <c r="G79" s="135" t="s">
        <v>559</v>
      </c>
      <c r="H79" s="135" t="s">
        <v>2446</v>
      </c>
      <c r="I79" s="135"/>
      <c r="J79" s="135">
        <v>30</v>
      </c>
      <c r="K79" s="10"/>
      <c r="L79" s="10"/>
      <c r="M79" s="10"/>
    </row>
    <row r="80" spans="1:21">
      <c r="A80" s="135" t="s">
        <v>2385</v>
      </c>
      <c r="B80" s="135" t="s">
        <v>4</v>
      </c>
      <c r="C80" s="135" t="s">
        <v>569</v>
      </c>
      <c r="D80" s="135" t="s">
        <v>570</v>
      </c>
      <c r="E80" s="135" t="s">
        <v>572</v>
      </c>
      <c r="F80" s="135" t="s">
        <v>2464</v>
      </c>
      <c r="G80" s="135" t="s">
        <v>464</v>
      </c>
      <c r="H80" s="135" t="s">
        <v>2446</v>
      </c>
      <c r="I80" s="135"/>
      <c r="J80" s="135">
        <v>100</v>
      </c>
      <c r="K80" s="10"/>
      <c r="L80" s="10"/>
      <c r="M80" s="10"/>
    </row>
    <row r="81" spans="1:21" s="20" customFormat="1">
      <c r="A81" s="135" t="s">
        <v>2385</v>
      </c>
      <c r="B81" s="135" t="s">
        <v>4</v>
      </c>
      <c r="C81" s="135" t="s">
        <v>1218</v>
      </c>
      <c r="D81" s="135" t="s">
        <v>2471</v>
      </c>
      <c r="E81" s="135" t="s">
        <v>1220</v>
      </c>
      <c r="F81" s="135" t="s">
        <v>2432</v>
      </c>
      <c r="G81" s="135" t="s">
        <v>559</v>
      </c>
      <c r="H81" s="135" t="s">
        <v>2446</v>
      </c>
      <c r="I81" s="135"/>
      <c r="J81" s="135">
        <v>222</v>
      </c>
      <c r="K81" s="10"/>
      <c r="L81" s="10"/>
      <c r="M81" s="10"/>
      <c r="N81"/>
      <c r="O81"/>
      <c r="P81" s="10" t="e">
        <f>VLOOKUP(C81,Table_view_sorted!A$2:A$215,1,FALSE)</f>
        <v>#N/A</v>
      </c>
      <c r="Q81" s="22" t="e">
        <f>VLOOKUP(D81,AVY_FACT!A$2:A$153,1,FALSE)</f>
        <v>#N/A</v>
      </c>
      <c r="R81" s="22" t="str">
        <f>D81&amp;"  "&amp;G81&amp;","</f>
        <v>CNCSN_AMT  NUMBER(38,6),</v>
      </c>
      <c r="S81" s="22"/>
      <c r="T81" s="21" t="s">
        <v>2460</v>
      </c>
      <c r="U81" s="21" t="s">
        <v>1142</v>
      </c>
    </row>
    <row r="82" spans="1:21">
      <c r="A82" s="135" t="s">
        <v>2385</v>
      </c>
      <c r="B82" s="135" t="s">
        <v>4</v>
      </c>
      <c r="C82" s="135" t="s">
        <v>1222</v>
      </c>
      <c r="D82" s="135" t="s">
        <v>2472</v>
      </c>
      <c r="E82" s="135" t="s">
        <v>1224</v>
      </c>
      <c r="F82" s="135" t="s">
        <v>2432</v>
      </c>
      <c r="G82" s="135" t="s">
        <v>559</v>
      </c>
      <c r="H82" s="135" t="s">
        <v>2446</v>
      </c>
      <c r="I82" s="135"/>
      <c r="J82" s="135">
        <v>223</v>
      </c>
      <c r="K82" s="10"/>
      <c r="L82" s="10"/>
      <c r="M82" s="10"/>
    </row>
    <row r="83" spans="1:21">
      <c r="A83" s="135" t="s">
        <v>2385</v>
      </c>
      <c r="B83" s="135" t="s">
        <v>4</v>
      </c>
      <c r="C83" s="135" t="s">
        <v>575</v>
      </c>
      <c r="D83" s="135" t="s">
        <v>576</v>
      </c>
      <c r="E83" s="135" t="s">
        <v>578</v>
      </c>
      <c r="F83" s="135" t="s">
        <v>575</v>
      </c>
      <c r="G83" s="135" t="s">
        <v>157</v>
      </c>
      <c r="H83" s="135" t="s">
        <v>2450</v>
      </c>
      <c r="I83" s="135"/>
      <c r="J83" s="135">
        <v>91</v>
      </c>
      <c r="K83" s="10"/>
      <c r="L83" s="10"/>
      <c r="M83" s="10"/>
    </row>
    <row r="84" spans="1:21">
      <c r="A84" s="135" t="s">
        <v>2385</v>
      </c>
      <c r="B84" s="135" t="s">
        <v>4</v>
      </c>
      <c r="C84" s="135" t="s">
        <v>579</v>
      </c>
      <c r="D84" s="135" t="s">
        <v>580</v>
      </c>
      <c r="E84" s="135" t="s">
        <v>582</v>
      </c>
      <c r="F84" s="135" t="s">
        <v>2464</v>
      </c>
      <c r="G84" s="135" t="s">
        <v>464</v>
      </c>
      <c r="H84" s="135" t="s">
        <v>2450</v>
      </c>
      <c r="I84" s="135"/>
      <c r="J84" s="135">
        <v>90</v>
      </c>
      <c r="K84" s="10"/>
      <c r="L84" s="10"/>
      <c r="M84" s="10"/>
      <c r="P84" s="10" t="str">
        <f>VLOOKUP(C84,Table_view_sorted!A$2:A$215,1,FALSE)</f>
        <v>Create User Name</v>
      </c>
      <c r="Q84" t="str">
        <f>VLOOKUP(D84,AVY_FACT!A$2:A$153,1,FALSE)</f>
        <v>CRT_USR_NM</v>
      </c>
      <c r="R84" t="str">
        <f>D84&amp;"  "&amp;G84&amp;","</f>
        <v>CRT_USR_NM  VARCHAR2(256),</v>
      </c>
      <c r="T84" s="10"/>
      <c r="U84" s="10"/>
    </row>
    <row r="85" spans="1:21">
      <c r="A85" s="135" t="s">
        <v>2385</v>
      </c>
      <c r="B85" s="135" t="s">
        <v>4</v>
      </c>
      <c r="C85" s="135" t="s">
        <v>583</v>
      </c>
      <c r="D85" s="135" t="s">
        <v>584</v>
      </c>
      <c r="E85" s="135" t="s">
        <v>586</v>
      </c>
      <c r="F85" s="135" t="s">
        <v>2473</v>
      </c>
      <c r="G85" s="135" t="s">
        <v>268</v>
      </c>
      <c r="H85" s="135" t="s">
        <v>2446</v>
      </c>
      <c r="I85" s="135"/>
      <c r="J85" s="135">
        <v>112</v>
      </c>
      <c r="K85" s="10"/>
      <c r="L85" s="10"/>
      <c r="M85" s="10"/>
    </row>
    <row r="86" spans="1:21">
      <c r="A86" s="135" t="s">
        <v>2385</v>
      </c>
      <c r="B86" s="135" t="s">
        <v>4</v>
      </c>
      <c r="C86" s="135" t="s">
        <v>589</v>
      </c>
      <c r="D86" s="135" t="s">
        <v>590</v>
      </c>
      <c r="E86" s="135" t="s">
        <v>591</v>
      </c>
      <c r="F86" s="135" t="s">
        <v>2429</v>
      </c>
      <c r="G86" s="135" t="s">
        <v>101</v>
      </c>
      <c r="H86" s="135" t="s">
        <v>2446</v>
      </c>
      <c r="I86" s="135"/>
      <c r="J86" s="135">
        <v>18</v>
      </c>
      <c r="K86" s="10"/>
      <c r="L86" s="10"/>
      <c r="M86" s="10"/>
    </row>
    <row r="87" spans="1:21">
      <c r="A87" s="135" t="s">
        <v>2385</v>
      </c>
      <c r="B87" s="135" t="s">
        <v>4</v>
      </c>
      <c r="C87" s="135" t="s">
        <v>1333</v>
      </c>
      <c r="D87" s="135" t="s">
        <v>1334</v>
      </c>
      <c r="E87" s="135"/>
      <c r="F87" s="135"/>
      <c r="G87" s="135" t="s">
        <v>1336</v>
      </c>
      <c r="H87" s="135" t="s">
        <v>2446</v>
      </c>
      <c r="I87" s="135"/>
      <c r="J87" s="135">
        <v>242</v>
      </c>
      <c r="K87" s="10"/>
      <c r="L87" s="10"/>
      <c r="M87" s="10"/>
    </row>
    <row r="88" spans="1:21">
      <c r="A88" s="135" t="s">
        <v>2385</v>
      </c>
      <c r="B88" s="135" t="s">
        <v>4</v>
      </c>
      <c r="C88" s="135" t="s">
        <v>1325</v>
      </c>
      <c r="D88" s="135" t="s">
        <v>1326</v>
      </c>
      <c r="E88" s="135"/>
      <c r="F88" s="135"/>
      <c r="G88" s="135" t="s">
        <v>268</v>
      </c>
      <c r="H88" s="135" t="s">
        <v>2446</v>
      </c>
      <c r="I88" s="135"/>
      <c r="J88" s="135">
        <v>241</v>
      </c>
      <c r="K88" s="10"/>
      <c r="L88" s="10"/>
      <c r="M88" s="10"/>
    </row>
    <row r="89" spans="1:21">
      <c r="A89" s="135" t="s">
        <v>2385</v>
      </c>
      <c r="B89" s="135" t="s">
        <v>4</v>
      </c>
      <c r="C89" s="135" t="s">
        <v>1320</v>
      </c>
      <c r="D89" s="135" t="s">
        <v>1321</v>
      </c>
      <c r="E89" s="135"/>
      <c r="F89" s="135"/>
      <c r="G89" s="135" t="s">
        <v>157</v>
      </c>
      <c r="H89" s="135" t="s">
        <v>2446</v>
      </c>
      <c r="I89" s="135"/>
      <c r="J89" s="135">
        <v>240</v>
      </c>
      <c r="K89" s="10"/>
      <c r="L89" s="10"/>
      <c r="M89" s="10"/>
    </row>
    <row r="90" spans="1:21">
      <c r="A90" s="135" t="s">
        <v>2385</v>
      </c>
      <c r="B90" s="135" t="s">
        <v>4</v>
      </c>
      <c r="C90" s="135" t="s">
        <v>594</v>
      </c>
      <c r="D90" s="135" t="s">
        <v>595</v>
      </c>
      <c r="E90" s="135" t="s">
        <v>597</v>
      </c>
      <c r="F90" s="135" t="s">
        <v>2455</v>
      </c>
      <c r="G90" s="135" t="s">
        <v>139</v>
      </c>
      <c r="H90" s="135" t="s">
        <v>2446</v>
      </c>
      <c r="I90" s="135"/>
      <c r="J90" s="135">
        <v>113</v>
      </c>
      <c r="K90" s="10"/>
      <c r="L90" s="10"/>
      <c r="M90" s="10"/>
    </row>
    <row r="91" spans="1:21">
      <c r="A91" s="135" t="s">
        <v>2385</v>
      </c>
      <c r="B91" s="135" t="s">
        <v>4</v>
      </c>
      <c r="C91" s="135" t="s">
        <v>600</v>
      </c>
      <c r="D91" s="135" t="s">
        <v>601</v>
      </c>
      <c r="E91" s="135" t="s">
        <v>602</v>
      </c>
      <c r="F91" s="135" t="s">
        <v>2429</v>
      </c>
      <c r="G91" s="135" t="s">
        <v>101</v>
      </c>
      <c r="H91" s="135" t="s">
        <v>2446</v>
      </c>
      <c r="I91" s="135"/>
      <c r="J91" s="135">
        <v>114</v>
      </c>
      <c r="K91" s="10"/>
      <c r="L91" s="10"/>
      <c r="M91" s="10"/>
    </row>
    <row r="92" spans="1:21" s="20" customFormat="1">
      <c r="A92" s="135" t="s">
        <v>2385</v>
      </c>
      <c r="B92" s="135" t="s">
        <v>4</v>
      </c>
      <c r="C92" s="135" t="s">
        <v>603</v>
      </c>
      <c r="D92" s="135" t="s">
        <v>604</v>
      </c>
      <c r="E92" s="135" t="s">
        <v>606</v>
      </c>
      <c r="F92" s="135" t="s">
        <v>2466</v>
      </c>
      <c r="G92" s="135" t="s">
        <v>109</v>
      </c>
      <c r="H92" s="135" t="s">
        <v>2446</v>
      </c>
      <c r="I92" s="135"/>
      <c r="J92" s="135">
        <v>115</v>
      </c>
      <c r="K92" s="10"/>
      <c r="L92" s="10"/>
      <c r="M92" s="10"/>
      <c r="N92"/>
      <c r="O92"/>
      <c r="P92"/>
      <c r="Q92"/>
      <c r="R92"/>
      <c r="S92"/>
      <c r="T92"/>
      <c r="U92"/>
    </row>
    <row r="93" spans="1:21" s="22" customFormat="1">
      <c r="A93" s="135" t="s">
        <v>2385</v>
      </c>
      <c r="B93" s="135" t="s">
        <v>4</v>
      </c>
      <c r="C93" s="135" t="s">
        <v>1163</v>
      </c>
      <c r="D93" s="135" t="s">
        <v>1164</v>
      </c>
      <c r="E93" s="135" t="s">
        <v>1166</v>
      </c>
      <c r="F93" s="135" t="s">
        <v>2455</v>
      </c>
      <c r="G93" s="135" t="s">
        <v>139</v>
      </c>
      <c r="H93" s="135" t="s">
        <v>2446</v>
      </c>
      <c r="I93" s="135"/>
      <c r="J93" s="135">
        <v>178</v>
      </c>
      <c r="K93" s="10"/>
      <c r="L93" s="10"/>
      <c r="M93" s="10"/>
      <c r="N93"/>
      <c r="O93"/>
      <c r="P93" s="10" t="e">
        <f>VLOOKUP(C93,Table_view_sorted!A$2:A$215,1,FALSE)</f>
        <v>#N/A</v>
      </c>
      <c r="Q93" t="e">
        <f>VLOOKUP(D93,AVY_FACT!A$2:A$153,1,FALSE)</f>
        <v>#N/A</v>
      </c>
      <c r="R93" t="str">
        <f>D93&amp;"  "&amp;G93&amp;","</f>
        <v>DRVD_TRD_CPCTY_CD  VARCHAR2(20),</v>
      </c>
      <c r="S93"/>
      <c r="T93" s="10"/>
      <c r="U93" s="10"/>
    </row>
    <row r="94" spans="1:21" s="22" customFormat="1">
      <c r="A94" s="135" t="s">
        <v>2385</v>
      </c>
      <c r="B94" s="135" t="s">
        <v>4</v>
      </c>
      <c r="C94" s="135" t="s">
        <v>1172</v>
      </c>
      <c r="D94" s="135" t="s">
        <v>1173</v>
      </c>
      <c r="E94" s="135" t="s">
        <v>1174</v>
      </c>
      <c r="F94" s="135" t="s">
        <v>2429</v>
      </c>
      <c r="G94" s="135" t="s">
        <v>101</v>
      </c>
      <c r="H94" s="135" t="s">
        <v>2446</v>
      </c>
      <c r="I94" s="135"/>
      <c r="J94" s="135">
        <v>182</v>
      </c>
      <c r="K94" s="10"/>
      <c r="L94" s="10"/>
      <c r="M94" s="10"/>
      <c r="N94"/>
      <c r="O94"/>
      <c r="P94"/>
      <c r="Q94"/>
      <c r="R94"/>
      <c r="S94"/>
      <c r="T94"/>
      <c r="U94"/>
    </row>
    <row r="95" spans="1:21">
      <c r="A95" s="135" t="s">
        <v>2385</v>
      </c>
      <c r="B95" s="135" t="s">
        <v>4</v>
      </c>
      <c r="C95" s="135" t="s">
        <v>1168</v>
      </c>
      <c r="D95" s="135" t="s">
        <v>1169</v>
      </c>
      <c r="E95" s="135" t="s">
        <v>1171</v>
      </c>
      <c r="F95" s="135" t="s">
        <v>2466</v>
      </c>
      <c r="G95" s="135" t="s">
        <v>109</v>
      </c>
      <c r="H95" s="135" t="s">
        <v>2446</v>
      </c>
      <c r="I95" s="135"/>
      <c r="J95" s="135">
        <v>180</v>
      </c>
      <c r="K95" s="10"/>
      <c r="L95" s="10"/>
      <c r="M95" s="10"/>
    </row>
    <row r="96" spans="1:21">
      <c r="A96" s="135" t="s">
        <v>2385</v>
      </c>
      <c r="B96" s="135" t="s">
        <v>4</v>
      </c>
      <c r="C96" s="135" t="s">
        <v>154</v>
      </c>
      <c r="D96" s="135" t="s">
        <v>155</v>
      </c>
      <c r="E96" s="135" t="s">
        <v>159</v>
      </c>
      <c r="F96" s="135" t="s">
        <v>2457</v>
      </c>
      <c r="G96" s="135" t="s">
        <v>157</v>
      </c>
      <c r="H96" s="135" t="s">
        <v>2446</v>
      </c>
      <c r="I96" s="135"/>
      <c r="J96" s="135">
        <v>152</v>
      </c>
      <c r="K96" s="10"/>
      <c r="L96" s="10"/>
      <c r="M96" s="10"/>
    </row>
    <row r="97" spans="1:21">
      <c r="A97" s="135" t="s">
        <v>2385</v>
      </c>
      <c r="B97" s="135" t="s">
        <v>4</v>
      </c>
      <c r="C97" s="135" t="s">
        <v>1755</v>
      </c>
      <c r="D97" s="135" t="s">
        <v>1756</v>
      </c>
      <c r="E97" s="135" t="s">
        <v>1758</v>
      </c>
      <c r="F97" s="135"/>
      <c r="G97" s="135" t="s">
        <v>90</v>
      </c>
      <c r="H97" s="135" t="s">
        <v>2446</v>
      </c>
      <c r="I97" s="135"/>
      <c r="J97" s="135">
        <v>323</v>
      </c>
      <c r="K97" s="10"/>
      <c r="L97" s="10"/>
      <c r="M97" s="10"/>
    </row>
    <row r="98" spans="1:21">
      <c r="A98" s="135" t="s">
        <v>2385</v>
      </c>
      <c r="B98" s="135" t="s">
        <v>4</v>
      </c>
      <c r="C98" s="135" t="s">
        <v>1764</v>
      </c>
      <c r="D98" s="135" t="s">
        <v>1765</v>
      </c>
      <c r="E98" s="135" t="s">
        <v>1758</v>
      </c>
      <c r="F98" s="135"/>
      <c r="G98" s="135" t="s">
        <v>1453</v>
      </c>
      <c r="H98" s="135" t="s">
        <v>2446</v>
      </c>
      <c r="I98" s="135"/>
      <c r="J98" s="135">
        <v>324</v>
      </c>
      <c r="K98" s="10"/>
      <c r="L98" s="10"/>
      <c r="M98" s="10"/>
    </row>
    <row r="99" spans="1:21">
      <c r="A99" s="135" t="s">
        <v>2385</v>
      </c>
      <c r="B99" s="135" t="s">
        <v>4</v>
      </c>
      <c r="C99" s="135" t="s">
        <v>1768</v>
      </c>
      <c r="D99" s="135" t="s">
        <v>1769</v>
      </c>
      <c r="E99" s="135" t="s">
        <v>1771</v>
      </c>
      <c r="F99" s="135"/>
      <c r="G99" s="135" t="s">
        <v>90</v>
      </c>
      <c r="H99" s="135" t="s">
        <v>2446</v>
      </c>
      <c r="I99" s="135"/>
      <c r="J99" s="135">
        <v>325</v>
      </c>
      <c r="K99" s="10"/>
      <c r="L99" s="10"/>
      <c r="M99" s="10"/>
    </row>
    <row r="100" spans="1:21">
      <c r="A100" s="135" t="s">
        <v>2385</v>
      </c>
      <c r="B100" s="135" t="s">
        <v>4</v>
      </c>
      <c r="C100" s="135" t="s">
        <v>1773</v>
      </c>
      <c r="D100" s="135" t="s">
        <v>1774</v>
      </c>
      <c r="E100" s="135" t="s">
        <v>1771</v>
      </c>
      <c r="F100" s="135"/>
      <c r="G100" s="135" t="s">
        <v>1453</v>
      </c>
      <c r="H100" s="135" t="s">
        <v>2446</v>
      </c>
      <c r="I100" s="135"/>
      <c r="J100" s="135">
        <v>326</v>
      </c>
      <c r="K100" s="10"/>
      <c r="L100" s="10"/>
      <c r="M100" s="10"/>
      <c r="P100" s="10" t="e">
        <f>VLOOKUP(C100,Table_view_sorted!A$2:A$215,1,FALSE)</f>
        <v>#N/A</v>
      </c>
      <c r="Q100" t="e">
        <f>VLOOKUP(D100,AVY_FACT!A$2:A$153,1,FALSE)</f>
        <v>#N/A</v>
      </c>
      <c r="R100" t="str">
        <f>D100&amp;"  "&amp;G100&amp;","</f>
        <v>EQTY_IDY_GRP_CD  VARCHAR2(40),</v>
      </c>
      <c r="T100" s="10"/>
      <c r="U100" s="10"/>
    </row>
    <row r="101" spans="1:21">
      <c r="A101" s="135" t="s">
        <v>2385</v>
      </c>
      <c r="B101" s="135" t="s">
        <v>4</v>
      </c>
      <c r="C101" s="135" t="s">
        <v>1777</v>
      </c>
      <c r="D101" s="135" t="s">
        <v>1778</v>
      </c>
      <c r="E101" s="135" t="s">
        <v>1780</v>
      </c>
      <c r="F101" s="135"/>
      <c r="G101" s="135" t="s">
        <v>90</v>
      </c>
      <c r="H101" s="135" t="s">
        <v>2446</v>
      </c>
      <c r="I101" s="135"/>
      <c r="J101" s="135">
        <v>327</v>
      </c>
      <c r="K101" s="10"/>
      <c r="L101" s="10"/>
      <c r="M101" s="10"/>
    </row>
    <row r="102" spans="1:21">
      <c r="A102" s="135" t="s">
        <v>2385</v>
      </c>
      <c r="B102" s="135" t="s">
        <v>4</v>
      </c>
      <c r="C102" s="135" t="s">
        <v>1782</v>
      </c>
      <c r="D102" s="135" t="s">
        <v>1783</v>
      </c>
      <c r="E102" s="135" t="s">
        <v>1780</v>
      </c>
      <c r="F102" s="135"/>
      <c r="G102" s="135" t="s">
        <v>1453</v>
      </c>
      <c r="H102" s="135" t="s">
        <v>2446</v>
      </c>
      <c r="I102" s="135"/>
      <c r="J102" s="135">
        <v>328</v>
      </c>
      <c r="K102" s="10"/>
      <c r="L102" s="10"/>
      <c r="M102" s="10"/>
    </row>
    <row r="103" spans="1:21">
      <c r="A103" s="135" t="s">
        <v>2385</v>
      </c>
      <c r="B103" s="135" t="s">
        <v>4</v>
      </c>
      <c r="C103" s="135" t="s">
        <v>1786</v>
      </c>
      <c r="D103" s="135" t="s">
        <v>1787</v>
      </c>
      <c r="E103" s="135" t="s">
        <v>1789</v>
      </c>
      <c r="F103" s="135"/>
      <c r="G103" s="135" t="s">
        <v>90</v>
      </c>
      <c r="H103" s="135" t="s">
        <v>2446</v>
      </c>
      <c r="I103" s="135"/>
      <c r="J103" s="135">
        <v>329</v>
      </c>
      <c r="K103" s="10"/>
      <c r="L103" s="10"/>
      <c r="M103" s="10"/>
    </row>
    <row r="104" spans="1:21">
      <c r="A104" s="135" t="s">
        <v>2385</v>
      </c>
      <c r="B104" s="135" t="s">
        <v>4</v>
      </c>
      <c r="C104" s="135" t="s">
        <v>1791</v>
      </c>
      <c r="D104" s="135" t="s">
        <v>1792</v>
      </c>
      <c r="E104" s="135" t="s">
        <v>1789</v>
      </c>
      <c r="F104" s="135"/>
      <c r="G104" s="135" t="s">
        <v>1453</v>
      </c>
      <c r="H104" s="135" t="s">
        <v>2446</v>
      </c>
      <c r="I104" s="135"/>
      <c r="J104" s="135">
        <v>330</v>
      </c>
      <c r="K104" s="10"/>
      <c r="L104" s="10"/>
      <c r="M104" s="10"/>
    </row>
    <row r="105" spans="1:21">
      <c r="A105" s="135" t="s">
        <v>2385</v>
      </c>
      <c r="B105" s="135" t="s">
        <v>4</v>
      </c>
      <c r="C105" s="135" t="s">
        <v>608</v>
      </c>
      <c r="D105" s="135" t="s">
        <v>609</v>
      </c>
      <c r="E105" s="135" t="s">
        <v>611</v>
      </c>
      <c r="F105" s="135" t="s">
        <v>2474</v>
      </c>
      <c r="G105" s="135" t="s">
        <v>302</v>
      </c>
      <c r="H105" s="135" t="s">
        <v>2446</v>
      </c>
      <c r="I105" s="135"/>
      <c r="J105" s="135">
        <v>116</v>
      </c>
      <c r="K105" s="10"/>
      <c r="L105" s="10"/>
      <c r="M105" s="10"/>
      <c r="P105" s="10" t="str">
        <f>VLOOKUP(C105,Table_view_sorted!A$2:A$215,1,FALSE)</f>
        <v>Exchange code</v>
      </c>
      <c r="Q105" t="str">
        <f>VLOOKUP(D105,AVY_FACT!A$2:A$153,1,FALSE)</f>
        <v>EXG_CD</v>
      </c>
      <c r="R105" t="str">
        <f>D105&amp;"  "&amp;G105&amp;","</f>
        <v>EXG_CD  VARCHAR2(30),</v>
      </c>
      <c r="T105" s="10"/>
      <c r="U105" s="10"/>
    </row>
    <row r="106" spans="1:21">
      <c r="A106" s="135" t="s">
        <v>2385</v>
      </c>
      <c r="B106" s="135" t="s">
        <v>4</v>
      </c>
      <c r="C106" s="135" t="s">
        <v>352</v>
      </c>
      <c r="D106" s="135" t="s">
        <v>353</v>
      </c>
      <c r="E106" s="135" t="s">
        <v>354</v>
      </c>
      <c r="F106" s="135" t="s">
        <v>2428</v>
      </c>
      <c r="G106" s="135" t="s">
        <v>101</v>
      </c>
      <c r="H106" s="135" t="s">
        <v>2450</v>
      </c>
      <c r="I106" s="135"/>
      <c r="J106" s="135">
        <v>38</v>
      </c>
      <c r="K106" s="10"/>
      <c r="L106" s="10"/>
      <c r="M106" s="10"/>
    </row>
    <row r="107" spans="1:21">
      <c r="A107" s="135" t="s">
        <v>2385</v>
      </c>
      <c r="B107" s="135" t="s">
        <v>4</v>
      </c>
      <c r="C107" s="135" t="s">
        <v>614</v>
      </c>
      <c r="D107" s="135" t="s">
        <v>615</v>
      </c>
      <c r="E107" s="135" t="s">
        <v>619</v>
      </c>
      <c r="F107" s="135" t="s">
        <v>2475</v>
      </c>
      <c r="G107" s="135" t="s">
        <v>617</v>
      </c>
      <c r="H107" s="135" t="s">
        <v>2446</v>
      </c>
      <c r="I107" s="135"/>
      <c r="J107" s="135">
        <v>117</v>
      </c>
      <c r="K107" s="10"/>
      <c r="L107" s="10"/>
      <c r="M107" s="10"/>
      <c r="P107" s="10" t="str">
        <f>VLOOKUP(C107,Table_view_sorted!A$2:A$215,1,FALSE)</f>
        <v>Exchange name</v>
      </c>
      <c r="Q107" t="str">
        <f>VLOOKUP(D107,AVY_FACT!A$2:A$153,1,FALSE)</f>
        <v>EXG_NM</v>
      </c>
      <c r="R107" t="str">
        <f>D107&amp;"  "&amp;G107&amp;","</f>
        <v>EXG_NM  VARCHAR2(500),</v>
      </c>
      <c r="T107" s="10"/>
      <c r="U107" s="10"/>
    </row>
    <row r="108" spans="1:21">
      <c r="A108" s="135" t="s">
        <v>2385</v>
      </c>
      <c r="B108" s="135" t="s">
        <v>4</v>
      </c>
      <c r="C108" s="135" t="s">
        <v>621</v>
      </c>
      <c r="D108" s="135" t="s">
        <v>622</v>
      </c>
      <c r="E108" s="135" t="s">
        <v>625</v>
      </c>
      <c r="F108" s="135" t="s">
        <v>2476</v>
      </c>
      <c r="G108" s="135" t="s">
        <v>624</v>
      </c>
      <c r="H108" s="135" t="s">
        <v>2446</v>
      </c>
      <c r="I108" s="135"/>
      <c r="J108" s="135">
        <v>197</v>
      </c>
      <c r="K108" s="10"/>
      <c r="L108" s="10"/>
      <c r="M108" s="10"/>
    </row>
    <row r="109" spans="1:21">
      <c r="A109" s="135" t="s">
        <v>2385</v>
      </c>
      <c r="B109" s="135" t="s">
        <v>4</v>
      </c>
      <c r="C109" s="135" t="s">
        <v>626</v>
      </c>
      <c r="D109" s="135" t="s">
        <v>627</v>
      </c>
      <c r="E109" s="135" t="s">
        <v>2477</v>
      </c>
      <c r="F109" s="135" t="s">
        <v>2455</v>
      </c>
      <c r="G109" s="135" t="s">
        <v>139</v>
      </c>
      <c r="H109" s="135" t="s">
        <v>2446</v>
      </c>
      <c r="I109" s="135"/>
      <c r="J109" s="135">
        <v>70</v>
      </c>
      <c r="K109" s="10"/>
      <c r="L109" s="10"/>
      <c r="M109" s="10"/>
    </row>
    <row r="110" spans="1:21">
      <c r="A110" s="135" t="s">
        <v>2385</v>
      </c>
      <c r="B110" s="135" t="s">
        <v>4</v>
      </c>
      <c r="C110" s="135" t="s">
        <v>631</v>
      </c>
      <c r="D110" s="135" t="s">
        <v>632</v>
      </c>
      <c r="E110" s="135" t="s">
        <v>2478</v>
      </c>
      <c r="F110" s="135" t="s">
        <v>2465</v>
      </c>
      <c r="G110" s="135" t="s">
        <v>485</v>
      </c>
      <c r="H110" s="135" t="s">
        <v>2446</v>
      </c>
      <c r="I110" s="135"/>
      <c r="J110" s="135">
        <v>72</v>
      </c>
      <c r="K110" s="10"/>
      <c r="L110" s="10"/>
      <c r="M110" s="10"/>
    </row>
    <row r="111" spans="1:21">
      <c r="A111" s="135" t="s">
        <v>2385</v>
      </c>
      <c r="B111" s="135" t="s">
        <v>4</v>
      </c>
      <c r="C111" s="135" t="s">
        <v>635</v>
      </c>
      <c r="D111" s="135" t="s">
        <v>636</v>
      </c>
      <c r="E111" s="135" t="s">
        <v>2479</v>
      </c>
      <c r="F111" s="135" t="s">
        <v>2429</v>
      </c>
      <c r="G111" s="135" t="s">
        <v>101</v>
      </c>
      <c r="H111" s="135" t="s">
        <v>2446</v>
      </c>
      <c r="I111" s="135"/>
      <c r="J111" s="135">
        <v>69</v>
      </c>
      <c r="K111" s="10"/>
      <c r="L111" s="10"/>
      <c r="M111" s="10"/>
    </row>
    <row r="112" spans="1:21">
      <c r="A112" s="135" t="s">
        <v>2385</v>
      </c>
      <c r="B112" s="135" t="s">
        <v>4</v>
      </c>
      <c r="C112" s="135" t="s">
        <v>638</v>
      </c>
      <c r="D112" s="135" t="s">
        <v>639</v>
      </c>
      <c r="E112" s="135" t="s">
        <v>2480</v>
      </c>
      <c r="F112" s="135" t="s">
        <v>2466</v>
      </c>
      <c r="G112" s="135" t="s">
        <v>109</v>
      </c>
      <c r="H112" s="135" t="s">
        <v>2446</v>
      </c>
      <c r="I112" s="135"/>
      <c r="J112" s="135">
        <v>71</v>
      </c>
      <c r="K112" s="10"/>
      <c r="L112" s="10"/>
      <c r="M112" s="10"/>
      <c r="P112" s="10" t="str">
        <f>VLOOKUP(C112,Table_view_sorted!A$2:A$215,1,FALSE)</f>
        <v>Execution subtype Name</v>
      </c>
      <c r="Q112" t="str">
        <f>VLOOKUP(D112,AVY_FACT!A$2:A$153,1,FALSE)</f>
        <v>EXEC_SBTP_NM</v>
      </c>
      <c r="R112" t="str">
        <f>D112&amp;"  "&amp;G112&amp;","</f>
        <v>EXEC_SBTP_NM  VARCHAR2(200),</v>
      </c>
      <c r="T112" s="10"/>
      <c r="U112" s="10"/>
    </row>
    <row r="113" spans="1:21">
      <c r="A113" s="135" t="s">
        <v>2385</v>
      </c>
      <c r="B113" s="135" t="s">
        <v>4</v>
      </c>
      <c r="C113" s="135" t="s">
        <v>642</v>
      </c>
      <c r="D113" s="135" t="s">
        <v>643</v>
      </c>
      <c r="E113" s="135" t="s">
        <v>645</v>
      </c>
      <c r="F113" s="135" t="s">
        <v>2455</v>
      </c>
      <c r="G113" s="135" t="s">
        <v>139</v>
      </c>
      <c r="H113" s="135" t="s">
        <v>2446</v>
      </c>
      <c r="I113" s="135"/>
      <c r="J113" s="135">
        <v>66</v>
      </c>
      <c r="K113" s="10"/>
      <c r="L113" s="10"/>
      <c r="M113" s="10"/>
      <c r="P113" s="10" t="str">
        <f>VLOOKUP(C113,Table_view_sorted!A$2:A$215,1,FALSE)</f>
        <v>Execution type Code</v>
      </c>
      <c r="Q113" t="str">
        <f>VLOOKUP(D113,AVY_FACT!A$2:A$153,1,FALSE)</f>
        <v>EXEC_TP_CD</v>
      </c>
      <c r="R113" t="str">
        <f>D113&amp;"  "&amp;G113&amp;","</f>
        <v>EXEC_TP_CD  VARCHAR2(20),</v>
      </c>
      <c r="T113" s="10"/>
      <c r="U113" s="10"/>
    </row>
    <row r="114" spans="1:21">
      <c r="A114" s="135" t="s">
        <v>2385</v>
      </c>
      <c r="B114" s="135" t="s">
        <v>4</v>
      </c>
      <c r="C114" s="135" t="s">
        <v>647</v>
      </c>
      <c r="D114" s="135" t="s">
        <v>648</v>
      </c>
      <c r="E114" s="135" t="s">
        <v>650</v>
      </c>
      <c r="F114" s="135" t="s">
        <v>2465</v>
      </c>
      <c r="G114" s="135" t="s">
        <v>485</v>
      </c>
      <c r="H114" s="135" t="s">
        <v>2446</v>
      </c>
      <c r="I114" s="135"/>
      <c r="J114" s="135">
        <v>68</v>
      </c>
      <c r="K114" s="10"/>
      <c r="L114" s="10"/>
      <c r="M114" s="10"/>
    </row>
    <row r="115" spans="1:21">
      <c r="A115" s="135" t="s">
        <v>2385</v>
      </c>
      <c r="B115" s="135" t="s">
        <v>4</v>
      </c>
      <c r="C115" s="135" t="s">
        <v>651</v>
      </c>
      <c r="D115" s="135" t="s">
        <v>652</v>
      </c>
      <c r="E115" s="135" t="s">
        <v>653</v>
      </c>
      <c r="F115" s="135" t="s">
        <v>2429</v>
      </c>
      <c r="G115" s="135" t="s">
        <v>101</v>
      </c>
      <c r="H115" s="135" t="s">
        <v>2446</v>
      </c>
      <c r="I115" s="135"/>
      <c r="J115" s="135">
        <v>65</v>
      </c>
      <c r="K115" s="10"/>
      <c r="L115" s="10"/>
      <c r="M115" s="10"/>
    </row>
    <row r="116" spans="1:21">
      <c r="A116" s="135" t="s">
        <v>2385</v>
      </c>
      <c r="B116" s="135" t="s">
        <v>4</v>
      </c>
      <c r="C116" s="135" t="s">
        <v>654</v>
      </c>
      <c r="D116" s="135" t="s">
        <v>655</v>
      </c>
      <c r="E116" s="135" t="s">
        <v>657</v>
      </c>
      <c r="F116" s="135" t="s">
        <v>2466</v>
      </c>
      <c r="G116" s="135" t="s">
        <v>109</v>
      </c>
      <c r="H116" s="135" t="s">
        <v>2446</v>
      </c>
      <c r="I116" s="135"/>
      <c r="J116" s="135">
        <v>67</v>
      </c>
      <c r="K116" s="10"/>
      <c r="L116" s="10"/>
      <c r="M116" s="10"/>
    </row>
    <row r="117" spans="1:21" s="22" customFormat="1">
      <c r="A117" s="135" t="s">
        <v>2385</v>
      </c>
      <c r="B117" s="135" t="s">
        <v>4</v>
      </c>
      <c r="C117" s="135" t="s">
        <v>658</v>
      </c>
      <c r="D117" s="135" t="s">
        <v>175</v>
      </c>
      <c r="E117" s="135" t="s">
        <v>660</v>
      </c>
      <c r="F117" s="135" t="s">
        <v>2455</v>
      </c>
      <c r="G117" s="135" t="s">
        <v>139</v>
      </c>
      <c r="H117" s="135" t="s">
        <v>2446</v>
      </c>
      <c r="I117" s="135"/>
      <c r="J117" s="135">
        <v>93</v>
      </c>
      <c r="K117" s="10"/>
      <c r="L117" s="10"/>
      <c r="M117" s="10"/>
      <c r="N117"/>
      <c r="O117"/>
      <c r="P117"/>
      <c r="Q117"/>
      <c r="R117"/>
      <c r="S117"/>
      <c r="T117"/>
      <c r="U117"/>
    </row>
    <row r="118" spans="1:21">
      <c r="A118" s="135" t="s">
        <v>2385</v>
      </c>
      <c r="B118" s="135" t="s">
        <v>4</v>
      </c>
      <c r="C118" s="135" t="s">
        <v>1858</v>
      </c>
      <c r="D118" s="135" t="s">
        <v>1859</v>
      </c>
      <c r="E118" s="135" t="s">
        <v>1861</v>
      </c>
      <c r="F118" s="135"/>
      <c r="G118" s="135" t="s">
        <v>617</v>
      </c>
      <c r="H118" s="135" t="s">
        <v>2446</v>
      </c>
      <c r="I118" s="135"/>
      <c r="J118" s="135">
        <v>344</v>
      </c>
      <c r="K118" s="10"/>
      <c r="L118" s="10"/>
      <c r="M118" s="10"/>
    </row>
    <row r="119" spans="1:21">
      <c r="A119" s="135" t="s">
        <v>2385</v>
      </c>
      <c r="B119" s="135" t="s">
        <v>4</v>
      </c>
      <c r="C119" s="135" t="s">
        <v>79</v>
      </c>
      <c r="D119" s="135" t="s">
        <v>80</v>
      </c>
      <c r="E119" s="135" t="s">
        <v>84</v>
      </c>
      <c r="F119" s="135" t="s">
        <v>2445</v>
      </c>
      <c r="G119" s="135" t="s">
        <v>82</v>
      </c>
      <c r="H119" s="135" t="s">
        <v>2446</v>
      </c>
      <c r="I119" s="135"/>
      <c r="J119" s="135">
        <v>181</v>
      </c>
      <c r="K119" s="10"/>
      <c r="L119" s="10"/>
      <c r="M119" s="10"/>
      <c r="P119" s="10" t="str">
        <f>VLOOKUP(C119,Table_view_sorted!A$2:A$215,1,FALSE)</f>
        <v>Impact Source Action Code</v>
      </c>
      <c r="Q119" t="e">
        <f>VLOOKUP(D119,AVY_FACT!A$2:A$153,1,FALSE)</f>
        <v>#N/A</v>
      </c>
      <c r="R119" t="str">
        <f>D119&amp;"  "&amp;G119&amp;","</f>
        <v>IMP_SRC_ACTN_CD  VARCHAR2(1),</v>
      </c>
      <c r="T119" s="10"/>
      <c r="U119" s="10"/>
    </row>
    <row r="120" spans="1:21">
      <c r="A120" s="135" t="s">
        <v>2385</v>
      </c>
      <c r="B120" s="135" t="s">
        <v>4</v>
      </c>
      <c r="C120" s="135" t="s">
        <v>87</v>
      </c>
      <c r="D120" s="135" t="s">
        <v>88</v>
      </c>
      <c r="E120" s="135" t="s">
        <v>92</v>
      </c>
      <c r="F120" s="135" t="s">
        <v>2456</v>
      </c>
      <c r="G120" s="135" t="s">
        <v>90</v>
      </c>
      <c r="H120" s="135" t="s">
        <v>2446</v>
      </c>
      <c r="I120" s="135"/>
      <c r="J120" s="135">
        <v>183</v>
      </c>
      <c r="K120" s="10"/>
      <c r="L120" s="10"/>
      <c r="M120" s="10"/>
    </row>
    <row r="121" spans="1:21">
      <c r="A121" s="135" t="s">
        <v>2385</v>
      </c>
      <c r="B121" s="135" t="s">
        <v>4</v>
      </c>
      <c r="C121" s="135" t="s">
        <v>2481</v>
      </c>
      <c r="D121" s="135" t="s">
        <v>1874</v>
      </c>
      <c r="E121" s="135" t="s">
        <v>1876</v>
      </c>
      <c r="F121" s="135"/>
      <c r="G121" s="135" t="s">
        <v>90</v>
      </c>
      <c r="H121" s="135" t="s">
        <v>2446</v>
      </c>
      <c r="I121" s="135"/>
      <c r="J121" s="135">
        <v>347</v>
      </c>
      <c r="K121" s="10"/>
      <c r="L121" s="10"/>
      <c r="M121" s="10"/>
    </row>
    <row r="122" spans="1:21">
      <c r="A122" s="135" t="s">
        <v>2385</v>
      </c>
      <c r="B122" s="135" t="s">
        <v>4</v>
      </c>
      <c r="C122" s="135" t="s">
        <v>2482</v>
      </c>
      <c r="D122" s="135" t="s">
        <v>1879</v>
      </c>
      <c r="E122" s="135" t="s">
        <v>1881</v>
      </c>
      <c r="F122" s="135"/>
      <c r="G122" s="135" t="s">
        <v>1453</v>
      </c>
      <c r="H122" s="135" t="s">
        <v>2446</v>
      </c>
      <c r="I122" s="135"/>
      <c r="J122" s="135">
        <v>348</v>
      </c>
      <c r="K122" s="10"/>
      <c r="L122" s="10"/>
      <c r="M122" s="10"/>
    </row>
    <row r="123" spans="1:21">
      <c r="A123" s="135" t="s">
        <v>2385</v>
      </c>
      <c r="B123" s="135" t="s">
        <v>4</v>
      </c>
      <c r="C123" s="135" t="s">
        <v>2483</v>
      </c>
      <c r="D123" s="135" t="s">
        <v>1884</v>
      </c>
      <c r="E123" s="135" t="s">
        <v>1886</v>
      </c>
      <c r="F123" s="135"/>
      <c r="G123" s="135" t="s">
        <v>90</v>
      </c>
      <c r="H123" s="135" t="s">
        <v>2446</v>
      </c>
      <c r="I123" s="135"/>
      <c r="J123" s="135">
        <v>349</v>
      </c>
      <c r="K123" s="10"/>
      <c r="L123" s="10"/>
      <c r="M123" s="10"/>
    </row>
    <row r="124" spans="1:21" ht="27.6">
      <c r="A124" s="135" t="s">
        <v>2385</v>
      </c>
      <c r="B124" s="135" t="s">
        <v>4</v>
      </c>
      <c r="C124" s="135" t="s">
        <v>2484</v>
      </c>
      <c r="D124" s="135" t="s">
        <v>1889</v>
      </c>
      <c r="E124" s="135" t="s">
        <v>1891</v>
      </c>
      <c r="F124" s="135"/>
      <c r="G124" s="135" t="s">
        <v>1453</v>
      </c>
      <c r="H124" s="135" t="s">
        <v>2446</v>
      </c>
      <c r="I124" s="135"/>
      <c r="J124" s="135">
        <v>350</v>
      </c>
      <c r="K124" s="10"/>
      <c r="L124" s="10"/>
      <c r="M124" s="10"/>
      <c r="P124" s="10" t="e">
        <f>VLOOKUP(C124,Table_view_sorted!A$2:A$215,1,FALSE)</f>
        <v>#N/A</v>
      </c>
      <c r="Q124" s="22" t="e">
        <f>VLOOKUP(D124,AVY_FACT!A$2:A$153,1,FALSE)</f>
        <v>#N/A</v>
      </c>
      <c r="R124" s="22" t="str">
        <f>D124&amp;"  "&amp;G124&amp;","</f>
        <v>IMT_CL_LVL_2_CD  VARCHAR2(40),</v>
      </c>
      <c r="S124" s="22"/>
      <c r="T124" s="24" t="s">
        <v>2485</v>
      </c>
      <c r="U124" s="24" t="s">
        <v>1142</v>
      </c>
    </row>
    <row r="125" spans="1:21">
      <c r="A125" s="135" t="s">
        <v>2385</v>
      </c>
      <c r="B125" s="135" t="s">
        <v>4</v>
      </c>
      <c r="C125" s="135" t="s">
        <v>2486</v>
      </c>
      <c r="D125" s="135" t="s">
        <v>1894</v>
      </c>
      <c r="E125" s="135" t="s">
        <v>1896</v>
      </c>
      <c r="F125" s="135"/>
      <c r="G125" s="135" t="s">
        <v>90</v>
      </c>
      <c r="H125" s="135" t="s">
        <v>2446</v>
      </c>
      <c r="I125" s="135"/>
      <c r="J125" s="135">
        <v>351</v>
      </c>
      <c r="K125" s="10"/>
      <c r="L125" s="10"/>
      <c r="M125" s="10"/>
    </row>
    <row r="126" spans="1:21">
      <c r="A126" s="135" t="s">
        <v>2385</v>
      </c>
      <c r="B126" s="135" t="s">
        <v>4</v>
      </c>
      <c r="C126" s="135" t="s">
        <v>2487</v>
      </c>
      <c r="D126" s="135" t="s">
        <v>1899</v>
      </c>
      <c r="E126" s="135" t="s">
        <v>1901</v>
      </c>
      <c r="F126" s="135"/>
      <c r="G126" s="135" t="s">
        <v>1453</v>
      </c>
      <c r="H126" s="135" t="s">
        <v>2446</v>
      </c>
      <c r="I126" s="135"/>
      <c r="J126" s="135">
        <v>352</v>
      </c>
      <c r="K126" s="10"/>
      <c r="L126" s="10"/>
      <c r="M126" s="10"/>
    </row>
    <row r="127" spans="1:21">
      <c r="A127" s="135" t="s">
        <v>2385</v>
      </c>
      <c r="B127" s="135" t="s">
        <v>4</v>
      </c>
      <c r="C127" s="135" t="s">
        <v>2488</v>
      </c>
      <c r="D127" s="135" t="s">
        <v>1904</v>
      </c>
      <c r="E127" s="135" t="s">
        <v>1906</v>
      </c>
      <c r="F127" s="135"/>
      <c r="G127" s="135" t="s">
        <v>90</v>
      </c>
      <c r="H127" s="135" t="s">
        <v>2446</v>
      </c>
      <c r="I127" s="135"/>
      <c r="J127" s="135">
        <v>353</v>
      </c>
      <c r="K127" s="10"/>
      <c r="L127" s="10"/>
      <c r="M127" s="10"/>
    </row>
    <row r="128" spans="1:21">
      <c r="A128" s="135" t="s">
        <v>2385</v>
      </c>
      <c r="B128" s="135" t="s">
        <v>4</v>
      </c>
      <c r="C128" s="135" t="s">
        <v>2489</v>
      </c>
      <c r="D128" s="135" t="s">
        <v>1909</v>
      </c>
      <c r="E128" s="135" t="s">
        <v>1911</v>
      </c>
      <c r="F128" s="135"/>
      <c r="G128" s="135" t="s">
        <v>1453</v>
      </c>
      <c r="H128" s="135" t="s">
        <v>2446</v>
      </c>
      <c r="I128" s="135"/>
      <c r="J128" s="135">
        <v>354</v>
      </c>
      <c r="K128" s="10"/>
      <c r="L128" s="10"/>
      <c r="M128" s="10"/>
    </row>
    <row r="129" spans="1:21">
      <c r="A129" s="135" t="s">
        <v>2385</v>
      </c>
      <c r="B129" s="135" t="s">
        <v>4</v>
      </c>
      <c r="C129" s="135" t="s">
        <v>2490</v>
      </c>
      <c r="D129" s="135" t="s">
        <v>1914</v>
      </c>
      <c r="E129" s="135" t="s">
        <v>1916</v>
      </c>
      <c r="F129" s="135"/>
      <c r="G129" s="135" t="s">
        <v>90</v>
      </c>
      <c r="H129" s="135" t="s">
        <v>2446</v>
      </c>
      <c r="I129" s="135"/>
      <c r="J129" s="135">
        <v>355</v>
      </c>
      <c r="K129" s="10"/>
      <c r="L129" s="10"/>
      <c r="M129" s="10"/>
    </row>
    <row r="130" spans="1:21" ht="27.6">
      <c r="A130" s="135" t="s">
        <v>2385</v>
      </c>
      <c r="B130" s="135" t="s">
        <v>4</v>
      </c>
      <c r="C130" s="135" t="s">
        <v>2491</v>
      </c>
      <c r="D130" s="135" t="s">
        <v>1919</v>
      </c>
      <c r="E130" s="135" t="s">
        <v>1921</v>
      </c>
      <c r="F130" s="135"/>
      <c r="G130" s="135" t="s">
        <v>1453</v>
      </c>
      <c r="H130" s="135" t="s">
        <v>2446</v>
      </c>
      <c r="I130" s="135"/>
      <c r="J130" s="135">
        <v>356</v>
      </c>
      <c r="K130" s="10"/>
      <c r="L130" s="10"/>
      <c r="M130" s="10"/>
      <c r="P130" s="10" t="e">
        <f>VLOOKUP(C130,Table_view_sorted!A$2:A$215,1,FALSE)</f>
        <v>#N/A</v>
      </c>
      <c r="Q130" t="e">
        <f>VLOOKUP(D130,AVY_FACT!A$2:A$153,1,FALSE)</f>
        <v>#N/A</v>
      </c>
      <c r="R130" t="str">
        <f>D130&amp;"  "&amp;G130&amp;","</f>
        <v>IMT_CL_LVL_5_CD  VARCHAR2(40),</v>
      </c>
      <c r="T130" s="25" t="s">
        <v>2492</v>
      </c>
      <c r="U130" s="25" t="s">
        <v>1142</v>
      </c>
    </row>
    <row r="131" spans="1:21" s="23" customFormat="1">
      <c r="A131" s="135" t="s">
        <v>2385</v>
      </c>
      <c r="B131" s="135" t="s">
        <v>4</v>
      </c>
      <c r="C131" s="135" t="s">
        <v>1240</v>
      </c>
      <c r="D131" s="135" t="s">
        <v>1240</v>
      </c>
      <c r="E131" s="135" t="s">
        <v>1242</v>
      </c>
      <c r="F131" s="135"/>
      <c r="G131" s="135" t="s">
        <v>109</v>
      </c>
      <c r="H131" s="135" t="s">
        <v>2446</v>
      </c>
      <c r="I131" s="135"/>
      <c r="J131" s="135">
        <v>227</v>
      </c>
      <c r="K131" s="10"/>
      <c r="L131" s="10"/>
      <c r="M131" s="10"/>
      <c r="N131"/>
      <c r="O131"/>
      <c r="P131"/>
      <c r="Q131"/>
      <c r="R131"/>
      <c r="S131"/>
      <c r="T131"/>
      <c r="U131"/>
    </row>
    <row r="132" spans="1:21" s="23" customFormat="1">
      <c r="A132" s="135" t="s">
        <v>2385</v>
      </c>
      <c r="B132" s="135" t="s">
        <v>4</v>
      </c>
      <c r="C132" s="135" t="s">
        <v>1135</v>
      </c>
      <c r="D132" s="135" t="s">
        <v>1136</v>
      </c>
      <c r="E132" s="135" t="s">
        <v>1138</v>
      </c>
      <c r="F132" s="135" t="s">
        <v>1135</v>
      </c>
      <c r="G132" s="135" t="s">
        <v>157</v>
      </c>
      <c r="H132" s="135" t="s">
        <v>2450</v>
      </c>
      <c r="I132" s="135"/>
      <c r="J132" s="135">
        <v>212</v>
      </c>
      <c r="K132" s="10"/>
      <c r="L132" s="10"/>
      <c r="M132" s="10"/>
      <c r="N132"/>
      <c r="O132"/>
      <c r="P132" s="10" t="str">
        <f>VLOOKUP(C132,Table_view_sorted!A$2:A$215,1,FALSE)</f>
        <v>Last Update Datetime</v>
      </c>
      <c r="Q132" s="20" t="e">
        <f>VLOOKUP(D132,AVY_FACT!A$2:A$153,1,FALSE)</f>
        <v>#N/A</v>
      </c>
      <c r="R132" s="20" t="str">
        <f>D132&amp;"  "&amp;G132&amp;","</f>
        <v>LAST_UDT_DTM  DATE,</v>
      </c>
      <c r="S132" s="20"/>
      <c r="T132" s="19" t="s">
        <v>2493</v>
      </c>
      <c r="U132" s="19" t="s">
        <v>1142</v>
      </c>
    </row>
    <row r="133" spans="1:21" s="23" customFormat="1">
      <c r="A133" s="135" t="s">
        <v>2385</v>
      </c>
      <c r="B133" s="135" t="s">
        <v>4</v>
      </c>
      <c r="C133" s="135" t="s">
        <v>1130</v>
      </c>
      <c r="D133" s="135" t="s">
        <v>1131</v>
      </c>
      <c r="E133" s="135" t="s">
        <v>1133</v>
      </c>
      <c r="F133" s="135" t="s">
        <v>2464</v>
      </c>
      <c r="G133" s="135" t="s">
        <v>464</v>
      </c>
      <c r="H133" s="135" t="s">
        <v>2450</v>
      </c>
      <c r="I133" s="135"/>
      <c r="J133" s="135">
        <v>211</v>
      </c>
      <c r="K133" s="10"/>
      <c r="L133" s="10"/>
      <c r="M133" s="10"/>
      <c r="N133"/>
      <c r="O133"/>
      <c r="P133"/>
      <c r="Q133"/>
      <c r="R133"/>
      <c r="S133"/>
      <c r="T133"/>
      <c r="U133"/>
    </row>
    <row r="134" spans="1:21">
      <c r="A134" s="135" t="s">
        <v>2385</v>
      </c>
      <c r="B134" s="135" t="s">
        <v>4</v>
      </c>
      <c r="C134" s="135" t="s">
        <v>661</v>
      </c>
      <c r="D134" s="135" t="s">
        <v>662</v>
      </c>
      <c r="E134" s="135" t="s">
        <v>664</v>
      </c>
      <c r="F134" s="135" t="s">
        <v>2455</v>
      </c>
      <c r="G134" s="135" t="s">
        <v>139</v>
      </c>
      <c r="H134" s="135" t="s">
        <v>2446</v>
      </c>
      <c r="I134" s="135"/>
      <c r="J134" s="135">
        <v>118</v>
      </c>
      <c r="K134" s="10"/>
      <c r="L134" s="10"/>
      <c r="M134" s="10"/>
    </row>
    <row r="135" spans="1:21">
      <c r="A135" s="135" t="s">
        <v>2385</v>
      </c>
      <c r="B135" s="135" t="s">
        <v>4</v>
      </c>
      <c r="C135" s="135" t="s">
        <v>2494</v>
      </c>
      <c r="D135" s="135" t="s">
        <v>668</v>
      </c>
      <c r="E135" s="135" t="s">
        <v>669</v>
      </c>
      <c r="F135" s="135" t="s">
        <v>2429</v>
      </c>
      <c r="G135" s="135" t="s">
        <v>101</v>
      </c>
      <c r="H135" s="135" t="s">
        <v>2450</v>
      </c>
      <c r="I135" s="135"/>
      <c r="J135" s="135">
        <v>7</v>
      </c>
      <c r="K135" s="10"/>
      <c r="L135" s="10"/>
      <c r="M135" s="10"/>
    </row>
    <row r="136" spans="1:21">
      <c r="A136" s="135" t="s">
        <v>2385</v>
      </c>
      <c r="B136" s="135" t="s">
        <v>4</v>
      </c>
      <c r="C136" s="135" t="s">
        <v>676</v>
      </c>
      <c r="D136" s="135" t="s">
        <v>677</v>
      </c>
      <c r="E136" s="135" t="s">
        <v>678</v>
      </c>
      <c r="F136" s="135" t="s">
        <v>2429</v>
      </c>
      <c r="G136" s="135" t="s">
        <v>101</v>
      </c>
      <c r="H136" s="135" t="s">
        <v>2446</v>
      </c>
      <c r="I136" s="135"/>
      <c r="J136" s="135">
        <v>199</v>
      </c>
      <c r="K136" s="10"/>
      <c r="L136" s="10"/>
      <c r="M136" s="10"/>
    </row>
    <row r="137" spans="1:21" ht="41.4">
      <c r="A137" s="135" t="s">
        <v>2385</v>
      </c>
      <c r="B137" s="135" t="s">
        <v>4</v>
      </c>
      <c r="C137" s="135" t="s">
        <v>672</v>
      </c>
      <c r="D137" s="135" t="s">
        <v>673</v>
      </c>
      <c r="E137" s="136" t="s">
        <v>675</v>
      </c>
      <c r="F137" s="135" t="s">
        <v>2466</v>
      </c>
      <c r="G137" s="135" t="s">
        <v>109</v>
      </c>
      <c r="H137" s="135" t="s">
        <v>2446</v>
      </c>
      <c r="I137" s="135"/>
      <c r="J137" s="135">
        <v>119</v>
      </c>
      <c r="K137" s="10"/>
      <c r="L137" s="10"/>
      <c r="M137" s="10"/>
      <c r="P137" s="10" t="str">
        <f>VLOOKUP(C137,Table_view_sorted!A$2:A$215,1,FALSE)</f>
        <v>Legacy Cancellation Compliance Reason Type Name</v>
      </c>
      <c r="Q137" t="str">
        <f>VLOOKUP(D137,AVY_FACT!A$2:A$153,1,FALSE)</f>
        <v>LGCY_CNCL_CMPLN_RSN_TP_NM</v>
      </c>
      <c r="R137" t="str">
        <f>D137&amp;"  "&amp;G137&amp;","</f>
        <v>LGCY_CNCL_CMPLN_RSN_TP_NM  VARCHAR2(200),</v>
      </c>
      <c r="T137" s="10"/>
      <c r="U137" s="10"/>
    </row>
    <row r="138" spans="1:21">
      <c r="A138" s="135" t="s">
        <v>2385</v>
      </c>
      <c r="B138" s="135" t="s">
        <v>4</v>
      </c>
      <c r="C138" s="135" t="s">
        <v>679</v>
      </c>
      <c r="D138" s="135" t="s">
        <v>680</v>
      </c>
      <c r="E138" s="135" t="s">
        <v>682</v>
      </c>
      <c r="F138" s="135" t="s">
        <v>2455</v>
      </c>
      <c r="G138" s="135" t="s">
        <v>139</v>
      </c>
      <c r="H138" s="135" t="s">
        <v>2446</v>
      </c>
      <c r="I138" s="135"/>
      <c r="J138" s="135">
        <v>120</v>
      </c>
      <c r="K138" s="10"/>
      <c r="L138" s="10"/>
      <c r="M138" s="10"/>
    </row>
    <row r="139" spans="1:21" s="20" customFormat="1">
      <c r="A139" s="135" t="s">
        <v>2385</v>
      </c>
      <c r="B139" s="135" t="s">
        <v>4</v>
      </c>
      <c r="C139" s="135" t="s">
        <v>2495</v>
      </c>
      <c r="D139" s="135" t="s">
        <v>686</v>
      </c>
      <c r="E139" s="135" t="s">
        <v>687</v>
      </c>
      <c r="F139" s="135" t="s">
        <v>2429</v>
      </c>
      <c r="G139" s="135" t="s">
        <v>101</v>
      </c>
      <c r="H139" s="135" t="s">
        <v>2450</v>
      </c>
      <c r="I139" s="135"/>
      <c r="J139" s="135">
        <v>8</v>
      </c>
      <c r="K139" s="10"/>
      <c r="L139" s="10"/>
      <c r="M139" s="10"/>
      <c r="N139"/>
      <c r="O139"/>
      <c r="P139"/>
      <c r="Q139"/>
      <c r="R139"/>
      <c r="S139"/>
      <c r="T139"/>
      <c r="U139"/>
    </row>
    <row r="140" spans="1:21">
      <c r="A140" s="135" t="s">
        <v>2385</v>
      </c>
      <c r="B140" s="135" t="s">
        <v>4</v>
      </c>
      <c r="C140" s="135" t="s">
        <v>694</v>
      </c>
      <c r="D140" s="135" t="s">
        <v>695</v>
      </c>
      <c r="E140" s="135" t="s">
        <v>696</v>
      </c>
      <c r="F140" s="135" t="s">
        <v>2429</v>
      </c>
      <c r="G140" s="135" t="s">
        <v>101</v>
      </c>
      <c r="H140" s="135" t="s">
        <v>2446</v>
      </c>
      <c r="I140" s="135"/>
      <c r="J140" s="135">
        <v>198</v>
      </c>
      <c r="K140" s="10"/>
      <c r="L140" s="10"/>
      <c r="M140" s="10"/>
    </row>
    <row r="141" spans="1:21" ht="41.4">
      <c r="A141" s="135" t="s">
        <v>2385</v>
      </c>
      <c r="B141" s="135" t="s">
        <v>4</v>
      </c>
      <c r="C141" s="135" t="s">
        <v>690</v>
      </c>
      <c r="D141" s="135" t="s">
        <v>691</v>
      </c>
      <c r="E141" s="136" t="s">
        <v>693</v>
      </c>
      <c r="F141" s="135" t="s">
        <v>2466</v>
      </c>
      <c r="G141" s="135" t="s">
        <v>109</v>
      </c>
      <c r="H141" s="135" t="s">
        <v>2446</v>
      </c>
      <c r="I141" s="135"/>
      <c r="J141" s="135">
        <v>121</v>
      </c>
      <c r="K141" s="10"/>
      <c r="L141" s="10"/>
      <c r="M141" s="10"/>
    </row>
    <row r="142" spans="1:21">
      <c r="A142" s="135" t="s">
        <v>2385</v>
      </c>
      <c r="B142" s="135" t="s">
        <v>4</v>
      </c>
      <c r="C142" s="135" t="s">
        <v>697</v>
      </c>
      <c r="D142" s="135" t="s">
        <v>698</v>
      </c>
      <c r="E142" s="135" t="s">
        <v>700</v>
      </c>
      <c r="F142" s="135" t="s">
        <v>2455</v>
      </c>
      <c r="G142" s="135" t="s">
        <v>139</v>
      </c>
      <c r="H142" s="135" t="s">
        <v>2446</v>
      </c>
      <c r="I142" s="135"/>
      <c r="J142" s="135">
        <v>122</v>
      </c>
      <c r="K142" s="10"/>
      <c r="L142" s="10"/>
      <c r="M142" s="10"/>
    </row>
    <row r="143" spans="1:21">
      <c r="A143" s="135" t="s">
        <v>2385</v>
      </c>
      <c r="B143" s="135" t="s">
        <v>4</v>
      </c>
      <c r="C143" s="135" t="s">
        <v>703</v>
      </c>
      <c r="D143" s="135" t="s">
        <v>704</v>
      </c>
      <c r="E143" s="135" t="s">
        <v>705</v>
      </c>
      <c r="F143" s="135" t="s">
        <v>2429</v>
      </c>
      <c r="G143" s="135" t="s">
        <v>101</v>
      </c>
      <c r="H143" s="135" t="s">
        <v>2450</v>
      </c>
      <c r="I143" s="135"/>
      <c r="J143" s="135">
        <v>9</v>
      </c>
      <c r="K143" s="10"/>
      <c r="L143" s="10"/>
      <c r="M143" s="10"/>
    </row>
    <row r="144" spans="1:21">
      <c r="A144" s="135" t="s">
        <v>2385</v>
      </c>
      <c r="B144" s="135" t="s">
        <v>4</v>
      </c>
      <c r="C144" s="135" t="s">
        <v>710</v>
      </c>
      <c r="D144" s="135" t="s">
        <v>711</v>
      </c>
      <c r="E144" s="135" t="s">
        <v>712</v>
      </c>
      <c r="F144" s="135" t="s">
        <v>2429</v>
      </c>
      <c r="G144" s="135" t="s">
        <v>101</v>
      </c>
      <c r="H144" s="135" t="s">
        <v>2446</v>
      </c>
      <c r="I144" s="135"/>
      <c r="J144" s="135">
        <v>200</v>
      </c>
      <c r="K144" s="10"/>
      <c r="L144" s="10"/>
      <c r="M144" s="10"/>
    </row>
    <row r="145" spans="1:21">
      <c r="A145" s="135" t="s">
        <v>2385</v>
      </c>
      <c r="B145" s="135" t="s">
        <v>4</v>
      </c>
      <c r="C145" s="135" t="s">
        <v>706</v>
      </c>
      <c r="D145" s="135" t="s">
        <v>707</v>
      </c>
      <c r="E145" s="135" t="s">
        <v>709</v>
      </c>
      <c r="F145" s="135" t="s">
        <v>2466</v>
      </c>
      <c r="G145" s="135" t="s">
        <v>109</v>
      </c>
      <c r="H145" s="135" t="s">
        <v>2446</v>
      </c>
      <c r="I145" s="135"/>
      <c r="J145" s="135">
        <v>123</v>
      </c>
      <c r="K145" s="10"/>
      <c r="L145" s="10"/>
      <c r="M145" s="10"/>
    </row>
    <row r="146" spans="1:21">
      <c r="A146" s="135" t="s">
        <v>2385</v>
      </c>
      <c r="B146" s="135" t="s">
        <v>4</v>
      </c>
      <c r="C146" s="135" t="s">
        <v>713</v>
      </c>
      <c r="D146" s="135" t="s">
        <v>714</v>
      </c>
      <c r="E146" s="135" t="s">
        <v>716</v>
      </c>
      <c r="F146" s="135" t="s">
        <v>2455</v>
      </c>
      <c r="G146" s="135" t="s">
        <v>139</v>
      </c>
      <c r="H146" s="135" t="s">
        <v>2446</v>
      </c>
      <c r="I146" s="135"/>
      <c r="J146" s="135">
        <v>124</v>
      </c>
      <c r="K146" s="10"/>
      <c r="L146" s="10"/>
      <c r="M146" s="10"/>
    </row>
    <row r="147" spans="1:21">
      <c r="A147" s="135" t="s">
        <v>2385</v>
      </c>
      <c r="B147" s="135" t="s">
        <v>4</v>
      </c>
      <c r="C147" s="135" t="s">
        <v>2496</v>
      </c>
      <c r="D147" s="135" t="s">
        <v>723</v>
      </c>
      <c r="E147" s="135" t="s">
        <v>724</v>
      </c>
      <c r="F147" s="135" t="s">
        <v>2429</v>
      </c>
      <c r="G147" s="135" t="s">
        <v>101</v>
      </c>
      <c r="H147" s="135" t="s">
        <v>2450</v>
      </c>
      <c r="I147" s="135"/>
      <c r="J147" s="135">
        <v>10</v>
      </c>
      <c r="K147" s="10"/>
      <c r="L147" s="10"/>
      <c r="M147" s="10"/>
    </row>
    <row r="148" spans="1:21">
      <c r="A148" s="135" t="s">
        <v>2385</v>
      </c>
      <c r="B148" s="135" t="s">
        <v>4</v>
      </c>
      <c r="C148" s="135" t="s">
        <v>733</v>
      </c>
      <c r="D148" s="135" t="s">
        <v>734</v>
      </c>
      <c r="E148" s="135" t="s">
        <v>735</v>
      </c>
      <c r="F148" s="135" t="s">
        <v>2429</v>
      </c>
      <c r="G148" s="135" t="s">
        <v>101</v>
      </c>
      <c r="H148" s="135" t="s">
        <v>2446</v>
      </c>
      <c r="I148" s="135"/>
      <c r="J148" s="135">
        <v>201</v>
      </c>
      <c r="K148" s="10"/>
      <c r="L148" s="10"/>
      <c r="M148" s="10"/>
    </row>
    <row r="149" spans="1:21">
      <c r="A149" s="135" t="s">
        <v>2385</v>
      </c>
      <c r="B149" s="135" t="s">
        <v>4</v>
      </c>
      <c r="C149" s="135" t="s">
        <v>728</v>
      </c>
      <c r="D149" s="135" t="s">
        <v>729</v>
      </c>
      <c r="E149" s="135" t="s">
        <v>731</v>
      </c>
      <c r="F149" s="135" t="s">
        <v>2466</v>
      </c>
      <c r="G149" s="135" t="s">
        <v>109</v>
      </c>
      <c r="H149" s="135" t="s">
        <v>2446</v>
      </c>
      <c r="I149" s="135"/>
      <c r="J149" s="135">
        <v>125</v>
      </c>
      <c r="K149" s="10"/>
      <c r="L149" s="10"/>
      <c r="M149" s="10"/>
    </row>
    <row r="150" spans="1:21">
      <c r="A150" s="135" t="s">
        <v>2385</v>
      </c>
      <c r="B150" s="135" t="s">
        <v>4</v>
      </c>
      <c r="C150" s="135" t="s">
        <v>1192</v>
      </c>
      <c r="D150" s="135" t="s">
        <v>1197</v>
      </c>
      <c r="E150" s="135" t="s">
        <v>1196</v>
      </c>
      <c r="F150" s="135" t="s">
        <v>2431</v>
      </c>
      <c r="G150" s="135" t="s">
        <v>1194</v>
      </c>
      <c r="H150" s="135" t="s">
        <v>2446</v>
      </c>
      <c r="I150" s="135"/>
      <c r="J150" s="135">
        <v>216</v>
      </c>
      <c r="K150" s="10"/>
      <c r="L150" s="10"/>
      <c r="M150" s="10"/>
    </row>
    <row r="151" spans="1:21">
      <c r="A151" s="135" t="s">
        <v>2385</v>
      </c>
      <c r="B151" s="135" t="s">
        <v>4</v>
      </c>
      <c r="C151" s="135" t="s">
        <v>299</v>
      </c>
      <c r="D151" s="135" t="s">
        <v>300</v>
      </c>
      <c r="E151" s="135" t="s">
        <v>304</v>
      </c>
      <c r="F151" s="135" t="s">
        <v>2474</v>
      </c>
      <c r="G151" s="135" t="s">
        <v>302</v>
      </c>
      <c r="H151" s="135" t="s">
        <v>2446</v>
      </c>
      <c r="I151" s="135"/>
      <c r="J151" s="135">
        <v>195</v>
      </c>
      <c r="K151" s="10"/>
      <c r="L151" s="10"/>
      <c r="M151" s="10"/>
    </row>
    <row r="152" spans="1:21">
      <c r="A152" s="135" t="s">
        <v>2385</v>
      </c>
      <c r="B152" s="135" t="s">
        <v>4</v>
      </c>
      <c r="C152" s="135" t="s">
        <v>1795</v>
      </c>
      <c r="D152" s="135" t="s">
        <v>1796</v>
      </c>
      <c r="E152" s="135" t="s">
        <v>1798</v>
      </c>
      <c r="F152" s="135"/>
      <c r="G152" s="135" t="s">
        <v>90</v>
      </c>
      <c r="H152" s="135" t="s">
        <v>2446</v>
      </c>
      <c r="I152" s="135"/>
      <c r="J152" s="135">
        <v>331</v>
      </c>
      <c r="K152" s="10"/>
      <c r="L152" s="10"/>
      <c r="M152" s="10"/>
    </row>
    <row r="153" spans="1:21">
      <c r="A153" s="135" t="s">
        <v>2385</v>
      </c>
      <c r="B153" s="135" t="s">
        <v>4</v>
      </c>
      <c r="C153" s="135" t="s">
        <v>1800</v>
      </c>
      <c r="D153" s="135" t="s">
        <v>1801</v>
      </c>
      <c r="E153" s="135" t="s">
        <v>1798</v>
      </c>
      <c r="F153" s="135"/>
      <c r="G153" s="135" t="s">
        <v>1453</v>
      </c>
      <c r="H153" s="135" t="s">
        <v>2446</v>
      </c>
      <c r="I153" s="135"/>
      <c r="J153" s="135">
        <v>332</v>
      </c>
      <c r="K153" s="10"/>
      <c r="L153" s="10"/>
      <c r="M153" s="10"/>
    </row>
    <row r="154" spans="1:21">
      <c r="A154" s="135" t="s">
        <v>2385</v>
      </c>
      <c r="B154" s="135" t="s">
        <v>4</v>
      </c>
      <c r="C154" s="135" t="s">
        <v>1804</v>
      </c>
      <c r="D154" s="135" t="s">
        <v>1805</v>
      </c>
      <c r="E154" s="135" t="s">
        <v>1807</v>
      </c>
      <c r="F154" s="135"/>
      <c r="G154" s="135" t="s">
        <v>90</v>
      </c>
      <c r="H154" s="135" t="s">
        <v>2446</v>
      </c>
      <c r="I154" s="135"/>
      <c r="J154" s="135">
        <v>333</v>
      </c>
      <c r="K154" s="10"/>
      <c r="L154" s="10"/>
      <c r="M154" s="10"/>
    </row>
    <row r="155" spans="1:21">
      <c r="A155" s="135" t="s">
        <v>2385</v>
      </c>
      <c r="B155" s="135" t="s">
        <v>4</v>
      </c>
      <c r="C155" s="135" t="s">
        <v>1809</v>
      </c>
      <c r="D155" s="135" t="s">
        <v>1810</v>
      </c>
      <c r="E155" s="135" t="s">
        <v>1807</v>
      </c>
      <c r="F155" s="135"/>
      <c r="G155" s="135" t="s">
        <v>1453</v>
      </c>
      <c r="H155" s="135" t="s">
        <v>2446</v>
      </c>
      <c r="I155" s="135"/>
      <c r="J155" s="135">
        <v>334</v>
      </c>
      <c r="K155" s="10"/>
      <c r="L155" s="10"/>
      <c r="M155" s="10"/>
    </row>
    <row r="156" spans="1:21">
      <c r="A156" s="135" t="s">
        <v>2385</v>
      </c>
      <c r="B156" s="135" t="s">
        <v>4</v>
      </c>
      <c r="C156" s="135" t="s">
        <v>237</v>
      </c>
      <c r="D156" s="135" t="s">
        <v>238</v>
      </c>
      <c r="E156" s="135" t="s">
        <v>240</v>
      </c>
      <c r="F156" s="135" t="s">
        <v>2448</v>
      </c>
      <c r="G156" s="135" t="s">
        <v>62</v>
      </c>
      <c r="H156" s="135" t="s">
        <v>2446</v>
      </c>
      <c r="I156" s="135"/>
      <c r="J156" s="135">
        <v>162</v>
      </c>
      <c r="K156" s="10"/>
      <c r="L156" s="10"/>
      <c r="M156" s="10"/>
    </row>
    <row r="157" spans="1:21">
      <c r="A157" s="135" t="s">
        <v>2385</v>
      </c>
      <c r="B157" s="135" t="s">
        <v>4</v>
      </c>
      <c r="C157" s="135" t="s">
        <v>2497</v>
      </c>
      <c r="D157" s="135" t="s">
        <v>1124</v>
      </c>
      <c r="E157" s="135" t="s">
        <v>1125</v>
      </c>
      <c r="F157" s="135" t="s">
        <v>2429</v>
      </c>
      <c r="G157" s="135" t="s">
        <v>101</v>
      </c>
      <c r="H157" s="135" t="s">
        <v>2450</v>
      </c>
      <c r="I157" s="135"/>
      <c r="J157" s="135">
        <v>5</v>
      </c>
      <c r="K157" s="10"/>
      <c r="L157" s="10"/>
      <c r="M157" s="10"/>
    </row>
    <row r="158" spans="1:21">
      <c r="A158" s="135" t="s">
        <v>2385</v>
      </c>
      <c r="B158" s="135" t="s">
        <v>4</v>
      </c>
      <c r="C158" s="135" t="s">
        <v>736</v>
      </c>
      <c r="D158" s="135" t="s">
        <v>737</v>
      </c>
      <c r="E158" s="135" t="s">
        <v>739</v>
      </c>
      <c r="F158" s="135" t="s">
        <v>2429</v>
      </c>
      <c r="G158" s="135" t="s">
        <v>101</v>
      </c>
      <c r="H158" s="135" t="s">
        <v>2446</v>
      </c>
      <c r="I158" s="135"/>
      <c r="J158" s="135">
        <v>126</v>
      </c>
      <c r="K158" s="10"/>
      <c r="L158" s="10"/>
      <c r="M158" s="10"/>
    </row>
    <row r="159" spans="1:21">
      <c r="A159" s="135" t="s">
        <v>2385</v>
      </c>
      <c r="B159" s="135" t="s">
        <v>4</v>
      </c>
      <c r="C159" s="135" t="s">
        <v>314</v>
      </c>
      <c r="D159" s="135" t="s">
        <v>315</v>
      </c>
      <c r="E159" s="135" t="s">
        <v>317</v>
      </c>
      <c r="F159" s="135" t="s">
        <v>2455</v>
      </c>
      <c r="G159" s="135" t="s">
        <v>139</v>
      </c>
      <c r="H159" s="135" t="s">
        <v>2446</v>
      </c>
      <c r="I159" s="135"/>
      <c r="J159" s="135">
        <v>187</v>
      </c>
      <c r="K159" s="10"/>
      <c r="L159" s="10"/>
      <c r="M159" s="10"/>
      <c r="P159" s="10" t="str">
        <f>VLOOKUP(C159,Table_view_sorted!A$2:A$215,1,FALSE)</f>
        <v>Offset Arrangement Originating Source System Code</v>
      </c>
      <c r="Q159" t="e">
        <f>VLOOKUP(D159,AVY_FACT!A$2:A$153,1,FALSE)</f>
        <v>#N/A</v>
      </c>
      <c r="R159" t="str">
        <f>D159&amp;"  "&amp;G159&amp;","</f>
        <v>OFST_AR_ORIG_SRC_STM_CD  VARCHAR2(20),</v>
      </c>
      <c r="T159" s="10"/>
      <c r="U159" s="10"/>
    </row>
    <row r="160" spans="1:21" ht="82.8">
      <c r="A160" s="135" t="s">
        <v>2385</v>
      </c>
      <c r="B160" s="135" t="s">
        <v>4</v>
      </c>
      <c r="C160" s="135" t="s">
        <v>318</v>
      </c>
      <c r="D160" s="135" t="s">
        <v>319</v>
      </c>
      <c r="E160" s="136" t="s">
        <v>321</v>
      </c>
      <c r="F160" s="135" t="s">
        <v>2455</v>
      </c>
      <c r="G160" s="135" t="s">
        <v>139</v>
      </c>
      <c r="H160" s="135" t="s">
        <v>2446</v>
      </c>
      <c r="I160" s="135"/>
      <c r="J160" s="135">
        <v>188</v>
      </c>
      <c r="K160" s="10"/>
      <c r="L160" s="10"/>
      <c r="M160" s="10"/>
      <c r="P160" s="10" t="str">
        <f>VLOOKUP(C160,Table_view_sorted!A$2:A$215,1,FALSE)</f>
        <v>Offset Arrangement Settlement Type Code</v>
      </c>
      <c r="Q160" t="e">
        <f>VLOOKUP(D160,AVY_FACT!A$2:A$153,1,FALSE)</f>
        <v>#N/A</v>
      </c>
      <c r="R160" t="str">
        <f>D160&amp;"  "&amp;G160&amp;","</f>
        <v>OFST_AR_SETL_TP_CD  VARCHAR2(20),</v>
      </c>
      <c r="T160" s="10"/>
      <c r="U160" s="10"/>
    </row>
    <row r="161" spans="1:21" ht="82.8">
      <c r="A161" s="135" t="s">
        <v>2385</v>
      </c>
      <c r="B161" s="135" t="s">
        <v>4</v>
      </c>
      <c r="C161" s="135" t="s">
        <v>323</v>
      </c>
      <c r="D161" s="135" t="s">
        <v>324</v>
      </c>
      <c r="E161" s="136" t="s">
        <v>326</v>
      </c>
      <c r="F161" s="135" t="s">
        <v>2456</v>
      </c>
      <c r="G161" s="135" t="s">
        <v>90</v>
      </c>
      <c r="H161" s="135" t="s">
        <v>2446</v>
      </c>
      <c r="I161" s="135"/>
      <c r="J161" s="135">
        <v>189</v>
      </c>
      <c r="K161" s="10"/>
      <c r="L161" s="10"/>
      <c r="M161" s="10"/>
    </row>
    <row r="162" spans="1:21">
      <c r="A162" s="135" t="s">
        <v>2385</v>
      </c>
      <c r="B162" s="135" t="s">
        <v>4</v>
      </c>
      <c r="C162" s="135" t="s">
        <v>307</v>
      </c>
      <c r="D162" s="135" t="s">
        <v>308</v>
      </c>
      <c r="E162" s="135" t="s">
        <v>310</v>
      </c>
      <c r="F162" s="135" t="s">
        <v>2448</v>
      </c>
      <c r="G162" s="135" t="s">
        <v>62</v>
      </c>
      <c r="H162" s="135" t="s">
        <v>2446</v>
      </c>
      <c r="I162" s="135"/>
      <c r="J162" s="135">
        <v>186</v>
      </c>
      <c r="K162" s="10"/>
      <c r="L162" s="10"/>
      <c r="M162" s="10"/>
    </row>
    <row r="163" spans="1:21">
      <c r="A163" s="135" t="s">
        <v>2385</v>
      </c>
      <c r="B163" s="135" t="s">
        <v>4</v>
      </c>
      <c r="C163" s="135" t="s">
        <v>740</v>
      </c>
      <c r="D163" s="135" t="s">
        <v>741</v>
      </c>
      <c r="E163" s="135" t="s">
        <v>743</v>
      </c>
      <c r="F163" s="135" t="s">
        <v>2462</v>
      </c>
      <c r="G163" s="135" t="s">
        <v>427</v>
      </c>
      <c r="H163" s="135" t="s">
        <v>2446</v>
      </c>
      <c r="I163" s="135"/>
      <c r="J163" s="135">
        <v>55</v>
      </c>
      <c r="K163" s="10"/>
      <c r="L163" s="10"/>
      <c r="M163" s="10"/>
    </row>
    <row r="164" spans="1:21">
      <c r="A164" s="135" t="s">
        <v>2385</v>
      </c>
      <c r="B164" s="135" t="s">
        <v>4</v>
      </c>
      <c r="C164" s="135" t="s">
        <v>745</v>
      </c>
      <c r="D164" s="135" t="s">
        <v>746</v>
      </c>
      <c r="E164" s="135" t="s">
        <v>748</v>
      </c>
      <c r="F164" s="135" t="s">
        <v>2455</v>
      </c>
      <c r="G164" s="135" t="s">
        <v>139</v>
      </c>
      <c r="H164" s="135" t="s">
        <v>2446</v>
      </c>
      <c r="I164" s="135"/>
      <c r="J164" s="135">
        <v>97</v>
      </c>
      <c r="K164" s="10"/>
      <c r="L164" s="10"/>
      <c r="M164" s="10"/>
    </row>
    <row r="165" spans="1:21">
      <c r="A165" s="135" t="s">
        <v>2385</v>
      </c>
      <c r="B165" s="135" t="s">
        <v>4</v>
      </c>
      <c r="C165" s="135" t="s">
        <v>750</v>
      </c>
      <c r="D165" s="135" t="s">
        <v>751</v>
      </c>
      <c r="E165" s="135" t="s">
        <v>753</v>
      </c>
      <c r="F165" s="135" t="s">
        <v>2465</v>
      </c>
      <c r="G165" s="135" t="s">
        <v>485</v>
      </c>
      <c r="H165" s="135" t="s">
        <v>2446</v>
      </c>
      <c r="I165" s="135"/>
      <c r="J165" s="135">
        <v>99</v>
      </c>
      <c r="K165" s="10"/>
      <c r="L165" s="10"/>
      <c r="M165" s="10"/>
      <c r="P165" s="10" t="str">
        <f>VLOOKUP(C165,Table_view_sorted!A$2:A$215,1,FALSE)</f>
        <v>Order Management System Executing Type Description</v>
      </c>
      <c r="Q165" t="str">
        <f>VLOOKUP(D165,AVY_FACT!A$2:A$153,1,FALSE)</f>
        <v>OMS_EXEC_TP_DSC</v>
      </c>
      <c r="R165" t="str">
        <f>D165&amp;"  "&amp;G165&amp;","</f>
        <v>OMS_EXEC_TP_DSC  VARCHAR2(1000),</v>
      </c>
      <c r="T165" s="10"/>
      <c r="U165" s="10"/>
    </row>
    <row r="166" spans="1:21">
      <c r="A166" s="135" t="s">
        <v>2385</v>
      </c>
      <c r="B166" s="135" t="s">
        <v>4</v>
      </c>
      <c r="C166" s="135" t="s">
        <v>755</v>
      </c>
      <c r="D166" s="135" t="s">
        <v>756</v>
      </c>
      <c r="E166" s="135" t="s">
        <v>757</v>
      </c>
      <c r="F166" s="135" t="s">
        <v>2429</v>
      </c>
      <c r="G166" s="135" t="s">
        <v>101</v>
      </c>
      <c r="H166" s="135" t="s">
        <v>2446</v>
      </c>
      <c r="I166" s="135"/>
      <c r="J166" s="135">
        <v>96</v>
      </c>
      <c r="K166" s="10"/>
      <c r="L166" s="10"/>
      <c r="M166" s="10"/>
    </row>
    <row r="167" spans="1:21" s="22" customFormat="1">
      <c r="A167" s="135" t="s">
        <v>2385</v>
      </c>
      <c r="B167" s="135" t="s">
        <v>4</v>
      </c>
      <c r="C167" s="135" t="s">
        <v>758</v>
      </c>
      <c r="D167" s="135" t="s">
        <v>759</v>
      </c>
      <c r="E167" s="135" t="s">
        <v>761</v>
      </c>
      <c r="F167" s="135" t="s">
        <v>2466</v>
      </c>
      <c r="G167" s="135" t="s">
        <v>109</v>
      </c>
      <c r="H167" s="135" t="s">
        <v>2446</v>
      </c>
      <c r="I167" s="135"/>
      <c r="J167" s="135">
        <v>98</v>
      </c>
      <c r="K167" s="10"/>
      <c r="L167" s="10"/>
      <c r="M167" s="10"/>
      <c r="N167"/>
      <c r="O167"/>
      <c r="P167"/>
      <c r="Q167"/>
      <c r="R167"/>
      <c r="S167"/>
      <c r="T167"/>
      <c r="U167"/>
    </row>
    <row r="168" spans="1:21" s="22" customFormat="1">
      <c r="A168" s="135" t="s">
        <v>2385</v>
      </c>
      <c r="B168" s="135" t="s">
        <v>4</v>
      </c>
      <c r="C168" s="135" t="s">
        <v>762</v>
      </c>
      <c r="D168" s="135" t="s">
        <v>763</v>
      </c>
      <c r="E168" s="135" t="s">
        <v>765</v>
      </c>
      <c r="F168" s="135" t="s">
        <v>2455</v>
      </c>
      <c r="G168" s="135" t="s">
        <v>139</v>
      </c>
      <c r="H168" s="135" t="s">
        <v>2446</v>
      </c>
      <c r="I168" s="135"/>
      <c r="J168" s="135">
        <v>127</v>
      </c>
      <c r="K168" s="10"/>
      <c r="L168" s="10"/>
      <c r="M168" s="10"/>
      <c r="N168"/>
      <c r="O168"/>
      <c r="P168"/>
      <c r="Q168"/>
      <c r="R168"/>
      <c r="S168"/>
      <c r="T168"/>
      <c r="U168"/>
    </row>
    <row r="169" spans="1:21">
      <c r="A169" s="135" t="s">
        <v>2385</v>
      </c>
      <c r="B169" s="135" t="s">
        <v>4</v>
      </c>
      <c r="C169" s="135" t="s">
        <v>766</v>
      </c>
      <c r="D169" s="135" t="s">
        <v>767</v>
      </c>
      <c r="E169" s="135" t="s">
        <v>2498</v>
      </c>
      <c r="F169" s="135" t="s">
        <v>2457</v>
      </c>
      <c r="G169" s="135" t="s">
        <v>157</v>
      </c>
      <c r="H169" s="135" t="s">
        <v>2446</v>
      </c>
      <c r="I169" s="135"/>
      <c r="J169" s="135">
        <v>22</v>
      </c>
      <c r="K169" s="10"/>
      <c r="L169" s="10"/>
      <c r="M169" s="10"/>
      <c r="P169" s="10" t="str">
        <f>VLOOKUP(C169,Table_view_sorted!A$2:A$215,1,FALSE)</f>
        <v>Original Booking Date</v>
      </c>
      <c r="Q169" t="str">
        <f>VLOOKUP(D169,AVY_FACT!A$2:A$153,1,FALSE)</f>
        <v>ORIG_BKG_DT</v>
      </c>
      <c r="R169" t="str">
        <f>D169&amp;"  "&amp;G169&amp;","</f>
        <v>ORIG_BKG_DT  DATE,</v>
      </c>
      <c r="T169" s="10"/>
      <c r="U169" s="10"/>
    </row>
    <row r="170" spans="1:21">
      <c r="A170" s="135" t="s">
        <v>2385</v>
      </c>
      <c r="B170" s="135" t="s">
        <v>4</v>
      </c>
      <c r="C170" s="135" t="s">
        <v>1113</v>
      </c>
      <c r="D170" s="135" t="s">
        <v>249</v>
      </c>
      <c r="E170" s="135" t="s">
        <v>1115</v>
      </c>
      <c r="F170" s="135" t="s">
        <v>2462</v>
      </c>
      <c r="G170" s="135" t="s">
        <v>427</v>
      </c>
      <c r="H170" s="135" t="s">
        <v>2446</v>
      </c>
      <c r="I170" s="135"/>
      <c r="J170" s="135">
        <v>169</v>
      </c>
      <c r="K170" s="10"/>
      <c r="L170" s="10"/>
      <c r="M170" s="10"/>
    </row>
    <row r="171" spans="1:21">
      <c r="A171" s="135" t="s">
        <v>2385</v>
      </c>
      <c r="B171" s="135" t="s">
        <v>4</v>
      </c>
      <c r="C171" s="135" t="s">
        <v>1110</v>
      </c>
      <c r="D171" s="135" t="s">
        <v>1111</v>
      </c>
      <c r="E171" s="135" t="s">
        <v>1112</v>
      </c>
      <c r="F171" s="135" t="s">
        <v>2429</v>
      </c>
      <c r="G171" s="135" t="s">
        <v>101</v>
      </c>
      <c r="H171" s="135" t="s">
        <v>2446</v>
      </c>
      <c r="I171" s="135"/>
      <c r="J171" s="135">
        <v>170</v>
      </c>
      <c r="K171" s="10"/>
      <c r="L171" s="10"/>
      <c r="M171" s="10"/>
    </row>
    <row r="172" spans="1:21">
      <c r="A172" s="135" t="s">
        <v>2385</v>
      </c>
      <c r="B172" s="135" t="s">
        <v>4</v>
      </c>
      <c r="C172" s="135" t="s">
        <v>770</v>
      </c>
      <c r="D172" s="135" t="s">
        <v>771</v>
      </c>
      <c r="E172" s="135" t="s">
        <v>773</v>
      </c>
      <c r="F172" s="135" t="s">
        <v>1044</v>
      </c>
      <c r="G172" s="135" t="s">
        <v>227</v>
      </c>
      <c r="H172" s="135" t="s">
        <v>2446</v>
      </c>
      <c r="I172" s="135"/>
      <c r="J172" s="135">
        <v>26</v>
      </c>
      <c r="K172" s="10"/>
      <c r="L172" s="10"/>
      <c r="M172" s="10"/>
    </row>
    <row r="173" spans="1:21">
      <c r="A173" s="135" t="s">
        <v>2385</v>
      </c>
      <c r="B173" s="135" t="s">
        <v>4</v>
      </c>
      <c r="C173" s="135" t="s">
        <v>336</v>
      </c>
      <c r="D173" s="135" t="s">
        <v>311</v>
      </c>
      <c r="E173" s="135" t="s">
        <v>338</v>
      </c>
      <c r="F173" s="135" t="s">
        <v>2448</v>
      </c>
      <c r="G173" s="135" t="s">
        <v>62</v>
      </c>
      <c r="H173" s="135" t="s">
        <v>2446</v>
      </c>
      <c r="I173" s="135"/>
      <c r="J173" s="135">
        <v>184</v>
      </c>
      <c r="K173" s="10"/>
      <c r="L173" s="10"/>
      <c r="M173" s="10"/>
    </row>
    <row r="174" spans="1:21" s="26" customFormat="1">
      <c r="A174" s="135" t="s">
        <v>2385</v>
      </c>
      <c r="B174" s="135" t="s">
        <v>4</v>
      </c>
      <c r="C174" s="135" t="s">
        <v>774</v>
      </c>
      <c r="D174" s="135" t="s">
        <v>775</v>
      </c>
      <c r="E174" s="135" t="s">
        <v>777</v>
      </c>
      <c r="F174" s="135" t="s">
        <v>2457</v>
      </c>
      <c r="G174" s="135" t="s">
        <v>157</v>
      </c>
      <c r="H174" s="135" t="s">
        <v>2446</v>
      </c>
      <c r="I174" s="135"/>
      <c r="J174" s="135">
        <v>128</v>
      </c>
      <c r="K174" s="10"/>
      <c r="L174" s="10"/>
      <c r="M174" s="10"/>
      <c r="N174"/>
      <c r="O174"/>
      <c r="P174"/>
      <c r="Q174"/>
      <c r="R174"/>
      <c r="S174"/>
      <c r="T174"/>
      <c r="U174"/>
    </row>
    <row r="175" spans="1:21">
      <c r="A175" s="135" t="s">
        <v>2385</v>
      </c>
      <c r="B175" s="135" t="s">
        <v>4</v>
      </c>
      <c r="C175" s="135" t="s">
        <v>1227</v>
      </c>
      <c r="D175" s="135" t="s">
        <v>2499</v>
      </c>
      <c r="E175" s="135" t="s">
        <v>1229</v>
      </c>
      <c r="F175" s="135" t="s">
        <v>2432</v>
      </c>
      <c r="G175" s="135" t="s">
        <v>559</v>
      </c>
      <c r="H175" s="135" t="s">
        <v>2446</v>
      </c>
      <c r="I175" s="135"/>
      <c r="J175" s="135">
        <v>224</v>
      </c>
      <c r="K175" s="10"/>
      <c r="L175" s="10"/>
      <c r="M175" s="10"/>
    </row>
    <row r="176" spans="1:21">
      <c r="A176" s="135" t="s">
        <v>2385</v>
      </c>
      <c r="B176" s="135" t="s">
        <v>4</v>
      </c>
      <c r="C176" s="135" t="s">
        <v>1508</v>
      </c>
      <c r="D176" s="135" t="s">
        <v>1509</v>
      </c>
      <c r="E176" s="135" t="s">
        <v>1511</v>
      </c>
      <c r="F176" s="135"/>
      <c r="G176" s="135" t="s">
        <v>302</v>
      </c>
      <c r="H176" s="135" t="s">
        <v>2446</v>
      </c>
      <c r="I176" s="135"/>
      <c r="J176" s="135">
        <v>277</v>
      </c>
      <c r="K176" s="10"/>
      <c r="L176" s="10"/>
      <c r="M176" s="10"/>
    </row>
    <row r="177" spans="1:21">
      <c r="A177" s="135" t="s">
        <v>2385</v>
      </c>
      <c r="B177" s="135" t="s">
        <v>4</v>
      </c>
      <c r="C177" s="135" t="s">
        <v>1515</v>
      </c>
      <c r="D177" s="135" t="s">
        <v>1516</v>
      </c>
      <c r="E177" s="135" t="s">
        <v>1518</v>
      </c>
      <c r="F177" s="135"/>
      <c r="G177" s="135" t="s">
        <v>82</v>
      </c>
      <c r="H177" s="135" t="s">
        <v>2450</v>
      </c>
      <c r="I177" s="135"/>
      <c r="J177" s="135">
        <v>278</v>
      </c>
      <c r="K177" s="10"/>
      <c r="L177" s="10"/>
      <c r="M177" s="10"/>
    </row>
    <row r="178" spans="1:21" s="26" customFormat="1">
      <c r="A178" s="135" t="s">
        <v>2385</v>
      </c>
      <c r="B178" s="135" t="s">
        <v>4</v>
      </c>
      <c r="C178" s="135" t="s">
        <v>1522</v>
      </c>
      <c r="D178" s="135" t="s">
        <v>1523</v>
      </c>
      <c r="E178" s="135" t="s">
        <v>1525</v>
      </c>
      <c r="F178" s="135"/>
      <c r="G178" s="135" t="s">
        <v>427</v>
      </c>
      <c r="H178" s="135" t="s">
        <v>2446</v>
      </c>
      <c r="I178" s="135"/>
      <c r="J178" s="135">
        <v>279</v>
      </c>
      <c r="K178" s="10"/>
      <c r="L178" s="10"/>
      <c r="M178" s="10"/>
      <c r="N178"/>
      <c r="O178"/>
      <c r="P178"/>
      <c r="Q178"/>
      <c r="R178"/>
      <c r="S178"/>
      <c r="T178"/>
      <c r="U178"/>
    </row>
    <row r="179" spans="1:21">
      <c r="A179" s="135" t="s">
        <v>2385</v>
      </c>
      <c r="B179" s="135" t="s">
        <v>4</v>
      </c>
      <c r="C179" s="135" t="s">
        <v>1527</v>
      </c>
      <c r="D179" s="135" t="s">
        <v>1528</v>
      </c>
      <c r="E179" s="135" t="s">
        <v>1530</v>
      </c>
      <c r="F179" s="135"/>
      <c r="G179" s="135" t="s">
        <v>82</v>
      </c>
      <c r="H179" s="135" t="s">
        <v>2446</v>
      </c>
      <c r="I179" s="135"/>
      <c r="J179" s="135">
        <v>280</v>
      </c>
      <c r="K179" s="10"/>
      <c r="L179" s="10"/>
      <c r="M179" s="10"/>
    </row>
    <row r="180" spans="1:21" s="22" customFormat="1">
      <c r="A180" s="135" t="s">
        <v>2385</v>
      </c>
      <c r="B180" s="135" t="s">
        <v>4</v>
      </c>
      <c r="C180" s="135" t="s">
        <v>1534</v>
      </c>
      <c r="D180" s="135" t="s">
        <v>1535</v>
      </c>
      <c r="E180" s="135" t="s">
        <v>1537</v>
      </c>
      <c r="F180" s="135"/>
      <c r="G180" s="135" t="s">
        <v>62</v>
      </c>
      <c r="H180" s="135" t="s">
        <v>2446</v>
      </c>
      <c r="I180" s="135"/>
      <c r="J180" s="135">
        <v>281</v>
      </c>
      <c r="K180" s="10"/>
      <c r="L180" s="10"/>
      <c r="M180" s="10"/>
      <c r="N180"/>
      <c r="O180"/>
      <c r="P180"/>
      <c r="Q180"/>
      <c r="R180"/>
      <c r="S180"/>
      <c r="T180"/>
      <c r="U180"/>
    </row>
    <row r="181" spans="1:21">
      <c r="A181" s="135" t="s">
        <v>2385</v>
      </c>
      <c r="B181" s="135" t="s">
        <v>4</v>
      </c>
      <c r="C181" s="135" t="s">
        <v>1539</v>
      </c>
      <c r="D181" s="135" t="s">
        <v>1540</v>
      </c>
      <c r="E181" s="135" t="s">
        <v>1542</v>
      </c>
      <c r="F181" s="135"/>
      <c r="G181" s="135" t="s">
        <v>62</v>
      </c>
      <c r="H181" s="135" t="s">
        <v>2446</v>
      </c>
      <c r="I181" s="135"/>
      <c r="J181" s="135">
        <v>282</v>
      </c>
      <c r="K181" s="10"/>
      <c r="L181" s="10"/>
      <c r="M181" s="10"/>
    </row>
    <row r="182" spans="1:21">
      <c r="A182" s="135" t="s">
        <v>2385</v>
      </c>
      <c r="B182" s="135" t="s">
        <v>4</v>
      </c>
      <c r="C182" s="135" t="s">
        <v>188</v>
      </c>
      <c r="D182" s="135" t="s">
        <v>189</v>
      </c>
      <c r="E182" s="135" t="s">
        <v>193</v>
      </c>
      <c r="F182" s="135"/>
      <c r="G182" s="135" t="s">
        <v>191</v>
      </c>
      <c r="H182" s="135" t="s">
        <v>2446</v>
      </c>
      <c r="I182" s="135"/>
      <c r="J182" s="135">
        <v>156</v>
      </c>
      <c r="K182" s="10"/>
      <c r="L182" s="10"/>
      <c r="M182" s="10"/>
    </row>
    <row r="183" spans="1:21">
      <c r="A183" s="135" t="s">
        <v>2385</v>
      </c>
      <c r="B183" s="135" t="s">
        <v>4</v>
      </c>
      <c r="C183" s="135" t="s">
        <v>1566</v>
      </c>
      <c r="D183" s="135" t="s">
        <v>1567</v>
      </c>
      <c r="E183" s="135" t="s">
        <v>1569</v>
      </c>
      <c r="F183" s="135"/>
      <c r="G183" s="135" t="s">
        <v>139</v>
      </c>
      <c r="H183" s="135" t="s">
        <v>2446</v>
      </c>
      <c r="I183" s="135"/>
      <c r="J183" s="135">
        <v>287</v>
      </c>
      <c r="K183" s="10"/>
      <c r="L183" s="10"/>
      <c r="M183" s="10"/>
    </row>
    <row r="184" spans="1:21">
      <c r="A184" s="135" t="s">
        <v>2385</v>
      </c>
      <c r="B184" s="135" t="s">
        <v>4</v>
      </c>
      <c r="C184" s="135" t="s">
        <v>1730</v>
      </c>
      <c r="D184" s="135" t="s">
        <v>1731</v>
      </c>
      <c r="E184" s="135" t="s">
        <v>1733</v>
      </c>
      <c r="F184" s="135"/>
      <c r="G184" s="135" t="s">
        <v>157</v>
      </c>
      <c r="H184" s="135" t="s">
        <v>2446</v>
      </c>
      <c r="I184" s="135"/>
      <c r="J184" s="135">
        <v>318</v>
      </c>
      <c r="K184" s="10"/>
      <c r="L184" s="10"/>
      <c r="M184" s="10"/>
    </row>
    <row r="185" spans="1:21">
      <c r="A185" s="135" t="s">
        <v>2385</v>
      </c>
      <c r="B185" s="135" t="s">
        <v>4</v>
      </c>
      <c r="C185" s="135" t="s">
        <v>1573</v>
      </c>
      <c r="D185" s="135" t="s">
        <v>1574</v>
      </c>
      <c r="E185" s="135" t="s">
        <v>1576</v>
      </c>
      <c r="F185" s="135"/>
      <c r="G185" s="135" t="s">
        <v>139</v>
      </c>
      <c r="H185" s="135" t="s">
        <v>2446</v>
      </c>
      <c r="I185" s="135"/>
      <c r="J185" s="135">
        <v>288</v>
      </c>
      <c r="K185" s="10"/>
      <c r="L185" s="10"/>
      <c r="M185" s="10"/>
    </row>
    <row r="186" spans="1:21">
      <c r="A186" s="135" t="s">
        <v>2385</v>
      </c>
      <c r="B186" s="135" t="s">
        <v>4</v>
      </c>
      <c r="C186" s="135" t="s">
        <v>1745</v>
      </c>
      <c r="D186" s="135" t="s">
        <v>1746</v>
      </c>
      <c r="E186" s="135" t="s">
        <v>1748</v>
      </c>
      <c r="F186" s="135"/>
      <c r="G186" s="135" t="s">
        <v>120</v>
      </c>
      <c r="H186" s="135" t="s">
        <v>2446</v>
      </c>
      <c r="I186" s="135"/>
      <c r="J186" s="135">
        <v>321</v>
      </c>
      <c r="K186" s="10"/>
      <c r="L186" s="10"/>
      <c r="M186" s="10"/>
    </row>
    <row r="187" spans="1:21">
      <c r="A187" s="135" t="s">
        <v>2385</v>
      </c>
      <c r="B187" s="135" t="s">
        <v>4</v>
      </c>
      <c r="C187" s="135" t="s">
        <v>1578</v>
      </c>
      <c r="D187" s="135" t="s">
        <v>1579</v>
      </c>
      <c r="E187" s="135" t="s">
        <v>1581</v>
      </c>
      <c r="F187" s="135"/>
      <c r="G187" s="135" t="s">
        <v>120</v>
      </c>
      <c r="H187" s="135" t="s">
        <v>2446</v>
      </c>
      <c r="I187" s="135"/>
      <c r="J187" s="135">
        <v>289</v>
      </c>
      <c r="K187" s="10"/>
      <c r="L187" s="10"/>
      <c r="M187" s="10"/>
    </row>
    <row r="188" spans="1:21">
      <c r="A188" s="135" t="s">
        <v>2385</v>
      </c>
      <c r="B188" s="135" t="s">
        <v>4</v>
      </c>
      <c r="C188" s="135" t="s">
        <v>1583</v>
      </c>
      <c r="D188" s="135" t="s">
        <v>1584</v>
      </c>
      <c r="E188" s="135" t="s">
        <v>1586</v>
      </c>
      <c r="F188" s="135"/>
      <c r="G188" s="135" t="s">
        <v>120</v>
      </c>
      <c r="H188" s="135" t="s">
        <v>2446</v>
      </c>
      <c r="I188" s="135"/>
      <c r="J188" s="135">
        <v>290</v>
      </c>
      <c r="K188" s="10"/>
      <c r="L188" s="10"/>
      <c r="M188" s="10"/>
    </row>
    <row r="189" spans="1:21">
      <c r="A189" s="135" t="s">
        <v>2385</v>
      </c>
      <c r="B189" s="135" t="s">
        <v>4</v>
      </c>
      <c r="C189" s="135" t="s">
        <v>1588</v>
      </c>
      <c r="D189" s="135" t="s">
        <v>1589</v>
      </c>
      <c r="E189" s="135" t="s">
        <v>1591</v>
      </c>
      <c r="F189" s="135"/>
      <c r="G189" s="135" t="s">
        <v>120</v>
      </c>
      <c r="H189" s="135" t="s">
        <v>2446</v>
      </c>
      <c r="I189" s="135"/>
      <c r="J189" s="135">
        <v>291</v>
      </c>
      <c r="K189" s="10"/>
      <c r="L189" s="10"/>
      <c r="M189" s="10"/>
    </row>
    <row r="190" spans="1:21">
      <c r="A190" s="135" t="s">
        <v>2385</v>
      </c>
      <c r="B190" s="135" t="s">
        <v>4</v>
      </c>
      <c r="C190" s="135" t="s">
        <v>1713</v>
      </c>
      <c r="D190" s="135" t="s">
        <v>1714</v>
      </c>
      <c r="E190" s="135" t="s">
        <v>1716</v>
      </c>
      <c r="F190" s="135"/>
      <c r="G190" s="135" t="s">
        <v>82</v>
      </c>
      <c r="H190" s="135" t="s">
        <v>2446</v>
      </c>
      <c r="I190" s="135"/>
      <c r="J190" s="135">
        <v>315</v>
      </c>
      <c r="K190" s="10"/>
      <c r="L190" s="10"/>
      <c r="M190" s="10"/>
    </row>
    <row r="191" spans="1:21">
      <c r="A191" s="135" t="s">
        <v>2385</v>
      </c>
      <c r="B191" s="135" t="s">
        <v>4</v>
      </c>
      <c r="C191" s="135" t="s">
        <v>1719</v>
      </c>
      <c r="D191" s="135" t="s">
        <v>1720</v>
      </c>
      <c r="E191" s="135" t="s">
        <v>1722</v>
      </c>
      <c r="F191" s="135"/>
      <c r="G191" s="135" t="s">
        <v>82</v>
      </c>
      <c r="H191" s="135" t="s">
        <v>2446</v>
      </c>
      <c r="I191" s="135"/>
      <c r="J191" s="135">
        <v>316</v>
      </c>
      <c r="K191" s="10"/>
      <c r="L191" s="10"/>
      <c r="M191" s="10"/>
    </row>
    <row r="192" spans="1:21">
      <c r="A192" s="135" t="s">
        <v>2385</v>
      </c>
      <c r="B192" s="135" t="s">
        <v>4</v>
      </c>
      <c r="C192" s="135" t="s">
        <v>1725</v>
      </c>
      <c r="D192" s="135" t="s">
        <v>1726</v>
      </c>
      <c r="E192" s="135" t="s">
        <v>1728</v>
      </c>
      <c r="F192" s="135"/>
      <c r="G192" s="135" t="s">
        <v>139</v>
      </c>
      <c r="H192" s="135" t="s">
        <v>2446</v>
      </c>
      <c r="I192" s="135"/>
      <c r="J192" s="135">
        <v>317</v>
      </c>
      <c r="K192" s="10"/>
      <c r="L192" s="10"/>
      <c r="M192" s="10"/>
      <c r="P192" s="10" t="e">
        <f>VLOOKUP(C192,Table_view_sorted!A$2:A$215,1,FALSE)</f>
        <v>#N/A</v>
      </c>
      <c r="Q192" t="e">
        <f>VLOOKUP(D192,AVY_FACT!A$2:A$153,1,FALSE)</f>
        <v>#N/A</v>
      </c>
      <c r="R192" t="str">
        <f>D192&amp;"  "&amp;G192&amp;","</f>
        <v>OWN_FA_ENT_LOB_BSN_MODL  VARCHAR2(20),</v>
      </c>
      <c r="T192" s="10"/>
      <c r="U192" s="10"/>
    </row>
    <row r="193" spans="1:21">
      <c r="A193" s="135" t="s">
        <v>2385</v>
      </c>
      <c r="B193" s="135" t="s">
        <v>4</v>
      </c>
      <c r="C193" s="135" t="s">
        <v>1735</v>
      </c>
      <c r="D193" s="135" t="s">
        <v>1736</v>
      </c>
      <c r="E193" s="135" t="s">
        <v>1738</v>
      </c>
      <c r="F193" s="135"/>
      <c r="G193" s="135" t="s">
        <v>139</v>
      </c>
      <c r="H193" s="135" t="s">
        <v>2446</v>
      </c>
      <c r="I193" s="135"/>
      <c r="J193" s="135">
        <v>319</v>
      </c>
      <c r="K193" s="10"/>
      <c r="L193" s="10"/>
      <c r="M193" s="10"/>
    </row>
    <row r="194" spans="1:21">
      <c r="A194" s="135" t="s">
        <v>2385</v>
      </c>
      <c r="B194" s="135" t="s">
        <v>4</v>
      </c>
      <c r="C194" s="135" t="s">
        <v>1593</v>
      </c>
      <c r="D194" s="135" t="s">
        <v>1594</v>
      </c>
      <c r="E194" s="135" t="s">
        <v>1596</v>
      </c>
      <c r="F194" s="135"/>
      <c r="G194" s="135" t="s">
        <v>519</v>
      </c>
      <c r="H194" s="135" t="s">
        <v>2446</v>
      </c>
      <c r="I194" s="135"/>
      <c r="J194" s="135">
        <v>292</v>
      </c>
      <c r="K194" s="10"/>
      <c r="L194" s="10"/>
      <c r="M194" s="10"/>
      <c r="N194" s="10"/>
      <c r="O194" s="10"/>
      <c r="P194" s="10" t="e">
        <f>VLOOKUP(C194,Table_view_sorted!A$2:A$215,1,FALSE)</f>
        <v>#N/A</v>
      </c>
      <c r="Q194" t="e">
        <f>VLOOKUP(D194,AVY_FACT!A$2:A$153,1,FALSE)</f>
        <v>#N/A</v>
      </c>
      <c r="R194" t="str">
        <f>D194&amp;"  "&amp;G194&amp;","</f>
        <v>OWN_FA_ENT_MAIN_BR_STE  VARCHAR2(2),</v>
      </c>
      <c r="T194" s="10"/>
      <c r="U194" s="10"/>
    </row>
    <row r="195" spans="1:21" ht="110.4">
      <c r="A195" s="135" t="s">
        <v>2385</v>
      </c>
      <c r="B195" s="135" t="s">
        <v>4</v>
      </c>
      <c r="C195" s="135" t="s">
        <v>1598</v>
      </c>
      <c r="D195" s="135" t="s">
        <v>1599</v>
      </c>
      <c r="E195" s="136" t="s">
        <v>2500</v>
      </c>
      <c r="F195" s="135"/>
      <c r="G195" s="135" t="s">
        <v>62</v>
      </c>
      <c r="H195" s="135" t="s">
        <v>2446</v>
      </c>
      <c r="I195" s="135"/>
      <c r="J195" s="135">
        <v>293</v>
      </c>
      <c r="K195" s="10"/>
      <c r="L195" s="10"/>
      <c r="M195" s="10"/>
    </row>
    <row r="196" spans="1:21">
      <c r="A196" s="135" t="s">
        <v>2385</v>
      </c>
      <c r="B196" s="135" t="s">
        <v>4</v>
      </c>
      <c r="C196" s="135" t="s">
        <v>1603</v>
      </c>
      <c r="D196" s="135" t="s">
        <v>1604</v>
      </c>
      <c r="E196" s="135" t="s">
        <v>1606</v>
      </c>
      <c r="F196" s="135"/>
      <c r="G196" s="135" t="s">
        <v>120</v>
      </c>
      <c r="H196" s="135" t="s">
        <v>2446</v>
      </c>
      <c r="I196" s="135"/>
      <c r="J196" s="135">
        <v>294</v>
      </c>
      <c r="K196" s="10"/>
      <c r="L196" s="10"/>
      <c r="M196" s="10"/>
      <c r="P196" s="10" t="e">
        <f>VLOOKUP(C196,Table_view_sorted!A$2:A$215,1,FALSE)</f>
        <v>#N/A</v>
      </c>
      <c r="Q196" t="e">
        <f>VLOOKUP(D196,AVY_FACT!A$2:A$153,1,FALSE)</f>
        <v>#N/A</v>
      </c>
      <c r="R196" t="str">
        <f>D196&amp;"  "&amp;G196&amp;","</f>
        <v>OWN_FA_ENT_RTL_HIER_BSN_MODL_CD  VARCHAR2(255),</v>
      </c>
      <c r="T196" s="10"/>
      <c r="U196" s="10"/>
    </row>
    <row r="197" spans="1:21">
      <c r="A197" s="135" t="s">
        <v>2385</v>
      </c>
      <c r="B197" s="135" t="s">
        <v>4</v>
      </c>
      <c r="C197" s="135" t="s">
        <v>1610</v>
      </c>
      <c r="D197" s="135" t="s">
        <v>1611</v>
      </c>
      <c r="E197" s="135" t="s">
        <v>1613</v>
      </c>
      <c r="F197" s="135"/>
      <c r="G197" s="135" t="s">
        <v>120</v>
      </c>
      <c r="H197" s="135" t="s">
        <v>2446</v>
      </c>
      <c r="I197" s="135"/>
      <c r="J197" s="135">
        <v>295</v>
      </c>
      <c r="K197" s="10"/>
      <c r="L197" s="10"/>
      <c r="M197" s="10"/>
    </row>
    <row r="198" spans="1:21">
      <c r="A198" s="135" t="s">
        <v>2385</v>
      </c>
      <c r="B198" s="135" t="s">
        <v>4</v>
      </c>
      <c r="C198" s="135" t="s">
        <v>1625</v>
      </c>
      <c r="D198" s="135" t="s">
        <v>1626</v>
      </c>
      <c r="E198" s="135" t="s">
        <v>1628</v>
      </c>
      <c r="F198" s="135"/>
      <c r="G198" s="135" t="s">
        <v>120</v>
      </c>
      <c r="H198" s="135" t="s">
        <v>2446</v>
      </c>
      <c r="I198" s="135"/>
      <c r="J198" s="135">
        <v>298</v>
      </c>
      <c r="K198" s="10"/>
      <c r="L198" s="10"/>
      <c r="M198" s="10"/>
    </row>
    <row r="199" spans="1:21">
      <c r="A199" s="135" t="s">
        <v>2385</v>
      </c>
      <c r="B199" s="135" t="s">
        <v>4</v>
      </c>
      <c r="C199" s="135" t="s">
        <v>1630</v>
      </c>
      <c r="D199" s="135" t="s">
        <v>1631</v>
      </c>
      <c r="E199" s="135" t="s">
        <v>1633</v>
      </c>
      <c r="F199" s="135"/>
      <c r="G199" s="135" t="s">
        <v>120</v>
      </c>
      <c r="H199" s="135" t="s">
        <v>2446</v>
      </c>
      <c r="I199" s="135"/>
      <c r="J199" s="135">
        <v>299</v>
      </c>
      <c r="K199" s="10"/>
      <c r="L199" s="10"/>
      <c r="M199" s="10"/>
      <c r="N199" s="10"/>
      <c r="O199" s="10"/>
      <c r="P199" s="10" t="e">
        <f>VLOOKUP(C199,Table_view_sorted!A$2:A$215,1,FALSE)</f>
        <v>#N/A</v>
      </c>
      <c r="Q199" t="e">
        <f>VLOOKUP(D199,AVY_FACT!A$2:A$153,1,FALSE)</f>
        <v>#N/A</v>
      </c>
      <c r="R199" t="str">
        <f>D199&amp;"  "&amp;G199&amp;","</f>
        <v>OWN_FA_ENT_RTL_HIER_RPT_UNIT_DSC  VARCHAR2(255),</v>
      </c>
      <c r="T199" s="10"/>
      <c r="U199" s="10"/>
    </row>
    <row r="200" spans="1:21">
      <c r="A200" s="135" t="s">
        <v>2385</v>
      </c>
      <c r="B200" s="135" t="s">
        <v>4</v>
      </c>
      <c r="C200" s="135" t="s">
        <v>1650</v>
      </c>
      <c r="D200" s="135" t="s">
        <v>1651</v>
      </c>
      <c r="E200" s="135" t="s">
        <v>1653</v>
      </c>
      <c r="F200" s="135"/>
      <c r="G200" s="135" t="s">
        <v>120</v>
      </c>
      <c r="H200" s="135" t="s">
        <v>2446</v>
      </c>
      <c r="I200" s="135"/>
      <c r="J200" s="135">
        <v>303</v>
      </c>
      <c r="K200" s="10"/>
      <c r="L200" s="10"/>
      <c r="M200" s="10"/>
    </row>
    <row r="201" spans="1:21" ht="32.25" customHeight="1">
      <c r="A201" s="135" t="s">
        <v>2385</v>
      </c>
      <c r="B201" s="135" t="s">
        <v>4</v>
      </c>
      <c r="C201" s="135" t="s">
        <v>1655</v>
      </c>
      <c r="D201" s="135" t="s">
        <v>1656</v>
      </c>
      <c r="E201" s="135" t="s">
        <v>1658</v>
      </c>
      <c r="F201" s="135"/>
      <c r="G201" s="135" t="s">
        <v>120</v>
      </c>
      <c r="H201" s="135" t="s">
        <v>2446</v>
      </c>
      <c r="I201" s="135"/>
      <c r="J201" s="135">
        <v>304</v>
      </c>
      <c r="K201" s="10"/>
      <c r="L201" s="10"/>
      <c r="M201" s="10"/>
    </row>
    <row r="202" spans="1:21">
      <c r="A202" s="135" t="s">
        <v>2385</v>
      </c>
      <c r="B202" s="135" t="s">
        <v>4</v>
      </c>
      <c r="C202" s="135" t="s">
        <v>1750</v>
      </c>
      <c r="D202" s="135" t="s">
        <v>1751</v>
      </c>
      <c r="E202" s="135" t="s">
        <v>2501</v>
      </c>
      <c r="F202" s="135"/>
      <c r="G202" s="135" t="s">
        <v>120</v>
      </c>
      <c r="H202" s="135" t="s">
        <v>2446</v>
      </c>
      <c r="I202" s="135"/>
      <c r="J202" s="135">
        <v>322</v>
      </c>
      <c r="K202" s="10"/>
      <c r="L202" s="10"/>
      <c r="M202" s="10"/>
    </row>
    <row r="203" spans="1:21">
      <c r="A203" s="135" t="s">
        <v>2385</v>
      </c>
      <c r="B203" s="135" t="s">
        <v>4</v>
      </c>
      <c r="C203" s="135" t="s">
        <v>1635</v>
      </c>
      <c r="D203" s="135" t="s">
        <v>1636</v>
      </c>
      <c r="E203" s="135" t="s">
        <v>2502</v>
      </c>
      <c r="F203" s="135"/>
      <c r="G203" s="135" t="s">
        <v>120</v>
      </c>
      <c r="H203" s="135" t="s">
        <v>2446</v>
      </c>
      <c r="I203" s="135"/>
      <c r="J203" s="135">
        <v>300</v>
      </c>
      <c r="K203" s="10"/>
      <c r="L203" s="10"/>
      <c r="M203" s="10"/>
    </row>
    <row r="204" spans="1:21">
      <c r="A204" s="135" t="s">
        <v>2385</v>
      </c>
      <c r="B204" s="135" t="s">
        <v>4</v>
      </c>
      <c r="C204" s="135" t="s">
        <v>1615</v>
      </c>
      <c r="D204" s="135" t="s">
        <v>1616</v>
      </c>
      <c r="E204" s="135" t="s">
        <v>1618</v>
      </c>
      <c r="F204" s="135"/>
      <c r="G204" s="135" t="s">
        <v>120</v>
      </c>
      <c r="H204" s="135" t="s">
        <v>2446</v>
      </c>
      <c r="I204" s="135"/>
      <c r="J204" s="135">
        <v>296</v>
      </c>
      <c r="K204" s="10"/>
      <c r="L204" s="10"/>
      <c r="M204" s="10"/>
    </row>
    <row r="205" spans="1:21">
      <c r="A205" s="135" t="s">
        <v>2385</v>
      </c>
      <c r="B205" s="135" t="s">
        <v>4</v>
      </c>
      <c r="C205" s="135" t="s">
        <v>1620</v>
      </c>
      <c r="D205" s="135" t="s">
        <v>1621</v>
      </c>
      <c r="E205" s="135" t="s">
        <v>1623</v>
      </c>
      <c r="F205" s="135"/>
      <c r="G205" s="135" t="s">
        <v>120</v>
      </c>
      <c r="H205" s="135" t="s">
        <v>2446</v>
      </c>
      <c r="I205" s="135"/>
      <c r="J205" s="135">
        <v>297</v>
      </c>
      <c r="K205" s="10"/>
      <c r="L205" s="10"/>
      <c r="M205" s="10"/>
    </row>
    <row r="206" spans="1:21">
      <c r="A206" s="135" t="s">
        <v>2385</v>
      </c>
      <c r="B206" s="135" t="s">
        <v>4</v>
      </c>
      <c r="C206" s="135" t="s">
        <v>1640</v>
      </c>
      <c r="D206" s="135" t="s">
        <v>1641</v>
      </c>
      <c r="E206" s="135" t="s">
        <v>1643</v>
      </c>
      <c r="F206" s="135"/>
      <c r="G206" s="135" t="s">
        <v>120</v>
      </c>
      <c r="H206" s="135" t="s">
        <v>2446</v>
      </c>
      <c r="I206" s="135"/>
      <c r="J206" s="135">
        <v>301</v>
      </c>
      <c r="K206" s="10"/>
      <c r="L206" s="10"/>
      <c r="M206" s="10"/>
    </row>
    <row r="207" spans="1:21">
      <c r="A207" s="135" t="s">
        <v>2385</v>
      </c>
      <c r="B207" s="135" t="s">
        <v>4</v>
      </c>
      <c r="C207" s="135" t="s">
        <v>1645</v>
      </c>
      <c r="D207" s="135" t="s">
        <v>1646</v>
      </c>
      <c r="E207" s="135" t="s">
        <v>1648</v>
      </c>
      <c r="F207" s="135"/>
      <c r="G207" s="135" t="s">
        <v>120</v>
      </c>
      <c r="H207" s="135" t="s">
        <v>2446</v>
      </c>
      <c r="I207" s="135"/>
      <c r="J207" s="135">
        <v>302</v>
      </c>
      <c r="K207" s="10"/>
      <c r="L207" s="10"/>
      <c r="M207" s="10"/>
      <c r="P207" s="10" t="e">
        <f>VLOOKUP(C207,Table_view_sorted!A$2:A$215,1,FALSE)</f>
        <v>#N/A</v>
      </c>
      <c r="Q207" t="e">
        <f>VLOOKUP(D207,AVY_FACT!A$2:A$153,1,FALSE)</f>
        <v>#N/A</v>
      </c>
      <c r="R207" t="str">
        <f>D207&amp;"  "&amp;G207&amp;","</f>
        <v>OWN_FA_ENT_RTL_SALE_HIER_RGON_DSC  VARCHAR2(255),</v>
      </c>
      <c r="T207" s="10"/>
      <c r="U207" s="10"/>
    </row>
    <row r="208" spans="1:21">
      <c r="A208" s="135" t="s">
        <v>2385</v>
      </c>
      <c r="B208" s="135" t="s">
        <v>4</v>
      </c>
      <c r="C208" s="135" t="s">
        <v>1660</v>
      </c>
      <c r="D208" s="135" t="s">
        <v>1661</v>
      </c>
      <c r="E208" s="135" t="s">
        <v>1663</v>
      </c>
      <c r="F208" s="135"/>
      <c r="G208" s="135" t="s">
        <v>120</v>
      </c>
      <c r="H208" s="135" t="s">
        <v>2446</v>
      </c>
      <c r="I208" s="135"/>
      <c r="J208" s="135">
        <v>305</v>
      </c>
      <c r="K208" s="10"/>
      <c r="L208" s="10"/>
      <c r="M208" s="10"/>
    </row>
    <row r="209" spans="1:13">
      <c r="A209" s="135" t="s">
        <v>2385</v>
      </c>
      <c r="B209" s="135" t="s">
        <v>4</v>
      </c>
      <c r="C209" s="135" t="s">
        <v>1667</v>
      </c>
      <c r="D209" s="135" t="s">
        <v>1668</v>
      </c>
      <c r="E209" s="135" t="s">
        <v>1670</v>
      </c>
      <c r="F209" s="135"/>
      <c r="G209" s="135" t="s">
        <v>120</v>
      </c>
      <c r="H209" s="135" t="s">
        <v>2446</v>
      </c>
      <c r="I209" s="135"/>
      <c r="J209" s="135">
        <v>306</v>
      </c>
      <c r="K209" s="10"/>
      <c r="L209" s="10"/>
      <c r="M209" s="10"/>
    </row>
    <row r="210" spans="1:13">
      <c r="A210" s="135" t="s">
        <v>2385</v>
      </c>
      <c r="B210" s="135" t="s">
        <v>4</v>
      </c>
      <c r="C210" s="135" t="s">
        <v>1672</v>
      </c>
      <c r="D210" s="135" t="s">
        <v>1673</v>
      </c>
      <c r="E210" s="135" t="s">
        <v>1675</v>
      </c>
      <c r="F210" s="135"/>
      <c r="G210" s="135" t="s">
        <v>82</v>
      </c>
      <c r="H210" s="135" t="s">
        <v>2446</v>
      </c>
      <c r="I210" s="135"/>
      <c r="J210" s="135">
        <v>307</v>
      </c>
      <c r="K210" s="10"/>
      <c r="L210" s="10"/>
      <c r="M210" s="10"/>
    </row>
    <row r="211" spans="1:13">
      <c r="A211" s="135" t="s">
        <v>2385</v>
      </c>
      <c r="B211" s="135" t="s">
        <v>4</v>
      </c>
      <c r="C211" s="135" t="s">
        <v>1740</v>
      </c>
      <c r="D211" s="135" t="s">
        <v>1741</v>
      </c>
      <c r="E211" s="135" t="s">
        <v>1743</v>
      </c>
      <c r="F211" s="135"/>
      <c r="G211" s="135" t="s">
        <v>139</v>
      </c>
      <c r="H211" s="135" t="s">
        <v>2446</v>
      </c>
      <c r="I211" s="135"/>
      <c r="J211" s="135">
        <v>320</v>
      </c>
      <c r="K211" s="10"/>
      <c r="L211" s="10"/>
      <c r="M211" s="10"/>
    </row>
    <row r="212" spans="1:13">
      <c r="A212" s="135" t="s">
        <v>2385</v>
      </c>
      <c r="B212" s="135" t="s">
        <v>4</v>
      </c>
      <c r="C212" s="135" t="s">
        <v>1678</v>
      </c>
      <c r="D212" s="135" t="s">
        <v>1679</v>
      </c>
      <c r="E212" s="135" t="s">
        <v>1681</v>
      </c>
      <c r="F212" s="135"/>
      <c r="G212" s="135" t="s">
        <v>120</v>
      </c>
      <c r="H212" s="135" t="s">
        <v>2446</v>
      </c>
      <c r="I212" s="135"/>
      <c r="J212" s="135">
        <v>308</v>
      </c>
      <c r="K212" s="10"/>
      <c r="L212" s="10"/>
      <c r="M212" s="10"/>
    </row>
    <row r="213" spans="1:13">
      <c r="A213" s="135" t="s">
        <v>2385</v>
      </c>
      <c r="B213" s="135" t="s">
        <v>4</v>
      </c>
      <c r="C213" s="135" t="s">
        <v>1683</v>
      </c>
      <c r="D213" s="135" t="s">
        <v>1684</v>
      </c>
      <c r="E213" s="135" t="s">
        <v>1686</v>
      </c>
      <c r="F213" s="135"/>
      <c r="G213" s="135" t="s">
        <v>120</v>
      </c>
      <c r="H213" s="135" t="s">
        <v>2446</v>
      </c>
      <c r="I213" s="135"/>
      <c r="J213" s="135">
        <v>309</v>
      </c>
      <c r="K213" s="10"/>
      <c r="L213" s="10"/>
      <c r="M213" s="10"/>
    </row>
    <row r="214" spans="1:13" ht="358.8">
      <c r="A214" s="135" t="s">
        <v>2385</v>
      </c>
      <c r="B214" s="135" t="s">
        <v>4</v>
      </c>
      <c r="C214" s="135" t="s">
        <v>1688</v>
      </c>
      <c r="D214" s="135" t="s">
        <v>1689</v>
      </c>
      <c r="E214" s="136" t="s">
        <v>2503</v>
      </c>
      <c r="F214" s="135"/>
      <c r="G214" s="135" t="s">
        <v>1453</v>
      </c>
      <c r="H214" s="135" t="s">
        <v>2446</v>
      </c>
      <c r="I214" s="135"/>
      <c r="J214" s="135">
        <v>310</v>
      </c>
      <c r="K214" s="10"/>
      <c r="L214" s="10"/>
      <c r="M214" s="10"/>
    </row>
    <row r="215" spans="1:13" ht="138">
      <c r="A215" s="135" t="s">
        <v>2385</v>
      </c>
      <c r="B215" s="135" t="s">
        <v>4</v>
      </c>
      <c r="C215" s="135" t="s">
        <v>1693</v>
      </c>
      <c r="D215" s="135" t="s">
        <v>1694</v>
      </c>
      <c r="E215" s="136" t="s">
        <v>2504</v>
      </c>
      <c r="F215" s="135"/>
      <c r="G215" s="135" t="s">
        <v>120</v>
      </c>
      <c r="H215" s="135" t="s">
        <v>2446</v>
      </c>
      <c r="I215" s="135"/>
      <c r="J215" s="135">
        <v>311</v>
      </c>
      <c r="K215" s="10"/>
      <c r="L215" s="10"/>
      <c r="M215" s="10"/>
    </row>
    <row r="216" spans="1:13">
      <c r="A216" s="135" t="s">
        <v>2385</v>
      </c>
      <c r="B216" s="135" t="s">
        <v>4</v>
      </c>
      <c r="C216" s="135" t="s">
        <v>1698</v>
      </c>
      <c r="D216" s="135" t="s">
        <v>1699</v>
      </c>
      <c r="E216" s="135" t="s">
        <v>1701</v>
      </c>
      <c r="F216" s="135"/>
      <c r="G216" s="135" t="s">
        <v>120</v>
      </c>
      <c r="H216" s="135" t="s">
        <v>2446</v>
      </c>
      <c r="I216" s="135"/>
      <c r="J216" s="135">
        <v>312</v>
      </c>
      <c r="K216" s="10"/>
      <c r="L216" s="10"/>
      <c r="M216" s="10"/>
    </row>
    <row r="217" spans="1:13" ht="248.4">
      <c r="A217" s="135" t="s">
        <v>2385</v>
      </c>
      <c r="B217" s="135" t="s">
        <v>4</v>
      </c>
      <c r="C217" s="135" t="s">
        <v>1703</v>
      </c>
      <c r="D217" s="135" t="s">
        <v>1704</v>
      </c>
      <c r="E217" s="136" t="s">
        <v>2505</v>
      </c>
      <c r="F217" s="135"/>
      <c r="G217" s="135" t="s">
        <v>120</v>
      </c>
      <c r="H217" s="135" t="s">
        <v>2446</v>
      </c>
      <c r="I217" s="135"/>
      <c r="J217" s="135">
        <v>313</v>
      </c>
      <c r="K217" s="10"/>
      <c r="L217" s="10"/>
      <c r="M217" s="10"/>
    </row>
    <row r="218" spans="1:13" ht="151.80000000000001">
      <c r="A218" s="135" t="s">
        <v>2385</v>
      </c>
      <c r="B218" s="135" t="s">
        <v>4</v>
      </c>
      <c r="C218" s="135" t="s">
        <v>1708</v>
      </c>
      <c r="D218" s="135" t="s">
        <v>1709</v>
      </c>
      <c r="E218" s="136" t="s">
        <v>2506</v>
      </c>
      <c r="F218" s="135"/>
      <c r="G218" s="135" t="s">
        <v>120</v>
      </c>
      <c r="H218" s="135" t="s">
        <v>2446</v>
      </c>
      <c r="I218" s="135"/>
      <c r="J218" s="135">
        <v>314</v>
      </c>
      <c r="K218" s="10"/>
      <c r="L218" s="10"/>
      <c r="M218" s="10"/>
    </row>
    <row r="219" spans="1:13">
      <c r="A219" s="135" t="s">
        <v>2385</v>
      </c>
      <c r="B219" s="135" t="s">
        <v>4</v>
      </c>
      <c r="C219" s="135" t="s">
        <v>1544</v>
      </c>
      <c r="D219" s="135" t="s">
        <v>1545</v>
      </c>
      <c r="E219" s="135" t="s">
        <v>1549</v>
      </c>
      <c r="F219" s="135"/>
      <c r="G219" s="135" t="s">
        <v>1547</v>
      </c>
      <c r="H219" s="135" t="s">
        <v>2446</v>
      </c>
      <c r="I219" s="135"/>
      <c r="J219" s="135">
        <v>283</v>
      </c>
      <c r="K219" s="10"/>
      <c r="L219" s="10"/>
      <c r="M219" s="10"/>
    </row>
    <row r="220" spans="1:13">
      <c r="A220" s="135" t="s">
        <v>2385</v>
      </c>
      <c r="B220" s="135" t="s">
        <v>4</v>
      </c>
      <c r="C220" s="135" t="s">
        <v>1551</v>
      </c>
      <c r="D220" s="135" t="s">
        <v>1552</v>
      </c>
      <c r="E220" s="135" t="s">
        <v>1554</v>
      </c>
      <c r="F220" s="135"/>
      <c r="G220" s="135" t="s">
        <v>82</v>
      </c>
      <c r="H220" s="135" t="s">
        <v>2446</v>
      </c>
      <c r="I220" s="135"/>
      <c r="J220" s="135">
        <v>284</v>
      </c>
      <c r="K220" s="10"/>
      <c r="L220" s="10"/>
      <c r="M220" s="10"/>
    </row>
    <row r="221" spans="1:13">
      <c r="A221" s="135" t="s">
        <v>2385</v>
      </c>
      <c r="B221" s="135" t="s">
        <v>4</v>
      </c>
      <c r="C221" s="135" t="s">
        <v>166</v>
      </c>
      <c r="D221" s="135" t="s">
        <v>167</v>
      </c>
      <c r="E221" s="135" t="s">
        <v>171</v>
      </c>
      <c r="F221" s="135" t="s">
        <v>658</v>
      </c>
      <c r="G221" s="135" t="s">
        <v>169</v>
      </c>
      <c r="H221" s="135" t="s">
        <v>2446</v>
      </c>
      <c r="I221" s="135"/>
      <c r="J221" s="135">
        <v>154</v>
      </c>
      <c r="K221" s="10"/>
      <c r="L221" s="10"/>
      <c r="M221" s="10"/>
    </row>
    <row r="222" spans="1:13">
      <c r="A222" s="135" t="s">
        <v>2385</v>
      </c>
      <c r="B222" s="135" t="s">
        <v>4</v>
      </c>
      <c r="C222" s="135" t="s">
        <v>179</v>
      </c>
      <c r="D222" s="135" t="s">
        <v>180</v>
      </c>
      <c r="E222" s="135" t="s">
        <v>182</v>
      </c>
      <c r="F222" s="135" t="s">
        <v>2455</v>
      </c>
      <c r="G222" s="135" t="s">
        <v>139</v>
      </c>
      <c r="H222" s="135" t="s">
        <v>2446</v>
      </c>
      <c r="I222" s="135"/>
      <c r="J222" s="135">
        <v>155</v>
      </c>
      <c r="K222" s="10"/>
      <c r="L222" s="10"/>
      <c r="M222" s="10"/>
    </row>
    <row r="223" spans="1:13">
      <c r="A223" s="135" t="s">
        <v>2385</v>
      </c>
      <c r="B223" s="135" t="s">
        <v>4</v>
      </c>
      <c r="C223" s="135" t="s">
        <v>196</v>
      </c>
      <c r="D223" s="135" t="s">
        <v>197</v>
      </c>
      <c r="E223" s="135" t="s">
        <v>201</v>
      </c>
      <c r="F223" s="135" t="s">
        <v>2507</v>
      </c>
      <c r="G223" s="135" t="s">
        <v>199</v>
      </c>
      <c r="H223" s="135" t="s">
        <v>2446</v>
      </c>
      <c r="I223" s="135"/>
      <c r="J223" s="135">
        <v>157</v>
      </c>
      <c r="K223" s="10"/>
      <c r="L223" s="10"/>
      <c r="M223" s="10"/>
    </row>
    <row r="224" spans="1:13">
      <c r="A224" s="135" t="s">
        <v>2385</v>
      </c>
      <c r="B224" s="135" t="s">
        <v>4</v>
      </c>
      <c r="C224" s="135" t="s">
        <v>1929</v>
      </c>
      <c r="D224" s="135" t="s">
        <v>1930</v>
      </c>
      <c r="E224" s="135" t="s">
        <v>1932</v>
      </c>
      <c r="F224" s="135"/>
      <c r="G224" s="135" t="s">
        <v>464</v>
      </c>
      <c r="H224" s="135" t="s">
        <v>2446</v>
      </c>
      <c r="I224" s="135"/>
      <c r="J224" s="135">
        <v>358</v>
      </c>
      <c r="K224" s="10"/>
      <c r="L224" s="10"/>
      <c r="M224" s="10"/>
    </row>
    <row r="225" spans="1:13">
      <c r="A225" s="135" t="s">
        <v>2385</v>
      </c>
      <c r="B225" s="135" t="s">
        <v>4</v>
      </c>
      <c r="C225" s="135" t="s">
        <v>1923</v>
      </c>
      <c r="D225" s="135" t="s">
        <v>1924</v>
      </c>
      <c r="E225" s="135" t="s">
        <v>1926</v>
      </c>
      <c r="F225" s="135"/>
      <c r="G225" s="135" t="s">
        <v>268</v>
      </c>
      <c r="H225" s="135" t="s">
        <v>2446</v>
      </c>
      <c r="I225" s="135"/>
      <c r="J225" s="135">
        <v>357</v>
      </c>
      <c r="K225" s="10"/>
      <c r="L225" s="10"/>
      <c r="M225" s="10"/>
    </row>
    <row r="226" spans="1:13">
      <c r="A226" s="135" t="s">
        <v>2385</v>
      </c>
      <c r="B226" s="135" t="s">
        <v>4</v>
      </c>
      <c r="C226" s="135" t="s">
        <v>1556</v>
      </c>
      <c r="D226" s="135" t="s">
        <v>1557</v>
      </c>
      <c r="E226" s="135" t="s">
        <v>1559</v>
      </c>
      <c r="F226" s="135"/>
      <c r="G226" s="135" t="s">
        <v>82</v>
      </c>
      <c r="H226" s="135" t="s">
        <v>2446</v>
      </c>
      <c r="I226" s="135"/>
      <c r="J226" s="135">
        <v>285</v>
      </c>
      <c r="K226" s="10"/>
      <c r="L226" s="10"/>
      <c r="M226" s="10"/>
    </row>
    <row r="227" spans="1:13">
      <c r="A227" s="135" t="s">
        <v>2385</v>
      </c>
      <c r="B227" s="135" t="s">
        <v>4</v>
      </c>
      <c r="C227" s="135" t="s">
        <v>1561</v>
      </c>
      <c r="D227" s="135" t="s">
        <v>1562</v>
      </c>
      <c r="E227" s="135" t="s">
        <v>1564</v>
      </c>
      <c r="F227" s="135"/>
      <c r="G227" s="135" t="s">
        <v>82</v>
      </c>
      <c r="H227" s="135" t="s">
        <v>2450</v>
      </c>
      <c r="I227" s="135"/>
      <c r="J227" s="135">
        <v>286</v>
      </c>
      <c r="K227" s="10"/>
      <c r="L227" s="10"/>
      <c r="M227" s="10"/>
    </row>
    <row r="228" spans="1:13">
      <c r="A228" s="135" t="s">
        <v>2385</v>
      </c>
      <c r="B228" s="135" t="s">
        <v>4</v>
      </c>
      <c r="C228" s="135" t="s">
        <v>160</v>
      </c>
      <c r="D228" s="135" t="s">
        <v>161</v>
      </c>
      <c r="E228" s="135" t="s">
        <v>163</v>
      </c>
      <c r="F228" s="135" t="s">
        <v>2455</v>
      </c>
      <c r="G228" s="135" t="s">
        <v>139</v>
      </c>
      <c r="H228" s="135" t="s">
        <v>2446</v>
      </c>
      <c r="I228" s="135"/>
      <c r="J228" s="135">
        <v>153</v>
      </c>
      <c r="K228" s="10"/>
      <c r="L228" s="10"/>
      <c r="M228" s="10"/>
    </row>
    <row r="229" spans="1:13">
      <c r="A229" s="135" t="s">
        <v>2385</v>
      </c>
      <c r="B229" s="135" t="s">
        <v>4</v>
      </c>
      <c r="C229" s="135" t="s">
        <v>1499</v>
      </c>
      <c r="D229" s="135" t="s">
        <v>1500</v>
      </c>
      <c r="E229" s="135" t="s">
        <v>1502</v>
      </c>
      <c r="F229" s="135"/>
      <c r="G229" s="135" t="s">
        <v>169</v>
      </c>
      <c r="H229" s="135" t="s">
        <v>2446</v>
      </c>
      <c r="I229" s="135"/>
      <c r="J229" s="135">
        <v>276</v>
      </c>
      <c r="K229" s="10"/>
      <c r="L229" s="10"/>
      <c r="M229" s="10"/>
    </row>
    <row r="230" spans="1:13">
      <c r="A230" s="135" t="s">
        <v>2385</v>
      </c>
      <c r="B230" s="135" t="s">
        <v>4</v>
      </c>
      <c r="C230" s="135" t="s">
        <v>1813</v>
      </c>
      <c r="D230" s="135" t="s">
        <v>1814</v>
      </c>
      <c r="E230" s="135" t="s">
        <v>1818</v>
      </c>
      <c r="F230" s="135"/>
      <c r="G230" s="135" t="s">
        <v>1816</v>
      </c>
      <c r="H230" s="135" t="s">
        <v>2446</v>
      </c>
      <c r="I230" s="135"/>
      <c r="J230" s="135">
        <v>335</v>
      </c>
      <c r="K230" s="10"/>
      <c r="L230" s="10"/>
      <c r="M230" s="10"/>
    </row>
    <row r="231" spans="1:13">
      <c r="A231" s="135" t="s">
        <v>2385</v>
      </c>
      <c r="B231" s="135" t="s">
        <v>4</v>
      </c>
      <c r="C231" s="135" t="s">
        <v>1826</v>
      </c>
      <c r="D231" s="135" t="s">
        <v>1827</v>
      </c>
      <c r="E231" s="135" t="s">
        <v>1818</v>
      </c>
      <c r="F231" s="135"/>
      <c r="G231" s="135" t="s">
        <v>1816</v>
      </c>
      <c r="H231" s="135" t="s">
        <v>2446</v>
      </c>
      <c r="I231" s="135"/>
      <c r="J231" s="135">
        <v>337</v>
      </c>
      <c r="K231" s="10"/>
      <c r="L231" s="10"/>
      <c r="M231" s="10"/>
    </row>
    <row r="232" spans="1:13">
      <c r="A232" s="135" t="s">
        <v>2385</v>
      </c>
      <c r="B232" s="135" t="s">
        <v>4</v>
      </c>
      <c r="C232" s="135" t="s">
        <v>1820</v>
      </c>
      <c r="D232" s="135" t="s">
        <v>1821</v>
      </c>
      <c r="E232" s="135" t="s">
        <v>1823</v>
      </c>
      <c r="F232" s="135"/>
      <c r="G232" s="135" t="s">
        <v>617</v>
      </c>
      <c r="H232" s="135" t="s">
        <v>2446</v>
      </c>
      <c r="I232" s="135"/>
      <c r="J232" s="135">
        <v>336</v>
      </c>
      <c r="K232" s="10"/>
      <c r="L232" s="10"/>
      <c r="M232" s="10"/>
    </row>
    <row r="233" spans="1:13">
      <c r="A233" s="135" t="s">
        <v>2385</v>
      </c>
      <c r="B233" s="135" t="s">
        <v>4</v>
      </c>
      <c r="C233" s="135" t="s">
        <v>799</v>
      </c>
      <c r="D233" s="135" t="s">
        <v>800</v>
      </c>
      <c r="E233" s="135" t="s">
        <v>802</v>
      </c>
      <c r="F233" s="135" t="s">
        <v>2455</v>
      </c>
      <c r="G233" s="135" t="s">
        <v>139</v>
      </c>
      <c r="H233" s="135" t="s">
        <v>2446</v>
      </c>
      <c r="I233" s="135"/>
      <c r="J233" s="135">
        <v>206</v>
      </c>
      <c r="K233" s="10"/>
      <c r="L233" s="10"/>
      <c r="M233" s="10"/>
    </row>
    <row r="234" spans="1:13">
      <c r="A234" s="135" t="s">
        <v>2385</v>
      </c>
      <c r="B234" s="135" t="s">
        <v>4</v>
      </c>
      <c r="C234" s="135" t="s">
        <v>793</v>
      </c>
      <c r="D234" s="135" t="s">
        <v>794</v>
      </c>
      <c r="E234" s="135" t="s">
        <v>795</v>
      </c>
      <c r="F234" s="135" t="s">
        <v>2429</v>
      </c>
      <c r="G234" s="135" t="s">
        <v>101</v>
      </c>
      <c r="H234" s="135" t="s">
        <v>2446</v>
      </c>
      <c r="I234" s="135"/>
      <c r="J234" s="135">
        <v>205</v>
      </c>
      <c r="K234" s="10"/>
      <c r="L234" s="10"/>
      <c r="M234" s="10"/>
    </row>
    <row r="235" spans="1:13">
      <c r="A235" s="135" t="s">
        <v>2385</v>
      </c>
      <c r="B235" s="135" t="s">
        <v>4</v>
      </c>
      <c r="C235" s="135" t="s">
        <v>804</v>
      </c>
      <c r="D235" s="135" t="s">
        <v>805</v>
      </c>
      <c r="E235" s="135" t="s">
        <v>807</v>
      </c>
      <c r="F235" s="135" t="s">
        <v>2456</v>
      </c>
      <c r="G235" s="135" t="s">
        <v>90</v>
      </c>
      <c r="H235" s="135" t="s">
        <v>2446</v>
      </c>
      <c r="I235" s="135"/>
      <c r="J235" s="135">
        <v>207</v>
      </c>
      <c r="K235" s="10"/>
      <c r="L235" s="10"/>
      <c r="M235" s="10"/>
    </row>
    <row r="236" spans="1:13">
      <c r="A236" s="135" t="s">
        <v>2385</v>
      </c>
      <c r="B236" s="135" t="s">
        <v>4</v>
      </c>
      <c r="C236" s="135" t="s">
        <v>788</v>
      </c>
      <c r="D236" s="135" t="s">
        <v>789</v>
      </c>
      <c r="E236" s="135" t="s">
        <v>791</v>
      </c>
      <c r="F236" s="135" t="s">
        <v>2455</v>
      </c>
      <c r="G236" s="135" t="s">
        <v>139</v>
      </c>
      <c r="H236" s="135" t="s">
        <v>2446</v>
      </c>
      <c r="I236" s="135"/>
      <c r="J236" s="135">
        <v>203</v>
      </c>
      <c r="K236" s="10"/>
      <c r="L236" s="10"/>
      <c r="M236" s="10"/>
    </row>
    <row r="237" spans="1:13">
      <c r="A237" s="135" t="s">
        <v>2385</v>
      </c>
      <c r="B237" s="135" t="s">
        <v>4</v>
      </c>
      <c r="C237" s="135" t="s">
        <v>2508</v>
      </c>
      <c r="D237" s="135" t="s">
        <v>779</v>
      </c>
      <c r="E237" s="135" t="s">
        <v>780</v>
      </c>
      <c r="F237" s="135" t="s">
        <v>2429</v>
      </c>
      <c r="G237" s="135" t="s">
        <v>101</v>
      </c>
      <c r="H237" s="135" t="s">
        <v>2450</v>
      </c>
      <c r="I237" s="135"/>
      <c r="J237" s="135">
        <v>15</v>
      </c>
      <c r="K237" s="10"/>
      <c r="L237" s="10"/>
      <c r="M237" s="10"/>
    </row>
    <row r="238" spans="1:13">
      <c r="A238" s="135" t="s">
        <v>2385</v>
      </c>
      <c r="B238" s="135" t="s">
        <v>4</v>
      </c>
      <c r="C238" s="135" t="s">
        <v>783</v>
      </c>
      <c r="D238" s="135" t="s">
        <v>784</v>
      </c>
      <c r="E238" s="135" t="s">
        <v>785</v>
      </c>
      <c r="F238" s="135" t="s">
        <v>2429</v>
      </c>
      <c r="G238" s="135" t="s">
        <v>101</v>
      </c>
      <c r="H238" s="135" t="s">
        <v>2446</v>
      </c>
      <c r="I238" s="135"/>
      <c r="J238" s="135">
        <v>202</v>
      </c>
      <c r="K238" s="10"/>
      <c r="L238" s="10"/>
      <c r="M238" s="10"/>
    </row>
    <row r="239" spans="1:13">
      <c r="A239" s="135" t="s">
        <v>2385</v>
      </c>
      <c r="B239" s="135" t="s">
        <v>4</v>
      </c>
      <c r="C239" s="135" t="s">
        <v>1830</v>
      </c>
      <c r="D239" s="135" t="s">
        <v>1831</v>
      </c>
      <c r="E239" s="135" t="s">
        <v>1833</v>
      </c>
      <c r="F239" s="135"/>
      <c r="G239" s="135" t="s">
        <v>90</v>
      </c>
      <c r="H239" s="135" t="s">
        <v>2446</v>
      </c>
      <c r="I239" s="135"/>
      <c r="J239" s="135">
        <v>338</v>
      </c>
      <c r="K239" s="10"/>
      <c r="L239" s="10"/>
      <c r="M239" s="10"/>
    </row>
    <row r="240" spans="1:13">
      <c r="A240" s="135" t="s">
        <v>2385</v>
      </c>
      <c r="B240" s="135" t="s">
        <v>4</v>
      </c>
      <c r="C240" s="135" t="s">
        <v>1835</v>
      </c>
      <c r="D240" s="135" t="s">
        <v>1836</v>
      </c>
      <c r="E240" s="135" t="s">
        <v>1838</v>
      </c>
      <c r="F240" s="135"/>
      <c r="G240" s="135" t="s">
        <v>90</v>
      </c>
      <c r="H240" s="135" t="s">
        <v>2446</v>
      </c>
      <c r="I240" s="135"/>
      <c r="J240" s="135">
        <v>339</v>
      </c>
      <c r="K240" s="10"/>
      <c r="L240" s="10"/>
      <c r="M240" s="10"/>
    </row>
    <row r="241" spans="1:21">
      <c r="A241" s="135" t="s">
        <v>2385</v>
      </c>
      <c r="B241" s="135" t="s">
        <v>4</v>
      </c>
      <c r="C241" s="135" t="s">
        <v>1840</v>
      </c>
      <c r="D241" s="135" t="s">
        <v>1841</v>
      </c>
      <c r="E241" s="135" t="s">
        <v>1843</v>
      </c>
      <c r="F241" s="135"/>
      <c r="G241" s="135" t="s">
        <v>90</v>
      </c>
      <c r="H241" s="135" t="s">
        <v>2446</v>
      </c>
      <c r="I241" s="135"/>
      <c r="J241" s="135">
        <v>340</v>
      </c>
      <c r="K241" s="10"/>
      <c r="L241" s="10"/>
      <c r="M241" s="10"/>
    </row>
    <row r="242" spans="1:21">
      <c r="A242" s="135" t="s">
        <v>2385</v>
      </c>
      <c r="B242" s="135" t="s">
        <v>4</v>
      </c>
      <c r="C242" s="135" t="s">
        <v>1845</v>
      </c>
      <c r="D242" s="135" t="s">
        <v>1846</v>
      </c>
      <c r="E242" s="135" t="s">
        <v>1843</v>
      </c>
      <c r="F242" s="135"/>
      <c r="G242" s="135" t="s">
        <v>1453</v>
      </c>
      <c r="H242" s="135" t="s">
        <v>2446</v>
      </c>
      <c r="I242" s="135"/>
      <c r="J242" s="135">
        <v>341</v>
      </c>
      <c r="K242" s="10"/>
      <c r="L242" s="10"/>
      <c r="M242" s="10"/>
    </row>
    <row r="243" spans="1:21">
      <c r="A243" s="135" t="s">
        <v>2385</v>
      </c>
      <c r="B243" s="135" t="s">
        <v>4</v>
      </c>
      <c r="C243" s="135" t="s">
        <v>1849</v>
      </c>
      <c r="D243" s="135" t="s">
        <v>1850</v>
      </c>
      <c r="E243" s="135" t="s">
        <v>1852</v>
      </c>
      <c r="F243" s="135"/>
      <c r="G243" s="135" t="s">
        <v>90</v>
      </c>
      <c r="H243" s="135" t="s">
        <v>2446</v>
      </c>
      <c r="I243" s="135"/>
      <c r="J243" s="135">
        <v>342</v>
      </c>
      <c r="K243" s="10"/>
      <c r="L243" s="10"/>
      <c r="M243" s="10"/>
    </row>
    <row r="244" spans="1:21">
      <c r="A244" s="135" t="s">
        <v>2385</v>
      </c>
      <c r="B244" s="135" t="s">
        <v>4</v>
      </c>
      <c r="C244" s="135" t="s">
        <v>1854</v>
      </c>
      <c r="D244" s="135" t="s">
        <v>1855</v>
      </c>
      <c r="E244" s="135" t="s">
        <v>1852</v>
      </c>
      <c r="F244" s="135"/>
      <c r="G244" s="135" t="s">
        <v>1453</v>
      </c>
      <c r="H244" s="135" t="s">
        <v>2446</v>
      </c>
      <c r="I244" s="135"/>
      <c r="J244" s="135">
        <v>343</v>
      </c>
      <c r="K244" s="10"/>
      <c r="L244" s="10"/>
      <c r="M244" s="10"/>
    </row>
    <row r="245" spans="1:21">
      <c r="A245" s="135" t="s">
        <v>2385</v>
      </c>
      <c r="B245" s="135" t="s">
        <v>4</v>
      </c>
      <c r="C245" s="135" t="s">
        <v>1460</v>
      </c>
      <c r="D245" s="135" t="s">
        <v>1461</v>
      </c>
      <c r="E245" s="135" t="s">
        <v>1463</v>
      </c>
      <c r="F245" s="135"/>
      <c r="G245" s="135" t="s">
        <v>617</v>
      </c>
      <c r="H245" s="135" t="s">
        <v>2446</v>
      </c>
      <c r="I245" s="135"/>
      <c r="J245" s="135">
        <v>267</v>
      </c>
      <c r="K245" s="10"/>
      <c r="L245" s="10"/>
      <c r="M245" s="10"/>
    </row>
    <row r="246" spans="1:21">
      <c r="A246" s="135" t="s">
        <v>2385</v>
      </c>
      <c r="B246" s="135" t="s">
        <v>4</v>
      </c>
      <c r="C246" s="135" t="s">
        <v>1450</v>
      </c>
      <c r="D246" s="135" t="s">
        <v>1451</v>
      </c>
      <c r="E246" s="135" t="s">
        <v>1455</v>
      </c>
      <c r="F246" s="135"/>
      <c r="G246" s="135" t="s">
        <v>1453</v>
      </c>
      <c r="H246" s="135" t="s">
        <v>2446</v>
      </c>
      <c r="I246" s="135"/>
      <c r="J246" s="135">
        <v>265</v>
      </c>
      <c r="K246" s="10"/>
      <c r="L246" s="10"/>
      <c r="M246" s="10"/>
    </row>
    <row r="247" spans="1:21">
      <c r="A247" s="135" t="s">
        <v>2385</v>
      </c>
      <c r="B247" s="135" t="s">
        <v>4</v>
      </c>
      <c r="C247" s="135" t="s">
        <v>815</v>
      </c>
      <c r="D247" s="135" t="s">
        <v>816</v>
      </c>
      <c r="E247" s="135" t="s">
        <v>818</v>
      </c>
      <c r="F247" s="135" t="s">
        <v>2432</v>
      </c>
      <c r="G247" s="135" t="s">
        <v>559</v>
      </c>
      <c r="H247" s="135" t="s">
        <v>2446</v>
      </c>
      <c r="I247" s="135"/>
      <c r="J247" s="135">
        <v>33</v>
      </c>
      <c r="K247" s="10"/>
      <c r="L247" s="10"/>
      <c r="M247" s="10"/>
    </row>
    <row r="248" spans="1:21">
      <c r="A248" s="135" t="s">
        <v>2385</v>
      </c>
      <c r="B248" s="135" t="s">
        <v>4</v>
      </c>
      <c r="C248" s="135" t="s">
        <v>808</v>
      </c>
      <c r="D248" s="135" t="s">
        <v>809</v>
      </c>
      <c r="E248" s="135" t="s">
        <v>811</v>
      </c>
      <c r="F248" s="135" t="s">
        <v>2432</v>
      </c>
      <c r="G248" s="135" t="s">
        <v>559</v>
      </c>
      <c r="H248" s="135" t="s">
        <v>2446</v>
      </c>
      <c r="I248" s="135"/>
      <c r="J248" s="135">
        <v>34</v>
      </c>
      <c r="K248" s="10"/>
      <c r="L248" s="10"/>
      <c r="M248" s="10"/>
    </row>
    <row r="249" spans="1:21">
      <c r="A249" s="135" t="s">
        <v>2385</v>
      </c>
      <c r="B249" s="135" t="s">
        <v>4</v>
      </c>
      <c r="C249" s="135" t="s">
        <v>822</v>
      </c>
      <c r="D249" s="135" t="s">
        <v>823</v>
      </c>
      <c r="E249" s="135" t="s">
        <v>825</v>
      </c>
      <c r="F249" s="135" t="s">
        <v>2455</v>
      </c>
      <c r="G249" s="135" t="s">
        <v>139</v>
      </c>
      <c r="H249" s="135" t="s">
        <v>2446</v>
      </c>
      <c r="I249" s="135"/>
      <c r="J249" s="135">
        <v>36</v>
      </c>
      <c r="K249" s="10"/>
      <c r="L249" s="10"/>
      <c r="M249" s="10"/>
    </row>
    <row r="250" spans="1:21">
      <c r="A250" s="135" t="s">
        <v>2385</v>
      </c>
      <c r="B250" s="135" t="s">
        <v>4</v>
      </c>
      <c r="C250" s="135" t="s">
        <v>827</v>
      </c>
      <c r="D250" s="135" t="s">
        <v>828</v>
      </c>
      <c r="E250" s="135" t="s">
        <v>829</v>
      </c>
      <c r="F250" s="135" t="s">
        <v>2429</v>
      </c>
      <c r="G250" s="135" t="s">
        <v>101</v>
      </c>
      <c r="H250" s="135" t="s">
        <v>2446</v>
      </c>
      <c r="I250" s="135"/>
      <c r="J250" s="135">
        <v>35</v>
      </c>
      <c r="K250" s="10"/>
      <c r="L250" s="10"/>
      <c r="M250" s="10"/>
      <c r="P250" s="10" t="str">
        <f>VLOOKUP(C250,Table_view_sorted!A$2:A$215,1,FALSE)</f>
        <v>Sales Charge Rate Type ID</v>
      </c>
      <c r="Q250" t="str">
        <f>VLOOKUP(D250,AVY_FACT!A$2:A$153,1,FALSE)</f>
        <v>SALE_CHRG_RATE_TP_ID</v>
      </c>
      <c r="R250" t="str">
        <f>D250&amp;"  "&amp;G250&amp;","</f>
        <v>SALE_CHRG_RATE_TP_ID  NUMBER(38,0),</v>
      </c>
      <c r="T250" s="10"/>
      <c r="U250" s="10"/>
    </row>
    <row r="251" spans="1:21">
      <c r="A251" s="135" t="s">
        <v>2385</v>
      </c>
      <c r="B251" s="135" t="s">
        <v>4</v>
      </c>
      <c r="C251" s="135" t="s">
        <v>831</v>
      </c>
      <c r="D251" s="135" t="s">
        <v>832</v>
      </c>
      <c r="E251" s="135" t="s">
        <v>834</v>
      </c>
      <c r="F251" s="135" t="s">
        <v>2466</v>
      </c>
      <c r="G251" s="135" t="s">
        <v>109</v>
      </c>
      <c r="H251" s="135" t="s">
        <v>2446</v>
      </c>
      <c r="I251" s="135"/>
      <c r="J251" s="135">
        <v>129</v>
      </c>
      <c r="K251" s="10"/>
      <c r="L251" s="10"/>
      <c r="M251" s="10"/>
      <c r="N251" s="10"/>
      <c r="O251" s="10"/>
      <c r="P251" s="10" t="str">
        <f>VLOOKUP(C251,Table_view_sorted!A$2:A$215,1,FALSE)</f>
        <v>Sales Charge Rate Type name</v>
      </c>
      <c r="Q251" t="str">
        <f>VLOOKUP(D251,AVY_FACT!A$2:A$153,1,FALSE)</f>
        <v>SALE_CHRG_RATE_TP_NM</v>
      </c>
      <c r="R251" t="str">
        <f>D251&amp;"  "&amp;G251&amp;","</f>
        <v>SALE_CHRG_RATE_TP_NM  VARCHAR2(200),</v>
      </c>
      <c r="T251" s="10"/>
      <c r="U251" s="10"/>
    </row>
    <row r="252" spans="1:21">
      <c r="A252" s="135" t="s">
        <v>2385</v>
      </c>
      <c r="B252" s="135" t="s">
        <v>4</v>
      </c>
      <c r="C252" s="135" t="s">
        <v>1345</v>
      </c>
      <c r="D252" s="135" t="s">
        <v>1346</v>
      </c>
      <c r="E252" s="135"/>
      <c r="F252" s="135"/>
      <c r="G252" s="135" t="s">
        <v>109</v>
      </c>
      <c r="H252" s="135" t="s">
        <v>2446</v>
      </c>
      <c r="I252" s="135"/>
      <c r="J252" s="135">
        <v>244</v>
      </c>
      <c r="K252" s="10"/>
      <c r="L252" s="10"/>
      <c r="M252" s="10"/>
    </row>
    <row r="253" spans="1:21">
      <c r="A253" s="135" t="s">
        <v>2385</v>
      </c>
      <c r="B253" s="135" t="s">
        <v>4</v>
      </c>
      <c r="C253" s="135" t="s">
        <v>1340</v>
      </c>
      <c r="D253" s="135" t="s">
        <v>1341</v>
      </c>
      <c r="E253" s="135"/>
      <c r="F253" s="135"/>
      <c r="G253" s="135" t="s">
        <v>139</v>
      </c>
      <c r="H253" s="135" t="s">
        <v>2446</v>
      </c>
      <c r="I253" s="135"/>
      <c r="J253" s="135">
        <v>243</v>
      </c>
      <c r="K253" s="10"/>
      <c r="L253" s="10"/>
      <c r="M253" s="10"/>
    </row>
    <row r="254" spans="1:21">
      <c r="A254" s="135" t="s">
        <v>2385</v>
      </c>
      <c r="B254" s="135" t="s">
        <v>4</v>
      </c>
      <c r="C254" s="135" t="s">
        <v>1349</v>
      </c>
      <c r="D254" s="135" t="s">
        <v>1350</v>
      </c>
      <c r="E254" s="135"/>
      <c r="F254" s="135"/>
      <c r="G254" s="135" t="s">
        <v>227</v>
      </c>
      <c r="H254" s="135" t="s">
        <v>2446</v>
      </c>
      <c r="I254" s="135"/>
      <c r="J254" s="135">
        <v>245</v>
      </c>
      <c r="K254" s="10"/>
      <c r="L254" s="10"/>
      <c r="M254" s="10"/>
    </row>
    <row r="255" spans="1:21">
      <c r="A255" s="135" t="s">
        <v>2385</v>
      </c>
      <c r="B255" s="135" t="s">
        <v>4</v>
      </c>
      <c r="C255" s="135" t="s">
        <v>1210</v>
      </c>
      <c r="D255" s="135" t="s">
        <v>2509</v>
      </c>
      <c r="E255" s="135" t="s">
        <v>1212</v>
      </c>
      <c r="F255" s="135" t="s">
        <v>2432</v>
      </c>
      <c r="G255" s="135" t="s">
        <v>559</v>
      </c>
      <c r="H255" s="135" t="s">
        <v>2446</v>
      </c>
      <c r="I255" s="135"/>
      <c r="J255" s="135">
        <v>220</v>
      </c>
      <c r="K255" s="10"/>
      <c r="L255" s="10"/>
      <c r="M255" s="10"/>
      <c r="P255" s="10" t="e">
        <f>VLOOKUP(C255,Table_view_sorted!A$2:A$215,1,FALSE)</f>
        <v>#N/A</v>
      </c>
      <c r="Q255" t="e">
        <f>VLOOKUP(D255,AVY_FACT!A$2:A$153,1,FALSE)</f>
        <v>#N/A</v>
      </c>
      <c r="R255" t="str">
        <f>D255&amp;"  "&amp;G255&amp;","</f>
        <v>SEC_FEE_AMT  NUMBER(38,6),</v>
      </c>
      <c r="T255" s="10"/>
      <c r="U255" s="10"/>
    </row>
    <row r="256" spans="1:21" ht="69">
      <c r="A256" s="135" t="s">
        <v>2385</v>
      </c>
      <c r="B256" s="135" t="s">
        <v>4</v>
      </c>
      <c r="C256" s="135" t="s">
        <v>835</v>
      </c>
      <c r="D256" s="135" t="s">
        <v>836</v>
      </c>
      <c r="E256" s="136" t="s">
        <v>838</v>
      </c>
      <c r="F256" s="135" t="s">
        <v>2463</v>
      </c>
      <c r="G256" s="135" t="s">
        <v>433</v>
      </c>
      <c r="H256" s="135" t="s">
        <v>2446</v>
      </c>
      <c r="I256" s="135"/>
      <c r="J256" s="135">
        <v>78</v>
      </c>
      <c r="K256" s="10"/>
      <c r="L256" s="10"/>
      <c r="M256" s="10"/>
    </row>
    <row r="257" spans="1:21" ht="41.4">
      <c r="A257" s="135" t="s">
        <v>2385</v>
      </c>
      <c r="B257" s="135" t="s">
        <v>4</v>
      </c>
      <c r="C257" s="135" t="s">
        <v>844</v>
      </c>
      <c r="D257" s="135" t="s">
        <v>845</v>
      </c>
      <c r="E257" s="136" t="s">
        <v>847</v>
      </c>
      <c r="F257" s="135" t="s">
        <v>2429</v>
      </c>
      <c r="G257" s="135" t="s">
        <v>101</v>
      </c>
      <c r="H257" s="135" t="s">
        <v>2446</v>
      </c>
      <c r="I257" s="135"/>
      <c r="J257" s="135">
        <v>77</v>
      </c>
      <c r="K257" s="10"/>
      <c r="L257" s="10"/>
      <c r="M257" s="10"/>
    </row>
    <row r="258" spans="1:21" ht="41.4">
      <c r="A258" s="135" t="s">
        <v>2385</v>
      </c>
      <c r="B258" s="135" t="s">
        <v>4</v>
      </c>
      <c r="C258" s="135" t="s">
        <v>848</v>
      </c>
      <c r="D258" s="135" t="s">
        <v>849</v>
      </c>
      <c r="E258" s="136" t="s">
        <v>851</v>
      </c>
      <c r="F258" s="135" t="s">
        <v>2456</v>
      </c>
      <c r="G258" s="135" t="s">
        <v>90</v>
      </c>
      <c r="H258" s="135" t="s">
        <v>2446</v>
      </c>
      <c r="I258" s="135"/>
      <c r="J258" s="135">
        <v>79</v>
      </c>
      <c r="K258" s="10"/>
      <c r="L258" s="10"/>
      <c r="M258" s="10"/>
    </row>
    <row r="259" spans="1:21" ht="55.2">
      <c r="A259" s="135" t="s">
        <v>2385</v>
      </c>
      <c r="B259" s="135" t="s">
        <v>4</v>
      </c>
      <c r="C259" s="135" t="s">
        <v>856</v>
      </c>
      <c r="D259" s="135" t="s">
        <v>857</v>
      </c>
      <c r="E259" s="136" t="s">
        <v>859</v>
      </c>
      <c r="F259" s="135" t="s">
        <v>2464</v>
      </c>
      <c r="G259" s="135" t="s">
        <v>464</v>
      </c>
      <c r="H259" s="135" t="s">
        <v>2446</v>
      </c>
      <c r="I259" s="135"/>
      <c r="J259" s="135">
        <v>48</v>
      </c>
      <c r="K259" s="10"/>
      <c r="L259" s="10"/>
      <c r="M259" s="10"/>
      <c r="P259" s="10" t="str">
        <f>VLOOKUP(C259,Table_view_sorted!A$2:A$215,1,FALSE)</f>
        <v>Security alternate description trailer 2</v>
      </c>
      <c r="Q259" t="str">
        <f>VLOOKUP(D259,AVY_FACT!A$2:A$153,1,FALSE)</f>
        <v>SEC_ALT_DSC_TRAILER_2</v>
      </c>
      <c r="R259" t="str">
        <f>D259&amp;"  "&amp;G259&amp;","</f>
        <v>SEC_ALT_DSC_TRAILER_2  VARCHAR2(256),</v>
      </c>
      <c r="T259" s="10"/>
      <c r="U259" s="10"/>
    </row>
    <row r="260" spans="1:21" ht="41.4">
      <c r="A260" s="135" t="s">
        <v>2385</v>
      </c>
      <c r="B260" s="135" t="s">
        <v>4</v>
      </c>
      <c r="C260" s="135" t="s">
        <v>861</v>
      </c>
      <c r="D260" s="135" t="s">
        <v>862</v>
      </c>
      <c r="E260" s="136" t="s">
        <v>864</v>
      </c>
      <c r="F260" s="135" t="s">
        <v>2448</v>
      </c>
      <c r="G260" s="135" t="s">
        <v>62</v>
      </c>
      <c r="H260" s="135" t="s">
        <v>2446</v>
      </c>
      <c r="I260" s="135"/>
      <c r="J260" s="135">
        <v>46</v>
      </c>
      <c r="K260" s="10"/>
      <c r="L260" s="10"/>
      <c r="M260" s="10"/>
    </row>
    <row r="261" spans="1:21" ht="55.2">
      <c r="A261" s="135" t="s">
        <v>2385</v>
      </c>
      <c r="B261" s="135" t="s">
        <v>4</v>
      </c>
      <c r="C261" s="135" t="s">
        <v>866</v>
      </c>
      <c r="D261" s="135" t="s">
        <v>867</v>
      </c>
      <c r="E261" s="136" t="s">
        <v>869</v>
      </c>
      <c r="F261" s="135" t="s">
        <v>2429</v>
      </c>
      <c r="G261" s="135" t="s">
        <v>101</v>
      </c>
      <c r="H261" s="135" t="s">
        <v>2446</v>
      </c>
      <c r="I261" s="135"/>
      <c r="J261" s="135">
        <v>176</v>
      </c>
      <c r="K261" s="10"/>
      <c r="L261" s="10"/>
      <c r="M261" s="10"/>
    </row>
    <row r="262" spans="1:21" ht="41.4">
      <c r="A262" s="135" t="s">
        <v>2385</v>
      </c>
      <c r="B262" s="135" t="s">
        <v>4</v>
      </c>
      <c r="C262" s="135" t="s">
        <v>870</v>
      </c>
      <c r="D262" s="135" t="s">
        <v>871</v>
      </c>
      <c r="E262" s="136" t="s">
        <v>873</v>
      </c>
      <c r="F262" s="135" t="s">
        <v>2455</v>
      </c>
      <c r="G262" s="135" t="s">
        <v>139</v>
      </c>
      <c r="H262" s="135" t="s">
        <v>2446</v>
      </c>
      <c r="I262" s="135"/>
      <c r="J262" s="135">
        <v>74</v>
      </c>
      <c r="K262" s="10"/>
      <c r="L262" s="10"/>
      <c r="M262" s="10"/>
    </row>
    <row r="263" spans="1:21" ht="41.4">
      <c r="A263" s="135" t="s">
        <v>2385</v>
      </c>
      <c r="B263" s="135" t="s">
        <v>4</v>
      </c>
      <c r="C263" s="135" t="s">
        <v>874</v>
      </c>
      <c r="D263" s="135" t="s">
        <v>875</v>
      </c>
      <c r="E263" s="136" t="s">
        <v>877</v>
      </c>
      <c r="F263" s="135" t="s">
        <v>2465</v>
      </c>
      <c r="G263" s="135" t="s">
        <v>485</v>
      </c>
      <c r="H263" s="135" t="s">
        <v>2446</v>
      </c>
      <c r="I263" s="135"/>
      <c r="J263" s="135">
        <v>76</v>
      </c>
      <c r="K263" s="10"/>
      <c r="L263" s="10"/>
      <c r="M263" s="10"/>
    </row>
    <row r="264" spans="1:21" ht="41.4">
      <c r="A264" s="135" t="s">
        <v>2385</v>
      </c>
      <c r="B264" s="135" t="s">
        <v>4</v>
      </c>
      <c r="C264" s="135" t="s">
        <v>878</v>
      </c>
      <c r="D264" s="135" t="s">
        <v>879</v>
      </c>
      <c r="E264" s="136" t="s">
        <v>880</v>
      </c>
      <c r="F264" s="135" t="s">
        <v>2429</v>
      </c>
      <c r="G264" s="135" t="s">
        <v>101</v>
      </c>
      <c r="H264" s="135" t="s">
        <v>2446</v>
      </c>
      <c r="I264" s="135"/>
      <c r="J264" s="135">
        <v>73</v>
      </c>
      <c r="K264" s="10"/>
      <c r="L264" s="10"/>
      <c r="M264" s="10"/>
    </row>
    <row r="265" spans="1:21" ht="41.4">
      <c r="A265" s="135" t="s">
        <v>2385</v>
      </c>
      <c r="B265" s="135" t="s">
        <v>4</v>
      </c>
      <c r="C265" s="135" t="s">
        <v>881</v>
      </c>
      <c r="D265" s="135" t="s">
        <v>882</v>
      </c>
      <c r="E265" s="136" t="s">
        <v>884</v>
      </c>
      <c r="F265" s="135" t="s">
        <v>2466</v>
      </c>
      <c r="G265" s="135" t="s">
        <v>109</v>
      </c>
      <c r="H265" s="135" t="s">
        <v>2446</v>
      </c>
      <c r="I265" s="135"/>
      <c r="J265" s="135">
        <v>75</v>
      </c>
      <c r="K265" s="10"/>
      <c r="L265" s="10"/>
      <c r="M265" s="10"/>
    </row>
    <row r="266" spans="1:21" ht="41.4">
      <c r="A266" s="135" t="s">
        <v>2385</v>
      </c>
      <c r="B266" s="135" t="s">
        <v>4</v>
      </c>
      <c r="C266" s="135" t="s">
        <v>885</v>
      </c>
      <c r="D266" s="135" t="s">
        <v>886</v>
      </c>
      <c r="E266" s="136" t="s">
        <v>888</v>
      </c>
      <c r="F266" s="135" t="s">
        <v>2429</v>
      </c>
      <c r="G266" s="135" t="s">
        <v>101</v>
      </c>
      <c r="H266" s="135" t="s">
        <v>2446</v>
      </c>
      <c r="I266" s="135"/>
      <c r="J266" s="135">
        <v>131</v>
      </c>
      <c r="K266" s="10"/>
      <c r="L266" s="10"/>
      <c r="M266" s="10"/>
    </row>
    <row r="267" spans="1:21" ht="41.4">
      <c r="A267" s="135" t="s">
        <v>2385</v>
      </c>
      <c r="B267" s="135" t="s">
        <v>4</v>
      </c>
      <c r="C267" s="135" t="s">
        <v>891</v>
      </c>
      <c r="D267" s="135" t="s">
        <v>892</v>
      </c>
      <c r="E267" s="136" t="s">
        <v>893</v>
      </c>
      <c r="F267" s="135" t="s">
        <v>2455</v>
      </c>
      <c r="G267" s="135" t="s">
        <v>139</v>
      </c>
      <c r="H267" s="135" t="s">
        <v>2446</v>
      </c>
      <c r="I267" s="135"/>
      <c r="J267" s="135">
        <v>132</v>
      </c>
      <c r="K267" s="10"/>
      <c r="L267" s="10"/>
      <c r="M267" s="10"/>
    </row>
    <row r="268" spans="1:21" ht="41.4">
      <c r="A268" s="135" t="s">
        <v>2385</v>
      </c>
      <c r="B268" s="135" t="s">
        <v>4</v>
      </c>
      <c r="C268" s="135" t="s">
        <v>895</v>
      </c>
      <c r="D268" s="135" t="s">
        <v>896</v>
      </c>
      <c r="E268" s="136" t="s">
        <v>898</v>
      </c>
      <c r="F268" s="135" t="s">
        <v>2456</v>
      </c>
      <c r="G268" s="135" t="s">
        <v>90</v>
      </c>
      <c r="H268" s="135" t="s">
        <v>2446</v>
      </c>
      <c r="I268" s="135"/>
      <c r="J268" s="135">
        <v>133</v>
      </c>
      <c r="K268" s="10"/>
      <c r="L268" s="10"/>
      <c r="M268" s="10"/>
    </row>
    <row r="269" spans="1:21" ht="55.2">
      <c r="A269" s="135" t="s">
        <v>2385</v>
      </c>
      <c r="B269" s="135" t="s">
        <v>4</v>
      </c>
      <c r="C269" s="135" t="s">
        <v>899</v>
      </c>
      <c r="D269" s="135" t="s">
        <v>900</v>
      </c>
      <c r="E269" s="136" t="s">
        <v>902</v>
      </c>
      <c r="F269" s="135" t="s">
        <v>2464</v>
      </c>
      <c r="G269" s="135" t="s">
        <v>464</v>
      </c>
      <c r="H269" s="135" t="s">
        <v>2446</v>
      </c>
      <c r="I269" s="135"/>
      <c r="J269" s="135">
        <v>47</v>
      </c>
      <c r="K269" s="10"/>
      <c r="L269" s="10"/>
      <c r="M269" s="10"/>
    </row>
    <row r="270" spans="1:21" ht="41.4">
      <c r="A270" s="135" t="s">
        <v>2385</v>
      </c>
      <c r="B270" s="135" t="s">
        <v>4</v>
      </c>
      <c r="C270" s="135" t="s">
        <v>920</v>
      </c>
      <c r="D270" s="135" t="s">
        <v>921</v>
      </c>
      <c r="E270" s="136" t="s">
        <v>922</v>
      </c>
      <c r="F270" s="135" t="s">
        <v>2429</v>
      </c>
      <c r="G270" s="135" t="s">
        <v>101</v>
      </c>
      <c r="H270" s="135" t="s">
        <v>2450</v>
      </c>
      <c r="I270" s="135"/>
      <c r="J270" s="135">
        <v>1</v>
      </c>
      <c r="K270" s="10"/>
      <c r="L270" s="10"/>
      <c r="M270" s="10"/>
    </row>
    <row r="271" spans="1:21">
      <c r="A271" s="135" t="s">
        <v>2385</v>
      </c>
      <c r="B271" s="135" t="s">
        <v>4</v>
      </c>
      <c r="C271" s="135" t="s">
        <v>1279</v>
      </c>
      <c r="D271" s="135" t="s">
        <v>1280</v>
      </c>
      <c r="E271" s="135" t="s">
        <v>1281</v>
      </c>
      <c r="F271" s="135" t="s">
        <v>2429</v>
      </c>
      <c r="G271" s="135" t="s">
        <v>101</v>
      </c>
      <c r="H271" s="135" t="s">
        <v>2446</v>
      </c>
      <c r="I271" s="135"/>
      <c r="J271" s="135">
        <v>233</v>
      </c>
      <c r="K271" s="10"/>
      <c r="L271" s="10"/>
      <c r="M271" s="10"/>
    </row>
    <row r="272" spans="1:21">
      <c r="A272" s="135" t="s">
        <v>2385</v>
      </c>
      <c r="B272" s="135" t="s">
        <v>4</v>
      </c>
      <c r="C272" s="135" t="s">
        <v>1282</v>
      </c>
      <c r="D272" s="135" t="s">
        <v>1283</v>
      </c>
      <c r="E272" s="135" t="s">
        <v>1285</v>
      </c>
      <c r="F272" s="135" t="s">
        <v>2468</v>
      </c>
      <c r="G272" s="135" t="s">
        <v>62</v>
      </c>
      <c r="H272" s="135" t="s">
        <v>2446</v>
      </c>
      <c r="I272" s="135"/>
      <c r="J272" s="135">
        <v>234</v>
      </c>
      <c r="K272" s="10"/>
      <c r="L272" s="10"/>
      <c r="M272" s="10"/>
      <c r="P272" s="10" t="e">
        <f>VLOOKUP(C272,Table_view_sorted!A$2:A$215,1,FALSE)</f>
        <v>#N/A</v>
      </c>
      <c r="Q272" t="e">
        <f>VLOOKUP(D272,AVY_FACT!A$2:A$153,1,FALSE)</f>
        <v>#N/A</v>
      </c>
      <c r="R272" t="str">
        <f>D272&amp;"  "&amp;G272&amp;","</f>
        <v>SCR_NNA_CGY_NM  VARCHAR2(50),</v>
      </c>
      <c r="T272" s="10"/>
      <c r="U272" s="10"/>
    </row>
    <row r="273" spans="1:21">
      <c r="A273" s="135" t="s">
        <v>2385</v>
      </c>
      <c r="B273" s="135" t="s">
        <v>4</v>
      </c>
      <c r="C273" s="135" t="s">
        <v>1156</v>
      </c>
      <c r="D273" s="135" t="s">
        <v>1157</v>
      </c>
      <c r="E273" s="135" t="s">
        <v>1159</v>
      </c>
      <c r="F273" s="135" t="s">
        <v>2456</v>
      </c>
      <c r="G273" s="135" t="s">
        <v>90</v>
      </c>
      <c r="H273" s="135" t="s">
        <v>2446</v>
      </c>
      <c r="I273" s="135"/>
      <c r="J273" s="135">
        <v>213</v>
      </c>
      <c r="K273" s="10"/>
      <c r="L273" s="10"/>
      <c r="M273" s="10"/>
      <c r="P273" s="10" t="str">
        <f>VLOOKUP(C273,Table_view_sorted!A$2:A$215,1,FALSE)</f>
        <v>Security Option Symbol</v>
      </c>
      <c r="Q273" t="e">
        <f>VLOOKUP(D273,AVY_FACT!A$2:A$153,1,FALSE)</f>
        <v>#N/A</v>
      </c>
      <c r="R273" t="str">
        <f>D273&amp;"  "&amp;G273&amp;","</f>
        <v>SCR_OPT_SYMB  VARCHAR2(100),</v>
      </c>
      <c r="T273" s="23" t="s">
        <v>2510</v>
      </c>
      <c r="U273" s="23" t="s">
        <v>1142</v>
      </c>
    </row>
    <row r="274" spans="1:21" ht="41.4">
      <c r="A274" s="135" t="s">
        <v>2385</v>
      </c>
      <c r="B274" s="135" t="s">
        <v>4</v>
      </c>
      <c r="C274" s="135" t="s">
        <v>903</v>
      </c>
      <c r="D274" s="135" t="s">
        <v>904</v>
      </c>
      <c r="E274" s="136" t="s">
        <v>906</v>
      </c>
      <c r="F274" s="135" t="s">
        <v>2432</v>
      </c>
      <c r="G274" s="135" t="s">
        <v>559</v>
      </c>
      <c r="H274" s="135" t="s">
        <v>2446</v>
      </c>
      <c r="I274" s="135"/>
      <c r="J274" s="135">
        <v>31</v>
      </c>
      <c r="K274" s="10"/>
      <c r="L274" s="10"/>
      <c r="M274" s="10"/>
    </row>
    <row r="275" spans="1:21">
      <c r="A275" s="135" t="s">
        <v>2385</v>
      </c>
      <c r="B275" s="135" t="s">
        <v>4</v>
      </c>
      <c r="C275" s="135" t="s">
        <v>924</v>
      </c>
      <c r="D275" s="135" t="s">
        <v>925</v>
      </c>
      <c r="E275" s="135" t="s">
        <v>929</v>
      </c>
      <c r="F275" s="135" t="s">
        <v>2511</v>
      </c>
      <c r="G275" s="135" t="s">
        <v>927</v>
      </c>
      <c r="H275" s="135" t="s">
        <v>2446</v>
      </c>
      <c r="I275" s="135"/>
      <c r="J275" s="135">
        <v>28</v>
      </c>
      <c r="K275" s="10"/>
      <c r="L275" s="10"/>
      <c r="M275" s="10"/>
    </row>
    <row r="276" spans="1:21">
      <c r="A276" s="135" t="s">
        <v>2385</v>
      </c>
      <c r="B276" s="135" t="s">
        <v>4</v>
      </c>
      <c r="C276" s="135" t="s">
        <v>915</v>
      </c>
      <c r="D276" s="135" t="s">
        <v>916</v>
      </c>
      <c r="E276" s="135" t="s">
        <v>918</v>
      </c>
      <c r="F276" s="135" t="s">
        <v>2429</v>
      </c>
      <c r="G276" s="135" t="s">
        <v>101</v>
      </c>
      <c r="H276" s="135" t="s">
        <v>2446</v>
      </c>
      <c r="I276" s="135"/>
      <c r="J276" s="135">
        <v>143</v>
      </c>
      <c r="K276" s="10"/>
      <c r="L276" s="10"/>
      <c r="M276" s="10"/>
    </row>
    <row r="277" spans="1:21" ht="55.2">
      <c r="A277" s="135" t="s">
        <v>2385</v>
      </c>
      <c r="B277" s="135" t="s">
        <v>4</v>
      </c>
      <c r="C277" s="135" t="s">
        <v>840</v>
      </c>
      <c r="D277" s="135" t="s">
        <v>841</v>
      </c>
      <c r="E277" s="136" t="s">
        <v>843</v>
      </c>
      <c r="F277" s="135" t="s">
        <v>2463</v>
      </c>
      <c r="G277" s="135" t="s">
        <v>433</v>
      </c>
      <c r="H277" s="135" t="s">
        <v>2446</v>
      </c>
      <c r="I277" s="135"/>
      <c r="J277" s="135">
        <v>193</v>
      </c>
      <c r="K277" s="10"/>
      <c r="L277" s="10"/>
      <c r="M277" s="10"/>
    </row>
    <row r="278" spans="1:21" ht="55.2">
      <c r="A278" s="135" t="s">
        <v>2385</v>
      </c>
      <c r="B278" s="135" t="s">
        <v>4</v>
      </c>
      <c r="C278" s="135" t="s">
        <v>852</v>
      </c>
      <c r="D278" s="135" t="s">
        <v>853</v>
      </c>
      <c r="E278" s="136" t="s">
        <v>855</v>
      </c>
      <c r="F278" s="135" t="s">
        <v>2456</v>
      </c>
      <c r="G278" s="135" t="s">
        <v>90</v>
      </c>
      <c r="H278" s="135" t="s">
        <v>2446</v>
      </c>
      <c r="I278" s="135"/>
      <c r="J278" s="135">
        <v>194</v>
      </c>
      <c r="K278" s="10"/>
      <c r="L278" s="10"/>
      <c r="M278" s="10"/>
    </row>
    <row r="279" spans="1:21" ht="41.4">
      <c r="A279" s="135" t="s">
        <v>2385</v>
      </c>
      <c r="B279" s="135" t="s">
        <v>4</v>
      </c>
      <c r="C279" s="135" t="s">
        <v>908</v>
      </c>
      <c r="D279" s="135" t="s">
        <v>909</v>
      </c>
      <c r="E279" s="136" t="s">
        <v>911</v>
      </c>
      <c r="F279" s="135" t="s">
        <v>2455</v>
      </c>
      <c r="G279" s="135" t="s">
        <v>139</v>
      </c>
      <c r="H279" s="135" t="s">
        <v>2446</v>
      </c>
      <c r="I279" s="135"/>
      <c r="J279" s="135">
        <v>56</v>
      </c>
      <c r="K279" s="10"/>
      <c r="L279" s="10"/>
      <c r="M279" s="10"/>
    </row>
    <row r="280" spans="1:21" ht="69">
      <c r="A280" s="135" t="s">
        <v>2385</v>
      </c>
      <c r="B280" s="135" t="s">
        <v>4</v>
      </c>
      <c r="C280" s="135" t="s">
        <v>931</v>
      </c>
      <c r="D280" s="135" t="s">
        <v>932</v>
      </c>
      <c r="E280" s="136" t="s">
        <v>934</v>
      </c>
      <c r="F280" s="135" t="s">
        <v>2511</v>
      </c>
      <c r="G280" s="135" t="s">
        <v>927</v>
      </c>
      <c r="H280" s="135" t="s">
        <v>2446</v>
      </c>
      <c r="I280" s="135"/>
      <c r="J280" s="135">
        <v>32</v>
      </c>
      <c r="K280" s="10"/>
      <c r="L280" s="10"/>
      <c r="M280" s="10"/>
    </row>
    <row r="281" spans="1:21" ht="41.4">
      <c r="A281" s="135" t="s">
        <v>2385</v>
      </c>
      <c r="B281" s="135" t="s">
        <v>4</v>
      </c>
      <c r="C281" s="135" t="s">
        <v>936</v>
      </c>
      <c r="D281" s="135" t="s">
        <v>937</v>
      </c>
      <c r="E281" s="136" t="s">
        <v>939</v>
      </c>
      <c r="F281" s="135" t="s">
        <v>2429</v>
      </c>
      <c r="G281" s="135" t="s">
        <v>101</v>
      </c>
      <c r="H281" s="135" t="s">
        <v>2446</v>
      </c>
      <c r="I281" s="135"/>
      <c r="J281" s="135">
        <v>44</v>
      </c>
      <c r="K281" s="10"/>
      <c r="L281" s="10"/>
      <c r="M281" s="10"/>
    </row>
    <row r="282" spans="1:21" ht="41.4">
      <c r="A282" s="135" t="s">
        <v>2385</v>
      </c>
      <c r="B282" s="135" t="s">
        <v>4</v>
      </c>
      <c r="C282" s="135" t="s">
        <v>940</v>
      </c>
      <c r="D282" s="135" t="s">
        <v>941</v>
      </c>
      <c r="E282" s="136" t="s">
        <v>943</v>
      </c>
      <c r="F282" s="135" t="s">
        <v>2432</v>
      </c>
      <c r="G282" s="135" t="s">
        <v>559</v>
      </c>
      <c r="H282" s="135" t="s">
        <v>2446</v>
      </c>
      <c r="I282" s="135"/>
      <c r="J282" s="135">
        <v>39</v>
      </c>
      <c r="K282" s="10"/>
      <c r="L282" s="10"/>
      <c r="M282" s="10"/>
    </row>
    <row r="283" spans="1:21" ht="55.2">
      <c r="A283" s="135" t="s">
        <v>2385</v>
      </c>
      <c r="B283" s="135" t="s">
        <v>4</v>
      </c>
      <c r="C283" s="135" t="s">
        <v>944</v>
      </c>
      <c r="D283" s="135" t="s">
        <v>945</v>
      </c>
      <c r="E283" s="136" t="s">
        <v>947</v>
      </c>
      <c r="F283" s="135" t="s">
        <v>2432</v>
      </c>
      <c r="G283" s="135" t="s">
        <v>559</v>
      </c>
      <c r="H283" s="135" t="s">
        <v>2446</v>
      </c>
      <c r="I283" s="135"/>
      <c r="J283" s="135">
        <v>29</v>
      </c>
      <c r="K283" s="10"/>
      <c r="L283" s="10"/>
      <c r="M283" s="10"/>
    </row>
    <row r="284" spans="1:21">
      <c r="A284" s="135" t="s">
        <v>2385</v>
      </c>
      <c r="B284" s="135" t="s">
        <v>4</v>
      </c>
      <c r="C284" s="135" t="s">
        <v>1153</v>
      </c>
      <c r="D284" s="135" t="s">
        <v>1154</v>
      </c>
      <c r="E284" s="135" t="s">
        <v>1155</v>
      </c>
      <c r="F284" s="135" t="s">
        <v>2429</v>
      </c>
      <c r="G284" s="135" t="s">
        <v>101</v>
      </c>
      <c r="H284" s="135" t="s">
        <v>2446</v>
      </c>
      <c r="I284" s="135"/>
      <c r="J284" s="135">
        <v>89</v>
      </c>
      <c r="K284" s="10"/>
      <c r="L284" s="10"/>
      <c r="M284" s="10"/>
    </row>
    <row r="285" spans="1:21">
      <c r="A285" s="135" t="s">
        <v>2385</v>
      </c>
      <c r="B285" s="135" t="s">
        <v>4</v>
      </c>
      <c r="C285" s="135" t="s">
        <v>948</v>
      </c>
      <c r="D285" s="135" t="s">
        <v>949</v>
      </c>
      <c r="E285" s="135" t="s">
        <v>951</v>
      </c>
      <c r="F285" s="135" t="s">
        <v>2457</v>
      </c>
      <c r="G285" s="135" t="s">
        <v>157</v>
      </c>
      <c r="H285" s="135" t="s">
        <v>2446</v>
      </c>
      <c r="I285" s="135"/>
      <c r="J285" s="135">
        <v>20</v>
      </c>
      <c r="K285" s="10"/>
      <c r="L285" s="10"/>
      <c r="M285" s="10"/>
    </row>
    <row r="286" spans="1:21">
      <c r="A286" s="135" t="s">
        <v>2385</v>
      </c>
      <c r="B286" s="135" t="s">
        <v>4</v>
      </c>
      <c r="C286" s="135" t="s">
        <v>952</v>
      </c>
      <c r="D286" s="135" t="s">
        <v>953</v>
      </c>
      <c r="E286" s="135" t="s">
        <v>954</v>
      </c>
      <c r="F286" s="135" t="s">
        <v>2429</v>
      </c>
      <c r="G286" s="135" t="s">
        <v>101</v>
      </c>
      <c r="H286" s="135" t="s">
        <v>2450</v>
      </c>
      <c r="I286" s="135"/>
      <c r="J286" s="135">
        <v>17</v>
      </c>
      <c r="K286" s="10"/>
      <c r="L286" s="10"/>
      <c r="M286" s="10"/>
      <c r="P286" s="10" t="str">
        <f>VLOOKUP(C286,Table_view_sorted!A$2:A$215,1,FALSE)</f>
        <v>Settlement Date Dimension Id</v>
      </c>
      <c r="Q286" t="str">
        <f>VLOOKUP(D286,AVY_FACT!A$2:A$153,1,FALSE)</f>
        <v>SD_DIM_ID</v>
      </c>
      <c r="R286" t="str">
        <f>D286&amp;"  "&amp;G286&amp;","</f>
        <v>SD_DIM_ID  NUMBER(38,0),</v>
      </c>
      <c r="T286" s="10"/>
      <c r="U286" s="10"/>
    </row>
    <row r="287" spans="1:21">
      <c r="A287" s="135" t="s">
        <v>2385</v>
      </c>
      <c r="B287" s="135" t="s">
        <v>4</v>
      </c>
      <c r="C287" s="135" t="s">
        <v>59</v>
      </c>
      <c r="D287" s="135" t="s">
        <v>60</v>
      </c>
      <c r="E287" s="135" t="s">
        <v>65</v>
      </c>
      <c r="F287" s="135" t="s">
        <v>2448</v>
      </c>
      <c r="G287" s="135" t="s">
        <v>62</v>
      </c>
      <c r="H287" s="135" t="s">
        <v>2446</v>
      </c>
      <c r="I287" s="135"/>
      <c r="J287" s="135">
        <v>179</v>
      </c>
      <c r="K287" s="10"/>
      <c r="L287" s="10"/>
      <c r="M287" s="10"/>
    </row>
    <row r="288" spans="1:21">
      <c r="A288" s="135" t="s">
        <v>2385</v>
      </c>
      <c r="B288" s="135" t="s">
        <v>4</v>
      </c>
      <c r="C288" s="135" t="s">
        <v>72</v>
      </c>
      <c r="D288" s="135" t="s">
        <v>73</v>
      </c>
      <c r="E288" s="135" t="s">
        <v>75</v>
      </c>
      <c r="F288" s="135" t="s">
        <v>2448</v>
      </c>
      <c r="G288" s="135" t="s">
        <v>62</v>
      </c>
      <c r="H288" s="135" t="s">
        <v>2446</v>
      </c>
      <c r="I288" s="135"/>
      <c r="J288" s="135">
        <v>177</v>
      </c>
      <c r="K288" s="10"/>
      <c r="L288" s="10"/>
      <c r="M288" s="10"/>
    </row>
    <row r="289" spans="1:21">
      <c r="A289" s="135" t="s">
        <v>2385</v>
      </c>
      <c r="B289" s="135" t="s">
        <v>4</v>
      </c>
      <c r="C289" s="135" t="s">
        <v>1868</v>
      </c>
      <c r="D289" s="135" t="s">
        <v>1869</v>
      </c>
      <c r="E289" s="135" t="s">
        <v>2512</v>
      </c>
      <c r="F289" s="135"/>
      <c r="G289" s="135" t="s">
        <v>120</v>
      </c>
      <c r="H289" s="135" t="s">
        <v>2446</v>
      </c>
      <c r="I289" s="135"/>
      <c r="J289" s="135">
        <v>346</v>
      </c>
      <c r="K289" s="10"/>
      <c r="L289" s="10"/>
      <c r="M289" s="10"/>
    </row>
    <row r="290" spans="1:21">
      <c r="A290" s="135" t="s">
        <v>2385</v>
      </c>
      <c r="B290" s="135" t="s">
        <v>4</v>
      </c>
      <c r="C290" s="135" t="s">
        <v>1863</v>
      </c>
      <c r="D290" s="135" t="s">
        <v>1864</v>
      </c>
      <c r="E290" s="135" t="s">
        <v>2513</v>
      </c>
      <c r="F290" s="135"/>
      <c r="G290" s="135" t="s">
        <v>302</v>
      </c>
      <c r="H290" s="135" t="s">
        <v>2446</v>
      </c>
      <c r="I290" s="135"/>
      <c r="J290" s="135">
        <v>345</v>
      </c>
      <c r="K290" s="10"/>
      <c r="L290" s="10"/>
      <c r="M290" s="10"/>
    </row>
    <row r="291" spans="1:21">
      <c r="A291" s="135" t="s">
        <v>2385</v>
      </c>
      <c r="B291" s="135" t="s">
        <v>4</v>
      </c>
      <c r="C291" s="135" t="s">
        <v>125</v>
      </c>
      <c r="D291" s="135" t="s">
        <v>126</v>
      </c>
      <c r="E291" s="135" t="s">
        <v>128</v>
      </c>
      <c r="F291" s="135" t="s">
        <v>2448</v>
      </c>
      <c r="G291" s="135" t="s">
        <v>62</v>
      </c>
      <c r="H291" s="135" t="s">
        <v>2446</v>
      </c>
      <c r="I291" s="135"/>
      <c r="J291" s="135">
        <v>147</v>
      </c>
      <c r="K291" s="10"/>
      <c r="L291" s="10"/>
      <c r="M291" s="10"/>
    </row>
    <row r="292" spans="1:21">
      <c r="A292" s="135" t="s">
        <v>2385</v>
      </c>
      <c r="B292" s="135" t="s">
        <v>4</v>
      </c>
      <c r="C292" s="135" t="s">
        <v>1314</v>
      </c>
      <c r="D292" s="135" t="s">
        <v>1315</v>
      </c>
      <c r="E292" s="135" t="s">
        <v>1317</v>
      </c>
      <c r="F292" s="135"/>
      <c r="G292" s="135" t="s">
        <v>139</v>
      </c>
      <c r="H292" s="135" t="s">
        <v>2446</v>
      </c>
      <c r="I292" s="135"/>
      <c r="J292" s="135">
        <v>239</v>
      </c>
      <c r="K292" s="10"/>
      <c r="L292" s="10"/>
      <c r="M292" s="10"/>
    </row>
    <row r="293" spans="1:21">
      <c r="A293" s="135" t="s">
        <v>2385</v>
      </c>
      <c r="B293" s="135" t="s">
        <v>4</v>
      </c>
      <c r="C293" s="135" t="s">
        <v>99</v>
      </c>
      <c r="D293" s="135" t="s">
        <v>100</v>
      </c>
      <c r="E293" s="135" t="s">
        <v>103</v>
      </c>
      <c r="F293" s="135" t="s">
        <v>2429</v>
      </c>
      <c r="G293" s="135" t="s">
        <v>101</v>
      </c>
      <c r="H293" s="135" t="s">
        <v>2446</v>
      </c>
      <c r="I293" s="135"/>
      <c r="J293" s="135">
        <v>144</v>
      </c>
      <c r="K293" s="10"/>
      <c r="L293" s="10"/>
      <c r="M293" s="10"/>
    </row>
    <row r="294" spans="1:21">
      <c r="A294" s="135" t="s">
        <v>2385</v>
      </c>
      <c r="B294" s="135" t="s">
        <v>4</v>
      </c>
      <c r="C294" s="135" t="s">
        <v>106</v>
      </c>
      <c r="D294" s="135" t="s">
        <v>107</v>
      </c>
      <c r="E294" s="135" t="s">
        <v>111</v>
      </c>
      <c r="F294" s="135" t="s">
        <v>2466</v>
      </c>
      <c r="G294" s="135" t="s">
        <v>109</v>
      </c>
      <c r="H294" s="135" t="s">
        <v>2446</v>
      </c>
      <c r="I294" s="135"/>
      <c r="J294" s="135">
        <v>145</v>
      </c>
      <c r="K294" s="10"/>
      <c r="L294" s="10"/>
      <c r="M294" s="10"/>
      <c r="P294" s="10" t="str">
        <f>VLOOKUP(C294,Table_view_sorted!A$2:A$215,1,FALSE)</f>
        <v>SIS Detailed Events Name</v>
      </c>
      <c r="Q294" t="e">
        <f>VLOOKUP(D294,AVY_FACT!A$2:A$153,1,FALSE)</f>
        <v>#N/A</v>
      </c>
      <c r="R294" t="str">
        <f>D294&amp;"  "&amp;G294&amp;","</f>
        <v>SIS_DLTD_EV_NM  VARCHAR2(200),</v>
      </c>
      <c r="T294" s="10"/>
      <c r="U294" s="10"/>
    </row>
    <row r="295" spans="1:21">
      <c r="A295" s="135" t="s">
        <v>2385</v>
      </c>
      <c r="B295" s="135" t="s">
        <v>4</v>
      </c>
      <c r="C295" s="135" t="s">
        <v>117</v>
      </c>
      <c r="D295" s="135" t="s">
        <v>118</v>
      </c>
      <c r="E295" s="135" t="s">
        <v>122</v>
      </c>
      <c r="F295" s="135" t="s">
        <v>2514</v>
      </c>
      <c r="G295" s="135" t="s">
        <v>120</v>
      </c>
      <c r="H295" s="135" t="s">
        <v>2446</v>
      </c>
      <c r="I295" s="135"/>
      <c r="J295" s="135">
        <v>146</v>
      </c>
      <c r="K295" s="10"/>
      <c r="L295" s="10"/>
      <c r="M295" s="10"/>
      <c r="N295" s="10"/>
      <c r="O295" s="10"/>
      <c r="P295" s="10" t="str">
        <f>VLOOKUP(C295,Table_view_sorted!A$2:A$215,1,FALSE)</f>
        <v>SIS User Id</v>
      </c>
      <c r="Q295" t="e">
        <f>VLOOKUP(D295,AVY_FACT!A$2:A$153,1,FALSE)</f>
        <v>#N/A</v>
      </c>
      <c r="R295" t="str">
        <f>D295&amp;"  "&amp;G295&amp;","</f>
        <v>SIS_USR_ID  VARCHAR2(255),</v>
      </c>
      <c r="T295" s="10"/>
      <c r="U295" s="10"/>
    </row>
    <row r="296" spans="1:21">
      <c r="A296" s="135" t="s">
        <v>2385</v>
      </c>
      <c r="B296" s="135" t="s">
        <v>4</v>
      </c>
      <c r="C296" s="135" t="s">
        <v>265</v>
      </c>
      <c r="D296" s="135" t="s">
        <v>266</v>
      </c>
      <c r="E296" s="135" t="s">
        <v>270</v>
      </c>
      <c r="F296" s="135" t="s">
        <v>2473</v>
      </c>
      <c r="G296" s="135" t="s">
        <v>268</v>
      </c>
      <c r="H296" s="135" t="s">
        <v>2446</v>
      </c>
      <c r="I296" s="135"/>
      <c r="J296" s="135">
        <v>166</v>
      </c>
      <c r="K296" s="10"/>
      <c r="L296" s="10"/>
      <c r="M296" s="10"/>
      <c r="P296" s="10" t="str">
        <f>VLOOKUP(C296,Table_view_sorted!A$2:A$215,1,FALSE)</f>
        <v>Source Cancel / Revision Code</v>
      </c>
      <c r="Q296" t="e">
        <f>VLOOKUP(D296,AVY_FACT!A$2:A$153,1,FALSE)</f>
        <v>#N/A</v>
      </c>
      <c r="R296" t="str">
        <f>D296&amp;"  "&amp;G296&amp;","</f>
        <v>SRC_CNCL_X_RVSN_CD  VARCHAR2(3),</v>
      </c>
      <c r="T296" s="10"/>
      <c r="U296" s="10"/>
    </row>
    <row r="297" spans="1:21" ht="124.2">
      <c r="A297" s="135" t="s">
        <v>2385</v>
      </c>
      <c r="B297" s="135" t="s">
        <v>4</v>
      </c>
      <c r="C297" s="135" t="s">
        <v>136</v>
      </c>
      <c r="D297" s="135" t="s">
        <v>137</v>
      </c>
      <c r="E297" s="136" t="s">
        <v>141</v>
      </c>
      <c r="F297" s="135" t="s">
        <v>2455</v>
      </c>
      <c r="G297" s="135" t="s">
        <v>139</v>
      </c>
      <c r="H297" s="135" t="s">
        <v>2446</v>
      </c>
      <c r="I297" s="135"/>
      <c r="J297" s="135">
        <v>149</v>
      </c>
      <c r="K297" s="10"/>
      <c r="L297" s="10"/>
      <c r="M297" s="10"/>
      <c r="P297" s="10" t="str">
        <f>VLOOKUP(C297,Table_view_sorted!A$2:A$215,1,FALSE)</f>
        <v>Source Cancellation Reason Code</v>
      </c>
      <c r="Q297" t="e">
        <f>VLOOKUP(D297,AVY_FACT!A$2:A$153,1,FALSE)</f>
        <v>#N/A</v>
      </c>
      <c r="R297" t="str">
        <f>D297&amp;"  "&amp;G297&amp;","</f>
        <v>SRC_CNCL_RSN_CD  VARCHAR2(20),</v>
      </c>
      <c r="T297" s="10"/>
      <c r="U297" s="10"/>
    </row>
    <row r="298" spans="1:21">
      <c r="A298" s="135" t="s">
        <v>2385</v>
      </c>
      <c r="B298" s="135" t="s">
        <v>4</v>
      </c>
      <c r="C298" s="135" t="s">
        <v>131</v>
      </c>
      <c r="D298" s="135" t="s">
        <v>132</v>
      </c>
      <c r="E298" s="135" t="s">
        <v>134</v>
      </c>
      <c r="F298" s="135" t="s">
        <v>2429</v>
      </c>
      <c r="G298" s="135" t="s">
        <v>101</v>
      </c>
      <c r="H298" s="135" t="s">
        <v>2446</v>
      </c>
      <c r="I298" s="135"/>
      <c r="J298" s="135">
        <v>148</v>
      </c>
      <c r="K298" s="10"/>
      <c r="L298" s="10"/>
      <c r="M298" s="10"/>
      <c r="P298" s="10" t="str">
        <f>VLOOKUP(C298,Table_view_sorted!A$2:A$215,1,FALSE)</f>
        <v>Source Cancellation Reason Id</v>
      </c>
    </row>
    <row r="299" spans="1:21">
      <c r="A299" s="135" t="s">
        <v>2385</v>
      </c>
      <c r="B299" s="135" t="s">
        <v>4</v>
      </c>
      <c r="C299" s="135" t="s">
        <v>145</v>
      </c>
      <c r="D299" s="135" t="s">
        <v>146</v>
      </c>
      <c r="E299" s="135" t="s">
        <v>148</v>
      </c>
      <c r="F299" s="135" t="s">
        <v>2466</v>
      </c>
      <c r="G299" s="135" t="s">
        <v>109</v>
      </c>
      <c r="H299" s="135" t="s">
        <v>2446</v>
      </c>
      <c r="I299" s="135"/>
      <c r="J299" s="135">
        <v>150</v>
      </c>
      <c r="K299" s="10"/>
      <c r="L299" s="10"/>
      <c r="M299" s="10"/>
      <c r="P299" s="10" t="str">
        <f>VLOOKUP(C299,Table_view_sorted!A$2:A$215,1,FALSE)</f>
        <v>Source Cancellation Reason Name</v>
      </c>
      <c r="Q299" t="e">
        <f>VLOOKUP(D299,AVY_FACT!A$2:A$153,1,FALSE)</f>
        <v>#N/A</v>
      </c>
      <c r="R299" t="str">
        <f>D299&amp;"  "&amp;G299&amp;","</f>
        <v>SRC_CNCL_RSN_NM  VARCHAR2(200),</v>
      </c>
      <c r="T299" s="10"/>
      <c r="U299" s="10"/>
    </row>
    <row r="300" spans="1:21">
      <c r="A300" s="135" t="s">
        <v>2385</v>
      </c>
      <c r="B300" s="135" t="s">
        <v>4</v>
      </c>
      <c r="C300" s="135" t="s">
        <v>956</v>
      </c>
      <c r="D300" s="135" t="s">
        <v>957</v>
      </c>
      <c r="E300" s="135" t="s">
        <v>959</v>
      </c>
      <c r="F300" s="135" t="s">
        <v>2448</v>
      </c>
      <c r="G300" s="135" t="s">
        <v>62</v>
      </c>
      <c r="H300" s="135" t="s">
        <v>2446</v>
      </c>
      <c r="I300" s="135"/>
      <c r="J300" s="135">
        <v>134</v>
      </c>
      <c r="K300" s="10"/>
      <c r="L300" s="10"/>
      <c r="M300" s="10"/>
      <c r="N300" s="10"/>
      <c r="O300" s="10"/>
      <c r="P300" s="10" t="str">
        <f>VLOOKUP(C300,Table_view_sorted!A$2:A$215,1,FALSE)</f>
        <v>Source Create User name</v>
      </c>
      <c r="Q300" t="str">
        <f>VLOOKUP(D300,AVY_FACT!A$2:A$153,1,FALSE)</f>
        <v>SRC_CRT_USRNM</v>
      </c>
      <c r="R300" t="str">
        <f>D300&amp;"  "&amp;G300&amp;","</f>
        <v>SRC_CRT_USRNM  VARCHAR2(50),</v>
      </c>
      <c r="T300" s="10"/>
      <c r="U300" s="10"/>
    </row>
    <row r="301" spans="1:21">
      <c r="A301" s="135" t="s">
        <v>2385</v>
      </c>
      <c r="B301" s="135" t="s">
        <v>4</v>
      </c>
      <c r="C301" s="135" t="s">
        <v>960</v>
      </c>
      <c r="D301" s="135" t="s">
        <v>961</v>
      </c>
      <c r="E301" s="135" t="s">
        <v>963</v>
      </c>
      <c r="F301" s="135" t="s">
        <v>2457</v>
      </c>
      <c r="G301" s="135" t="s">
        <v>157</v>
      </c>
      <c r="H301" s="135" t="s">
        <v>2446</v>
      </c>
      <c r="I301" s="135"/>
      <c r="J301" s="135">
        <v>135</v>
      </c>
      <c r="K301" s="10"/>
      <c r="L301" s="10"/>
      <c r="M301" s="10"/>
      <c r="P301" s="10" t="str">
        <f>VLOOKUP(C301,Table_view_sorted!A$2:A$215,1,FALSE)</f>
        <v>Source Effective Date</v>
      </c>
    </row>
    <row r="302" spans="1:21">
      <c r="A302" s="135" t="s">
        <v>2385</v>
      </c>
      <c r="B302" s="135" t="s">
        <v>4</v>
      </c>
      <c r="C302" s="135" t="s">
        <v>965</v>
      </c>
      <c r="D302" s="135" t="s">
        <v>966</v>
      </c>
      <c r="E302" s="135" t="s">
        <v>968</v>
      </c>
      <c r="F302" s="135" t="s">
        <v>2455</v>
      </c>
      <c r="G302" s="135" t="s">
        <v>139</v>
      </c>
      <c r="H302" s="135" t="s">
        <v>2446</v>
      </c>
      <c r="I302" s="135"/>
      <c r="J302" s="135">
        <v>136</v>
      </c>
      <c r="K302" s="10"/>
      <c r="L302" s="10"/>
      <c r="M302" s="10"/>
      <c r="P302" s="10" t="str">
        <f>VLOOKUP(C302,Table_view_sorted!A$2:A$215,1,FALSE)</f>
        <v>Source Entry Channel Type Code</v>
      </c>
      <c r="Q302" t="str">
        <f>VLOOKUP(D302,AVY_FACT!A$2:A$153,1,FALSE)</f>
        <v>SRC_ENTR_CNL_TP_CD</v>
      </c>
      <c r="R302" t="str">
        <f>D302&amp;"  "&amp;G302&amp;","</f>
        <v>SRC_ENTR_CNL_TP_CD  VARCHAR2(20),</v>
      </c>
      <c r="T302" s="10"/>
      <c r="U302" s="10"/>
    </row>
    <row r="303" spans="1:21">
      <c r="A303" s="135" t="s">
        <v>2385</v>
      </c>
      <c r="B303" s="135" t="s">
        <v>4</v>
      </c>
      <c r="C303" s="135" t="s">
        <v>972</v>
      </c>
      <c r="D303" s="135" t="s">
        <v>973</v>
      </c>
      <c r="E303" s="135" t="s">
        <v>974</v>
      </c>
      <c r="F303" s="135" t="s">
        <v>2429</v>
      </c>
      <c r="G303" s="135" t="s">
        <v>101</v>
      </c>
      <c r="H303" s="135" t="s">
        <v>2450</v>
      </c>
      <c r="I303" s="135"/>
      <c r="J303" s="135">
        <v>12</v>
      </c>
      <c r="K303" s="10"/>
      <c r="L303" s="10"/>
      <c r="M303" s="10"/>
      <c r="P303" s="10" t="str">
        <f>VLOOKUP(C303,Table_view_sorted!A$2:A$215,1,FALSE)</f>
        <v>Source Entry Channel Type Dimension Id</v>
      </c>
      <c r="Q303" t="str">
        <f>VLOOKUP(D303,AVY_FACT!A$2:A$153,1,FALSE)</f>
        <v>SRC_ENTR_CNL_TP_DIM_ID</v>
      </c>
      <c r="R303" t="str">
        <f>D303&amp;"  "&amp;G303&amp;","</f>
        <v>SRC_ENTR_CNL_TP_DIM_ID  NUMBER(38,0),</v>
      </c>
      <c r="T303" s="10"/>
      <c r="U303" s="10"/>
    </row>
    <row r="304" spans="1:21">
      <c r="A304" s="135" t="s">
        <v>2385</v>
      </c>
      <c r="B304" s="135" t="s">
        <v>4</v>
      </c>
      <c r="C304" s="135" t="s">
        <v>979</v>
      </c>
      <c r="D304" s="135" t="s">
        <v>980</v>
      </c>
      <c r="E304" s="135" t="s">
        <v>981</v>
      </c>
      <c r="F304" s="135" t="s">
        <v>2429</v>
      </c>
      <c r="G304" s="135" t="s">
        <v>101</v>
      </c>
      <c r="H304" s="135" t="s">
        <v>2446</v>
      </c>
      <c r="I304" s="135"/>
      <c r="J304" s="135">
        <v>208</v>
      </c>
      <c r="K304" s="10"/>
      <c r="L304" s="10"/>
      <c r="M304" s="10"/>
      <c r="N304" s="10"/>
      <c r="O304" s="10"/>
      <c r="P304" s="10" t="str">
        <f>VLOOKUP(C304,Table_view_sorted!A$2:A$215,1,FALSE)</f>
        <v>Source Entry Channel Type ID</v>
      </c>
      <c r="Q304" t="e">
        <f>VLOOKUP(D304,AVY_FACT!A$2:A$153,1,FALSE)</f>
        <v>#N/A</v>
      </c>
      <c r="R304" t="str">
        <f>D304&amp;"  "&amp;G304&amp;","</f>
        <v>SRC_ENTR_CNL_TP_ID  NUMBER(38,0),</v>
      </c>
      <c r="T304" s="10"/>
      <c r="U304" s="10"/>
    </row>
    <row r="305" spans="1:21">
      <c r="A305" s="135" t="s">
        <v>2385</v>
      </c>
      <c r="B305" s="135" t="s">
        <v>4</v>
      </c>
      <c r="C305" s="135" t="s">
        <v>975</v>
      </c>
      <c r="D305" s="135" t="s">
        <v>976</v>
      </c>
      <c r="E305" s="135" t="s">
        <v>978</v>
      </c>
      <c r="F305" s="135" t="s">
        <v>2466</v>
      </c>
      <c r="G305" s="135" t="s">
        <v>109</v>
      </c>
      <c r="H305" s="135" t="s">
        <v>2446</v>
      </c>
      <c r="I305" s="135"/>
      <c r="J305" s="135">
        <v>137</v>
      </c>
      <c r="K305" s="10"/>
      <c r="L305" s="10"/>
      <c r="M305" s="10"/>
    </row>
    <row r="306" spans="1:21">
      <c r="A306" s="135" t="s">
        <v>2385</v>
      </c>
      <c r="B306" s="135" t="s">
        <v>4</v>
      </c>
      <c r="C306" s="135" t="s">
        <v>982</v>
      </c>
      <c r="D306" s="135" t="s">
        <v>983</v>
      </c>
      <c r="E306" s="135" t="s">
        <v>985</v>
      </c>
      <c r="F306" s="135" t="s">
        <v>2476</v>
      </c>
      <c r="G306" s="135" t="s">
        <v>624</v>
      </c>
      <c r="H306" s="135" t="s">
        <v>2446</v>
      </c>
      <c r="I306" s="135"/>
      <c r="J306" s="135">
        <v>138</v>
      </c>
      <c r="K306" s="10"/>
      <c r="L306" s="10"/>
      <c r="M306" s="10"/>
    </row>
    <row r="307" spans="1:21">
      <c r="A307" s="135" t="s">
        <v>2385</v>
      </c>
      <c r="B307" s="135" t="s">
        <v>4</v>
      </c>
      <c r="C307" s="135" t="s">
        <v>274</v>
      </c>
      <c r="D307" s="135" t="s">
        <v>275</v>
      </c>
      <c r="E307" s="135" t="s">
        <v>277</v>
      </c>
      <c r="F307" s="135" t="s">
        <v>2448</v>
      </c>
      <c r="G307" s="135" t="s">
        <v>62</v>
      </c>
      <c r="H307" s="135" t="s">
        <v>2446</v>
      </c>
      <c r="I307" s="135"/>
      <c r="J307" s="135">
        <v>167</v>
      </c>
      <c r="K307" s="10"/>
      <c r="L307" s="10"/>
      <c r="M307" s="10"/>
    </row>
    <row r="308" spans="1:21">
      <c r="A308" s="135" t="s">
        <v>2385</v>
      </c>
      <c r="B308" s="135" t="s">
        <v>4</v>
      </c>
      <c r="C308" s="135" t="s">
        <v>994</v>
      </c>
      <c r="D308" s="135" t="s">
        <v>995</v>
      </c>
      <c r="E308" s="135" t="s">
        <v>997</v>
      </c>
      <c r="F308" s="135" t="s">
        <v>2455</v>
      </c>
      <c r="G308" s="135" t="s">
        <v>139</v>
      </c>
      <c r="H308" s="135" t="s">
        <v>2446</v>
      </c>
      <c r="I308" s="135"/>
      <c r="J308" s="135">
        <v>139</v>
      </c>
      <c r="K308" s="10"/>
      <c r="L308" s="10"/>
      <c r="M308" s="10"/>
    </row>
    <row r="309" spans="1:21">
      <c r="A309" s="135" t="s">
        <v>2385</v>
      </c>
      <c r="B309" s="135" t="s">
        <v>4</v>
      </c>
      <c r="C309" s="135" t="s">
        <v>986</v>
      </c>
      <c r="D309" s="135" t="s">
        <v>987</v>
      </c>
      <c r="E309" s="135" t="s">
        <v>988</v>
      </c>
      <c r="F309" s="135" t="s">
        <v>2429</v>
      </c>
      <c r="G309" s="135" t="s">
        <v>101</v>
      </c>
      <c r="H309" s="135" t="s">
        <v>2450</v>
      </c>
      <c r="I309" s="135"/>
      <c r="J309" s="135">
        <v>11</v>
      </c>
      <c r="K309" s="10"/>
      <c r="L309" s="10"/>
      <c r="M309" s="10"/>
      <c r="N309" s="10"/>
      <c r="O309" s="10"/>
      <c r="P309" s="10" t="str">
        <f>VLOOKUP(C309,Table_view_sorted!A$2:A$215,1,FALSE)</f>
        <v>Source Processing Type Dimension Id</v>
      </c>
      <c r="Q309" s="26" t="str">
        <f>VLOOKUP(D309,AVY_FACT!A$2:A$153,1,FALSE)</f>
        <v>SRC_PCS_TP_DIM_ID</v>
      </c>
      <c r="R309" s="26" t="str">
        <f t="shared" ref="R309:R317" si="0">D309&amp;"  "&amp;G309&amp;","</f>
        <v>SRC_PCS_TP_DIM_ID  NUMBER(38,0),</v>
      </c>
      <c r="S309" s="26"/>
      <c r="T309" s="23" t="s">
        <v>2460</v>
      </c>
      <c r="U309" s="23" t="s">
        <v>1142</v>
      </c>
    </row>
    <row r="310" spans="1:21">
      <c r="A310" s="135" t="s">
        <v>2385</v>
      </c>
      <c r="B310" s="135" t="s">
        <v>4</v>
      </c>
      <c r="C310" s="135" t="s">
        <v>991</v>
      </c>
      <c r="D310" s="135" t="s">
        <v>992</v>
      </c>
      <c r="E310" s="135" t="s">
        <v>993</v>
      </c>
      <c r="F310" s="135" t="s">
        <v>2429</v>
      </c>
      <c r="G310" s="135" t="s">
        <v>101</v>
      </c>
      <c r="H310" s="135" t="s">
        <v>2446</v>
      </c>
      <c r="I310" s="135"/>
      <c r="J310" s="135">
        <v>209</v>
      </c>
      <c r="K310" s="10"/>
      <c r="L310" s="10"/>
      <c r="M310" s="10"/>
      <c r="P310" s="10" t="str">
        <f>VLOOKUP(C310,Table_view_sorted!A$2:A$215,1,FALSE)</f>
        <v>Source Processing Type ID</v>
      </c>
      <c r="Q310" t="e">
        <f>VLOOKUP(D310,AVY_FACT!A$2:A$153,1,FALSE)</f>
        <v>#N/A</v>
      </c>
      <c r="R310" t="str">
        <f t="shared" si="0"/>
        <v>SRC_PCS_TP_ID  NUMBER(38,0),</v>
      </c>
      <c r="T310" s="10"/>
      <c r="U310" s="10"/>
    </row>
    <row r="311" spans="1:21">
      <c r="A311" s="135" t="s">
        <v>2385</v>
      </c>
      <c r="B311" s="135" t="s">
        <v>4</v>
      </c>
      <c r="C311" s="135" t="s">
        <v>998</v>
      </c>
      <c r="D311" s="135" t="s">
        <v>999</v>
      </c>
      <c r="E311" s="135" t="s">
        <v>1001</v>
      </c>
      <c r="F311" s="135" t="s">
        <v>2466</v>
      </c>
      <c r="G311" s="135" t="s">
        <v>109</v>
      </c>
      <c r="H311" s="135" t="s">
        <v>2446</v>
      </c>
      <c r="I311" s="135"/>
      <c r="J311" s="135">
        <v>140</v>
      </c>
      <c r="K311" s="10"/>
      <c r="L311" s="10"/>
      <c r="M311" s="10"/>
      <c r="P311" s="10" t="str">
        <f>VLOOKUP(C311,Table_view_sorted!A$2:A$215,1,FALSE)</f>
        <v>Source Processing Type name</v>
      </c>
      <c r="Q311" t="str">
        <f>VLOOKUP(D311,AVY_FACT!A$2:A$153,1,FALSE)</f>
        <v>SRC_PCS_TP_NM</v>
      </c>
      <c r="R311" t="str">
        <f t="shared" si="0"/>
        <v>SRC_PCS_TP_NM  VARCHAR2(200),</v>
      </c>
      <c r="T311" s="10"/>
      <c r="U311" s="10"/>
    </row>
    <row r="312" spans="1:21">
      <c r="A312" s="135" t="s">
        <v>2385</v>
      </c>
      <c r="B312" s="135" t="s">
        <v>4</v>
      </c>
      <c r="C312" s="135" t="s">
        <v>1002</v>
      </c>
      <c r="D312" s="135" t="s">
        <v>792</v>
      </c>
      <c r="E312" s="135" t="s">
        <v>1004</v>
      </c>
      <c r="F312" s="135" t="s">
        <v>2455</v>
      </c>
      <c r="G312" s="135" t="s">
        <v>139</v>
      </c>
      <c r="H312" s="135" t="s">
        <v>2446</v>
      </c>
      <c r="I312" s="135"/>
      <c r="J312" s="135">
        <v>164</v>
      </c>
      <c r="K312" s="10"/>
      <c r="L312" s="10"/>
      <c r="M312" s="10"/>
      <c r="P312" s="10" t="str">
        <f>VLOOKUP(C312,Table_view_sorted!A$2:A$215,1,FALSE)</f>
        <v>Source System Code</v>
      </c>
      <c r="Q312" s="20" t="str">
        <f>VLOOKUP(D312,AVY_FACT!A$2:A$153,1,FALSE)</f>
        <v>SRC_STM_CD</v>
      </c>
      <c r="R312" s="20" t="str">
        <f t="shared" si="0"/>
        <v>SRC_STM_CD  VARCHAR2(20),</v>
      </c>
      <c r="S312" s="20"/>
      <c r="T312" s="19" t="s">
        <v>2515</v>
      </c>
      <c r="U312" s="19" t="s">
        <v>1142</v>
      </c>
    </row>
    <row r="313" spans="1:21">
      <c r="A313" s="135" t="s">
        <v>2385</v>
      </c>
      <c r="B313" s="135" t="s">
        <v>4</v>
      </c>
      <c r="C313" s="135" t="s">
        <v>252</v>
      </c>
      <c r="D313" s="135" t="s">
        <v>253</v>
      </c>
      <c r="E313" s="135" t="s">
        <v>254</v>
      </c>
      <c r="F313" s="135" t="s">
        <v>2429</v>
      </c>
      <c r="G313" s="135" t="s">
        <v>101</v>
      </c>
      <c r="H313" s="135" t="s">
        <v>2446</v>
      </c>
      <c r="I313" s="135"/>
      <c r="J313" s="135">
        <v>163</v>
      </c>
      <c r="K313" s="10"/>
      <c r="L313" s="10"/>
      <c r="M313" s="10"/>
      <c r="P313" s="10" t="str">
        <f>VLOOKUP(C313,Table_view_sorted!A$2:A$215,1,FALSE)</f>
        <v>Source System ID</v>
      </c>
      <c r="Q313" s="22" t="e">
        <f>VLOOKUP(D313,AVY_FACT!A$2:A$153,1,FALSE)</f>
        <v>#N/A</v>
      </c>
      <c r="R313" s="22" t="str">
        <f t="shared" si="0"/>
        <v>SRC_STM_ID  NUMBER(38,0),</v>
      </c>
      <c r="S313" s="22"/>
      <c r="T313" s="21" t="s">
        <v>2460</v>
      </c>
      <c r="U313" s="21" t="s">
        <v>1142</v>
      </c>
    </row>
    <row r="314" spans="1:21">
      <c r="A314" s="135" t="s">
        <v>2385</v>
      </c>
      <c r="B314" s="135" t="s">
        <v>4</v>
      </c>
      <c r="C314" s="135" t="s">
        <v>255</v>
      </c>
      <c r="D314" s="135" t="s">
        <v>256</v>
      </c>
      <c r="E314" s="135" t="s">
        <v>260</v>
      </c>
      <c r="F314" s="135" t="s">
        <v>2516</v>
      </c>
      <c r="G314" s="135" t="s">
        <v>258</v>
      </c>
      <c r="H314" s="135" t="s">
        <v>2446</v>
      </c>
      <c r="I314" s="135"/>
      <c r="J314" s="135">
        <v>165</v>
      </c>
      <c r="K314" s="10"/>
      <c r="L314" s="10"/>
      <c r="M314" s="10"/>
      <c r="P314" s="10" t="str">
        <f>VLOOKUP(C314,Table_view_sorted!A$2:A$215,1,FALSE)</f>
        <v>Source System Name</v>
      </c>
      <c r="Q314" t="e">
        <f>VLOOKUP(D314,AVY_FACT!A$2:A$153,1,FALSE)</f>
        <v>#N/A</v>
      </c>
      <c r="R314" t="str">
        <f t="shared" si="0"/>
        <v>SRC_STM_NM  VARCHAR2(60),</v>
      </c>
      <c r="T314" s="10"/>
      <c r="U314" s="10"/>
    </row>
    <row r="315" spans="1:21">
      <c r="A315" s="135" t="s">
        <v>2385</v>
      </c>
      <c r="B315" s="135" t="s">
        <v>4</v>
      </c>
      <c r="C315" s="135" t="s">
        <v>1009</v>
      </c>
      <c r="D315" s="135" t="s">
        <v>1010</v>
      </c>
      <c r="E315" s="135" t="s">
        <v>1012</v>
      </c>
      <c r="F315" s="135" t="s">
        <v>2429</v>
      </c>
      <c r="G315" s="135" t="s">
        <v>101</v>
      </c>
      <c r="H315" s="135" t="s">
        <v>2446</v>
      </c>
      <c r="I315" s="135"/>
      <c r="J315" s="135">
        <v>94</v>
      </c>
      <c r="K315" s="10"/>
      <c r="L315" s="10"/>
      <c r="M315" s="10"/>
      <c r="N315" s="10"/>
      <c r="O315" s="10"/>
      <c r="P315" s="10" t="str">
        <f>VLOOKUP(C315,Table_view_sorted!A$2:A$215,1,FALSE)</f>
        <v>Source Transaction Code</v>
      </c>
      <c r="Q315" t="str">
        <f>VLOOKUP(D315,AVY_FACT!A$2:A$153,1,FALSE)</f>
        <v>SRC_TXN_CODE</v>
      </c>
      <c r="R315" t="str">
        <f t="shared" si="0"/>
        <v>SRC_TXN_CODE  NUMBER(38,0),</v>
      </c>
      <c r="T315" s="10" t="s">
        <v>2517</v>
      </c>
      <c r="U315" s="10" t="s">
        <v>1142</v>
      </c>
    </row>
    <row r="316" spans="1:21">
      <c r="A316" s="135" t="s">
        <v>2385</v>
      </c>
      <c r="B316" s="135" t="s">
        <v>4</v>
      </c>
      <c r="C316" s="135" t="s">
        <v>150</v>
      </c>
      <c r="D316" s="135" t="s">
        <v>151</v>
      </c>
      <c r="E316" s="135" t="s">
        <v>153</v>
      </c>
      <c r="F316" s="135" t="s">
        <v>2429</v>
      </c>
      <c r="G316" s="135" t="s">
        <v>101</v>
      </c>
      <c r="H316" s="135" t="s">
        <v>2446</v>
      </c>
      <c r="I316" s="135"/>
      <c r="J316" s="135">
        <v>151</v>
      </c>
      <c r="K316" s="10"/>
      <c r="L316" s="10"/>
      <c r="M316" s="10"/>
      <c r="P316" s="10" t="str">
        <f>VLOOKUP(C316,Table_view_sorted!A$2:A$215,1,FALSE)</f>
        <v>Source Transaction Sequence Number</v>
      </c>
      <c r="Q316" s="21" t="e">
        <f>VLOOKUP(D316,AVY_FACT!A$2:A$153,1,FALSE)</f>
        <v>#N/A</v>
      </c>
      <c r="R316" s="21" t="str">
        <f t="shared" si="0"/>
        <v>SRC_TXN_SEQ_NUM  NUMBER(38,0),</v>
      </c>
      <c r="S316" s="21"/>
      <c r="T316" s="21" t="s">
        <v>2518</v>
      </c>
      <c r="U316" s="21" t="s">
        <v>2519</v>
      </c>
    </row>
    <row r="317" spans="1:21">
      <c r="A317" s="135" t="s">
        <v>2385</v>
      </c>
      <c r="B317" s="135" t="s">
        <v>4</v>
      </c>
      <c r="C317" s="135" t="s">
        <v>1198</v>
      </c>
      <c r="D317" s="135" t="s">
        <v>1201</v>
      </c>
      <c r="E317" s="135" t="s">
        <v>1200</v>
      </c>
      <c r="F317" s="135" t="s">
        <v>2431</v>
      </c>
      <c r="G317" s="135" t="s">
        <v>1194</v>
      </c>
      <c r="H317" s="135" t="s">
        <v>2446</v>
      </c>
      <c r="I317" s="135"/>
      <c r="J317" s="135">
        <v>217</v>
      </c>
      <c r="K317" s="10"/>
      <c r="L317" s="10"/>
      <c r="M317" s="10"/>
      <c r="P317" s="10" t="e">
        <f>VLOOKUP(C317,Table_view_sorted!A$2:A$215,1,FALSE)</f>
        <v>#N/A</v>
      </c>
      <c r="Q317" t="e">
        <f>VLOOKUP(D317,AVY_FACT!A$2:A$153,1,FALSE)</f>
        <v>#N/A</v>
      </c>
      <c r="R317" t="str">
        <f t="shared" si="0"/>
        <v>STD_CMSN_AMT  NUMBER(22,6),</v>
      </c>
      <c r="T317" s="10"/>
      <c r="U317" s="10"/>
    </row>
    <row r="318" spans="1:21">
      <c r="A318" s="135" t="s">
        <v>2385</v>
      </c>
      <c r="B318" s="135" t="s">
        <v>4</v>
      </c>
      <c r="C318" s="135" t="s">
        <v>1236</v>
      </c>
      <c r="D318" s="135" t="s">
        <v>1237</v>
      </c>
      <c r="E318" s="135" t="s">
        <v>2520</v>
      </c>
      <c r="F318" s="135"/>
      <c r="G318" s="135" t="s">
        <v>109</v>
      </c>
      <c r="H318" s="135" t="s">
        <v>2446</v>
      </c>
      <c r="I318" s="135"/>
      <c r="J318" s="135">
        <v>226</v>
      </c>
      <c r="K318" s="10"/>
      <c r="L318" s="10"/>
      <c r="M318" s="10"/>
    </row>
    <row r="319" spans="1:21">
      <c r="A319" s="135" t="s">
        <v>2385</v>
      </c>
      <c r="B319" s="135" t="s">
        <v>4</v>
      </c>
      <c r="C319" s="135" t="s">
        <v>1014</v>
      </c>
      <c r="D319" s="135" t="s">
        <v>1015</v>
      </c>
      <c r="E319" s="135" t="s">
        <v>1017</v>
      </c>
      <c r="F319" s="135" t="s">
        <v>2457</v>
      </c>
      <c r="G319" s="135" t="s">
        <v>157</v>
      </c>
      <c r="H319" s="135" t="s">
        <v>2446</v>
      </c>
      <c r="I319" s="135"/>
      <c r="J319" s="135">
        <v>42</v>
      </c>
      <c r="K319" s="10"/>
      <c r="L319" s="10"/>
      <c r="M319" s="10"/>
    </row>
    <row r="320" spans="1:21">
      <c r="A320" s="135" t="s">
        <v>2385</v>
      </c>
      <c r="B320" s="135" t="s">
        <v>4</v>
      </c>
      <c r="C320" s="135" t="s">
        <v>1019</v>
      </c>
      <c r="D320" s="135" t="s">
        <v>1020</v>
      </c>
      <c r="E320" s="135" t="s">
        <v>1022</v>
      </c>
      <c r="F320" s="135" t="s">
        <v>2473</v>
      </c>
      <c r="G320" s="135" t="s">
        <v>268</v>
      </c>
      <c r="H320" s="135" t="s">
        <v>2446</v>
      </c>
      <c r="I320" s="135"/>
      <c r="J320" s="135">
        <v>130</v>
      </c>
      <c r="K320" s="10"/>
      <c r="L320" s="10"/>
      <c r="M320" s="10"/>
    </row>
    <row r="321" spans="1:21">
      <c r="A321" s="135" t="s">
        <v>2385</v>
      </c>
      <c r="B321" s="135" t="s">
        <v>4</v>
      </c>
      <c r="C321" s="135" t="s">
        <v>1024</v>
      </c>
      <c r="D321" s="135" t="s">
        <v>1025</v>
      </c>
      <c r="E321" s="135" t="s">
        <v>1026</v>
      </c>
      <c r="F321" s="135" t="s">
        <v>2429</v>
      </c>
      <c r="G321" s="135" t="s">
        <v>101</v>
      </c>
      <c r="H321" s="135" t="s">
        <v>2450</v>
      </c>
      <c r="I321" s="135"/>
      <c r="J321" s="135">
        <v>16</v>
      </c>
      <c r="K321" s="10"/>
      <c r="L321" s="10"/>
      <c r="M321" s="10"/>
    </row>
    <row r="322" spans="1:21">
      <c r="A322" s="135" t="s">
        <v>2385</v>
      </c>
      <c r="B322" s="135" t="s">
        <v>4</v>
      </c>
      <c r="C322" s="135" t="s">
        <v>1028</v>
      </c>
      <c r="D322" s="135" t="s">
        <v>1029</v>
      </c>
      <c r="E322" s="135" t="s">
        <v>1031</v>
      </c>
      <c r="F322" s="135" t="s">
        <v>2432</v>
      </c>
      <c r="G322" s="135" t="s">
        <v>559</v>
      </c>
      <c r="H322" s="135" t="s">
        <v>2446</v>
      </c>
      <c r="I322" s="135"/>
      <c r="J322" s="135">
        <v>43</v>
      </c>
      <c r="K322" s="10"/>
      <c r="L322" s="10"/>
      <c r="M322" s="10"/>
      <c r="P322" s="10" t="str">
        <f>VLOOKUP(C322,Table_view_sorted!A$2:A$215,1,FALSE)</f>
        <v>System Base Currency Exchange Rate</v>
      </c>
      <c r="Q322" t="str">
        <f>VLOOKUP(D322,AVY_FACT!A$2:A$153,1,FALSE)</f>
        <v>SBC_EXG_RATE</v>
      </c>
      <c r="R322" t="str">
        <f>D322&amp;"  "&amp;G322&amp;","</f>
        <v>SBC_EXG_RATE  NUMBER(38,6),</v>
      </c>
      <c r="T322" s="10"/>
      <c r="U322" s="10"/>
    </row>
    <row r="323" spans="1:21">
      <c r="A323" s="135" t="s">
        <v>2385</v>
      </c>
      <c r="B323" s="135" t="s">
        <v>4</v>
      </c>
      <c r="C323" s="135" t="s">
        <v>1033</v>
      </c>
      <c r="D323" s="135" t="s">
        <v>1034</v>
      </c>
      <c r="E323" s="135" t="s">
        <v>1036</v>
      </c>
      <c r="F323" s="135" t="s">
        <v>2429</v>
      </c>
      <c r="G323" s="135" t="s">
        <v>101</v>
      </c>
      <c r="H323" s="135" t="s">
        <v>2446</v>
      </c>
      <c r="I323" s="135"/>
      <c r="J323" s="135">
        <v>204</v>
      </c>
      <c r="K323" s="10"/>
      <c r="L323" s="10"/>
      <c r="M323" s="10"/>
      <c r="P323" s="10" t="str">
        <f>VLOOKUP(C323,Table_view_sorted!A$2:A$215,1,FALSE)</f>
        <v>Target Transaction Id</v>
      </c>
      <c r="Q323" t="e">
        <f>VLOOKUP(D323,AVY_FACT!A$2:A$153,1,FALSE)</f>
        <v>#N/A</v>
      </c>
      <c r="R323" t="str">
        <f>D323&amp;"  "&amp;G323&amp;","</f>
        <v>REL_TXN_ID  NUMBER(38,0),</v>
      </c>
      <c r="T323" s="23" t="s">
        <v>2460</v>
      </c>
      <c r="U323" s="23" t="s">
        <v>1142</v>
      </c>
    </row>
    <row r="324" spans="1:21">
      <c r="A324" s="135" t="s">
        <v>2385</v>
      </c>
      <c r="B324" s="135" t="s">
        <v>4</v>
      </c>
      <c r="C324" s="135" t="s">
        <v>1428</v>
      </c>
      <c r="D324" s="135" t="s">
        <v>1429</v>
      </c>
      <c r="E324" s="135" t="s">
        <v>1431</v>
      </c>
      <c r="F324" s="135"/>
      <c r="G324" s="135" t="s">
        <v>101</v>
      </c>
      <c r="H324" s="135" t="s">
        <v>2446</v>
      </c>
      <c r="I324" s="135"/>
      <c r="J324" s="135">
        <v>260</v>
      </c>
      <c r="K324" s="10"/>
      <c r="L324" s="10"/>
      <c r="M324" s="10"/>
      <c r="P324" s="10" t="e">
        <f>VLOOKUP(C324,Table_view_sorted!A$2:A$215,1,FALSE)</f>
        <v>#N/A</v>
      </c>
      <c r="Q324" t="e">
        <f>VLOOKUP(D324,AVY_FACT!A$2:A$153,1,FALSE)</f>
        <v>#N/A</v>
      </c>
      <c r="R324" t="str">
        <f>D324&amp;"  "&amp;G324&amp;","</f>
        <v>TAX_RPT_CLNT_ID  NUMBER(38,0),</v>
      </c>
      <c r="T324" s="10"/>
      <c r="U324" s="10"/>
    </row>
    <row r="325" spans="1:21">
      <c r="A325" s="135" t="s">
        <v>2385</v>
      </c>
      <c r="B325" s="135" t="s">
        <v>4</v>
      </c>
      <c r="C325" s="135" t="s">
        <v>1436</v>
      </c>
      <c r="D325" s="135" t="s">
        <v>1437</v>
      </c>
      <c r="E325" s="135" t="s">
        <v>1439</v>
      </c>
      <c r="F325" s="135"/>
      <c r="G325" s="135" t="s">
        <v>82</v>
      </c>
      <c r="H325" s="135" t="s">
        <v>2446</v>
      </c>
      <c r="I325" s="135"/>
      <c r="J325" s="135">
        <v>262</v>
      </c>
      <c r="K325" s="10"/>
      <c r="L325" s="10"/>
      <c r="M325" s="10"/>
    </row>
    <row r="326" spans="1:21">
      <c r="A326" s="135" t="s">
        <v>2385</v>
      </c>
      <c r="B326" s="135" t="s">
        <v>4</v>
      </c>
      <c r="C326" s="135" t="s">
        <v>1420</v>
      </c>
      <c r="D326" s="135" t="s">
        <v>1421</v>
      </c>
      <c r="E326" s="135" t="s">
        <v>1423</v>
      </c>
      <c r="F326" s="135"/>
      <c r="G326" s="135" t="s">
        <v>82</v>
      </c>
      <c r="H326" s="135" t="s">
        <v>2446</v>
      </c>
      <c r="I326" s="135"/>
      <c r="J326" s="135">
        <v>258</v>
      </c>
      <c r="K326" s="10"/>
      <c r="L326" s="10"/>
      <c r="M326" s="10"/>
    </row>
    <row r="327" spans="1:21">
      <c r="A327" s="135" t="s">
        <v>2385</v>
      </c>
      <c r="B327" s="135" t="s">
        <v>4</v>
      </c>
      <c r="C327" s="135" t="s">
        <v>1258</v>
      </c>
      <c r="D327" s="135" t="s">
        <v>1259</v>
      </c>
      <c r="E327" s="135" t="s">
        <v>2521</v>
      </c>
      <c r="F327" s="135" t="s">
        <v>2453</v>
      </c>
      <c r="G327" s="135" t="s">
        <v>82</v>
      </c>
      <c r="H327" s="135" t="s">
        <v>2446</v>
      </c>
      <c r="I327" s="135"/>
      <c r="J327" s="135">
        <v>230</v>
      </c>
      <c r="K327" s="10"/>
      <c r="L327" s="10"/>
      <c r="M327" s="10"/>
    </row>
    <row r="328" spans="1:21">
      <c r="A328" s="135" t="s">
        <v>2385</v>
      </c>
      <c r="B328" s="135" t="s">
        <v>4</v>
      </c>
      <c r="C328" s="135" t="s">
        <v>1231</v>
      </c>
      <c r="D328" s="135" t="s">
        <v>2522</v>
      </c>
      <c r="E328" s="135" t="s">
        <v>1233</v>
      </c>
      <c r="F328" s="135"/>
      <c r="G328" s="135" t="s">
        <v>82</v>
      </c>
      <c r="H328" s="135" t="s">
        <v>2446</v>
      </c>
      <c r="I328" s="135"/>
      <c r="J328" s="135">
        <v>225</v>
      </c>
      <c r="K328" s="10"/>
      <c r="L328" s="10"/>
      <c r="M328" s="10"/>
    </row>
    <row r="329" spans="1:21">
      <c r="A329" s="135" t="s">
        <v>2385</v>
      </c>
      <c r="B329" s="135" t="s">
        <v>4</v>
      </c>
      <c r="C329" s="135" t="s">
        <v>1040</v>
      </c>
      <c r="D329" s="135" t="s">
        <v>1041</v>
      </c>
      <c r="E329" s="135" t="s">
        <v>1043</v>
      </c>
      <c r="F329" s="135" t="s">
        <v>2457</v>
      </c>
      <c r="G329" s="135" t="s">
        <v>157</v>
      </c>
      <c r="H329" s="135" t="s">
        <v>2450</v>
      </c>
      <c r="I329" s="135"/>
      <c r="J329" s="135">
        <v>19</v>
      </c>
      <c r="K329" s="10"/>
      <c r="L329" s="10"/>
      <c r="M329" s="10"/>
    </row>
    <row r="330" spans="1:21">
      <c r="A330" s="135" t="s">
        <v>2385</v>
      </c>
      <c r="B330" s="135" t="s">
        <v>4</v>
      </c>
      <c r="C330" s="135" t="s">
        <v>343</v>
      </c>
      <c r="D330" s="135" t="s">
        <v>344</v>
      </c>
      <c r="E330" s="135" t="s">
        <v>346</v>
      </c>
      <c r="F330" s="135" t="s">
        <v>2428</v>
      </c>
      <c r="G330" s="135" t="s">
        <v>101</v>
      </c>
      <c r="H330" s="135" t="s">
        <v>2450</v>
      </c>
      <c r="I330" s="135"/>
      <c r="J330" s="135">
        <v>37</v>
      </c>
      <c r="K330" s="10"/>
      <c r="L330" s="10"/>
      <c r="M330" s="10"/>
    </row>
    <row r="331" spans="1:21" ht="82.8">
      <c r="A331" s="135" t="s">
        <v>2385</v>
      </c>
      <c r="B331" s="135" t="s">
        <v>4</v>
      </c>
      <c r="C331" s="135" t="s">
        <v>1186</v>
      </c>
      <c r="D331" s="135" t="s">
        <v>1191</v>
      </c>
      <c r="E331" s="136" t="s">
        <v>2523</v>
      </c>
      <c r="F331" s="135"/>
      <c r="G331" s="135" t="s">
        <v>1188</v>
      </c>
      <c r="H331" s="135" t="s">
        <v>2446</v>
      </c>
      <c r="I331" s="135"/>
      <c r="J331" s="135">
        <v>215</v>
      </c>
      <c r="K331" s="10"/>
      <c r="L331" s="10"/>
      <c r="M331" s="10"/>
    </row>
    <row r="332" spans="1:21">
      <c r="A332" s="135" t="s">
        <v>2385</v>
      </c>
      <c r="B332" s="135" t="s">
        <v>4</v>
      </c>
      <c r="C332" s="135" t="s">
        <v>1044</v>
      </c>
      <c r="D332" s="135" t="s">
        <v>1045</v>
      </c>
      <c r="E332" s="135" t="s">
        <v>1047</v>
      </c>
      <c r="F332" s="135" t="s">
        <v>1044</v>
      </c>
      <c r="G332" s="135" t="s">
        <v>227</v>
      </c>
      <c r="H332" s="135" t="s">
        <v>2446</v>
      </c>
      <c r="I332" s="135"/>
      <c r="J332" s="135">
        <v>25</v>
      </c>
      <c r="K332" s="10"/>
      <c r="L332" s="10"/>
      <c r="M332" s="10"/>
    </row>
    <row r="333" spans="1:21">
      <c r="A333" s="135" t="s">
        <v>2385</v>
      </c>
      <c r="B333" s="135" t="s">
        <v>4</v>
      </c>
      <c r="C333" s="135" t="s">
        <v>1206</v>
      </c>
      <c r="D333" s="135" t="s">
        <v>2524</v>
      </c>
      <c r="E333" s="135" t="s">
        <v>1208</v>
      </c>
      <c r="F333" s="135" t="s">
        <v>2432</v>
      </c>
      <c r="G333" s="135" t="s">
        <v>559</v>
      </c>
      <c r="H333" s="135" t="s">
        <v>2446</v>
      </c>
      <c r="I333" s="135"/>
      <c r="J333" s="135">
        <v>219</v>
      </c>
      <c r="K333" s="10"/>
      <c r="L333" s="10"/>
      <c r="M333" s="10"/>
    </row>
    <row r="334" spans="1:21">
      <c r="A334" s="135" t="s">
        <v>2385</v>
      </c>
      <c r="B334" s="135" t="s">
        <v>4</v>
      </c>
      <c r="C334" s="135" t="s">
        <v>1057</v>
      </c>
      <c r="D334" s="135" t="s">
        <v>1058</v>
      </c>
      <c r="E334" s="135" t="s">
        <v>1060</v>
      </c>
      <c r="F334" s="135" t="s">
        <v>2455</v>
      </c>
      <c r="G334" s="135" t="s">
        <v>139</v>
      </c>
      <c r="H334" s="135" t="s">
        <v>2446</v>
      </c>
      <c r="I334" s="135"/>
      <c r="J334" s="135">
        <v>141</v>
      </c>
      <c r="K334" s="10"/>
      <c r="L334" s="10"/>
      <c r="M334" s="10"/>
    </row>
    <row r="335" spans="1:21">
      <c r="A335" s="135" t="s">
        <v>2385</v>
      </c>
      <c r="B335" s="135" t="s">
        <v>4</v>
      </c>
      <c r="C335" s="135" t="s">
        <v>1048</v>
      </c>
      <c r="D335" s="135" t="s">
        <v>1049</v>
      </c>
      <c r="E335" s="135" t="s">
        <v>1050</v>
      </c>
      <c r="F335" s="135" t="s">
        <v>2429</v>
      </c>
      <c r="G335" s="135" t="s">
        <v>101</v>
      </c>
      <c r="H335" s="135" t="s">
        <v>2450</v>
      </c>
      <c r="I335" s="135"/>
      <c r="J335" s="135">
        <v>13</v>
      </c>
      <c r="K335" s="10"/>
      <c r="L335" s="10"/>
      <c r="M335" s="10"/>
    </row>
    <row r="336" spans="1:21">
      <c r="A336" s="135" t="s">
        <v>2385</v>
      </c>
      <c r="B336" s="135" t="s">
        <v>4</v>
      </c>
      <c r="C336" s="135" t="s">
        <v>1054</v>
      </c>
      <c r="D336" s="135" t="s">
        <v>1055</v>
      </c>
      <c r="E336" s="135" t="s">
        <v>1056</v>
      </c>
      <c r="F336" s="135" t="s">
        <v>2429</v>
      </c>
      <c r="G336" s="135" t="s">
        <v>101</v>
      </c>
      <c r="H336" s="135" t="s">
        <v>2446</v>
      </c>
      <c r="I336" s="135"/>
      <c r="J336" s="135">
        <v>210</v>
      </c>
      <c r="K336" s="10"/>
      <c r="L336" s="10"/>
      <c r="M336" s="10"/>
    </row>
    <row r="337" spans="1:21">
      <c r="A337" s="135" t="s">
        <v>2385</v>
      </c>
      <c r="B337" s="135" t="s">
        <v>4</v>
      </c>
      <c r="C337" s="135" t="s">
        <v>1061</v>
      </c>
      <c r="D337" s="135" t="s">
        <v>1062</v>
      </c>
      <c r="E337" s="135" t="s">
        <v>1064</v>
      </c>
      <c r="F337" s="135" t="s">
        <v>2466</v>
      </c>
      <c r="G337" s="135" t="s">
        <v>109</v>
      </c>
      <c r="H337" s="135" t="s">
        <v>2446</v>
      </c>
      <c r="I337" s="135"/>
      <c r="J337" s="135">
        <v>142</v>
      </c>
      <c r="K337" s="10"/>
      <c r="L337" s="10"/>
      <c r="M337" s="10"/>
    </row>
    <row r="338" spans="1:21">
      <c r="A338" s="135" t="s">
        <v>2385</v>
      </c>
      <c r="B338" s="135" t="s">
        <v>4</v>
      </c>
      <c r="C338" s="135" t="s">
        <v>1065</v>
      </c>
      <c r="D338" s="135" t="s">
        <v>1066</v>
      </c>
      <c r="E338" s="135" t="s">
        <v>1065</v>
      </c>
      <c r="F338" s="135"/>
      <c r="G338" s="135" t="s">
        <v>519</v>
      </c>
      <c r="H338" s="135" t="s">
        <v>2446</v>
      </c>
      <c r="I338" s="135"/>
      <c r="J338" s="135">
        <v>54</v>
      </c>
      <c r="K338" s="10"/>
      <c r="L338" s="10"/>
      <c r="M338" s="10"/>
    </row>
    <row r="339" spans="1:21">
      <c r="A339" s="135" t="s">
        <v>2385</v>
      </c>
      <c r="B339" s="135" t="s">
        <v>4</v>
      </c>
      <c r="C339" s="135" t="s">
        <v>1354</v>
      </c>
      <c r="D339" s="135" t="s">
        <v>1355</v>
      </c>
      <c r="E339" s="135" t="s">
        <v>2525</v>
      </c>
      <c r="F339" s="135"/>
      <c r="G339" s="135" t="s">
        <v>1336</v>
      </c>
      <c r="H339" s="135" t="s">
        <v>2446</v>
      </c>
      <c r="I339" s="135"/>
      <c r="J339" s="135">
        <v>246</v>
      </c>
      <c r="K339" s="10"/>
      <c r="L339" s="10"/>
      <c r="M339" s="10"/>
    </row>
    <row r="340" spans="1:21">
      <c r="A340" s="135" t="s">
        <v>2385</v>
      </c>
      <c r="B340" s="135" t="s">
        <v>4</v>
      </c>
      <c r="C340" s="135" t="s">
        <v>1068</v>
      </c>
      <c r="D340" s="135" t="s">
        <v>1069</v>
      </c>
      <c r="E340" s="135" t="s">
        <v>1071</v>
      </c>
      <c r="F340" s="135" t="s">
        <v>2428</v>
      </c>
      <c r="G340" s="135" t="s">
        <v>101</v>
      </c>
      <c r="H340" s="135" t="s">
        <v>2450</v>
      </c>
      <c r="I340" s="135"/>
      <c r="J340" s="135">
        <v>23</v>
      </c>
      <c r="K340" s="10"/>
      <c r="L340" s="10"/>
      <c r="M340" s="10"/>
      <c r="N340" s="10"/>
      <c r="O340" s="10"/>
      <c r="P340" s="10" t="str">
        <f>VLOOKUP(C340,Table_view_sorted!A$2:A$215,1,FALSE)</f>
        <v>Transaction ID</v>
      </c>
      <c r="Q340" t="str">
        <f>VLOOKUP(D340,AVY_FACT!A$2:A$153,1,FALSE)</f>
        <v>TXN_ID</v>
      </c>
      <c r="R340" t="str">
        <f>D340&amp;"  "&amp;G340&amp;","</f>
        <v>TXN_ID  NUMBER(38,0),</v>
      </c>
      <c r="T340" s="10"/>
      <c r="U340" s="10"/>
    </row>
    <row r="341" spans="1:21" ht="69">
      <c r="A341" s="135" t="s">
        <v>2385</v>
      </c>
      <c r="B341" s="135" t="s">
        <v>4</v>
      </c>
      <c r="C341" s="135" t="s">
        <v>280</v>
      </c>
      <c r="D341" s="135" t="s">
        <v>281</v>
      </c>
      <c r="E341" s="136" t="s">
        <v>2526</v>
      </c>
      <c r="F341" s="135" t="s">
        <v>2429</v>
      </c>
      <c r="G341" s="135" t="s">
        <v>101</v>
      </c>
      <c r="H341" s="135" t="s">
        <v>2446</v>
      </c>
      <c r="I341" s="135"/>
      <c r="J341" s="135">
        <v>168</v>
      </c>
      <c r="K341" s="10"/>
      <c r="L341" s="10"/>
      <c r="M341" s="10"/>
      <c r="P341" s="10" t="str">
        <f>VLOOKUP(C341,Table_view_sorted!A$2:A$215,1,FALSE)</f>
        <v>Transaction Reconciliation Replay count</v>
      </c>
      <c r="Q341" t="e">
        <f>VLOOKUP(D341,AVY_FACT!A$2:A$153,1,FALSE)</f>
        <v>#N/A</v>
      </c>
      <c r="R341" t="str">
        <f>D341&amp;"  "&amp;G341&amp;","</f>
        <v>TXN_RCNCL_REPL_CNT  NUMBER(38,0),</v>
      </c>
      <c r="T341" s="10"/>
      <c r="U341" s="10"/>
    </row>
    <row r="342" spans="1:21">
      <c r="A342" s="135" t="s">
        <v>2385</v>
      </c>
      <c r="B342" s="135" t="s">
        <v>4</v>
      </c>
      <c r="C342" s="135" t="s">
        <v>289</v>
      </c>
      <c r="D342" s="135" t="s">
        <v>290</v>
      </c>
      <c r="E342" s="135" t="s">
        <v>291</v>
      </c>
      <c r="F342" s="135" t="s">
        <v>2455</v>
      </c>
      <c r="G342" s="135" t="s">
        <v>139</v>
      </c>
      <c r="H342" s="135" t="s">
        <v>2446</v>
      </c>
      <c r="I342" s="135"/>
      <c r="J342" s="135">
        <v>172</v>
      </c>
      <c r="K342" s="10"/>
      <c r="L342" s="10"/>
      <c r="M342" s="10"/>
    </row>
    <row r="343" spans="1:21">
      <c r="A343" s="135" t="s">
        <v>2385</v>
      </c>
      <c r="B343" s="135" t="s">
        <v>4</v>
      </c>
      <c r="C343" s="135" t="s">
        <v>285</v>
      </c>
      <c r="D343" s="135" t="s">
        <v>286</v>
      </c>
      <c r="E343" s="135" t="s">
        <v>287</v>
      </c>
      <c r="F343" s="135" t="s">
        <v>2429</v>
      </c>
      <c r="G343" s="135" t="s">
        <v>101</v>
      </c>
      <c r="H343" s="135" t="s">
        <v>2446</v>
      </c>
      <c r="I343" s="135"/>
      <c r="J343" s="135">
        <v>171</v>
      </c>
      <c r="K343" s="10"/>
      <c r="L343" s="10"/>
      <c r="M343" s="10"/>
    </row>
    <row r="344" spans="1:21">
      <c r="A344" s="135" t="s">
        <v>2385</v>
      </c>
      <c r="B344" s="135" t="s">
        <v>4</v>
      </c>
      <c r="C344" s="135" t="s">
        <v>295</v>
      </c>
      <c r="D344" s="135" t="s">
        <v>296</v>
      </c>
      <c r="E344" s="135" t="s">
        <v>297</v>
      </c>
      <c r="F344" s="135" t="s">
        <v>2466</v>
      </c>
      <c r="G344" s="135" t="s">
        <v>109</v>
      </c>
      <c r="H344" s="135" t="s">
        <v>2446</v>
      </c>
      <c r="I344" s="135"/>
      <c r="J344" s="135">
        <v>173</v>
      </c>
      <c r="K344" s="10"/>
      <c r="L344" s="10"/>
      <c r="M344" s="10"/>
    </row>
    <row r="345" spans="1:21">
      <c r="A345" s="135" t="s">
        <v>2385</v>
      </c>
      <c r="B345" s="135" t="s">
        <v>4</v>
      </c>
      <c r="C345" s="135" t="s">
        <v>1072</v>
      </c>
      <c r="D345" s="135" t="s">
        <v>1073</v>
      </c>
      <c r="E345" s="135" t="s">
        <v>1075</v>
      </c>
      <c r="F345" s="135" t="s">
        <v>2466</v>
      </c>
      <c r="G345" s="135" t="s">
        <v>109</v>
      </c>
      <c r="H345" s="135" t="s">
        <v>2446</v>
      </c>
      <c r="I345" s="135"/>
      <c r="J345" s="135">
        <v>27</v>
      </c>
      <c r="K345" s="10"/>
      <c r="L345" s="10"/>
      <c r="M345" s="10"/>
    </row>
    <row r="346" spans="1:21">
      <c r="A346" s="135" t="s">
        <v>2385</v>
      </c>
      <c r="B346" s="135" t="s">
        <v>4</v>
      </c>
      <c r="C346" s="135" t="s">
        <v>1006</v>
      </c>
      <c r="D346" s="135" t="s">
        <v>1007</v>
      </c>
      <c r="E346" s="135" t="s">
        <v>1008</v>
      </c>
      <c r="F346" s="135" t="s">
        <v>2429</v>
      </c>
      <c r="G346" s="135" t="s">
        <v>101</v>
      </c>
      <c r="H346" s="135" t="s">
        <v>2450</v>
      </c>
      <c r="I346" s="135"/>
      <c r="J346" s="135">
        <v>14</v>
      </c>
      <c r="K346" s="10"/>
      <c r="L346" s="10"/>
      <c r="M346" s="10"/>
    </row>
    <row r="347" spans="1:21" ht="41.4">
      <c r="A347" s="135" t="s">
        <v>2385</v>
      </c>
      <c r="B347" s="135" t="s">
        <v>4</v>
      </c>
      <c r="C347" s="135" t="s">
        <v>1243</v>
      </c>
      <c r="D347" s="135" t="s">
        <v>1244</v>
      </c>
      <c r="E347" s="136" t="s">
        <v>2527</v>
      </c>
      <c r="F347" s="135" t="s">
        <v>2455</v>
      </c>
      <c r="G347" s="135" t="s">
        <v>139</v>
      </c>
      <c r="H347" s="135" t="s">
        <v>2446</v>
      </c>
      <c r="I347" s="135"/>
      <c r="J347" s="135">
        <v>228</v>
      </c>
      <c r="K347" s="10"/>
      <c r="L347" s="10"/>
      <c r="M347" s="10"/>
    </row>
    <row r="348" spans="1:21" ht="41.4">
      <c r="A348" s="135" t="s">
        <v>2385</v>
      </c>
      <c r="B348" s="135" t="s">
        <v>4</v>
      </c>
      <c r="C348" s="135" t="s">
        <v>1253</v>
      </c>
      <c r="D348" s="135" t="s">
        <v>1254</v>
      </c>
      <c r="E348" s="136" t="s">
        <v>2528</v>
      </c>
      <c r="F348" s="135" t="s">
        <v>2456</v>
      </c>
      <c r="G348" s="135" t="s">
        <v>90</v>
      </c>
      <c r="H348" s="135" t="s">
        <v>2446</v>
      </c>
      <c r="I348" s="135"/>
      <c r="J348" s="135">
        <v>229</v>
      </c>
      <c r="K348" s="10"/>
      <c r="L348" s="10"/>
      <c r="M348" s="10"/>
    </row>
    <row r="349" spans="1:21">
      <c r="A349" s="135" t="s">
        <v>2385</v>
      </c>
      <c r="B349" s="135" t="s">
        <v>4</v>
      </c>
      <c r="C349" s="135" t="s">
        <v>1076</v>
      </c>
      <c r="D349" s="135" t="s">
        <v>1077</v>
      </c>
      <c r="E349" s="135" t="s">
        <v>1079</v>
      </c>
      <c r="F349" s="135" t="s">
        <v>2455</v>
      </c>
      <c r="G349" s="135" t="s">
        <v>139</v>
      </c>
      <c r="H349" s="135" t="s">
        <v>2446</v>
      </c>
      <c r="I349" s="135"/>
      <c r="J349" s="135">
        <v>62</v>
      </c>
      <c r="K349" s="10"/>
      <c r="L349" s="10"/>
      <c r="M349" s="10"/>
    </row>
    <row r="350" spans="1:21">
      <c r="A350" s="135" t="s">
        <v>2385</v>
      </c>
      <c r="B350" s="135" t="s">
        <v>4</v>
      </c>
      <c r="C350" s="135" t="s">
        <v>1081</v>
      </c>
      <c r="D350" s="135" t="s">
        <v>1082</v>
      </c>
      <c r="E350" s="135" t="s">
        <v>1084</v>
      </c>
      <c r="F350" s="135" t="s">
        <v>2465</v>
      </c>
      <c r="G350" s="135" t="s">
        <v>485</v>
      </c>
      <c r="H350" s="135" t="s">
        <v>2446</v>
      </c>
      <c r="I350" s="135"/>
      <c r="J350" s="135">
        <v>64</v>
      </c>
      <c r="K350" s="10"/>
      <c r="L350" s="10"/>
      <c r="M350" s="10"/>
    </row>
    <row r="351" spans="1:21">
      <c r="A351" s="135" t="s">
        <v>2385</v>
      </c>
      <c r="B351" s="135" t="s">
        <v>4</v>
      </c>
      <c r="C351" s="135" t="s">
        <v>1086</v>
      </c>
      <c r="D351" s="135" t="s">
        <v>1087</v>
      </c>
      <c r="E351" s="135" t="s">
        <v>1088</v>
      </c>
      <c r="F351" s="135" t="s">
        <v>2429</v>
      </c>
      <c r="G351" s="135" t="s">
        <v>101</v>
      </c>
      <c r="H351" s="135" t="s">
        <v>2446</v>
      </c>
      <c r="I351" s="135"/>
      <c r="J351" s="135">
        <v>61</v>
      </c>
      <c r="K351" s="10"/>
      <c r="L351" s="10"/>
      <c r="M351" s="10"/>
    </row>
    <row r="352" spans="1:21">
      <c r="A352" s="135" t="s">
        <v>2385</v>
      </c>
      <c r="B352" s="135" t="s">
        <v>4</v>
      </c>
      <c r="C352" s="135" t="s">
        <v>1089</v>
      </c>
      <c r="D352" s="135" t="s">
        <v>1090</v>
      </c>
      <c r="E352" s="135" t="s">
        <v>1092</v>
      </c>
      <c r="F352" s="135" t="s">
        <v>2466</v>
      </c>
      <c r="G352" s="135" t="s">
        <v>109</v>
      </c>
      <c r="H352" s="135" t="s">
        <v>2446</v>
      </c>
      <c r="I352" s="135"/>
      <c r="J352" s="135">
        <v>63</v>
      </c>
      <c r="K352" s="10"/>
      <c r="L352" s="10"/>
      <c r="M352" s="10"/>
    </row>
    <row r="353" spans="1:21">
      <c r="A353" s="135" t="s">
        <v>2385</v>
      </c>
      <c r="B353" s="135" t="s">
        <v>4</v>
      </c>
      <c r="C353" s="135" t="s">
        <v>1093</v>
      </c>
      <c r="D353" s="135" t="s">
        <v>1094</v>
      </c>
      <c r="E353" s="135" t="s">
        <v>1096</v>
      </c>
      <c r="F353" s="135" t="s">
        <v>2455</v>
      </c>
      <c r="G353" s="135" t="s">
        <v>139</v>
      </c>
      <c r="H353" s="135" t="s">
        <v>2446</v>
      </c>
      <c r="I353" s="135"/>
      <c r="J353" s="135">
        <v>58</v>
      </c>
      <c r="K353" s="10"/>
      <c r="L353" s="10"/>
      <c r="M353" s="10"/>
    </row>
    <row r="354" spans="1:21">
      <c r="A354" s="135" t="s">
        <v>2385</v>
      </c>
      <c r="B354" s="135" t="s">
        <v>4</v>
      </c>
      <c r="C354" s="135" t="s">
        <v>1098</v>
      </c>
      <c r="D354" s="135" t="s">
        <v>1099</v>
      </c>
      <c r="E354" s="135" t="s">
        <v>1101</v>
      </c>
      <c r="F354" s="135" t="s">
        <v>2465</v>
      </c>
      <c r="G354" s="135" t="s">
        <v>485</v>
      </c>
      <c r="H354" s="135" t="s">
        <v>2446</v>
      </c>
      <c r="I354" s="135"/>
      <c r="J354" s="135">
        <v>60</v>
      </c>
      <c r="K354" s="10"/>
      <c r="L354" s="10"/>
      <c r="M354" s="10"/>
    </row>
    <row r="355" spans="1:21">
      <c r="A355" s="135" t="s">
        <v>2385</v>
      </c>
      <c r="B355" s="135" t="s">
        <v>4</v>
      </c>
      <c r="C355" s="135" t="s">
        <v>1103</v>
      </c>
      <c r="D355" s="135" t="s">
        <v>1104</v>
      </c>
      <c r="E355" s="135" t="s">
        <v>1105</v>
      </c>
      <c r="F355" s="135" t="s">
        <v>2429</v>
      </c>
      <c r="G355" s="135" t="s">
        <v>101</v>
      </c>
      <c r="H355" s="135" t="s">
        <v>2446</v>
      </c>
      <c r="I355" s="135"/>
      <c r="J355" s="135">
        <v>57</v>
      </c>
      <c r="K355" s="10"/>
      <c r="L355" s="10"/>
      <c r="M355" s="10"/>
    </row>
    <row r="356" spans="1:21">
      <c r="A356" s="135" t="s">
        <v>2385</v>
      </c>
      <c r="B356" s="135" t="s">
        <v>4</v>
      </c>
      <c r="C356" s="135" t="s">
        <v>1106</v>
      </c>
      <c r="D356" s="135" t="s">
        <v>1107</v>
      </c>
      <c r="E356" s="135" t="s">
        <v>1109</v>
      </c>
      <c r="F356" s="135" t="s">
        <v>2466</v>
      </c>
      <c r="G356" s="135" t="s">
        <v>109</v>
      </c>
      <c r="H356" s="135" t="s">
        <v>2446</v>
      </c>
      <c r="I356" s="135"/>
      <c r="J356" s="135">
        <v>59</v>
      </c>
      <c r="K356" s="10"/>
      <c r="L356" s="10"/>
      <c r="M356" s="10"/>
    </row>
    <row r="357" spans="1:21">
      <c r="A357" s="135" t="s">
        <v>2385</v>
      </c>
      <c r="B357" s="135" t="s">
        <v>4</v>
      </c>
      <c r="C357" s="135" t="s">
        <v>1287</v>
      </c>
      <c r="D357" s="135" t="s">
        <v>1288</v>
      </c>
      <c r="E357" s="135" t="s">
        <v>1289</v>
      </c>
      <c r="F357" s="135" t="s">
        <v>2432</v>
      </c>
      <c r="G357" s="135" t="s">
        <v>559</v>
      </c>
      <c r="H357" s="135" t="s">
        <v>2446</v>
      </c>
      <c r="I357" s="135"/>
      <c r="J357" s="135">
        <v>235</v>
      </c>
      <c r="K357" s="10"/>
      <c r="L357" s="10"/>
      <c r="M357" s="10"/>
    </row>
    <row r="358" spans="1:21">
      <c r="A358" s="135" t="s">
        <v>2385</v>
      </c>
      <c r="B358" s="135" t="s">
        <v>4</v>
      </c>
      <c r="C358" s="135" t="s">
        <v>1293</v>
      </c>
      <c r="D358" s="135" t="s">
        <v>1294</v>
      </c>
      <c r="E358" s="135" t="s">
        <v>1296</v>
      </c>
      <c r="F358" s="135" t="s">
        <v>2432</v>
      </c>
      <c r="G358" s="135" t="s">
        <v>559</v>
      </c>
      <c r="H358" s="135" t="s">
        <v>2446</v>
      </c>
      <c r="I358" s="135"/>
      <c r="J358" s="135">
        <v>236</v>
      </c>
      <c r="K358" s="10"/>
      <c r="L358" s="10"/>
      <c r="M358" s="10"/>
    </row>
    <row r="359" spans="1:21">
      <c r="A359" s="135" t="s">
        <v>2385</v>
      </c>
      <c r="B359" s="135" t="s">
        <v>4</v>
      </c>
      <c r="C359" s="135" t="s">
        <v>1298</v>
      </c>
      <c r="D359" s="135" t="s">
        <v>1299</v>
      </c>
      <c r="E359" s="135" t="s">
        <v>2529</v>
      </c>
      <c r="F359" s="135" t="s">
        <v>2445</v>
      </c>
      <c r="G359" s="135" t="s">
        <v>82</v>
      </c>
      <c r="H359" s="135" t="s">
        <v>2446</v>
      </c>
      <c r="I359" s="135"/>
      <c r="J359" s="135">
        <v>237</v>
      </c>
      <c r="K359" s="10"/>
      <c r="L359" s="10"/>
      <c r="M359" s="10"/>
    </row>
    <row r="360" spans="1:21">
      <c r="A360" s="10"/>
      <c r="B360" s="10"/>
      <c r="C360" s="10"/>
      <c r="D360" s="10"/>
      <c r="E360" s="10"/>
      <c r="F360" s="10"/>
      <c r="G360" s="10"/>
      <c r="H360" s="10"/>
      <c r="I360" s="10"/>
      <c r="J360" s="10"/>
      <c r="K360" s="10"/>
      <c r="L360" s="10"/>
      <c r="M360" s="10"/>
    </row>
    <row r="361" spans="1:21">
      <c r="A361" s="10"/>
      <c r="B361" s="10"/>
      <c r="C361" s="10"/>
      <c r="D361" s="10"/>
      <c r="E361" s="10"/>
      <c r="F361" s="10"/>
      <c r="G361" s="10"/>
      <c r="H361" s="10"/>
      <c r="I361" s="10"/>
      <c r="J361" s="10"/>
      <c r="K361" s="10"/>
      <c r="L361" s="10"/>
      <c r="M361" s="10"/>
    </row>
    <row r="362" spans="1:21">
      <c r="A362" s="10"/>
      <c r="B362" s="10"/>
      <c r="C362" s="10"/>
      <c r="D362" s="10"/>
      <c r="E362" s="10"/>
      <c r="F362" s="10"/>
      <c r="G362" s="10"/>
      <c r="H362" s="10"/>
      <c r="I362" s="10"/>
      <c r="J362" s="10"/>
      <c r="K362" s="10"/>
      <c r="L362" s="10"/>
      <c r="M362" s="10"/>
    </row>
    <row r="363" spans="1:21">
      <c r="A363" s="10"/>
      <c r="B363" s="10"/>
      <c r="C363" s="10"/>
      <c r="D363" s="10"/>
      <c r="E363" s="10"/>
      <c r="F363" s="10"/>
      <c r="G363" s="10"/>
      <c r="H363" s="10"/>
      <c r="I363" s="10"/>
      <c r="J363" s="10"/>
      <c r="K363" s="10"/>
      <c r="L363" s="10"/>
      <c r="M363" s="10"/>
    </row>
    <row r="364" spans="1:21">
      <c r="A364" s="10"/>
      <c r="B364" s="10"/>
      <c r="C364" s="10"/>
      <c r="D364" s="10"/>
      <c r="E364" s="10"/>
      <c r="F364" s="10"/>
      <c r="G364" s="10"/>
      <c r="H364" s="10"/>
      <c r="I364" s="10"/>
      <c r="J364" s="10"/>
      <c r="K364" s="10"/>
      <c r="L364" s="10"/>
      <c r="M364" s="10"/>
    </row>
    <row r="365" spans="1:21">
      <c r="A365" s="10"/>
      <c r="B365" s="10"/>
      <c r="C365" s="10"/>
      <c r="D365" s="10"/>
      <c r="E365" s="10"/>
      <c r="F365" s="10"/>
      <c r="G365" s="10"/>
      <c r="H365" s="10"/>
      <c r="I365" s="10"/>
      <c r="J365" s="10"/>
      <c r="K365" s="10"/>
      <c r="L365" s="10"/>
      <c r="M365" s="10"/>
    </row>
    <row r="366" spans="1:21">
      <c r="A366" s="10"/>
      <c r="B366" s="10"/>
      <c r="C366" s="10"/>
      <c r="D366" s="10"/>
      <c r="E366" s="10"/>
      <c r="F366" s="10"/>
      <c r="G366" s="10"/>
      <c r="H366" s="10"/>
      <c r="I366" s="10"/>
      <c r="J366" s="10"/>
      <c r="K366" s="10"/>
      <c r="L366" s="10"/>
      <c r="M366" s="10"/>
      <c r="P366" s="10" t="e">
        <f>VLOOKUP(C366,Table_view_sorted!A$2:A$215,1,FALSE)</f>
        <v>#N/A</v>
      </c>
      <c r="Q366" t="e">
        <f>VLOOKUP(D366,AVY_FACT!A$2:A$153,1,FALSE)</f>
        <v>#N/A</v>
      </c>
      <c r="R366" t="str">
        <f>D366&amp;"  "&amp;G366&amp;","</f>
        <v xml:space="preserve">  ,</v>
      </c>
      <c r="T366" s="10"/>
      <c r="U366" s="10"/>
    </row>
    <row r="367" spans="1:21">
      <c r="A367" s="10"/>
      <c r="B367" s="10"/>
      <c r="C367" s="10"/>
      <c r="D367" s="10"/>
      <c r="E367" s="10"/>
      <c r="F367" s="10"/>
      <c r="G367" s="10"/>
      <c r="H367" s="10"/>
      <c r="I367" s="10"/>
      <c r="J367" s="10"/>
      <c r="K367" s="10"/>
      <c r="L367" s="10"/>
      <c r="M367" s="10"/>
      <c r="P367" s="10" t="e">
        <f>VLOOKUP(C367,Table_view_sorted!A$2:A$215,1,FALSE)</f>
        <v>#N/A</v>
      </c>
      <c r="Q367" t="e">
        <f>VLOOKUP(D367,AVY_FACT!A$2:A$153,1,FALSE)</f>
        <v>#N/A</v>
      </c>
      <c r="R367" t="str">
        <f>D367&amp;"  "&amp;G367&amp;","</f>
        <v xml:space="preserve">  ,</v>
      </c>
      <c r="T367" s="10"/>
      <c r="U367" s="10"/>
    </row>
    <row r="368" spans="1:21">
      <c r="A368" s="10"/>
      <c r="B368" s="10"/>
      <c r="C368" s="10"/>
      <c r="D368" s="10"/>
      <c r="E368" s="10"/>
      <c r="F368" s="10"/>
      <c r="G368" s="10"/>
      <c r="H368" s="10"/>
      <c r="I368" s="10"/>
      <c r="J368" s="10"/>
      <c r="K368" s="10"/>
      <c r="L368" s="10"/>
      <c r="M368" s="10"/>
    </row>
    <row r="369" spans="1:21">
      <c r="A369" s="10"/>
      <c r="B369" s="10"/>
      <c r="C369" s="10"/>
      <c r="D369" s="10"/>
      <c r="E369" s="10"/>
      <c r="F369" s="10"/>
      <c r="G369" s="10"/>
      <c r="H369" s="10"/>
      <c r="I369" s="10"/>
      <c r="J369" s="10"/>
      <c r="K369" s="10"/>
      <c r="L369" s="10"/>
      <c r="M369" s="10"/>
    </row>
    <row r="370" spans="1:21">
      <c r="A370" s="10"/>
      <c r="B370" s="10"/>
      <c r="C370" s="10"/>
      <c r="D370" s="10"/>
      <c r="E370" s="10"/>
      <c r="F370" s="10"/>
      <c r="G370" s="10"/>
      <c r="H370" s="10"/>
      <c r="I370" s="10"/>
      <c r="J370" s="10"/>
      <c r="K370" s="10"/>
      <c r="L370" s="10"/>
      <c r="M370" s="10"/>
    </row>
    <row r="371" spans="1:21">
      <c r="A371" s="10"/>
      <c r="B371" s="10"/>
      <c r="C371" s="10"/>
      <c r="D371" s="10"/>
      <c r="E371" s="10"/>
      <c r="F371" s="10"/>
      <c r="G371" s="10"/>
      <c r="H371" s="10"/>
      <c r="I371" s="10"/>
      <c r="J371" s="10"/>
      <c r="K371" s="10"/>
      <c r="L371" s="10"/>
      <c r="M371" s="10"/>
    </row>
    <row r="372" spans="1:21">
      <c r="A372" s="10"/>
      <c r="B372" s="10"/>
      <c r="C372" s="10"/>
      <c r="D372" s="10"/>
      <c r="E372" s="10"/>
      <c r="F372" s="10"/>
      <c r="G372" s="10"/>
      <c r="H372" s="10"/>
      <c r="I372" s="10"/>
      <c r="J372" s="10"/>
      <c r="K372" s="10"/>
      <c r="L372" s="10"/>
      <c r="M372" s="10"/>
    </row>
    <row r="373" spans="1:21">
      <c r="A373" s="10"/>
      <c r="B373" s="10"/>
      <c r="C373" s="10"/>
      <c r="D373" s="10"/>
      <c r="E373" s="10"/>
      <c r="F373" s="10"/>
      <c r="G373" s="10"/>
      <c r="H373" s="10"/>
      <c r="I373" s="10"/>
      <c r="J373" s="10"/>
      <c r="K373" s="10"/>
      <c r="L373" s="10"/>
      <c r="M373" s="10"/>
    </row>
    <row r="374" spans="1:21">
      <c r="A374" s="10"/>
      <c r="B374" s="10"/>
      <c r="C374" s="10"/>
      <c r="D374" s="10"/>
      <c r="E374" s="10"/>
      <c r="F374" s="10"/>
      <c r="G374" s="10"/>
      <c r="H374" s="10"/>
      <c r="I374" s="10"/>
      <c r="J374" s="10"/>
      <c r="K374" s="10"/>
      <c r="L374" s="10"/>
      <c r="M374" s="10"/>
    </row>
    <row r="375" spans="1:21">
      <c r="A375" s="10"/>
      <c r="B375" s="10"/>
      <c r="C375" s="10"/>
      <c r="D375" s="10"/>
      <c r="E375" s="10"/>
      <c r="F375" s="10"/>
      <c r="G375" s="10"/>
      <c r="H375" s="10"/>
      <c r="I375" s="10"/>
      <c r="J375" s="10"/>
      <c r="K375" s="10"/>
      <c r="L375" s="10"/>
      <c r="M375" s="10"/>
    </row>
    <row r="376" spans="1:21">
      <c r="A376" s="10"/>
      <c r="B376" s="10"/>
      <c r="C376" s="10"/>
      <c r="D376" s="10"/>
      <c r="E376" s="10"/>
      <c r="F376" s="10"/>
      <c r="G376" s="10"/>
      <c r="H376" s="10"/>
      <c r="I376" s="10"/>
      <c r="J376" s="10"/>
      <c r="K376" s="10"/>
      <c r="L376" s="10"/>
      <c r="M376" s="10"/>
    </row>
    <row r="377" spans="1:21">
      <c r="A377" s="10"/>
      <c r="B377" s="10"/>
      <c r="C377" s="10"/>
      <c r="D377" s="10"/>
      <c r="E377" s="10"/>
      <c r="F377" s="10"/>
      <c r="G377" s="10"/>
      <c r="H377" s="10"/>
      <c r="I377" s="10"/>
      <c r="J377" s="10"/>
      <c r="K377" s="10"/>
      <c r="L377" s="10"/>
      <c r="M377" s="10"/>
    </row>
    <row r="378" spans="1:21">
      <c r="A378" s="10"/>
      <c r="B378" s="10"/>
      <c r="C378" s="10"/>
      <c r="D378" s="10"/>
      <c r="E378" s="10"/>
      <c r="F378" s="10"/>
      <c r="G378" s="10"/>
      <c r="H378" s="10"/>
      <c r="I378" s="10"/>
      <c r="J378" s="10"/>
      <c r="K378" s="10"/>
      <c r="L378" s="10"/>
      <c r="M378" s="10"/>
    </row>
    <row r="379" spans="1:21">
      <c r="A379" s="10"/>
      <c r="B379" s="10"/>
      <c r="C379" s="10"/>
      <c r="D379" s="10"/>
      <c r="E379" s="10"/>
      <c r="F379" s="10"/>
      <c r="G379" s="10"/>
      <c r="H379" s="10"/>
      <c r="I379" s="10"/>
      <c r="J379" s="10"/>
      <c r="K379" s="10"/>
      <c r="L379" s="10"/>
      <c r="M379" s="10"/>
    </row>
    <row r="380" spans="1:21">
      <c r="A380" s="10"/>
      <c r="B380" s="10"/>
      <c r="C380" s="10"/>
      <c r="D380" s="10"/>
      <c r="E380" s="10"/>
      <c r="F380" s="10"/>
      <c r="G380" s="10"/>
      <c r="H380" s="10"/>
      <c r="I380" s="10"/>
      <c r="J380" s="10"/>
      <c r="K380" s="10"/>
      <c r="L380" s="10"/>
      <c r="M380" s="10"/>
      <c r="P380" s="10" t="e">
        <f>VLOOKUP(C380,Table_view_sorted!A$2:A$215,1,FALSE)</f>
        <v>#N/A</v>
      </c>
      <c r="Q380" t="e">
        <f>VLOOKUP(D380,AVY_FACT!A$2:A$153,1,FALSE)</f>
        <v>#N/A</v>
      </c>
      <c r="R380" t="str">
        <f>D380&amp;"  "&amp;G380&amp;","</f>
        <v xml:space="preserve">  ,</v>
      </c>
      <c r="T380" s="10"/>
      <c r="U380" s="10"/>
    </row>
    <row r="381" spans="1:21">
      <c r="A381" s="10"/>
      <c r="B381" s="10"/>
      <c r="C381" s="10"/>
      <c r="D381" s="10"/>
      <c r="E381" s="10"/>
      <c r="F381" s="10"/>
      <c r="G381" s="10"/>
      <c r="H381" s="10"/>
      <c r="I381" s="10"/>
      <c r="J381" s="10"/>
      <c r="K381" s="10"/>
      <c r="L381" s="10"/>
      <c r="M381" s="10"/>
    </row>
    <row r="382" spans="1:21">
      <c r="A382" s="10"/>
      <c r="B382" s="10"/>
      <c r="C382" s="10"/>
      <c r="D382" s="10"/>
      <c r="E382" s="10"/>
      <c r="F382" s="10"/>
      <c r="G382" s="10"/>
      <c r="H382" s="10"/>
      <c r="I382" s="10"/>
      <c r="J382" s="10"/>
      <c r="K382" s="10"/>
      <c r="L382" s="10"/>
      <c r="M382" s="10"/>
    </row>
    <row r="383" spans="1:21">
      <c r="A383" s="10"/>
      <c r="B383" s="10"/>
      <c r="C383" s="10"/>
      <c r="D383" s="10"/>
      <c r="E383" s="10"/>
      <c r="F383" s="10"/>
      <c r="G383" s="10"/>
      <c r="H383" s="10"/>
      <c r="I383" s="10"/>
      <c r="J383" s="10"/>
      <c r="K383" s="10"/>
      <c r="L383" s="10"/>
      <c r="M383" s="10"/>
    </row>
    <row r="384" spans="1:21">
      <c r="A384" s="10"/>
      <c r="B384" s="10"/>
      <c r="C384" s="10"/>
      <c r="D384" s="10"/>
      <c r="E384" s="10"/>
      <c r="F384" s="10"/>
      <c r="G384" s="10"/>
      <c r="H384" s="10"/>
      <c r="I384" s="10"/>
      <c r="J384" s="10"/>
      <c r="K384" s="10"/>
      <c r="L384" s="10"/>
      <c r="M384" s="10"/>
    </row>
    <row r="385" spans="1:21">
      <c r="A385" s="10"/>
      <c r="B385" s="10"/>
      <c r="C385" s="10"/>
      <c r="D385" s="10"/>
      <c r="E385" s="10"/>
      <c r="F385" s="10"/>
      <c r="G385" s="10"/>
      <c r="H385" s="10"/>
      <c r="I385" s="10"/>
      <c r="J385" s="10"/>
      <c r="K385" s="10"/>
      <c r="L385" s="10"/>
      <c r="M385" s="10"/>
    </row>
    <row r="386" spans="1:21">
      <c r="A386" s="10"/>
      <c r="B386" s="10"/>
      <c r="C386" s="10"/>
      <c r="D386" s="10"/>
      <c r="E386" s="10"/>
      <c r="F386" s="10"/>
      <c r="G386" s="10"/>
      <c r="H386" s="10"/>
      <c r="I386" s="10"/>
      <c r="J386" s="10"/>
      <c r="K386" s="10"/>
      <c r="L386" s="10"/>
      <c r="M386" s="10"/>
    </row>
    <row r="387" spans="1:21">
      <c r="A387" s="10"/>
      <c r="B387" s="10"/>
      <c r="C387" s="10"/>
      <c r="D387" s="10"/>
      <c r="E387" s="10"/>
      <c r="F387" s="10"/>
      <c r="G387" s="10"/>
      <c r="H387" s="10"/>
      <c r="I387" s="10"/>
      <c r="J387" s="10"/>
      <c r="K387" s="10"/>
      <c r="L387" s="10"/>
      <c r="M387" s="10"/>
      <c r="P387" s="10" t="e">
        <f>VLOOKUP(C387,Table_view_sorted!A$2:A$215,1,FALSE)</f>
        <v>#N/A</v>
      </c>
      <c r="Q387" t="e">
        <f>VLOOKUP(D387,AVY_FACT!A$2:A$153,1,FALSE)</f>
        <v>#N/A</v>
      </c>
      <c r="R387" t="str">
        <f>D387&amp;"  "&amp;G387&amp;","</f>
        <v xml:space="preserve">  ,</v>
      </c>
      <c r="T387" s="10"/>
      <c r="U387" s="10"/>
    </row>
    <row r="388" spans="1:21">
      <c r="A388" s="10"/>
      <c r="B388" s="10"/>
      <c r="C388" s="10"/>
      <c r="D388" s="10"/>
      <c r="E388" s="10"/>
      <c r="F388" s="10"/>
      <c r="G388" s="10"/>
      <c r="H388" s="10"/>
      <c r="I388" s="10"/>
      <c r="J388" s="10"/>
      <c r="K388" s="10"/>
      <c r="L388" s="10"/>
      <c r="M388" s="10"/>
    </row>
    <row r="389" spans="1:21">
      <c r="A389" s="10"/>
      <c r="B389" s="10"/>
      <c r="C389" s="10"/>
      <c r="D389" s="10"/>
      <c r="E389" s="10"/>
      <c r="F389" s="10"/>
      <c r="G389" s="10"/>
      <c r="H389" s="10"/>
      <c r="I389" s="10"/>
      <c r="J389" s="10"/>
      <c r="K389" s="10"/>
      <c r="L389" s="10"/>
      <c r="M389" s="10"/>
    </row>
    <row r="390" spans="1:21">
      <c r="A390" s="10"/>
      <c r="B390" s="10"/>
      <c r="C390" s="10"/>
      <c r="D390" s="10"/>
      <c r="E390" s="10"/>
      <c r="F390" s="10"/>
      <c r="G390" s="10"/>
      <c r="H390" s="10"/>
      <c r="I390" s="10"/>
      <c r="J390" s="10"/>
      <c r="K390" s="10"/>
      <c r="L390" s="10"/>
      <c r="M390" s="10"/>
    </row>
    <row r="391" spans="1:21">
      <c r="A391" s="10"/>
      <c r="B391" s="10"/>
      <c r="C391" s="10"/>
      <c r="D391" s="10"/>
      <c r="E391" s="10"/>
      <c r="F391" s="10"/>
      <c r="G391" s="10"/>
      <c r="H391" s="10"/>
      <c r="I391" s="10"/>
      <c r="J391" s="10"/>
      <c r="K391" s="10"/>
      <c r="L391" s="10"/>
      <c r="M391" s="10"/>
    </row>
    <row r="392" spans="1:21">
      <c r="A392" s="10"/>
      <c r="B392" s="10"/>
      <c r="C392" s="10"/>
      <c r="D392" s="10"/>
      <c r="E392" s="10"/>
      <c r="F392" s="10"/>
      <c r="G392" s="10"/>
      <c r="H392" s="10"/>
      <c r="I392" s="10"/>
      <c r="J392" s="10"/>
      <c r="K392" s="10"/>
      <c r="L392" s="10"/>
      <c r="M392" s="10"/>
    </row>
    <row r="393" spans="1:21">
      <c r="A393" s="10"/>
      <c r="B393" s="10"/>
      <c r="C393" s="10"/>
      <c r="D393" s="10"/>
      <c r="E393" s="10"/>
      <c r="F393" s="10"/>
      <c r="G393" s="10"/>
      <c r="H393" s="10"/>
      <c r="I393" s="10"/>
      <c r="J393" s="10"/>
      <c r="K393" s="10"/>
      <c r="L393" s="10"/>
      <c r="M393" s="10"/>
    </row>
    <row r="394" spans="1:21">
      <c r="A394" s="10"/>
      <c r="B394" s="10"/>
      <c r="C394" s="10"/>
      <c r="D394" s="10"/>
      <c r="E394" s="10"/>
      <c r="F394" s="10"/>
      <c r="G394" s="10"/>
      <c r="H394" s="10"/>
      <c r="I394" s="10"/>
      <c r="J394" s="10"/>
      <c r="K394" s="10"/>
      <c r="L394" s="10"/>
      <c r="M394" s="10"/>
    </row>
    <row r="395" spans="1:21">
      <c r="A395" s="10"/>
      <c r="B395" s="10"/>
      <c r="C395" s="10"/>
      <c r="D395" s="10"/>
      <c r="E395" s="10"/>
      <c r="F395" s="10"/>
      <c r="G395" s="10"/>
      <c r="H395" s="10"/>
      <c r="I395" s="10"/>
      <c r="J395" s="10"/>
      <c r="K395" s="10"/>
      <c r="L395" s="10"/>
      <c r="M395" s="10"/>
      <c r="P395" s="10" t="e">
        <f>VLOOKUP(C395,Table_view_sorted!A$2:A$215,1,FALSE)</f>
        <v>#N/A</v>
      </c>
      <c r="Q395" t="e">
        <f>VLOOKUP(D395,AVY_FACT!A$2:A$153,1,FALSE)</f>
        <v>#N/A</v>
      </c>
      <c r="R395" t="str">
        <f>D395&amp;"  "&amp;G395&amp;","</f>
        <v xml:space="preserve">  ,</v>
      </c>
      <c r="T395" s="10"/>
      <c r="U395" s="10"/>
    </row>
    <row r="396" spans="1:21">
      <c r="A396" s="10"/>
      <c r="B396" s="10"/>
      <c r="C396" s="10"/>
      <c r="D396" s="10"/>
      <c r="E396" s="10"/>
      <c r="F396" s="10"/>
      <c r="G396" s="10"/>
      <c r="H396" s="10"/>
      <c r="I396" s="10"/>
      <c r="J396" s="10"/>
      <c r="K396" s="10"/>
      <c r="L396" s="10"/>
      <c r="M396" s="10"/>
      <c r="P396" s="10" t="e">
        <f>VLOOKUP(C396,Table_view_sorted!A$2:A$215,1,FALSE)</f>
        <v>#N/A</v>
      </c>
      <c r="Q396" t="e">
        <f>VLOOKUP(D396,AVY_FACT!A$2:A$153,1,FALSE)</f>
        <v>#N/A</v>
      </c>
      <c r="R396" t="str">
        <f>D396&amp;"  "&amp;G396&amp;","</f>
        <v xml:space="preserve">  ,</v>
      </c>
      <c r="T396" s="10"/>
      <c r="U396" s="10"/>
    </row>
    <row r="397" spans="1:21">
      <c r="A397" s="10"/>
      <c r="B397" s="10"/>
      <c r="C397" s="10"/>
      <c r="D397" s="10"/>
      <c r="E397" s="10"/>
      <c r="F397" s="10"/>
      <c r="G397" s="10"/>
      <c r="H397" s="10"/>
      <c r="I397" s="10"/>
      <c r="J397" s="10"/>
      <c r="K397" s="10"/>
      <c r="L397" s="10"/>
      <c r="M397" s="10"/>
      <c r="N397" s="10"/>
      <c r="O397" s="10"/>
      <c r="P397" s="10" t="e">
        <f>VLOOKUP(C397,Table_view_sorted!A$2:A$215,1,FALSE)</f>
        <v>#N/A</v>
      </c>
      <c r="Q397" t="e">
        <f>VLOOKUP(D397,AVY_FACT!A$2:A$153,1,FALSE)</f>
        <v>#N/A</v>
      </c>
      <c r="R397" t="str">
        <f>D397&amp;"  "&amp;G397&amp;","</f>
        <v xml:space="preserve">  ,</v>
      </c>
      <c r="T397" s="10"/>
      <c r="U397" s="10"/>
    </row>
    <row r="398" spans="1:21">
      <c r="A398" s="10"/>
      <c r="B398" s="10"/>
      <c r="C398" s="10"/>
      <c r="D398" s="10"/>
      <c r="E398" s="10"/>
      <c r="F398" s="10"/>
      <c r="G398" s="10"/>
      <c r="H398" s="10"/>
      <c r="I398" s="10"/>
      <c r="J398" s="10"/>
      <c r="K398" s="10"/>
      <c r="L398" s="10"/>
      <c r="M398" s="10"/>
      <c r="P398" s="10" t="e">
        <f>VLOOKUP(C398,Table_view_sorted!A$2:A$215,1,FALSE)</f>
        <v>#N/A</v>
      </c>
      <c r="Q398" t="e">
        <f>VLOOKUP(D398,AVY_FACT!A$2:A$153,1,FALSE)</f>
        <v>#N/A</v>
      </c>
      <c r="R398" t="str">
        <f>D398&amp;"  "&amp;G398&amp;","</f>
        <v xml:space="preserve">  ,</v>
      </c>
      <c r="T398" s="10"/>
      <c r="U398" s="10"/>
    </row>
    <row r="399" spans="1:21">
      <c r="A399" s="10"/>
      <c r="B399" s="10"/>
      <c r="C399" s="10"/>
      <c r="D399" s="10"/>
      <c r="E399" s="10"/>
      <c r="F399" s="10"/>
      <c r="G399" s="10"/>
      <c r="H399" s="10"/>
      <c r="I399" s="10"/>
      <c r="J399" s="10"/>
      <c r="K399" s="10"/>
      <c r="L399" s="10"/>
      <c r="M399" s="10"/>
    </row>
    <row r="400" spans="1:21">
      <c r="A400" s="10"/>
      <c r="B400" s="10"/>
      <c r="C400" s="10"/>
      <c r="D400" s="10"/>
      <c r="E400" s="10"/>
      <c r="F400" s="10"/>
      <c r="G400" s="10"/>
      <c r="H400" s="10"/>
      <c r="I400" s="10"/>
      <c r="J400" s="10"/>
      <c r="K400" s="10"/>
      <c r="L400" s="10"/>
      <c r="M400" s="10"/>
    </row>
    <row r="401" spans="1:21">
      <c r="A401" s="10"/>
      <c r="B401" s="10"/>
      <c r="C401" s="10"/>
      <c r="D401" s="10"/>
      <c r="E401" s="10"/>
      <c r="F401" s="10"/>
      <c r="G401" s="10"/>
      <c r="H401" s="10"/>
      <c r="I401" s="10"/>
      <c r="J401" s="10"/>
      <c r="K401" s="10"/>
      <c r="L401" s="10"/>
      <c r="M401" s="10"/>
    </row>
    <row r="402" spans="1:21">
      <c r="A402" s="10"/>
      <c r="B402" s="10"/>
      <c r="C402" s="10"/>
      <c r="D402" s="10"/>
      <c r="E402" s="10"/>
      <c r="F402" s="10"/>
      <c r="G402" s="10"/>
      <c r="H402" s="10"/>
      <c r="I402" s="10"/>
      <c r="J402" s="10"/>
      <c r="K402" s="10"/>
      <c r="L402" s="10"/>
      <c r="M402" s="10"/>
    </row>
    <row r="403" spans="1:21">
      <c r="A403" s="10"/>
      <c r="B403" s="10"/>
      <c r="C403" s="10"/>
      <c r="D403" s="10"/>
      <c r="E403" s="10"/>
      <c r="F403" s="10"/>
      <c r="G403" s="10"/>
      <c r="H403" s="10"/>
      <c r="I403" s="10"/>
      <c r="J403" s="10"/>
      <c r="K403" s="10"/>
      <c r="L403" s="10"/>
      <c r="M403" s="10"/>
    </row>
    <row r="404" spans="1:21">
      <c r="A404" s="10"/>
      <c r="B404" s="10"/>
      <c r="C404" s="10"/>
      <c r="D404" s="10"/>
      <c r="E404" s="10"/>
      <c r="F404" s="10"/>
      <c r="G404" s="10"/>
      <c r="H404" s="10"/>
      <c r="I404" s="10"/>
      <c r="J404" s="10"/>
      <c r="K404" s="10"/>
      <c r="L404" s="10"/>
      <c r="M404" s="10"/>
    </row>
    <row r="405" spans="1:21">
      <c r="A405" s="10"/>
      <c r="B405" s="10"/>
      <c r="C405" s="10"/>
      <c r="D405" s="10"/>
      <c r="E405" s="10"/>
      <c r="F405" s="10"/>
      <c r="G405" s="10"/>
      <c r="H405" s="10"/>
      <c r="I405" s="10"/>
      <c r="J405" s="10"/>
      <c r="K405" s="10"/>
      <c r="L405" s="10"/>
      <c r="M405" s="10"/>
    </row>
    <row r="406" spans="1:21">
      <c r="A406" s="10"/>
      <c r="B406" s="10"/>
      <c r="C406" s="10"/>
      <c r="D406" s="10"/>
      <c r="E406" s="10"/>
      <c r="F406" s="10"/>
      <c r="G406" s="10"/>
      <c r="H406" s="10"/>
      <c r="I406" s="10"/>
      <c r="J406" s="10"/>
      <c r="K406" s="10"/>
      <c r="L406" s="10"/>
      <c r="M406" s="10"/>
    </row>
    <row r="407" spans="1:21">
      <c r="A407" s="10"/>
      <c r="B407" s="10"/>
      <c r="C407" s="10"/>
      <c r="D407" s="10"/>
      <c r="E407" s="10"/>
      <c r="F407" s="10"/>
      <c r="G407" s="10"/>
      <c r="H407" s="10"/>
      <c r="I407" s="10"/>
      <c r="J407" s="10"/>
      <c r="K407" s="10"/>
      <c r="L407" s="10"/>
      <c r="M407" s="10"/>
    </row>
    <row r="408" spans="1:21">
      <c r="A408" s="10"/>
      <c r="B408" s="10"/>
      <c r="C408" s="10"/>
      <c r="D408" s="10"/>
      <c r="E408" s="10"/>
      <c r="F408" s="10"/>
      <c r="G408" s="10"/>
      <c r="H408" s="10"/>
      <c r="I408" s="10"/>
      <c r="J408" s="10"/>
      <c r="K408" s="10"/>
      <c r="L408" s="10"/>
      <c r="M408" s="10"/>
    </row>
    <row r="409" spans="1:21">
      <c r="A409" s="10"/>
      <c r="B409" s="10"/>
      <c r="C409" s="10"/>
      <c r="D409" s="10"/>
      <c r="E409" s="10"/>
      <c r="F409" s="10"/>
      <c r="G409" s="10"/>
      <c r="H409" s="10"/>
      <c r="I409" s="10"/>
      <c r="J409" s="10"/>
      <c r="K409" s="10"/>
      <c r="L409" s="10"/>
      <c r="M409" s="10"/>
      <c r="P409" s="10" t="e">
        <f>VLOOKUP(C409,Table_view_sorted!A$2:A$215,1,FALSE)</f>
        <v>#N/A</v>
      </c>
      <c r="Q409" t="e">
        <f>VLOOKUP(D409,AVY_FACT!A$2:A$153,1,FALSE)</f>
        <v>#N/A</v>
      </c>
      <c r="R409" t="str">
        <f>D409&amp;"  "&amp;G409&amp;","</f>
        <v xml:space="preserve">  ,</v>
      </c>
      <c r="T409" s="10"/>
      <c r="U409" s="10"/>
    </row>
    <row r="410" spans="1:21">
      <c r="A410" s="10"/>
      <c r="B410" s="10"/>
      <c r="C410" s="10"/>
      <c r="D410" s="10"/>
      <c r="E410" s="10"/>
      <c r="F410" s="10"/>
      <c r="G410" s="10"/>
      <c r="H410" s="10"/>
      <c r="I410" s="10"/>
      <c r="J410" s="10"/>
      <c r="K410" s="10"/>
      <c r="L410" s="10"/>
      <c r="M410" s="10"/>
    </row>
    <row r="411" spans="1:21">
      <c r="A411" s="10"/>
      <c r="B411" s="10"/>
      <c r="C411" s="10"/>
      <c r="D411" s="10"/>
      <c r="E411" s="10"/>
      <c r="F411" s="10"/>
      <c r="G411" s="10"/>
      <c r="H411" s="10"/>
      <c r="I411" s="10"/>
      <c r="J411" s="10"/>
      <c r="K411" s="10"/>
      <c r="L411" s="10"/>
      <c r="M411" s="10"/>
    </row>
    <row r="412" spans="1:21">
      <c r="A412" s="10"/>
      <c r="B412" s="10"/>
      <c r="C412" s="10"/>
      <c r="D412" s="10"/>
      <c r="E412" s="10"/>
      <c r="F412" s="10"/>
      <c r="G412" s="10"/>
      <c r="H412" s="10"/>
      <c r="I412" s="10"/>
      <c r="J412" s="10"/>
      <c r="K412" s="10"/>
      <c r="L412" s="10"/>
      <c r="M412" s="10"/>
    </row>
    <row r="413" spans="1:21">
      <c r="A413" s="10"/>
      <c r="B413" s="10"/>
      <c r="C413" s="10"/>
      <c r="D413" s="10"/>
      <c r="E413" s="10"/>
      <c r="F413" s="10"/>
      <c r="G413" s="10"/>
      <c r="H413" s="10"/>
      <c r="I413" s="10"/>
      <c r="J413" s="10"/>
      <c r="K413" s="10"/>
      <c r="L413" s="10"/>
      <c r="M413" s="10"/>
    </row>
    <row r="414" spans="1:21">
      <c r="A414" s="10"/>
      <c r="B414" s="10"/>
      <c r="C414" s="10"/>
      <c r="D414" s="10"/>
      <c r="E414" s="10"/>
      <c r="F414" s="10"/>
      <c r="G414" s="10"/>
      <c r="H414" s="10"/>
      <c r="I414" s="10"/>
      <c r="J414" s="10"/>
      <c r="K414" s="10"/>
      <c r="L414" s="10"/>
      <c r="M414" s="10"/>
    </row>
    <row r="415" spans="1:21">
      <c r="A415" s="10"/>
      <c r="B415" s="10"/>
      <c r="C415" s="10"/>
      <c r="D415" s="10"/>
      <c r="E415" s="10"/>
      <c r="F415" s="10"/>
      <c r="G415" s="10"/>
      <c r="H415" s="10"/>
      <c r="I415" s="10"/>
      <c r="J415" s="10"/>
      <c r="K415" s="10"/>
      <c r="L415" s="10"/>
      <c r="M415" s="10"/>
    </row>
    <row r="416" spans="1:21">
      <c r="A416" s="10"/>
      <c r="B416" s="10"/>
      <c r="C416" s="10"/>
      <c r="D416" s="10"/>
      <c r="E416" s="10"/>
      <c r="F416" s="10"/>
      <c r="G416" s="10"/>
      <c r="H416" s="10"/>
      <c r="I416" s="10"/>
      <c r="J416" s="10"/>
      <c r="K416" s="10"/>
      <c r="L416" s="10"/>
      <c r="M416" s="10"/>
    </row>
    <row r="417" spans="1:21">
      <c r="A417" s="10"/>
      <c r="B417" s="10"/>
      <c r="C417" s="10"/>
      <c r="D417" s="10"/>
      <c r="E417" s="10"/>
      <c r="F417" s="10"/>
      <c r="G417" s="10"/>
      <c r="H417" s="10"/>
      <c r="I417" s="10"/>
      <c r="J417" s="10"/>
      <c r="K417" s="10"/>
      <c r="L417" s="10"/>
      <c r="M417" s="10"/>
    </row>
    <row r="418" spans="1:21">
      <c r="A418" s="10"/>
      <c r="B418" s="10"/>
      <c r="C418" s="10"/>
      <c r="D418" s="10"/>
      <c r="E418" s="10"/>
      <c r="F418" s="10"/>
      <c r="G418" s="10"/>
      <c r="H418" s="10"/>
      <c r="I418" s="10"/>
      <c r="J418" s="10"/>
      <c r="K418" s="10"/>
      <c r="L418" s="10"/>
      <c r="M418" s="10"/>
    </row>
    <row r="419" spans="1:21">
      <c r="A419" s="10"/>
      <c r="B419" s="10"/>
      <c r="C419" s="10"/>
      <c r="D419" s="10"/>
      <c r="E419" s="10"/>
      <c r="F419" s="10"/>
      <c r="G419" s="10"/>
      <c r="H419" s="10"/>
      <c r="I419" s="10"/>
      <c r="J419" s="10"/>
      <c r="K419" s="10"/>
      <c r="L419" s="10"/>
      <c r="M419" s="10"/>
    </row>
    <row r="420" spans="1:21">
      <c r="A420" s="10"/>
      <c r="B420" s="10"/>
      <c r="C420" s="10"/>
      <c r="D420" s="10"/>
      <c r="E420" s="10"/>
      <c r="F420" s="10"/>
      <c r="G420" s="10"/>
      <c r="H420" s="10"/>
      <c r="I420" s="10"/>
      <c r="J420" s="10"/>
      <c r="K420" s="10"/>
      <c r="L420" s="10"/>
      <c r="M420" s="10"/>
    </row>
    <row r="421" spans="1:21">
      <c r="A421" s="10"/>
      <c r="B421" s="10"/>
      <c r="C421" s="10"/>
      <c r="D421" s="10"/>
      <c r="E421" s="10"/>
      <c r="F421" s="10"/>
      <c r="G421" s="10"/>
      <c r="H421" s="10"/>
      <c r="I421" s="10"/>
      <c r="J421" s="10"/>
      <c r="K421" s="10"/>
      <c r="L421" s="10"/>
      <c r="M421" s="10"/>
      <c r="P421" s="10" t="e">
        <f>VLOOKUP(C421,Table_view_sorted!A$2:A$215,1,FALSE)</f>
        <v>#N/A</v>
      </c>
      <c r="Q421" s="23" t="e">
        <f>VLOOKUP(D421,AVY_FACT!A$2:A$153,1,FALSE)</f>
        <v>#N/A</v>
      </c>
      <c r="R421" s="23" t="str">
        <f>D421&amp;"  "&amp;G421&amp;","</f>
        <v xml:space="preserve">  ,</v>
      </c>
      <c r="S421" s="23"/>
      <c r="T421" s="23" t="s">
        <v>2460</v>
      </c>
      <c r="U421" s="23" t="s">
        <v>1142</v>
      </c>
    </row>
    <row r="422" spans="1:21">
      <c r="A422" s="10"/>
      <c r="B422" s="10"/>
      <c r="C422" s="10"/>
      <c r="D422" s="10"/>
      <c r="E422" s="10"/>
      <c r="F422" s="10"/>
      <c r="G422" s="10"/>
      <c r="H422" s="10"/>
      <c r="I422" s="10"/>
      <c r="J422" s="10"/>
      <c r="K422" s="10"/>
      <c r="L422" s="10"/>
      <c r="M422" s="10"/>
    </row>
    <row r="423" spans="1:21">
      <c r="A423" s="10"/>
      <c r="B423" s="10"/>
      <c r="C423" s="10"/>
      <c r="D423" s="10"/>
      <c r="E423" s="10"/>
      <c r="F423" s="10"/>
      <c r="G423" s="10"/>
      <c r="H423" s="10"/>
      <c r="I423" s="10"/>
      <c r="J423" s="10"/>
      <c r="K423" s="10"/>
      <c r="L423" s="10"/>
      <c r="M423" s="10"/>
    </row>
    <row r="424" spans="1:21">
      <c r="A424" s="10"/>
      <c r="B424" s="10"/>
      <c r="C424" s="10"/>
      <c r="D424" s="10"/>
      <c r="E424" s="10"/>
      <c r="F424" s="10"/>
      <c r="G424" s="10"/>
      <c r="H424" s="10"/>
      <c r="I424" s="10"/>
      <c r="J424" s="10"/>
      <c r="K424" s="10"/>
      <c r="L424" s="10"/>
      <c r="M424" s="10"/>
    </row>
    <row r="425" spans="1:21">
      <c r="A425" s="10"/>
      <c r="B425" s="10"/>
      <c r="C425" s="10"/>
      <c r="D425" s="10"/>
      <c r="E425" s="10"/>
      <c r="F425" s="10"/>
      <c r="G425" s="10"/>
      <c r="H425" s="10"/>
      <c r="I425" s="10"/>
      <c r="J425" s="10"/>
      <c r="K425" s="10"/>
      <c r="L425" s="10"/>
      <c r="M425" s="10"/>
    </row>
    <row r="426" spans="1:21">
      <c r="A426" s="10"/>
      <c r="B426" s="10"/>
      <c r="C426" s="10"/>
      <c r="D426" s="10"/>
      <c r="E426" s="10"/>
      <c r="F426" s="10"/>
      <c r="G426" s="10"/>
      <c r="H426" s="10"/>
      <c r="I426" s="10"/>
      <c r="J426" s="10"/>
      <c r="K426" s="10"/>
      <c r="L426" s="10"/>
      <c r="M426" s="10"/>
    </row>
    <row r="427" spans="1:21">
      <c r="A427" s="10"/>
      <c r="B427" s="10"/>
      <c r="C427" s="10"/>
      <c r="D427" s="10"/>
      <c r="E427" s="10"/>
      <c r="F427" s="10"/>
      <c r="G427" s="10"/>
      <c r="H427" s="10"/>
      <c r="I427" s="10"/>
      <c r="J427" s="10"/>
      <c r="K427" s="10"/>
      <c r="L427" s="10"/>
      <c r="M427" s="10"/>
    </row>
    <row r="428" spans="1:21">
      <c r="A428" s="10"/>
      <c r="B428" s="10"/>
      <c r="C428" s="10"/>
      <c r="D428" s="10"/>
      <c r="E428" s="10"/>
      <c r="F428" s="10"/>
      <c r="G428" s="10"/>
      <c r="H428" s="10"/>
      <c r="I428" s="10"/>
      <c r="J428" s="10"/>
      <c r="K428" s="10"/>
      <c r="L428" s="10"/>
      <c r="M428" s="10"/>
    </row>
    <row r="429" spans="1:21">
      <c r="A429" s="10"/>
      <c r="B429" s="10"/>
      <c r="C429" s="10"/>
      <c r="D429" s="10"/>
      <c r="E429" s="10"/>
      <c r="F429" s="10"/>
      <c r="G429" s="10"/>
      <c r="H429" s="10"/>
      <c r="I429" s="10"/>
      <c r="J429" s="10"/>
      <c r="K429" s="10"/>
      <c r="L429" s="10"/>
      <c r="M429" s="10"/>
    </row>
    <row r="430" spans="1:21">
      <c r="A430" s="10"/>
      <c r="B430" s="10"/>
      <c r="C430" s="10"/>
      <c r="D430" s="10"/>
      <c r="E430" s="10"/>
      <c r="F430" s="10"/>
      <c r="G430" s="10"/>
      <c r="H430" s="10"/>
      <c r="I430" s="10"/>
      <c r="J430" s="10"/>
      <c r="K430" s="10"/>
      <c r="L430" s="10"/>
      <c r="M430" s="10"/>
    </row>
    <row r="431" spans="1:21">
      <c r="A431" s="10"/>
      <c r="B431" s="10"/>
      <c r="C431" s="10"/>
      <c r="D431" s="10"/>
      <c r="E431" s="10"/>
      <c r="F431" s="10"/>
      <c r="G431" s="10"/>
      <c r="H431" s="10"/>
      <c r="I431" s="10"/>
      <c r="J431" s="10"/>
      <c r="K431" s="10"/>
      <c r="L431" s="10"/>
      <c r="M431" s="10"/>
    </row>
    <row r="432" spans="1:21">
      <c r="A432" s="10"/>
      <c r="B432" s="10"/>
      <c r="C432" s="10"/>
      <c r="D432" s="10"/>
      <c r="E432" s="10"/>
      <c r="F432" s="10"/>
      <c r="G432" s="10"/>
      <c r="H432" s="10"/>
      <c r="I432" s="10"/>
      <c r="J432" s="10"/>
      <c r="K432" s="10"/>
      <c r="L432" s="10"/>
      <c r="M432" s="10"/>
    </row>
    <row r="433" spans="1:21">
      <c r="A433" s="10"/>
      <c r="B433" s="10"/>
      <c r="C433" s="10"/>
      <c r="D433" s="10"/>
      <c r="E433" s="10"/>
      <c r="F433" s="10"/>
      <c r="G433" s="10"/>
      <c r="H433" s="10"/>
      <c r="I433" s="10"/>
      <c r="J433" s="10"/>
      <c r="K433" s="10"/>
      <c r="L433" s="10"/>
      <c r="M433" s="10"/>
    </row>
    <row r="434" spans="1:21">
      <c r="A434" s="10"/>
      <c r="B434" s="10"/>
      <c r="C434" s="10"/>
      <c r="D434" s="10"/>
      <c r="E434" s="10"/>
      <c r="F434" s="10"/>
      <c r="G434" s="10"/>
      <c r="H434" s="10"/>
      <c r="I434" s="10"/>
      <c r="J434" s="10"/>
      <c r="K434" s="10"/>
      <c r="L434" s="10"/>
      <c r="M434" s="10"/>
    </row>
    <row r="435" spans="1:21">
      <c r="A435" s="10"/>
      <c r="B435" s="10"/>
      <c r="C435" s="10"/>
      <c r="D435" s="10"/>
      <c r="E435" s="10"/>
      <c r="F435" s="10"/>
      <c r="G435" s="10"/>
      <c r="H435" s="10"/>
      <c r="I435" s="10"/>
      <c r="J435" s="10"/>
      <c r="K435" s="10"/>
      <c r="L435" s="10"/>
      <c r="M435" s="10"/>
    </row>
    <row r="436" spans="1:21">
      <c r="A436" s="10"/>
      <c r="B436" s="10"/>
      <c r="C436" s="10"/>
      <c r="D436" s="10"/>
      <c r="E436" s="10"/>
      <c r="F436" s="10"/>
      <c r="G436" s="10"/>
      <c r="H436" s="10"/>
      <c r="I436" s="10"/>
      <c r="J436" s="10"/>
      <c r="K436" s="10"/>
      <c r="L436" s="10"/>
      <c r="M436" s="10"/>
    </row>
    <row r="437" spans="1:21">
      <c r="A437" s="10"/>
      <c r="B437" s="10"/>
      <c r="C437" s="10"/>
      <c r="D437" s="10"/>
      <c r="E437" s="10"/>
      <c r="F437" s="10"/>
      <c r="G437" s="10"/>
      <c r="H437" s="10"/>
      <c r="I437" s="10"/>
      <c r="J437" s="10"/>
      <c r="K437" s="10"/>
      <c r="L437" s="10"/>
      <c r="M437" s="10"/>
    </row>
    <row r="438" spans="1:21">
      <c r="A438" s="10"/>
      <c r="B438" s="10"/>
      <c r="C438" s="10"/>
      <c r="D438" s="10"/>
      <c r="E438" s="10"/>
      <c r="F438" s="10"/>
      <c r="G438" s="10"/>
      <c r="H438" s="10"/>
      <c r="I438" s="10"/>
      <c r="J438" s="10"/>
      <c r="K438" s="10"/>
      <c r="L438" s="10"/>
      <c r="M438" s="10"/>
    </row>
    <row r="439" spans="1:21">
      <c r="A439" s="10"/>
      <c r="B439" s="10"/>
      <c r="C439" s="10"/>
      <c r="D439" s="10"/>
      <c r="E439" s="10"/>
      <c r="F439" s="10"/>
      <c r="G439" s="10"/>
      <c r="H439" s="10"/>
      <c r="I439" s="10"/>
      <c r="J439" s="10"/>
      <c r="K439" s="10"/>
      <c r="L439" s="10"/>
      <c r="M439" s="10"/>
    </row>
    <row r="440" spans="1:21">
      <c r="A440" s="10"/>
      <c r="B440" s="10"/>
      <c r="C440" s="10"/>
      <c r="D440" s="10"/>
      <c r="E440" s="10"/>
      <c r="F440" s="10"/>
      <c r="G440" s="10"/>
      <c r="H440" s="10"/>
      <c r="I440" s="10"/>
      <c r="J440" s="10"/>
      <c r="K440" s="10"/>
      <c r="L440" s="10"/>
      <c r="M440" s="10"/>
      <c r="P440" s="10" t="e">
        <f>VLOOKUP(C440,Table_view_sorted!A$2:A$215,1,FALSE)</f>
        <v>#N/A</v>
      </c>
      <c r="Q440" t="e">
        <f>VLOOKUP(D440,AVY_FACT!A$2:A$153,1,FALSE)</f>
        <v>#N/A</v>
      </c>
      <c r="R440" t="str">
        <f>D440&amp;"  "&amp;G440&amp;","</f>
        <v xml:space="preserve">  ,</v>
      </c>
      <c r="T440" s="10"/>
      <c r="U440" s="10"/>
    </row>
    <row r="441" spans="1:21">
      <c r="A441" s="10"/>
      <c r="B441" s="10"/>
      <c r="C441" s="10"/>
      <c r="D441" s="10"/>
      <c r="E441" s="10"/>
      <c r="F441" s="10"/>
      <c r="G441" s="10"/>
      <c r="H441" s="10"/>
      <c r="I441" s="10"/>
      <c r="J441" s="10"/>
      <c r="K441" s="10"/>
      <c r="L441" s="10"/>
      <c r="M441" s="10"/>
    </row>
    <row r="442" spans="1:21">
      <c r="A442" s="10"/>
      <c r="B442" s="10"/>
      <c r="C442" s="10"/>
      <c r="D442" s="10"/>
      <c r="E442" s="10"/>
      <c r="F442" s="10"/>
      <c r="G442" s="10"/>
      <c r="H442" s="10"/>
      <c r="I442" s="10"/>
      <c r="J442" s="10"/>
      <c r="K442" s="10"/>
      <c r="L442" s="10"/>
      <c r="M442" s="10"/>
    </row>
    <row r="443" spans="1:21">
      <c r="A443" s="10"/>
      <c r="B443" s="10"/>
      <c r="C443" s="10"/>
      <c r="D443" s="10"/>
      <c r="E443" s="10"/>
      <c r="F443" s="10"/>
      <c r="G443" s="10"/>
      <c r="H443" s="10"/>
      <c r="I443" s="10"/>
      <c r="J443" s="10"/>
      <c r="K443" s="10"/>
      <c r="L443" s="10"/>
      <c r="M443" s="10"/>
    </row>
    <row r="444" spans="1:21">
      <c r="A444" s="10"/>
      <c r="B444" s="10"/>
      <c r="C444" s="10"/>
      <c r="D444" s="10"/>
      <c r="E444" s="10"/>
      <c r="F444" s="10"/>
      <c r="G444" s="10"/>
      <c r="H444" s="10"/>
      <c r="I444" s="10"/>
      <c r="J444" s="10"/>
      <c r="K444" s="10"/>
      <c r="L444" s="10"/>
      <c r="M444" s="10"/>
    </row>
    <row r="445" spans="1:21">
      <c r="A445" s="10"/>
      <c r="B445" s="10"/>
      <c r="C445" s="10"/>
      <c r="D445" s="10"/>
      <c r="E445" s="10"/>
      <c r="F445" s="10"/>
      <c r="G445" s="10"/>
      <c r="H445" s="10"/>
      <c r="I445" s="10"/>
      <c r="J445" s="10"/>
      <c r="K445" s="10"/>
      <c r="L445" s="10"/>
      <c r="M445" s="10"/>
    </row>
    <row r="446" spans="1:21">
      <c r="A446" s="10"/>
      <c r="B446" s="10"/>
      <c r="C446" s="10"/>
      <c r="D446" s="10"/>
      <c r="E446" s="10"/>
      <c r="F446" s="10"/>
      <c r="G446" s="10"/>
      <c r="H446" s="10"/>
      <c r="I446" s="10"/>
      <c r="J446" s="10"/>
      <c r="K446" s="10"/>
      <c r="L446" s="10"/>
      <c r="M446" s="10"/>
    </row>
    <row r="447" spans="1:21">
      <c r="A447" s="10"/>
      <c r="B447" s="10"/>
      <c r="C447" s="10"/>
      <c r="D447" s="10"/>
      <c r="E447" s="10"/>
      <c r="F447" s="10"/>
      <c r="G447" s="10"/>
      <c r="H447" s="10"/>
      <c r="I447" s="10"/>
      <c r="J447" s="10"/>
      <c r="K447" s="10"/>
      <c r="L447" s="10"/>
      <c r="M447" s="10"/>
    </row>
    <row r="448" spans="1:21">
      <c r="A448" s="10"/>
      <c r="B448" s="10"/>
      <c r="C448" s="10"/>
      <c r="D448" s="10"/>
      <c r="E448" s="10"/>
      <c r="F448" s="10"/>
      <c r="G448" s="10"/>
      <c r="H448" s="10"/>
      <c r="I448" s="10"/>
      <c r="J448" s="10"/>
      <c r="K448" s="10"/>
      <c r="L448" s="10"/>
      <c r="M448" s="10"/>
    </row>
    <row r="449" spans="1:21">
      <c r="A449" s="10"/>
      <c r="B449" s="10"/>
      <c r="C449" s="10"/>
      <c r="D449" s="10"/>
      <c r="E449" s="10"/>
      <c r="F449" s="10"/>
      <c r="G449" s="10"/>
      <c r="H449" s="10"/>
      <c r="I449" s="10"/>
      <c r="J449" s="10"/>
      <c r="K449" s="10"/>
      <c r="L449" s="10"/>
      <c r="M449" s="10"/>
    </row>
    <row r="450" spans="1:21">
      <c r="A450" s="10"/>
      <c r="B450" s="10"/>
      <c r="C450" s="10"/>
      <c r="D450" s="10"/>
      <c r="E450" s="10"/>
      <c r="F450" s="10"/>
      <c r="G450" s="10"/>
      <c r="H450" s="10"/>
      <c r="I450" s="10"/>
      <c r="J450" s="10"/>
      <c r="K450" s="10"/>
      <c r="L450" s="10"/>
      <c r="M450" s="10"/>
    </row>
    <row r="451" spans="1:21">
      <c r="A451" s="10"/>
      <c r="B451" s="10"/>
      <c r="C451" s="10"/>
      <c r="D451" s="10"/>
      <c r="E451" s="10"/>
      <c r="F451" s="10"/>
      <c r="G451" s="10"/>
      <c r="H451" s="10"/>
      <c r="I451" s="10"/>
      <c r="J451" s="10"/>
      <c r="K451" s="10"/>
      <c r="L451" s="10"/>
      <c r="M451" s="10"/>
    </row>
    <row r="452" spans="1:21">
      <c r="A452" s="10"/>
      <c r="B452" s="10"/>
      <c r="C452" s="10"/>
      <c r="D452" s="10"/>
      <c r="E452" s="10"/>
      <c r="F452" s="10"/>
      <c r="G452" s="10"/>
      <c r="H452" s="10"/>
      <c r="I452" s="10"/>
      <c r="J452" s="10"/>
      <c r="K452" s="10"/>
      <c r="L452" s="10"/>
      <c r="M452" s="10"/>
    </row>
    <row r="453" spans="1:21">
      <c r="A453" s="10"/>
      <c r="B453" s="10"/>
      <c r="C453" s="10"/>
      <c r="D453" s="10"/>
      <c r="E453" s="10"/>
      <c r="F453" s="10"/>
      <c r="G453" s="10"/>
      <c r="H453" s="10"/>
      <c r="I453" s="10"/>
      <c r="J453" s="10"/>
      <c r="K453" s="10"/>
      <c r="L453" s="10"/>
      <c r="M453" s="10"/>
    </row>
    <row r="454" spans="1:21">
      <c r="A454" s="10"/>
      <c r="B454" s="10"/>
      <c r="C454" s="10"/>
      <c r="D454" s="10"/>
      <c r="E454" s="10"/>
      <c r="F454" s="10"/>
      <c r="G454" s="10"/>
      <c r="H454" s="10"/>
      <c r="I454" s="10"/>
      <c r="J454" s="10"/>
      <c r="K454" s="10"/>
      <c r="L454" s="10"/>
      <c r="M454" s="10"/>
    </row>
    <row r="455" spans="1:21">
      <c r="A455" s="10"/>
      <c r="B455" s="10"/>
      <c r="C455" s="10"/>
      <c r="D455" s="10"/>
      <c r="E455" s="10"/>
      <c r="F455" s="10"/>
      <c r="G455" s="10"/>
      <c r="H455" s="10"/>
      <c r="I455" s="10"/>
      <c r="J455" s="10"/>
      <c r="K455" s="10"/>
      <c r="L455" s="10"/>
      <c r="M455" s="10"/>
    </row>
    <row r="456" spans="1:21">
      <c r="A456" s="10"/>
      <c r="B456" s="10"/>
      <c r="C456" s="10"/>
      <c r="D456" s="10"/>
      <c r="E456" s="10"/>
      <c r="F456" s="10"/>
      <c r="G456" s="10"/>
      <c r="H456" s="10"/>
      <c r="I456" s="10"/>
      <c r="J456" s="10"/>
      <c r="K456" s="10"/>
      <c r="L456" s="10"/>
      <c r="M456" s="10"/>
      <c r="P456" s="10" t="e">
        <f>VLOOKUP(C456,Table_view_sorted!A$2:A$215,1,FALSE)</f>
        <v>#N/A</v>
      </c>
      <c r="Q456" t="e">
        <f>VLOOKUP(D456,AVY_FACT!A$2:A$153,1,FALSE)</f>
        <v>#N/A</v>
      </c>
      <c r="R456" t="str">
        <f t="shared" ref="R456:R461" si="1">D456&amp;"  "&amp;G456&amp;","</f>
        <v xml:space="preserve">  ,</v>
      </c>
      <c r="T456" s="10"/>
      <c r="U456" s="10"/>
    </row>
    <row r="457" spans="1:21">
      <c r="A457" s="10"/>
      <c r="B457" s="10"/>
      <c r="C457" s="10"/>
      <c r="D457" s="10"/>
      <c r="E457" s="10"/>
      <c r="F457" s="10"/>
      <c r="G457" s="10"/>
      <c r="H457" s="10"/>
      <c r="I457" s="10"/>
      <c r="J457" s="10"/>
      <c r="K457" s="10"/>
      <c r="L457" s="10"/>
      <c r="M457" s="10"/>
      <c r="P457" s="10" t="e">
        <f>VLOOKUP(C457,Table_view_sorted!A$2:A$215,1,FALSE)</f>
        <v>#N/A</v>
      </c>
      <c r="Q457" t="e">
        <f>VLOOKUP(D457,AVY_FACT!A$2:A$153,1,FALSE)</f>
        <v>#N/A</v>
      </c>
      <c r="R457" t="str">
        <f t="shared" si="1"/>
        <v xml:space="preserve">  ,</v>
      </c>
      <c r="T457" s="10"/>
      <c r="U457" s="10"/>
    </row>
    <row r="458" spans="1:21">
      <c r="A458" s="10"/>
      <c r="B458" s="10"/>
      <c r="C458" s="10"/>
      <c r="D458" s="10"/>
      <c r="E458" s="10"/>
      <c r="F458" s="10"/>
      <c r="G458" s="10"/>
      <c r="H458" s="10"/>
      <c r="I458" s="10"/>
      <c r="J458" s="10"/>
      <c r="K458" s="10"/>
      <c r="L458" s="10"/>
      <c r="M458" s="10"/>
      <c r="P458" s="10" t="e">
        <f>VLOOKUP(C458,Table_view_sorted!A$2:A$215,1,FALSE)</f>
        <v>#N/A</v>
      </c>
      <c r="Q458" s="10" t="e">
        <f>VLOOKUP(D458,AVY_FACT!A$2:A$153,1,FALSE)</f>
        <v>#N/A</v>
      </c>
      <c r="R458" s="10" t="str">
        <f t="shared" si="1"/>
        <v xml:space="preserve">  ,</v>
      </c>
      <c r="S458" s="10"/>
      <c r="T458" s="10"/>
      <c r="U458" s="10"/>
    </row>
    <row r="459" spans="1:21">
      <c r="A459" s="10"/>
      <c r="B459" s="10"/>
      <c r="C459" s="10"/>
      <c r="D459" s="10"/>
      <c r="E459" s="10"/>
      <c r="F459" s="10"/>
      <c r="G459" s="10"/>
      <c r="H459" s="10"/>
      <c r="I459" s="10"/>
      <c r="J459" s="10"/>
      <c r="K459" s="10"/>
      <c r="L459" s="10"/>
      <c r="M459" s="10"/>
      <c r="N459" s="10"/>
      <c r="O459" s="10"/>
      <c r="P459" s="10" t="e">
        <f>VLOOKUP(C459,Table_view_sorted!A$2:A$215,1,FALSE)</f>
        <v>#N/A</v>
      </c>
      <c r="Q459" t="e">
        <f>VLOOKUP(D459,AVY_FACT!A$2:A$153,1,FALSE)</f>
        <v>#N/A</v>
      </c>
      <c r="R459" t="str">
        <f t="shared" si="1"/>
        <v xml:space="preserve">  ,</v>
      </c>
      <c r="T459" s="10"/>
      <c r="U459" s="10"/>
    </row>
    <row r="460" spans="1:21">
      <c r="A460" s="10"/>
      <c r="B460" s="10"/>
      <c r="C460" s="10"/>
      <c r="D460" s="10"/>
      <c r="E460" s="10"/>
      <c r="F460" s="10"/>
      <c r="G460" s="10"/>
      <c r="H460" s="10"/>
      <c r="I460" s="10"/>
      <c r="J460" s="10"/>
      <c r="K460" s="10"/>
      <c r="L460" s="10"/>
      <c r="M460" s="10"/>
      <c r="P460" s="10" t="e">
        <f>VLOOKUP(C460,Table_view_sorted!A$2:A$215,1,FALSE)</f>
        <v>#N/A</v>
      </c>
      <c r="Q460" t="e">
        <f>VLOOKUP(D460,AVY_FACT!A$2:A$153,1,FALSE)</f>
        <v>#N/A</v>
      </c>
      <c r="R460" t="str">
        <f t="shared" si="1"/>
        <v xml:space="preserve">  ,</v>
      </c>
      <c r="T460" s="10"/>
      <c r="U460" s="10"/>
    </row>
    <row r="461" spans="1:21">
      <c r="A461" s="10"/>
      <c r="B461" s="10"/>
      <c r="C461" s="10"/>
      <c r="D461" s="10"/>
      <c r="E461" s="10"/>
      <c r="F461" s="10"/>
      <c r="G461" s="10"/>
      <c r="H461" s="10"/>
      <c r="I461" s="10"/>
      <c r="J461" s="10"/>
      <c r="K461" s="10"/>
      <c r="L461" s="10"/>
      <c r="M461" s="10"/>
      <c r="P461" s="10" t="e">
        <f>VLOOKUP(C461,Table_view_sorted!A$2:A$215,1,FALSE)</f>
        <v>#N/A</v>
      </c>
      <c r="Q461" t="e">
        <f>VLOOKUP(D461,AVY_FACT!A$2:A$153,1,FALSE)</f>
        <v>#N/A</v>
      </c>
      <c r="R461" t="str">
        <f t="shared" si="1"/>
        <v xml:space="preserve">  ,</v>
      </c>
      <c r="T461" s="10"/>
      <c r="U461" s="10"/>
    </row>
    <row r="462" spans="1:21">
      <c r="A462" s="10"/>
      <c r="B462" s="10"/>
      <c r="C462" s="10"/>
      <c r="D462" s="10"/>
      <c r="E462" s="10"/>
      <c r="F462" s="10"/>
      <c r="G462" s="10"/>
      <c r="H462" s="10"/>
      <c r="I462" s="10"/>
      <c r="J462" s="10"/>
      <c r="K462" s="10"/>
      <c r="L462" s="10"/>
      <c r="M462" s="10"/>
    </row>
    <row r="463" spans="1:21">
      <c r="A463" s="10"/>
      <c r="B463" s="10"/>
      <c r="C463" s="10"/>
      <c r="D463" s="10"/>
      <c r="E463" s="10"/>
      <c r="F463" s="10"/>
      <c r="G463" s="10"/>
      <c r="H463" s="10"/>
      <c r="I463" s="10"/>
      <c r="J463" s="10"/>
      <c r="K463" s="10"/>
      <c r="L463" s="10"/>
      <c r="M463" s="10"/>
    </row>
    <row r="464" spans="1:21">
      <c r="A464" s="10"/>
      <c r="B464" s="10"/>
      <c r="C464" s="10"/>
      <c r="D464" s="10"/>
      <c r="E464" s="10"/>
      <c r="F464" s="10"/>
      <c r="G464" s="10"/>
      <c r="H464" s="10"/>
      <c r="I464" s="10"/>
      <c r="J464" s="10"/>
      <c r="K464" s="10"/>
      <c r="L464" s="10"/>
      <c r="M464" s="10"/>
    </row>
    <row r="465" spans="1:13">
      <c r="A465" s="10"/>
      <c r="B465" s="10"/>
      <c r="C465" s="10"/>
      <c r="D465" s="10"/>
      <c r="E465" s="10"/>
      <c r="F465" s="10"/>
      <c r="G465" s="10"/>
      <c r="H465" s="10"/>
      <c r="I465" s="10"/>
      <c r="J465" s="10"/>
      <c r="K465" s="10"/>
      <c r="L465" s="10"/>
      <c r="M465" s="10"/>
    </row>
    <row r="466" spans="1:13">
      <c r="A466" s="10"/>
      <c r="B466" s="10"/>
      <c r="C466" s="10"/>
      <c r="D466" s="10"/>
      <c r="E466" s="10"/>
      <c r="F466" s="10"/>
      <c r="G466" s="10"/>
      <c r="H466" s="10"/>
      <c r="I466" s="10"/>
      <c r="J466" s="10"/>
      <c r="K466" s="10"/>
      <c r="L466" s="10"/>
      <c r="M466" s="10"/>
    </row>
    <row r="467" spans="1:13">
      <c r="A467" s="10"/>
      <c r="B467" s="10"/>
      <c r="C467" s="10"/>
      <c r="D467" s="10"/>
      <c r="E467" s="10"/>
      <c r="F467" s="10"/>
      <c r="G467" s="10"/>
      <c r="H467" s="10"/>
      <c r="I467" s="10"/>
      <c r="J467" s="10"/>
      <c r="K467" s="10"/>
      <c r="L467" s="10"/>
      <c r="M467" s="10"/>
    </row>
    <row r="468" spans="1:13">
      <c r="A468" s="10"/>
      <c r="B468" s="10"/>
      <c r="C468" s="10"/>
      <c r="D468" s="10"/>
      <c r="E468" s="10"/>
      <c r="F468" s="10"/>
      <c r="G468" s="10"/>
      <c r="H468" s="10"/>
      <c r="I468" s="10"/>
      <c r="J468" s="10"/>
      <c r="K468" s="10"/>
      <c r="L468" s="10"/>
      <c r="M468" s="10"/>
    </row>
    <row r="469" spans="1:13">
      <c r="A469" s="10"/>
      <c r="B469" s="10"/>
      <c r="C469" s="10"/>
      <c r="D469" s="10"/>
      <c r="E469" s="10"/>
      <c r="F469" s="10"/>
      <c r="G469" s="10"/>
      <c r="H469" s="10"/>
      <c r="I469" s="10"/>
      <c r="J469" s="10"/>
      <c r="K469" s="10"/>
      <c r="L469" s="10"/>
      <c r="M469" s="10"/>
    </row>
    <row r="470" spans="1:13">
      <c r="A470" s="10"/>
      <c r="B470" s="10"/>
      <c r="C470" s="10"/>
      <c r="D470" s="10"/>
      <c r="E470" s="10"/>
      <c r="F470" s="10"/>
      <c r="G470" s="10"/>
      <c r="H470" s="10"/>
      <c r="I470" s="10"/>
      <c r="J470" s="10"/>
      <c r="K470" s="10"/>
      <c r="L470" s="10"/>
      <c r="M470" s="10"/>
    </row>
    <row r="471" spans="1:13">
      <c r="A471" s="10"/>
      <c r="B471" s="10"/>
      <c r="C471" s="10"/>
      <c r="D471" s="10"/>
      <c r="E471" s="10"/>
      <c r="F471" s="10"/>
      <c r="G471" s="10"/>
      <c r="H471" s="10"/>
      <c r="I471" s="10"/>
      <c r="J471" s="10"/>
      <c r="K471" s="10"/>
      <c r="L471" s="10"/>
      <c r="M471" s="10"/>
    </row>
    <row r="472" spans="1:13">
      <c r="A472" s="10"/>
      <c r="B472" s="10"/>
      <c r="C472" s="10"/>
      <c r="D472" s="10"/>
      <c r="E472" s="10"/>
      <c r="F472" s="10"/>
      <c r="G472" s="10"/>
      <c r="H472" s="10"/>
      <c r="I472" s="10"/>
      <c r="J472" s="10"/>
      <c r="K472" s="10"/>
      <c r="L472" s="10"/>
      <c r="M472" s="10"/>
    </row>
    <row r="473" spans="1:13">
      <c r="A473" s="10"/>
      <c r="B473" s="10"/>
      <c r="C473" s="10"/>
      <c r="D473" s="10"/>
      <c r="E473" s="10"/>
      <c r="F473" s="10"/>
      <c r="G473" s="10"/>
      <c r="H473" s="10"/>
      <c r="I473" s="10"/>
      <c r="J473" s="10"/>
      <c r="K473" s="10"/>
      <c r="L473" s="10"/>
      <c r="M473" s="10"/>
    </row>
    <row r="474" spans="1:13">
      <c r="A474" s="10"/>
      <c r="B474" s="10"/>
      <c r="C474" s="10"/>
      <c r="D474" s="10"/>
      <c r="E474" s="10"/>
      <c r="F474" s="10"/>
      <c r="G474" s="10"/>
      <c r="H474" s="10"/>
      <c r="I474" s="10"/>
      <c r="J474" s="10"/>
      <c r="K474" s="10"/>
      <c r="L474" s="10"/>
      <c r="M474" s="10"/>
    </row>
    <row r="475" spans="1:13">
      <c r="A475" s="10"/>
      <c r="B475" s="10"/>
      <c r="C475" s="10"/>
      <c r="D475" s="10"/>
      <c r="E475" s="10"/>
      <c r="F475" s="10"/>
      <c r="G475" s="10"/>
      <c r="H475" s="10"/>
      <c r="I475" s="10"/>
      <c r="J475" s="10"/>
      <c r="K475" s="10"/>
      <c r="L475" s="10"/>
      <c r="M475" s="10"/>
    </row>
    <row r="476" spans="1:13">
      <c r="A476" s="10"/>
      <c r="B476" s="10"/>
      <c r="C476" s="10"/>
      <c r="D476" s="10"/>
      <c r="E476" s="10"/>
      <c r="F476" s="10"/>
      <c r="G476" s="10"/>
      <c r="H476" s="10"/>
      <c r="I476" s="10"/>
      <c r="J476" s="10"/>
      <c r="K476" s="10"/>
      <c r="L476" s="10"/>
      <c r="M476" s="10"/>
    </row>
    <row r="477" spans="1:13">
      <c r="A477" s="10"/>
      <c r="B477" s="10"/>
      <c r="C477" s="10"/>
      <c r="D477" s="10"/>
      <c r="E477" s="10"/>
      <c r="F477" s="10"/>
      <c r="G477" s="10"/>
      <c r="H477" s="10"/>
      <c r="I477" s="10"/>
      <c r="J477" s="10"/>
      <c r="K477" s="10"/>
      <c r="L477" s="10"/>
      <c r="M477" s="10"/>
    </row>
    <row r="478" spans="1:13">
      <c r="A478" s="10"/>
      <c r="B478" s="10"/>
      <c r="C478" s="10"/>
      <c r="D478" s="10"/>
      <c r="E478" s="28"/>
      <c r="F478" s="10"/>
      <c r="G478" s="10"/>
      <c r="H478" s="10"/>
      <c r="I478" s="10"/>
      <c r="J478" s="10"/>
      <c r="K478" s="10"/>
      <c r="L478" s="10"/>
      <c r="M478" s="10"/>
    </row>
    <row r="479" spans="1:13">
      <c r="A479" s="10"/>
      <c r="B479" s="10"/>
      <c r="C479" s="10"/>
      <c r="D479" s="10"/>
      <c r="E479" s="28"/>
      <c r="F479" s="10"/>
      <c r="G479" s="10"/>
      <c r="H479" s="10"/>
      <c r="I479" s="10"/>
      <c r="J479" s="10"/>
      <c r="K479" s="10"/>
      <c r="L479" s="10"/>
      <c r="M479" s="10"/>
    </row>
    <row r="480" spans="1:13">
      <c r="A480" s="10"/>
      <c r="B480" s="10"/>
      <c r="C480" s="10"/>
      <c r="D480" s="10"/>
      <c r="E480" s="10"/>
      <c r="F480" s="10"/>
      <c r="G480" s="10"/>
      <c r="H480" s="10"/>
      <c r="I480" s="10"/>
      <c r="J480" s="10"/>
      <c r="K480" s="10"/>
      <c r="L480" s="10"/>
      <c r="M480" s="10"/>
    </row>
    <row r="481" spans="1:13">
      <c r="A481" s="10"/>
      <c r="B481" s="10"/>
      <c r="C481" s="10"/>
      <c r="D481" s="10"/>
      <c r="E481" s="10"/>
      <c r="F481" s="10"/>
      <c r="G481" s="10"/>
      <c r="H481" s="10"/>
      <c r="I481" s="10"/>
      <c r="J481" s="10"/>
      <c r="K481" s="10"/>
      <c r="L481" s="10"/>
      <c r="M481" s="10"/>
    </row>
    <row r="482" spans="1:13">
      <c r="A482" s="10"/>
      <c r="B482" s="10"/>
      <c r="C482" s="10"/>
      <c r="D482" s="10"/>
      <c r="E482" s="10"/>
      <c r="F482" s="10"/>
      <c r="G482" s="10"/>
      <c r="H482" s="10"/>
      <c r="I482" s="10"/>
      <c r="J482" s="10"/>
      <c r="K482" s="10"/>
      <c r="L482" s="10"/>
      <c r="M482" s="10"/>
    </row>
    <row r="483" spans="1:13">
      <c r="A483" s="10"/>
      <c r="B483" s="10"/>
      <c r="C483" s="10"/>
      <c r="D483" s="10"/>
      <c r="E483" s="10"/>
      <c r="F483" s="10"/>
      <c r="G483" s="10"/>
      <c r="H483" s="10"/>
      <c r="I483" s="10"/>
      <c r="J483" s="10"/>
      <c r="K483" s="10"/>
      <c r="L483" s="10"/>
      <c r="M483" s="10"/>
    </row>
    <row r="484" spans="1:13">
      <c r="A484" s="10"/>
      <c r="B484" s="10"/>
      <c r="C484" s="10"/>
      <c r="D484" s="10"/>
      <c r="E484" s="10"/>
      <c r="F484" s="10"/>
      <c r="G484" s="10"/>
      <c r="H484" s="10"/>
      <c r="I484" s="10"/>
      <c r="J484" s="10"/>
      <c r="K484" s="10"/>
      <c r="L484" s="10"/>
      <c r="M484" s="10"/>
    </row>
    <row r="485" spans="1:13">
      <c r="A485" s="10"/>
      <c r="B485" s="10"/>
      <c r="C485" s="10"/>
      <c r="D485" s="10"/>
      <c r="E485" s="10"/>
      <c r="F485" s="10"/>
      <c r="G485" s="10"/>
      <c r="H485" s="10"/>
      <c r="I485" s="10"/>
      <c r="J485" s="10"/>
      <c r="K485" s="10"/>
      <c r="L485" s="10"/>
      <c r="M485" s="10"/>
    </row>
    <row r="486" spans="1:13">
      <c r="A486" s="10"/>
      <c r="B486" s="10"/>
      <c r="C486" s="10"/>
      <c r="D486" s="10"/>
      <c r="E486" s="10"/>
      <c r="F486" s="10"/>
      <c r="G486" s="10"/>
      <c r="H486" s="10"/>
      <c r="I486" s="10"/>
      <c r="J486" s="10"/>
      <c r="K486" s="10"/>
      <c r="L486" s="10"/>
      <c r="M486" s="10"/>
    </row>
    <row r="487" spans="1:13">
      <c r="A487" s="10"/>
      <c r="B487" s="10"/>
      <c r="C487" s="10"/>
      <c r="D487" s="10"/>
      <c r="E487" s="10"/>
      <c r="F487" s="10"/>
      <c r="G487" s="10"/>
      <c r="H487" s="10"/>
      <c r="I487" s="10"/>
      <c r="J487" s="10"/>
      <c r="K487" s="10"/>
      <c r="L487" s="10"/>
      <c r="M487" s="10"/>
    </row>
    <row r="488" spans="1:13">
      <c r="A488" s="10"/>
      <c r="B488" s="10"/>
      <c r="C488" s="10"/>
      <c r="D488" s="10"/>
      <c r="E488" s="10"/>
      <c r="F488" s="10"/>
      <c r="G488" s="10"/>
      <c r="H488" s="10"/>
      <c r="I488" s="10"/>
      <c r="J488" s="10"/>
      <c r="K488" s="10"/>
      <c r="L488" s="10"/>
      <c r="M488" s="10"/>
    </row>
    <row r="489" spans="1:13">
      <c r="A489" s="10"/>
      <c r="B489" s="10"/>
      <c r="C489" s="10"/>
      <c r="D489" s="10"/>
      <c r="E489" s="10"/>
      <c r="F489" s="10"/>
      <c r="G489" s="10"/>
      <c r="H489" s="10"/>
      <c r="I489" s="10"/>
      <c r="J489" s="10"/>
      <c r="K489" s="10"/>
      <c r="L489" s="10"/>
      <c r="M489" s="10"/>
    </row>
    <row r="490" spans="1:13">
      <c r="A490" s="10"/>
      <c r="B490" s="10"/>
      <c r="C490" s="10"/>
      <c r="D490" s="10"/>
      <c r="E490" s="10"/>
      <c r="F490" s="10"/>
      <c r="G490" s="10"/>
      <c r="H490" s="10"/>
      <c r="I490" s="10"/>
      <c r="J490" s="10"/>
      <c r="K490" s="10"/>
      <c r="L490" s="10"/>
      <c r="M490" s="10"/>
    </row>
    <row r="491" spans="1:13">
      <c r="A491" s="10"/>
      <c r="B491" s="10"/>
      <c r="C491" s="10"/>
      <c r="D491" s="10"/>
      <c r="E491" s="10"/>
      <c r="F491" s="10"/>
      <c r="G491" s="10"/>
      <c r="H491" s="10"/>
      <c r="I491" s="10"/>
      <c r="J491" s="10"/>
      <c r="K491" s="10"/>
      <c r="L491" s="10"/>
      <c r="M491" s="10"/>
    </row>
    <row r="492" spans="1:13">
      <c r="A492" s="10"/>
      <c r="B492" s="10"/>
      <c r="C492" s="10"/>
      <c r="D492" s="10"/>
      <c r="E492" s="10"/>
      <c r="F492" s="10"/>
      <c r="G492" s="10"/>
      <c r="H492" s="10"/>
      <c r="I492" s="10"/>
      <c r="J492" s="10"/>
      <c r="K492" s="10"/>
      <c r="L492" s="10"/>
      <c r="M492" s="10"/>
    </row>
    <row r="493" spans="1:13">
      <c r="A493" s="10"/>
      <c r="B493" s="10"/>
      <c r="C493" s="10"/>
      <c r="D493" s="10"/>
      <c r="E493" s="10"/>
      <c r="F493" s="10"/>
      <c r="G493" s="10"/>
      <c r="H493" s="10"/>
      <c r="I493" s="10"/>
      <c r="J493" s="10"/>
      <c r="K493" s="10"/>
      <c r="L493" s="10"/>
      <c r="M493" s="10"/>
    </row>
    <row r="494" spans="1:13">
      <c r="A494" s="10"/>
      <c r="B494" s="10"/>
      <c r="C494" s="10"/>
      <c r="D494" s="10"/>
      <c r="E494" s="10"/>
      <c r="F494" s="10"/>
      <c r="G494" s="10"/>
      <c r="H494" s="10"/>
      <c r="I494" s="10"/>
      <c r="J494" s="10"/>
      <c r="K494" s="10"/>
      <c r="L494" s="10"/>
      <c r="M494" s="10"/>
    </row>
    <row r="495" spans="1:13">
      <c r="A495" s="10"/>
      <c r="B495" s="10"/>
      <c r="C495" s="10"/>
      <c r="D495" s="10"/>
      <c r="E495" s="10"/>
      <c r="F495" s="10"/>
      <c r="G495" s="10"/>
      <c r="H495" s="10"/>
      <c r="I495" s="10"/>
      <c r="J495" s="10"/>
      <c r="K495" s="10"/>
      <c r="L495" s="10"/>
      <c r="M495" s="10"/>
    </row>
    <row r="496" spans="1:13">
      <c r="A496" s="10"/>
      <c r="B496" s="10"/>
      <c r="C496" s="10"/>
      <c r="D496" s="10"/>
      <c r="E496" s="10"/>
      <c r="F496" s="10"/>
      <c r="G496" s="10"/>
      <c r="H496" s="10"/>
      <c r="I496" s="10"/>
      <c r="J496" s="10"/>
      <c r="K496" s="10"/>
      <c r="L496" s="10"/>
      <c r="M496" s="10"/>
    </row>
    <row r="497" spans="1:21">
      <c r="A497" s="10"/>
      <c r="B497" s="10"/>
      <c r="C497" s="10"/>
      <c r="D497" s="10"/>
      <c r="E497" s="10"/>
      <c r="F497" s="10"/>
      <c r="G497" s="10"/>
      <c r="H497" s="10"/>
      <c r="I497" s="10"/>
      <c r="J497" s="10"/>
      <c r="K497" s="10"/>
      <c r="L497" s="10"/>
      <c r="M497" s="10"/>
    </row>
    <row r="498" spans="1:21">
      <c r="A498" s="10"/>
      <c r="B498" s="10"/>
      <c r="C498" s="10"/>
      <c r="D498" s="10"/>
      <c r="E498" s="10"/>
      <c r="F498" s="10"/>
      <c r="G498" s="10"/>
      <c r="H498" s="10"/>
      <c r="I498" s="10"/>
      <c r="J498" s="10"/>
      <c r="K498" s="10"/>
      <c r="L498" s="10"/>
      <c r="M498" s="10"/>
    </row>
    <row r="499" spans="1:21">
      <c r="A499" s="10"/>
      <c r="B499" s="10"/>
      <c r="C499" s="10"/>
      <c r="D499" s="10"/>
      <c r="E499" s="10"/>
      <c r="F499" s="10"/>
      <c r="G499" s="10"/>
      <c r="H499" s="10"/>
      <c r="I499" s="10"/>
      <c r="J499" s="10"/>
      <c r="K499" s="10"/>
      <c r="L499" s="10"/>
      <c r="M499" s="10"/>
    </row>
    <row r="500" spans="1:21">
      <c r="A500" s="10"/>
      <c r="B500" s="10"/>
      <c r="C500" s="10"/>
      <c r="D500" s="10"/>
      <c r="E500" s="10"/>
      <c r="F500" s="10"/>
      <c r="G500" s="10"/>
      <c r="H500" s="10"/>
      <c r="I500" s="10"/>
      <c r="J500" s="10"/>
      <c r="K500" s="10"/>
      <c r="L500" s="10"/>
      <c r="M500" s="10"/>
    </row>
    <row r="501" spans="1:21">
      <c r="A501" s="10"/>
      <c r="B501" s="10"/>
      <c r="C501" s="10"/>
      <c r="D501" s="10"/>
      <c r="E501" s="10"/>
      <c r="F501" s="10"/>
      <c r="G501" s="10"/>
      <c r="H501" s="10"/>
      <c r="I501" s="10"/>
      <c r="J501" s="10"/>
      <c r="K501" s="10"/>
      <c r="L501" s="10"/>
      <c r="M501" s="10"/>
    </row>
    <row r="502" spans="1:21">
      <c r="A502" s="10"/>
      <c r="B502" s="10"/>
      <c r="C502" s="10"/>
      <c r="D502" s="10"/>
      <c r="E502" s="10"/>
      <c r="F502" s="10"/>
      <c r="G502" s="10"/>
      <c r="H502" s="10"/>
      <c r="I502" s="10"/>
      <c r="J502" s="10"/>
      <c r="K502" s="10"/>
      <c r="L502" s="10"/>
      <c r="M502" s="10"/>
    </row>
    <row r="503" spans="1:21">
      <c r="A503" s="10"/>
      <c r="B503" s="10"/>
      <c r="C503" s="10"/>
      <c r="D503" s="10"/>
      <c r="E503" s="10"/>
      <c r="F503" s="10"/>
      <c r="G503" s="10"/>
      <c r="H503" s="10"/>
      <c r="I503" s="10"/>
      <c r="J503" s="10"/>
      <c r="K503" s="10"/>
      <c r="L503" s="10"/>
      <c r="M503" s="10"/>
    </row>
    <row r="504" spans="1:21">
      <c r="A504" s="10"/>
      <c r="B504" s="10"/>
      <c r="C504" s="10"/>
      <c r="D504" s="10"/>
      <c r="E504" s="28"/>
      <c r="F504" s="10"/>
      <c r="G504" s="10"/>
      <c r="H504" s="10"/>
      <c r="I504" s="10"/>
      <c r="J504" s="10"/>
      <c r="K504" s="10"/>
      <c r="L504" s="10"/>
      <c r="M504" s="10"/>
    </row>
    <row r="505" spans="1:21">
      <c r="A505" s="10"/>
      <c r="B505" s="10"/>
      <c r="C505" s="10"/>
      <c r="D505" s="10"/>
      <c r="E505" s="10"/>
      <c r="F505" s="10"/>
      <c r="G505" s="10"/>
      <c r="H505" s="10"/>
      <c r="I505" s="10"/>
      <c r="J505" s="10"/>
      <c r="K505" s="10"/>
      <c r="L505" s="10"/>
      <c r="M505" s="10"/>
    </row>
    <row r="506" spans="1:21">
      <c r="A506" s="10"/>
      <c r="B506" s="10"/>
      <c r="C506" s="10"/>
      <c r="D506" s="10"/>
      <c r="E506" s="10"/>
      <c r="F506" s="10"/>
      <c r="G506" s="10"/>
      <c r="H506" s="10"/>
      <c r="I506" s="10"/>
      <c r="J506" s="10"/>
      <c r="K506" s="10"/>
      <c r="L506" s="10"/>
      <c r="M506" s="10"/>
    </row>
    <row r="507" spans="1:21">
      <c r="A507" s="10"/>
      <c r="B507" s="10"/>
      <c r="C507" s="10"/>
      <c r="D507" s="10"/>
      <c r="E507" s="10"/>
      <c r="F507" s="10"/>
      <c r="G507" s="10"/>
      <c r="H507" s="10"/>
      <c r="I507" s="10"/>
      <c r="J507" s="10"/>
      <c r="K507" s="10"/>
      <c r="L507" s="10"/>
      <c r="M507" s="10"/>
    </row>
    <row r="508" spans="1:21">
      <c r="A508" s="10"/>
      <c r="B508" s="10"/>
      <c r="C508" s="10"/>
      <c r="D508" s="10"/>
      <c r="E508" s="10"/>
      <c r="F508" s="10"/>
      <c r="G508" s="10"/>
      <c r="H508" s="10"/>
      <c r="I508" s="10"/>
      <c r="J508" s="10"/>
      <c r="K508" s="10"/>
      <c r="L508" s="10"/>
      <c r="M508" s="10"/>
    </row>
    <row r="509" spans="1:21">
      <c r="A509" s="10"/>
      <c r="B509" s="10"/>
      <c r="C509" s="10"/>
      <c r="D509" s="10"/>
      <c r="E509" s="28"/>
      <c r="F509" s="10"/>
      <c r="G509" s="10"/>
      <c r="H509" s="10"/>
      <c r="I509" s="10"/>
      <c r="J509" s="10"/>
      <c r="K509" s="10"/>
      <c r="L509" s="10"/>
      <c r="M509" s="10"/>
    </row>
    <row r="510" spans="1:21">
      <c r="A510" s="10"/>
      <c r="B510" s="10"/>
      <c r="C510" s="10"/>
      <c r="D510" s="10"/>
      <c r="E510" s="28"/>
      <c r="F510" s="10"/>
      <c r="G510" s="10"/>
      <c r="H510" s="10"/>
      <c r="I510" s="10"/>
      <c r="J510" s="10"/>
      <c r="K510" s="10"/>
      <c r="L510" s="10"/>
      <c r="M510" s="10"/>
      <c r="P510" s="10" t="e">
        <f>VLOOKUP(C510,Table_view_sorted!A$2:A$215,1,FALSE)</f>
        <v>#N/A</v>
      </c>
      <c r="Q510" t="e">
        <f>VLOOKUP(D510,AVY_FACT!A$2:A$153,1,FALSE)</f>
        <v>#N/A</v>
      </c>
      <c r="R510" t="str">
        <f>D510&amp;"  "&amp;G510&amp;","</f>
        <v xml:space="preserve">  ,</v>
      </c>
      <c r="T510" s="10"/>
      <c r="U510" s="10"/>
    </row>
    <row r="511" spans="1:21">
      <c r="A511" s="10"/>
      <c r="B511" s="10"/>
      <c r="C511" s="10"/>
      <c r="D511" s="10"/>
      <c r="E511" s="10"/>
      <c r="F511" s="10"/>
      <c r="G511" s="10"/>
      <c r="H511" s="10"/>
      <c r="I511" s="10"/>
      <c r="J511" s="10"/>
      <c r="K511" s="10"/>
      <c r="L511" s="10"/>
      <c r="M511" s="10"/>
    </row>
    <row r="512" spans="1:21">
      <c r="A512" s="10"/>
      <c r="B512" s="10"/>
      <c r="C512" s="10"/>
      <c r="D512" s="10"/>
      <c r="E512" s="28"/>
      <c r="F512" s="10"/>
      <c r="G512" s="10"/>
      <c r="H512" s="10"/>
      <c r="I512" s="10"/>
      <c r="J512" s="10"/>
      <c r="K512" s="10"/>
      <c r="L512" s="10"/>
      <c r="M512" s="10"/>
    </row>
    <row r="513" spans="1:21">
      <c r="A513" s="10"/>
      <c r="B513" s="10"/>
      <c r="C513" s="10"/>
      <c r="D513" s="10"/>
      <c r="E513" s="10"/>
      <c r="F513" s="10"/>
      <c r="G513" s="10"/>
      <c r="H513" s="10"/>
      <c r="I513" s="10"/>
      <c r="J513" s="10"/>
      <c r="K513" s="10"/>
      <c r="L513" s="10"/>
      <c r="M513" s="10"/>
    </row>
    <row r="514" spans="1:21">
      <c r="A514" s="10"/>
      <c r="B514" s="10"/>
      <c r="C514" s="10"/>
      <c r="D514" s="10"/>
      <c r="E514" s="10"/>
      <c r="F514" s="10"/>
      <c r="G514" s="10"/>
      <c r="H514" s="10"/>
      <c r="I514" s="10"/>
      <c r="J514" s="10"/>
      <c r="K514" s="10"/>
      <c r="L514" s="10"/>
      <c r="M514" s="10"/>
    </row>
    <row r="515" spans="1:21">
      <c r="A515" s="10"/>
      <c r="B515" s="10"/>
      <c r="C515" s="10"/>
      <c r="D515" s="10"/>
      <c r="E515" s="28"/>
      <c r="F515" s="10"/>
      <c r="G515" s="10"/>
      <c r="H515" s="10"/>
      <c r="I515" s="10"/>
      <c r="J515" s="10"/>
      <c r="K515" s="10"/>
      <c r="L515" s="10"/>
      <c r="M515" s="10"/>
    </row>
    <row r="516" spans="1:21">
      <c r="A516" s="10"/>
      <c r="B516" s="10"/>
      <c r="C516" s="10"/>
      <c r="D516" s="10"/>
      <c r="E516" s="10"/>
      <c r="F516" s="10"/>
      <c r="G516" s="10"/>
      <c r="H516" s="10"/>
      <c r="I516" s="10"/>
      <c r="J516" s="10"/>
      <c r="K516" s="10"/>
      <c r="L516" s="10"/>
      <c r="M516" s="10"/>
    </row>
    <row r="517" spans="1:21">
      <c r="A517" s="10"/>
      <c r="B517" s="10"/>
      <c r="C517" s="10"/>
      <c r="D517" s="10"/>
      <c r="E517" s="10"/>
      <c r="F517" s="10"/>
      <c r="G517" s="10"/>
      <c r="H517" s="10"/>
      <c r="I517" s="10"/>
      <c r="J517" s="10"/>
      <c r="K517" s="10"/>
      <c r="L517" s="10"/>
      <c r="M517" s="10"/>
    </row>
    <row r="518" spans="1:21">
      <c r="A518" s="10"/>
      <c r="B518" s="10"/>
      <c r="C518" s="10"/>
      <c r="D518" s="10"/>
      <c r="E518" s="10"/>
      <c r="F518" s="10"/>
      <c r="G518" s="10"/>
      <c r="H518" s="10"/>
      <c r="I518" s="10"/>
      <c r="J518" s="10"/>
      <c r="K518" s="10"/>
      <c r="L518" s="10"/>
      <c r="M518" s="10"/>
    </row>
    <row r="519" spans="1:21">
      <c r="A519" s="10"/>
      <c r="B519" s="10"/>
      <c r="C519" s="10"/>
      <c r="D519" s="10"/>
      <c r="E519" s="28"/>
      <c r="F519" s="10"/>
      <c r="G519" s="10"/>
      <c r="H519" s="10"/>
      <c r="I519" s="10"/>
      <c r="J519" s="10"/>
      <c r="K519" s="10"/>
      <c r="L519" s="10"/>
      <c r="M519" s="10"/>
      <c r="P519" s="10" t="e">
        <f>VLOOKUP(C519,Table_view_sorted!A$2:A$215,1,FALSE)</f>
        <v>#N/A</v>
      </c>
      <c r="Q519" t="e">
        <f>VLOOKUP(D519,AVY_FACT!A$2:A$153,1,FALSE)</f>
        <v>#N/A</v>
      </c>
      <c r="R519" t="str">
        <f>D519&amp;"  "&amp;G519&amp;","</f>
        <v xml:space="preserve">  ,</v>
      </c>
      <c r="T519" s="10"/>
      <c r="U519" s="10"/>
    </row>
    <row r="520" spans="1:21">
      <c r="A520" s="10"/>
      <c r="B520" s="10"/>
      <c r="C520" s="10"/>
      <c r="D520" s="10"/>
      <c r="E520" s="28"/>
      <c r="F520" s="10"/>
      <c r="G520" s="10"/>
      <c r="H520" s="10"/>
      <c r="I520" s="10"/>
      <c r="J520" s="10"/>
      <c r="K520" s="10"/>
      <c r="L520" s="10"/>
      <c r="M520" s="10"/>
    </row>
    <row r="521" spans="1:21">
      <c r="A521" s="10"/>
      <c r="B521" s="10"/>
      <c r="C521" s="10"/>
      <c r="D521" s="10"/>
      <c r="E521" s="28"/>
      <c r="F521" s="10"/>
      <c r="G521" s="10"/>
      <c r="H521" s="10"/>
      <c r="I521" s="10"/>
      <c r="J521" s="10"/>
      <c r="K521" s="10"/>
      <c r="L521" s="10"/>
      <c r="M521" s="10"/>
    </row>
    <row r="522" spans="1:21">
      <c r="A522" s="10"/>
      <c r="B522" s="10"/>
      <c r="C522" s="10"/>
      <c r="D522" s="10"/>
      <c r="E522" s="28"/>
      <c r="F522" s="10"/>
      <c r="G522" s="10"/>
      <c r="H522" s="10"/>
      <c r="I522" s="10"/>
      <c r="J522" s="10"/>
      <c r="K522" s="10"/>
      <c r="L522" s="10"/>
      <c r="M522" s="10"/>
    </row>
    <row r="523" spans="1:21">
      <c r="A523" s="10"/>
      <c r="B523" s="10"/>
      <c r="C523" s="10"/>
      <c r="D523" s="10"/>
      <c r="E523" s="28"/>
      <c r="F523" s="10"/>
      <c r="G523" s="10"/>
      <c r="H523" s="10"/>
      <c r="I523" s="10"/>
      <c r="J523" s="10"/>
      <c r="K523" s="10"/>
      <c r="L523" s="10"/>
      <c r="M523" s="10"/>
    </row>
    <row r="524" spans="1:21">
      <c r="A524" s="10"/>
      <c r="B524" s="10"/>
      <c r="C524" s="10"/>
      <c r="D524" s="10"/>
      <c r="E524" s="10"/>
      <c r="F524" s="10"/>
      <c r="G524" s="10"/>
      <c r="H524" s="10"/>
      <c r="I524" s="10"/>
      <c r="J524" s="10"/>
      <c r="K524" s="10"/>
      <c r="L524" s="10"/>
      <c r="M524" s="10"/>
    </row>
    <row r="525" spans="1:21">
      <c r="A525" s="10"/>
      <c r="B525" s="10"/>
      <c r="C525" s="10"/>
      <c r="D525" s="10"/>
      <c r="E525" s="28"/>
      <c r="F525" s="10"/>
      <c r="G525" s="10"/>
      <c r="H525" s="10"/>
      <c r="I525" s="10"/>
      <c r="J525" s="10"/>
      <c r="K525" s="10"/>
      <c r="L525" s="10"/>
      <c r="M525" s="10"/>
    </row>
    <row r="526" spans="1:21">
      <c r="A526" s="10"/>
      <c r="B526" s="10"/>
      <c r="C526" s="10"/>
      <c r="D526" s="10"/>
      <c r="E526" s="10"/>
      <c r="F526" s="10"/>
      <c r="G526" s="10"/>
      <c r="H526" s="10"/>
      <c r="I526" s="10"/>
      <c r="J526" s="10"/>
      <c r="K526" s="10"/>
      <c r="L526" s="10"/>
      <c r="M526" s="10"/>
    </row>
    <row r="527" spans="1:21">
      <c r="A527" s="10"/>
      <c r="B527" s="10"/>
      <c r="C527" s="10"/>
      <c r="D527" s="10"/>
      <c r="E527" s="28"/>
      <c r="F527" s="10"/>
      <c r="G527" s="10"/>
      <c r="H527" s="10"/>
      <c r="I527" s="10"/>
      <c r="J527" s="10"/>
      <c r="K527" s="10"/>
      <c r="L527" s="10"/>
      <c r="M527" s="10"/>
    </row>
    <row r="528" spans="1:21">
      <c r="A528" s="10"/>
      <c r="B528" s="10"/>
      <c r="C528" s="10"/>
      <c r="D528" s="10"/>
      <c r="E528" s="28"/>
      <c r="F528" s="10"/>
      <c r="G528" s="10"/>
      <c r="H528" s="10"/>
      <c r="I528" s="10"/>
      <c r="J528" s="10"/>
      <c r="K528" s="10"/>
      <c r="L528" s="10"/>
      <c r="M528" s="10"/>
    </row>
    <row r="529" spans="1:13">
      <c r="A529" s="10"/>
      <c r="B529" s="10"/>
      <c r="C529" s="10"/>
      <c r="D529" s="10"/>
      <c r="E529" s="10"/>
      <c r="F529" s="10"/>
      <c r="G529" s="10"/>
      <c r="H529" s="10"/>
      <c r="I529" s="10"/>
      <c r="J529" s="10"/>
      <c r="K529" s="10"/>
      <c r="L529" s="10"/>
      <c r="M529" s="10"/>
    </row>
    <row r="530" spans="1:13">
      <c r="A530" s="10"/>
      <c r="B530" s="10"/>
      <c r="C530" s="10"/>
      <c r="D530" s="10"/>
      <c r="E530" s="10"/>
      <c r="F530" s="10"/>
      <c r="G530" s="10"/>
      <c r="H530" s="10"/>
      <c r="I530" s="10"/>
      <c r="J530" s="10"/>
      <c r="K530" s="10"/>
      <c r="L530" s="10"/>
      <c r="M530" s="10"/>
    </row>
    <row r="531" spans="1:13">
      <c r="A531" s="10"/>
      <c r="B531" s="10"/>
      <c r="C531" s="10"/>
      <c r="D531" s="10"/>
      <c r="E531" s="10"/>
      <c r="F531" s="10"/>
      <c r="G531" s="10"/>
      <c r="H531" s="10"/>
      <c r="I531" s="10"/>
      <c r="J531" s="10"/>
      <c r="K531" s="10"/>
      <c r="L531" s="10"/>
      <c r="M531" s="10"/>
    </row>
    <row r="532" spans="1:13">
      <c r="A532" s="10"/>
      <c r="B532" s="10"/>
      <c r="C532" s="10"/>
      <c r="D532" s="10"/>
      <c r="E532" s="10"/>
      <c r="F532" s="10"/>
      <c r="G532" s="10"/>
      <c r="H532" s="10"/>
      <c r="I532" s="10"/>
      <c r="J532" s="10"/>
      <c r="K532" s="10"/>
      <c r="L532" s="10"/>
      <c r="M532" s="10"/>
    </row>
    <row r="533" spans="1:13">
      <c r="A533" s="10"/>
      <c r="B533" s="10"/>
      <c r="C533" s="10"/>
      <c r="D533" s="10"/>
      <c r="E533" s="28"/>
      <c r="F533" s="10"/>
      <c r="G533" s="10"/>
      <c r="H533" s="10"/>
      <c r="I533" s="10"/>
      <c r="J533" s="10"/>
      <c r="K533" s="10"/>
      <c r="L533" s="10"/>
      <c r="M533" s="10"/>
    </row>
    <row r="534" spans="1:13">
      <c r="A534" s="10"/>
      <c r="B534" s="10"/>
      <c r="C534" s="10"/>
      <c r="D534" s="10"/>
      <c r="E534" s="10"/>
      <c r="F534" s="10"/>
      <c r="G534" s="10"/>
      <c r="H534" s="10"/>
      <c r="I534" s="10"/>
      <c r="J534" s="10"/>
      <c r="K534" s="10"/>
      <c r="L534" s="10"/>
      <c r="M534" s="10"/>
    </row>
    <row r="535" spans="1:13">
      <c r="A535" s="10"/>
      <c r="B535" s="10"/>
      <c r="C535" s="10"/>
      <c r="D535" s="10"/>
      <c r="E535" s="10"/>
      <c r="F535" s="10"/>
      <c r="G535" s="10"/>
      <c r="H535" s="10"/>
      <c r="I535" s="10"/>
      <c r="J535" s="10"/>
      <c r="K535" s="10"/>
      <c r="L535" s="10"/>
      <c r="M535" s="10"/>
    </row>
    <row r="536" spans="1:13">
      <c r="A536" s="10"/>
      <c r="B536" s="10"/>
      <c r="C536" s="10"/>
      <c r="D536" s="10"/>
      <c r="E536" s="10"/>
      <c r="F536" s="10"/>
      <c r="G536" s="10"/>
      <c r="H536" s="10"/>
      <c r="I536" s="10"/>
      <c r="J536" s="10"/>
      <c r="K536" s="10"/>
      <c r="L536" s="10"/>
      <c r="M536" s="10"/>
    </row>
    <row r="537" spans="1:13">
      <c r="A537" s="10"/>
      <c r="B537" s="10"/>
      <c r="C537" s="10"/>
      <c r="D537" s="10"/>
      <c r="E537" s="10"/>
      <c r="F537" s="10"/>
      <c r="G537" s="10"/>
      <c r="H537" s="10"/>
      <c r="I537" s="10"/>
      <c r="J537" s="10"/>
      <c r="K537" s="10"/>
      <c r="L537" s="10"/>
      <c r="M537" s="10"/>
    </row>
    <row r="538" spans="1:13">
      <c r="A538" s="10"/>
      <c r="B538" s="10"/>
      <c r="C538" s="10"/>
      <c r="D538" s="10"/>
      <c r="E538" s="10"/>
      <c r="F538" s="10"/>
      <c r="G538" s="10"/>
      <c r="H538" s="10"/>
      <c r="I538" s="10"/>
      <c r="J538" s="10"/>
      <c r="K538" s="10"/>
      <c r="L538" s="10"/>
      <c r="M538" s="10"/>
    </row>
    <row r="539" spans="1:13">
      <c r="A539" s="10"/>
      <c r="B539" s="10"/>
      <c r="C539" s="10"/>
      <c r="D539" s="10"/>
      <c r="E539" s="10"/>
      <c r="F539" s="10"/>
      <c r="G539" s="10"/>
      <c r="H539" s="10"/>
      <c r="I539" s="10"/>
      <c r="J539" s="10"/>
      <c r="K539" s="10"/>
      <c r="L539" s="10"/>
      <c r="M539" s="10"/>
    </row>
    <row r="540" spans="1:13">
      <c r="A540" s="10"/>
      <c r="B540" s="10"/>
      <c r="C540" s="10"/>
      <c r="D540" s="10"/>
      <c r="E540" s="10"/>
      <c r="F540" s="10"/>
      <c r="G540" s="10"/>
      <c r="H540" s="10"/>
      <c r="I540" s="10"/>
      <c r="J540" s="10"/>
      <c r="K540" s="10"/>
      <c r="L540" s="10"/>
      <c r="M540" s="10"/>
    </row>
    <row r="541" spans="1:13">
      <c r="A541" s="10"/>
      <c r="B541" s="10"/>
      <c r="C541" s="10"/>
      <c r="D541" s="10"/>
      <c r="E541" s="10"/>
      <c r="F541" s="10"/>
      <c r="G541" s="10"/>
      <c r="H541" s="10"/>
      <c r="I541" s="10"/>
      <c r="J541" s="10"/>
      <c r="K541" s="10"/>
      <c r="L541" s="10"/>
      <c r="M541" s="10"/>
    </row>
    <row r="542" spans="1:13">
      <c r="A542" s="10"/>
      <c r="B542" s="10"/>
      <c r="C542" s="10"/>
      <c r="D542" s="10"/>
      <c r="E542" s="10"/>
      <c r="F542" s="10"/>
      <c r="G542" s="10"/>
      <c r="H542" s="10"/>
      <c r="I542" s="10"/>
      <c r="J542" s="10"/>
      <c r="K542" s="10"/>
      <c r="L542" s="10"/>
      <c r="M542" s="10"/>
    </row>
    <row r="543" spans="1:13">
      <c r="A543" s="10"/>
      <c r="B543" s="10"/>
      <c r="C543" s="10"/>
      <c r="D543" s="10"/>
      <c r="E543" s="10"/>
      <c r="F543" s="10"/>
      <c r="G543" s="10"/>
      <c r="H543" s="10"/>
      <c r="I543" s="10"/>
      <c r="J543" s="10"/>
      <c r="K543" s="10"/>
      <c r="L543" s="10"/>
      <c r="M543" s="10"/>
    </row>
    <row r="544" spans="1:13">
      <c r="A544" s="10"/>
      <c r="B544" s="10"/>
      <c r="C544" s="10"/>
      <c r="D544" s="10"/>
      <c r="E544" s="10"/>
      <c r="F544" s="10"/>
      <c r="G544" s="10"/>
      <c r="H544" s="10"/>
      <c r="I544" s="10"/>
      <c r="J544" s="10"/>
      <c r="K544" s="10"/>
      <c r="L544" s="10"/>
      <c r="M544" s="10"/>
    </row>
    <row r="545" spans="1:21">
      <c r="A545" s="10"/>
      <c r="B545" s="10"/>
      <c r="C545" s="10"/>
      <c r="D545" s="10"/>
      <c r="E545" s="10"/>
      <c r="F545" s="10"/>
      <c r="G545" s="10"/>
      <c r="H545" s="10"/>
      <c r="I545" s="10"/>
      <c r="J545" s="10"/>
      <c r="K545" s="10"/>
      <c r="L545" s="10"/>
      <c r="M545" s="10"/>
    </row>
    <row r="546" spans="1:21">
      <c r="A546" s="10"/>
      <c r="B546" s="10"/>
      <c r="C546" s="10"/>
      <c r="D546" s="10"/>
      <c r="E546" s="10"/>
      <c r="F546" s="10"/>
      <c r="G546" s="10"/>
      <c r="H546" s="10"/>
      <c r="I546" s="10"/>
      <c r="J546" s="10"/>
      <c r="K546" s="10"/>
      <c r="L546" s="10"/>
      <c r="M546" s="10"/>
    </row>
    <row r="547" spans="1:21">
      <c r="A547" s="10"/>
      <c r="B547" s="10"/>
      <c r="C547" s="10"/>
      <c r="D547" s="10"/>
      <c r="E547" s="10"/>
      <c r="F547" s="10"/>
      <c r="G547" s="10"/>
      <c r="H547" s="10"/>
      <c r="I547" s="10"/>
      <c r="J547" s="10"/>
      <c r="K547" s="10"/>
      <c r="L547" s="10"/>
      <c r="M547" s="10"/>
    </row>
    <row r="548" spans="1:21">
      <c r="A548" s="10"/>
      <c r="B548" s="10"/>
      <c r="C548" s="10"/>
      <c r="D548" s="10"/>
      <c r="E548" s="10"/>
      <c r="F548" s="10"/>
      <c r="G548" s="10"/>
      <c r="H548" s="10"/>
      <c r="I548" s="10"/>
      <c r="J548" s="10"/>
      <c r="K548" s="10"/>
      <c r="L548" s="10"/>
      <c r="M548" s="10"/>
    </row>
    <row r="549" spans="1:21">
      <c r="A549" s="10"/>
      <c r="B549" s="10"/>
      <c r="C549" s="10"/>
      <c r="D549" s="10"/>
      <c r="E549" s="10"/>
      <c r="F549" s="10"/>
      <c r="G549" s="10"/>
      <c r="H549" s="10"/>
      <c r="I549" s="10"/>
      <c r="J549" s="10"/>
      <c r="K549" s="10"/>
      <c r="L549" s="10"/>
      <c r="M549" s="10"/>
    </row>
    <row r="550" spans="1:21">
      <c r="A550" s="10"/>
      <c r="B550" s="10"/>
      <c r="C550" s="10"/>
      <c r="D550" s="10"/>
      <c r="E550" s="28"/>
      <c r="F550" s="10"/>
      <c r="G550" s="10"/>
      <c r="H550" s="10"/>
      <c r="I550" s="10"/>
      <c r="J550" s="10"/>
      <c r="K550" s="10"/>
      <c r="L550" s="10"/>
      <c r="M550" s="10"/>
    </row>
    <row r="551" spans="1:21">
      <c r="A551" s="10"/>
      <c r="B551" s="10"/>
      <c r="C551" s="10"/>
      <c r="D551" s="10"/>
      <c r="E551" s="28"/>
      <c r="F551" s="10"/>
      <c r="G551" s="10"/>
      <c r="H551" s="10"/>
      <c r="I551" s="10"/>
      <c r="J551" s="10"/>
      <c r="K551" s="10"/>
      <c r="L551" s="10"/>
      <c r="M551" s="10"/>
    </row>
    <row r="552" spans="1:21">
      <c r="A552" s="10"/>
      <c r="B552" s="10"/>
      <c r="C552" s="10"/>
      <c r="D552" s="10"/>
      <c r="E552" s="28"/>
      <c r="F552" s="10"/>
      <c r="G552" s="10"/>
      <c r="H552" s="10"/>
      <c r="I552" s="10"/>
      <c r="J552" s="10"/>
      <c r="K552" s="10"/>
      <c r="L552" s="10"/>
      <c r="M552" s="10"/>
    </row>
    <row r="553" spans="1:21">
      <c r="A553" s="10"/>
      <c r="B553" s="10"/>
      <c r="C553" s="10"/>
      <c r="D553" s="10"/>
      <c r="E553" s="28"/>
      <c r="F553" s="10"/>
      <c r="G553" s="10"/>
      <c r="H553" s="10"/>
      <c r="I553" s="10"/>
      <c r="J553" s="10"/>
      <c r="K553" s="10"/>
      <c r="L553" s="10"/>
      <c r="M553" s="10"/>
    </row>
    <row r="554" spans="1:21">
      <c r="A554" s="10"/>
      <c r="B554" s="10"/>
      <c r="C554" s="10"/>
      <c r="D554" s="10"/>
      <c r="E554" s="28"/>
      <c r="F554" s="10"/>
      <c r="G554" s="10"/>
      <c r="H554" s="10"/>
      <c r="I554" s="10"/>
      <c r="J554" s="10"/>
      <c r="K554" s="10"/>
      <c r="L554" s="10"/>
      <c r="M554" s="10"/>
    </row>
    <row r="555" spans="1:21">
      <c r="A555" s="10"/>
      <c r="B555" s="10"/>
      <c r="C555" s="10"/>
      <c r="D555" s="10"/>
      <c r="E555" s="28"/>
      <c r="F555" s="10"/>
      <c r="G555" s="10"/>
      <c r="H555" s="10"/>
      <c r="I555" s="10"/>
      <c r="J555" s="10"/>
      <c r="K555" s="10"/>
      <c r="L555" s="10"/>
      <c r="M555" s="10"/>
    </row>
    <row r="556" spans="1:21">
      <c r="A556" s="10"/>
      <c r="B556" s="10"/>
      <c r="C556" s="10"/>
      <c r="D556" s="10"/>
      <c r="E556" s="28"/>
      <c r="F556" s="10"/>
      <c r="G556" s="10"/>
      <c r="H556" s="10"/>
      <c r="I556" s="10"/>
      <c r="J556" s="10"/>
      <c r="K556" s="10"/>
      <c r="L556" s="10"/>
      <c r="M556" s="10"/>
    </row>
    <row r="557" spans="1:21">
      <c r="A557" s="10"/>
      <c r="B557" s="10"/>
      <c r="C557" s="10"/>
      <c r="D557" s="10"/>
      <c r="E557" s="28"/>
      <c r="F557" s="10"/>
      <c r="G557" s="10"/>
      <c r="H557" s="10"/>
      <c r="I557" s="10"/>
      <c r="J557" s="10"/>
      <c r="K557" s="10"/>
      <c r="L557" s="10"/>
      <c r="M557" s="10"/>
      <c r="P557" s="10" t="e">
        <f>VLOOKUP(C557,Table_view_sorted!A$2:A$215,1,FALSE)</f>
        <v>#N/A</v>
      </c>
      <c r="Q557" t="e">
        <f>VLOOKUP(D557,AVY_FACT!A$2:A$153,1,FALSE)</f>
        <v>#N/A</v>
      </c>
      <c r="R557" t="str">
        <f>D557&amp;"  "&amp;G557&amp;","</f>
        <v xml:space="preserve">  ,</v>
      </c>
      <c r="T557" s="10"/>
      <c r="U557" s="10"/>
    </row>
    <row r="558" spans="1:21">
      <c r="A558" s="10"/>
      <c r="B558" s="10"/>
      <c r="C558" s="10"/>
      <c r="D558" s="10"/>
      <c r="E558" s="28"/>
      <c r="F558" s="10"/>
      <c r="G558" s="10"/>
      <c r="H558" s="10"/>
      <c r="I558" s="10"/>
      <c r="J558" s="10"/>
      <c r="K558" s="10"/>
      <c r="L558" s="10"/>
      <c r="M558" s="10"/>
    </row>
    <row r="559" spans="1:21">
      <c r="A559" s="10"/>
      <c r="B559" s="10"/>
      <c r="C559" s="10"/>
      <c r="D559" s="10"/>
      <c r="E559" s="28"/>
      <c r="F559" s="10"/>
      <c r="G559" s="10"/>
      <c r="H559" s="10"/>
      <c r="I559" s="10"/>
      <c r="J559" s="10"/>
      <c r="K559" s="10"/>
      <c r="L559" s="10"/>
      <c r="M559" s="10"/>
    </row>
    <row r="560" spans="1:21">
      <c r="A560" s="10"/>
      <c r="B560" s="10"/>
      <c r="C560" s="10"/>
      <c r="D560" s="10"/>
      <c r="E560" s="28"/>
      <c r="F560" s="10"/>
      <c r="G560" s="10"/>
      <c r="H560" s="10"/>
      <c r="I560" s="10"/>
      <c r="J560" s="10"/>
      <c r="K560" s="10"/>
      <c r="L560" s="10"/>
      <c r="M560" s="10"/>
    </row>
    <row r="561" spans="1:21">
      <c r="A561" s="10"/>
      <c r="B561" s="10"/>
      <c r="C561" s="10"/>
      <c r="D561" s="10"/>
      <c r="E561" s="28"/>
      <c r="F561" s="10"/>
      <c r="G561" s="10"/>
      <c r="H561" s="10"/>
      <c r="I561" s="10"/>
      <c r="J561" s="10"/>
      <c r="K561" s="10"/>
      <c r="L561" s="10"/>
      <c r="M561" s="10"/>
    </row>
    <row r="562" spans="1:21">
      <c r="A562" s="10"/>
      <c r="B562" s="10"/>
      <c r="C562" s="10"/>
      <c r="D562" s="10"/>
      <c r="E562" s="28"/>
      <c r="F562" s="10"/>
      <c r="G562" s="10"/>
      <c r="H562" s="10"/>
      <c r="I562" s="10"/>
      <c r="J562" s="10"/>
      <c r="K562" s="10"/>
      <c r="L562" s="10"/>
      <c r="M562" s="10"/>
    </row>
    <row r="563" spans="1:21">
      <c r="A563" s="10"/>
      <c r="B563" s="10"/>
      <c r="C563" s="10"/>
      <c r="D563" s="10"/>
      <c r="E563" s="28"/>
      <c r="F563" s="10"/>
      <c r="G563" s="10"/>
      <c r="H563" s="10"/>
      <c r="I563" s="10"/>
      <c r="J563" s="10"/>
      <c r="K563" s="10"/>
      <c r="L563" s="10"/>
      <c r="M563" s="10"/>
    </row>
    <row r="564" spans="1:21">
      <c r="A564" s="10"/>
      <c r="B564" s="10"/>
      <c r="C564" s="10"/>
      <c r="D564" s="10"/>
      <c r="E564" s="10"/>
      <c r="F564" s="10"/>
      <c r="G564" s="10"/>
      <c r="H564" s="10"/>
      <c r="I564" s="10"/>
      <c r="J564" s="10"/>
      <c r="K564" s="10"/>
      <c r="L564" s="10"/>
      <c r="M564" s="10"/>
    </row>
    <row r="565" spans="1:21">
      <c r="A565" s="10"/>
      <c r="B565" s="10"/>
      <c r="C565" s="10"/>
      <c r="D565" s="10"/>
      <c r="E565" s="10"/>
      <c r="F565" s="10"/>
      <c r="G565" s="10"/>
      <c r="H565" s="10"/>
      <c r="I565" s="10"/>
      <c r="J565" s="10"/>
      <c r="K565" s="10"/>
      <c r="L565" s="10"/>
      <c r="M565" s="10"/>
    </row>
    <row r="566" spans="1:21">
      <c r="A566" s="10"/>
      <c r="B566" s="10"/>
      <c r="C566" s="10"/>
      <c r="D566" s="10"/>
      <c r="E566" s="10"/>
      <c r="F566" s="10"/>
      <c r="G566" s="10"/>
      <c r="H566" s="10"/>
      <c r="I566" s="10"/>
      <c r="J566" s="10"/>
      <c r="K566" s="10"/>
      <c r="L566" s="10"/>
      <c r="M566" s="10"/>
    </row>
    <row r="567" spans="1:21">
      <c r="A567" s="10"/>
      <c r="B567" s="10"/>
      <c r="C567" s="10"/>
      <c r="D567" s="10"/>
      <c r="E567" s="10"/>
      <c r="F567" s="10"/>
      <c r="G567" s="10"/>
      <c r="H567" s="10"/>
      <c r="I567" s="10"/>
      <c r="J567" s="10"/>
      <c r="K567" s="10"/>
      <c r="L567" s="10"/>
      <c r="M567" s="10"/>
    </row>
    <row r="568" spans="1:21">
      <c r="A568" s="10"/>
      <c r="B568" s="10"/>
      <c r="C568" s="10"/>
      <c r="D568" s="10"/>
      <c r="E568" s="10"/>
      <c r="F568" s="10"/>
      <c r="G568" s="10"/>
      <c r="H568" s="10"/>
      <c r="I568" s="10"/>
      <c r="J568" s="10"/>
      <c r="K568" s="10"/>
      <c r="L568" s="10"/>
      <c r="M568" s="10"/>
    </row>
    <row r="569" spans="1:21">
      <c r="A569" s="10"/>
      <c r="B569" s="10"/>
      <c r="C569" s="10"/>
      <c r="D569" s="10"/>
      <c r="E569" s="10"/>
      <c r="F569" s="10"/>
      <c r="G569" s="10"/>
      <c r="H569" s="10"/>
      <c r="I569" s="10"/>
      <c r="J569" s="10"/>
      <c r="K569" s="10"/>
      <c r="L569" s="10"/>
      <c r="M569" s="10"/>
    </row>
    <row r="570" spans="1:21">
      <c r="A570" s="10"/>
      <c r="B570" s="10"/>
      <c r="C570" s="10"/>
      <c r="D570" s="10"/>
      <c r="E570" s="10"/>
      <c r="F570" s="10"/>
      <c r="G570" s="10"/>
      <c r="H570" s="10"/>
      <c r="I570" s="10"/>
      <c r="J570" s="10"/>
      <c r="K570" s="10"/>
      <c r="L570" s="10"/>
      <c r="M570" s="10"/>
    </row>
    <row r="571" spans="1:21">
      <c r="A571" s="10"/>
      <c r="B571" s="10"/>
      <c r="C571" s="10"/>
      <c r="D571" s="10"/>
      <c r="E571" s="10"/>
      <c r="F571" s="10"/>
      <c r="G571" s="10"/>
      <c r="H571" s="10"/>
      <c r="I571" s="10"/>
      <c r="J571" s="10"/>
      <c r="K571" s="10"/>
      <c r="L571" s="10"/>
      <c r="M571" s="10"/>
    </row>
    <row r="572" spans="1:21">
      <c r="A572" s="10"/>
      <c r="B572" s="10"/>
      <c r="C572" s="10"/>
      <c r="D572" s="10"/>
      <c r="E572" s="10"/>
      <c r="F572" s="10"/>
      <c r="G572" s="10"/>
      <c r="H572" s="10"/>
      <c r="I572" s="10"/>
      <c r="J572" s="10"/>
      <c r="K572" s="10"/>
      <c r="L572" s="10"/>
      <c r="M572" s="10"/>
      <c r="P572" s="10" t="e">
        <f>VLOOKUP(C572,Table_view_sorted!A$2:A$215,1,FALSE)</f>
        <v>#N/A</v>
      </c>
      <c r="Q572" t="e">
        <f>VLOOKUP(D572,AVY_FACT!A$2:A$153,1,FALSE)</f>
        <v>#N/A</v>
      </c>
      <c r="R572" t="str">
        <f>D572&amp;"  "&amp;G572&amp;","</f>
        <v xml:space="preserve">  ,</v>
      </c>
      <c r="T572" s="10"/>
      <c r="U572" s="10"/>
    </row>
    <row r="573" spans="1:21">
      <c r="A573" s="10"/>
      <c r="B573" s="10"/>
      <c r="C573" s="10"/>
      <c r="D573" s="10"/>
      <c r="E573" s="10"/>
      <c r="F573" s="10"/>
      <c r="G573" s="10"/>
      <c r="H573" s="10"/>
      <c r="I573" s="10"/>
      <c r="J573" s="10"/>
      <c r="K573" s="10"/>
      <c r="L573" s="10"/>
      <c r="M573" s="10"/>
    </row>
    <row r="574" spans="1:21">
      <c r="A574" s="10"/>
      <c r="B574" s="10"/>
      <c r="C574" s="10"/>
      <c r="D574" s="10"/>
      <c r="E574" s="10"/>
      <c r="F574" s="10"/>
      <c r="G574" s="10"/>
      <c r="H574" s="10"/>
      <c r="I574" s="10"/>
      <c r="J574" s="10"/>
      <c r="K574" s="10"/>
      <c r="L574" s="10"/>
      <c r="M574" s="10"/>
    </row>
    <row r="575" spans="1:21">
      <c r="A575" s="10"/>
      <c r="B575" s="10"/>
      <c r="C575" s="10"/>
      <c r="D575" s="10"/>
      <c r="E575" s="10"/>
      <c r="F575" s="10"/>
      <c r="G575" s="10"/>
      <c r="H575" s="10"/>
      <c r="I575" s="10"/>
      <c r="J575" s="10"/>
      <c r="K575" s="10"/>
      <c r="L575" s="10"/>
      <c r="M575" s="10"/>
    </row>
    <row r="576" spans="1:21">
      <c r="A576" s="10"/>
      <c r="B576" s="10"/>
      <c r="C576" s="10"/>
      <c r="D576" s="10"/>
      <c r="E576" s="10"/>
      <c r="F576" s="10"/>
      <c r="G576" s="10"/>
      <c r="H576" s="10"/>
      <c r="I576" s="10"/>
      <c r="J576" s="10"/>
      <c r="K576" s="10"/>
      <c r="L576" s="10"/>
      <c r="M576" s="10"/>
    </row>
    <row r="577" spans="1:21">
      <c r="A577" s="10"/>
      <c r="B577" s="10"/>
      <c r="C577" s="10"/>
      <c r="D577" s="10"/>
      <c r="E577" s="10"/>
      <c r="F577" s="10"/>
      <c r="G577" s="10"/>
      <c r="H577" s="10"/>
      <c r="I577" s="10"/>
      <c r="J577" s="10"/>
      <c r="K577" s="10"/>
      <c r="L577" s="10"/>
      <c r="M577" s="10"/>
    </row>
    <row r="578" spans="1:21">
      <c r="A578" s="10"/>
      <c r="B578" s="10"/>
      <c r="C578" s="10"/>
      <c r="D578" s="10"/>
      <c r="E578" s="10"/>
      <c r="F578" s="10"/>
      <c r="G578" s="10"/>
      <c r="H578" s="10"/>
      <c r="I578" s="10"/>
      <c r="J578" s="10"/>
      <c r="K578" s="10"/>
      <c r="L578" s="10"/>
      <c r="M578" s="10"/>
    </row>
    <row r="579" spans="1:21">
      <c r="A579" s="10"/>
      <c r="B579" s="10"/>
      <c r="C579" s="10"/>
      <c r="D579" s="10"/>
      <c r="E579" s="10"/>
      <c r="F579" s="10"/>
      <c r="G579" s="10"/>
      <c r="H579" s="10"/>
      <c r="I579" s="10"/>
      <c r="J579" s="10"/>
      <c r="K579" s="10"/>
      <c r="L579" s="10"/>
      <c r="M579" s="10"/>
    </row>
    <row r="580" spans="1:21">
      <c r="A580" s="10"/>
      <c r="B580" s="10"/>
      <c r="C580" s="10"/>
      <c r="D580" s="10"/>
      <c r="E580" s="10"/>
      <c r="F580" s="10"/>
      <c r="G580" s="10"/>
      <c r="H580" s="10"/>
      <c r="I580" s="10"/>
      <c r="J580" s="10"/>
      <c r="K580" s="10"/>
      <c r="L580" s="10"/>
      <c r="M580" s="10"/>
    </row>
    <row r="581" spans="1:21">
      <c r="A581" s="10"/>
      <c r="B581" s="10"/>
      <c r="C581" s="10"/>
      <c r="D581" s="10"/>
      <c r="E581" s="28"/>
      <c r="F581" s="10"/>
      <c r="G581" s="10"/>
      <c r="H581" s="10"/>
      <c r="I581" s="10"/>
      <c r="J581" s="10"/>
      <c r="K581" s="10"/>
      <c r="L581" s="10"/>
      <c r="M581" s="10"/>
    </row>
    <row r="582" spans="1:21">
      <c r="A582" s="10"/>
      <c r="B582" s="10"/>
      <c r="C582" s="10"/>
      <c r="D582" s="10"/>
      <c r="E582" s="28"/>
      <c r="F582" s="10"/>
      <c r="G582" s="10"/>
      <c r="H582" s="10"/>
      <c r="I582" s="10"/>
      <c r="J582" s="10"/>
      <c r="K582" s="10"/>
      <c r="L582" s="10"/>
      <c r="M582" s="10"/>
      <c r="N582" s="10"/>
      <c r="O582" s="10"/>
      <c r="P582" s="10" t="e">
        <f>VLOOKUP(C582,Table_view_sorted!A$2:A$215,1,FALSE)</f>
        <v>#N/A</v>
      </c>
      <c r="Q582" t="e">
        <f>VLOOKUP(D582,AVY_FACT!A$2:A$153,1,FALSE)</f>
        <v>#N/A</v>
      </c>
      <c r="R582" t="str">
        <f>D582&amp;"  "&amp;G582&amp;","</f>
        <v xml:space="preserve">  ,</v>
      </c>
      <c r="T582" s="10"/>
      <c r="U582" s="10"/>
    </row>
    <row r="583" spans="1:21">
      <c r="A583" s="10"/>
      <c r="B583" s="10"/>
      <c r="C583" s="10"/>
      <c r="D583" s="10"/>
      <c r="E583" s="28"/>
      <c r="F583" s="10"/>
      <c r="G583" s="10"/>
      <c r="H583" s="10"/>
      <c r="I583" s="10"/>
      <c r="J583" s="10"/>
      <c r="K583" s="10"/>
      <c r="L583" s="10"/>
      <c r="M583" s="10"/>
      <c r="N583" s="10"/>
      <c r="O583" s="10"/>
      <c r="P583" s="10" t="e">
        <f>VLOOKUP(C583,Table_view_sorted!A$2:A$215,1,FALSE)</f>
        <v>#N/A</v>
      </c>
      <c r="Q583" t="e">
        <f>VLOOKUP(D583,AVY_FACT!A$2:A$153,1,FALSE)</f>
        <v>#N/A</v>
      </c>
      <c r="R583" t="str">
        <f>D583&amp;"  "&amp;G583&amp;","</f>
        <v xml:space="preserve">  ,</v>
      </c>
      <c r="T583" s="10"/>
      <c r="U583" s="10"/>
    </row>
    <row r="584" spans="1:21">
      <c r="A584" s="10"/>
      <c r="B584" s="10"/>
      <c r="C584" s="10"/>
      <c r="D584" s="10"/>
      <c r="E584" s="10"/>
      <c r="F584" s="10"/>
      <c r="G584" s="10"/>
      <c r="H584" s="10"/>
      <c r="I584" s="10"/>
      <c r="J584" s="10"/>
      <c r="K584" s="10"/>
      <c r="L584" s="10"/>
      <c r="M584" s="10"/>
    </row>
    <row r="585" spans="1:21">
      <c r="A585" s="10"/>
      <c r="B585" s="10"/>
      <c r="C585" s="10"/>
      <c r="D585" s="10"/>
      <c r="E585" s="10"/>
      <c r="F585" s="10"/>
      <c r="G585" s="10"/>
      <c r="H585" s="10"/>
      <c r="I585" s="10"/>
      <c r="J585" s="10"/>
      <c r="K585" s="10"/>
      <c r="L585" s="10"/>
      <c r="M585" s="10"/>
    </row>
    <row r="586" spans="1:21">
      <c r="A586" s="10"/>
      <c r="B586" s="10"/>
      <c r="C586" s="10"/>
      <c r="D586" s="10"/>
      <c r="E586" s="10"/>
      <c r="F586" s="10"/>
      <c r="G586" s="10"/>
      <c r="H586" s="10"/>
      <c r="I586" s="10"/>
      <c r="J586" s="10"/>
      <c r="K586" s="10"/>
      <c r="L586" s="10"/>
      <c r="M586" s="10"/>
    </row>
    <row r="587" spans="1:21">
      <c r="A587" s="10"/>
      <c r="B587" s="10"/>
      <c r="C587" s="10"/>
      <c r="D587" s="10"/>
      <c r="E587" s="10"/>
      <c r="F587" s="10"/>
      <c r="G587" s="10"/>
      <c r="H587" s="10"/>
      <c r="I587" s="10"/>
      <c r="J587" s="10"/>
      <c r="K587" s="10"/>
      <c r="L587" s="10"/>
      <c r="M587" s="10"/>
    </row>
    <row r="588" spans="1:21">
      <c r="A588" s="10"/>
      <c r="B588" s="10"/>
      <c r="C588" s="10"/>
      <c r="D588" s="10"/>
      <c r="E588" s="10"/>
      <c r="F588" s="10"/>
      <c r="G588" s="10"/>
      <c r="H588" s="10"/>
      <c r="I588" s="10"/>
      <c r="J588" s="10"/>
      <c r="K588" s="10"/>
      <c r="L588" s="10"/>
      <c r="M588" s="10"/>
    </row>
    <row r="589" spans="1:21">
      <c r="A589" s="10"/>
      <c r="B589" s="10"/>
      <c r="C589" s="10"/>
      <c r="D589" s="10"/>
      <c r="E589" s="10"/>
      <c r="F589" s="10"/>
      <c r="G589" s="10"/>
      <c r="H589" s="10"/>
      <c r="I589" s="10"/>
      <c r="J589" s="10"/>
      <c r="K589" s="10"/>
      <c r="L589" s="10"/>
      <c r="M589" s="10"/>
    </row>
    <row r="590" spans="1:21">
      <c r="A590" s="10"/>
      <c r="B590" s="10"/>
      <c r="C590" s="10"/>
      <c r="D590" s="10"/>
      <c r="E590" s="10"/>
      <c r="F590" s="10"/>
      <c r="G590" s="10"/>
      <c r="H590" s="10"/>
      <c r="I590" s="10"/>
      <c r="J590" s="10"/>
      <c r="K590" s="10"/>
      <c r="L590" s="10"/>
      <c r="M590" s="10"/>
      <c r="P590" s="10" t="e">
        <f>VLOOKUP(C590,Table_view_sorted!A$2:A$215,1,FALSE)</f>
        <v>#N/A</v>
      </c>
      <c r="Q590" t="e">
        <f>VLOOKUP(D590,AVY_FACT!A$2:A$153,1,FALSE)</f>
        <v>#N/A</v>
      </c>
      <c r="R590" t="str">
        <f>D590&amp;"  "&amp;G590&amp;","</f>
        <v xml:space="preserve">  ,</v>
      </c>
      <c r="T590" s="10"/>
      <c r="U590" s="10"/>
    </row>
    <row r="591" spans="1:21">
      <c r="A591" s="10"/>
      <c r="B591" s="10"/>
      <c r="C591" s="10"/>
      <c r="D591" s="10"/>
      <c r="E591" s="10"/>
      <c r="F591" s="10"/>
      <c r="G591" s="10"/>
      <c r="H591" s="10"/>
      <c r="I591" s="10"/>
      <c r="J591" s="10"/>
      <c r="K591" s="10"/>
      <c r="L591" s="10"/>
      <c r="M591" s="10"/>
    </row>
    <row r="592" spans="1:21">
      <c r="A592" s="10"/>
      <c r="B592" s="10"/>
      <c r="C592" s="10"/>
      <c r="D592" s="10"/>
      <c r="E592" s="10"/>
      <c r="F592" s="10"/>
      <c r="G592" s="10"/>
      <c r="H592" s="10"/>
      <c r="I592" s="10"/>
      <c r="J592" s="10"/>
      <c r="K592" s="10"/>
      <c r="L592" s="10"/>
      <c r="M592" s="10"/>
      <c r="P592" s="10" t="e">
        <f>VLOOKUP(C592,Table_view_sorted!A$2:A$215,1,FALSE)</f>
        <v>#N/A</v>
      </c>
      <c r="Q592" t="e">
        <f>VLOOKUP(D592,AVY_FACT!A$2:A$153,1,FALSE)</f>
        <v>#N/A</v>
      </c>
      <c r="R592" t="str">
        <f>D592&amp;"  "&amp;G592&amp;","</f>
        <v xml:space="preserve">  ,</v>
      </c>
      <c r="T592" s="10"/>
      <c r="U592" s="10"/>
    </row>
    <row r="593" spans="1:21">
      <c r="A593" s="10"/>
      <c r="B593" s="10"/>
      <c r="C593" s="10"/>
      <c r="D593" s="10"/>
      <c r="E593" s="10"/>
      <c r="F593" s="10"/>
      <c r="G593" s="10"/>
      <c r="H593" s="10"/>
      <c r="I593" s="10"/>
      <c r="J593" s="10"/>
      <c r="K593" s="10"/>
      <c r="L593" s="10"/>
      <c r="M593" s="10"/>
      <c r="P593" s="10" t="e">
        <f>VLOOKUP(C593,Table_view_sorted!A$2:A$215,1,FALSE)</f>
        <v>#N/A</v>
      </c>
      <c r="Q593" t="e">
        <f>VLOOKUP(D593,AVY_FACT!A$2:A$153,1,FALSE)</f>
        <v>#N/A</v>
      </c>
      <c r="R593" t="str">
        <f>D593&amp;"  "&amp;G593&amp;","</f>
        <v xml:space="preserve">  ,</v>
      </c>
      <c r="T593" s="10" t="s">
        <v>2530</v>
      </c>
      <c r="U593" s="10" t="s">
        <v>1142</v>
      </c>
    </row>
    <row r="594" spans="1:21">
      <c r="A594" s="10"/>
      <c r="B594" s="10"/>
      <c r="C594" s="10"/>
      <c r="D594" s="10"/>
      <c r="E594" s="28"/>
      <c r="F594" s="10"/>
      <c r="G594" s="10"/>
      <c r="H594" s="10"/>
      <c r="I594" s="10"/>
      <c r="J594" s="10"/>
      <c r="K594" s="10"/>
      <c r="L594" s="10"/>
      <c r="M594" s="10"/>
      <c r="P594" s="10" t="e">
        <f>VLOOKUP(C594,Table_view_sorted!A$2:A$215,1,FALSE)</f>
        <v>#N/A</v>
      </c>
      <c r="Q594" t="e">
        <f>VLOOKUP(D594,AVY_FACT!A$2:A$153,1,FALSE)</f>
        <v>#N/A</v>
      </c>
      <c r="R594" t="str">
        <f>D594&amp;"  "&amp;G594&amp;","</f>
        <v xml:space="preserve">  ,</v>
      </c>
      <c r="T594" s="10"/>
      <c r="U594" s="10"/>
    </row>
    <row r="595" spans="1:21">
      <c r="A595" s="10"/>
      <c r="B595" s="10"/>
      <c r="C595" s="10"/>
      <c r="D595" s="10"/>
      <c r="E595" s="10"/>
      <c r="F595" s="10"/>
      <c r="G595" s="10"/>
      <c r="H595" s="10"/>
      <c r="I595" s="10"/>
      <c r="J595" s="10"/>
      <c r="K595" s="10"/>
      <c r="L595" s="10"/>
      <c r="M595" s="10"/>
    </row>
    <row r="596" spans="1:21">
      <c r="A596" s="10"/>
      <c r="B596" s="10"/>
      <c r="C596" s="10"/>
      <c r="D596" s="10"/>
      <c r="E596" s="28"/>
      <c r="F596" s="10"/>
      <c r="G596" s="10"/>
      <c r="H596" s="10"/>
      <c r="I596" s="10"/>
      <c r="J596" s="10"/>
      <c r="K596" s="10"/>
      <c r="L596" s="10"/>
      <c r="M596" s="10"/>
      <c r="P596" s="10" t="e">
        <f>VLOOKUP(C596,Table_view_sorted!A$2:A$215,1,FALSE)</f>
        <v>#N/A</v>
      </c>
      <c r="Q596" t="e">
        <f>VLOOKUP(D596,AVY_FACT!A$2:A$153,1,FALSE)</f>
        <v>#N/A</v>
      </c>
      <c r="R596" t="str">
        <f>D596&amp;"  "&amp;G596&amp;","</f>
        <v xml:space="preserve">  ,</v>
      </c>
      <c r="T596" s="10"/>
      <c r="U596" s="10"/>
    </row>
    <row r="597" spans="1:21">
      <c r="A597" s="10"/>
      <c r="B597" s="10"/>
      <c r="C597" s="10"/>
      <c r="D597" s="10"/>
      <c r="E597" s="10"/>
      <c r="F597" s="10"/>
      <c r="G597" s="10"/>
      <c r="H597" s="10"/>
      <c r="I597" s="10"/>
      <c r="J597" s="10"/>
      <c r="K597" s="10"/>
      <c r="L597" s="10"/>
      <c r="M597" s="10"/>
    </row>
    <row r="598" spans="1:21">
      <c r="A598" s="10"/>
      <c r="B598" s="10"/>
      <c r="C598" s="10"/>
      <c r="D598" s="10"/>
      <c r="E598" s="10"/>
      <c r="F598" s="10"/>
      <c r="G598" s="10"/>
      <c r="H598" s="10"/>
      <c r="I598" s="10"/>
      <c r="J598" s="10"/>
      <c r="K598" s="10"/>
      <c r="L598" s="10"/>
      <c r="M598" s="10"/>
    </row>
    <row r="599" spans="1:21">
      <c r="A599" s="10"/>
      <c r="B599" s="10"/>
      <c r="C599" s="10"/>
      <c r="D599" s="10"/>
      <c r="E599" s="10"/>
      <c r="F599" s="10"/>
      <c r="G599" s="10"/>
      <c r="H599" s="10"/>
      <c r="I599" s="10"/>
      <c r="J599" s="10"/>
      <c r="K599" s="10"/>
      <c r="L599" s="10"/>
      <c r="M599" s="10"/>
    </row>
    <row r="600" spans="1:21">
      <c r="A600" s="10"/>
      <c r="B600" s="10"/>
      <c r="C600" s="10"/>
      <c r="D600" s="10"/>
      <c r="E600" s="10"/>
      <c r="F600" s="10"/>
      <c r="G600" s="10"/>
      <c r="H600" s="10"/>
      <c r="I600" s="10"/>
      <c r="J600" s="10"/>
      <c r="K600" s="10"/>
      <c r="L600" s="10"/>
      <c r="M600" s="10"/>
    </row>
    <row r="601" spans="1:21">
      <c r="A601" s="10"/>
      <c r="B601" s="10"/>
      <c r="C601" s="10"/>
      <c r="D601" s="10"/>
      <c r="E601" s="10"/>
      <c r="F601" s="10"/>
      <c r="G601" s="10"/>
      <c r="H601" s="10"/>
      <c r="I601" s="10"/>
      <c r="J601" s="10"/>
      <c r="K601" s="10"/>
      <c r="L601" s="10"/>
      <c r="M601" s="10"/>
    </row>
    <row r="602" spans="1:21">
      <c r="A602" s="10"/>
      <c r="B602" s="10"/>
      <c r="C602" s="10"/>
      <c r="D602" s="10"/>
      <c r="E602" s="10"/>
      <c r="F602" s="10"/>
      <c r="G602" s="10"/>
      <c r="H602" s="10"/>
      <c r="I602" s="10"/>
      <c r="J602" s="10"/>
      <c r="K602" s="10"/>
      <c r="L602" s="10"/>
      <c r="M602" s="10"/>
    </row>
    <row r="603" spans="1:21">
      <c r="A603" s="10"/>
      <c r="B603" s="10"/>
      <c r="C603" s="10"/>
      <c r="D603" s="10"/>
      <c r="E603" s="10"/>
      <c r="F603" s="10"/>
      <c r="G603" s="10"/>
      <c r="H603" s="10"/>
      <c r="I603" s="10"/>
      <c r="J603" s="10"/>
      <c r="K603" s="10"/>
      <c r="L603" s="10"/>
      <c r="M603" s="10"/>
    </row>
    <row r="604" spans="1:21">
      <c r="A604" s="10"/>
      <c r="B604" s="10"/>
      <c r="C604" s="10"/>
      <c r="D604" s="10"/>
      <c r="E604" s="10"/>
      <c r="F604" s="10"/>
      <c r="G604" s="10"/>
      <c r="H604" s="10"/>
      <c r="I604" s="10"/>
      <c r="J604" s="10"/>
      <c r="K604" s="10"/>
      <c r="L604" s="10"/>
      <c r="M604" s="10"/>
    </row>
    <row r="605" spans="1:21">
      <c r="A605" s="10"/>
      <c r="B605" s="10"/>
      <c r="C605" s="10"/>
      <c r="D605" s="10"/>
      <c r="E605" s="10"/>
      <c r="F605" s="10"/>
      <c r="G605" s="10"/>
      <c r="H605" s="10"/>
      <c r="I605" s="10"/>
      <c r="J605" s="10"/>
      <c r="K605" s="10"/>
      <c r="L605" s="10"/>
      <c r="M605" s="10"/>
    </row>
    <row r="606" spans="1:21">
      <c r="A606" s="10"/>
      <c r="B606" s="10"/>
      <c r="C606" s="10"/>
      <c r="D606" s="10"/>
      <c r="E606" s="28"/>
      <c r="F606" s="10"/>
      <c r="G606" s="10"/>
      <c r="H606" s="10"/>
      <c r="I606" s="10"/>
      <c r="J606" s="10"/>
      <c r="K606" s="10"/>
      <c r="L606" s="10"/>
      <c r="M606" s="10"/>
    </row>
    <row r="607" spans="1:21">
      <c r="A607" s="10"/>
      <c r="B607" s="10"/>
      <c r="C607" s="10"/>
      <c r="D607" s="10"/>
      <c r="E607" s="28"/>
      <c r="F607" s="10"/>
      <c r="G607" s="10"/>
      <c r="H607" s="10"/>
      <c r="I607" s="10"/>
      <c r="J607" s="10"/>
      <c r="K607" s="10"/>
      <c r="L607" s="10"/>
      <c r="M607" s="10"/>
    </row>
    <row r="608" spans="1:21">
      <c r="A608" s="10"/>
      <c r="B608" s="10"/>
      <c r="C608" s="10"/>
      <c r="D608" s="10"/>
      <c r="E608" s="28"/>
      <c r="F608" s="10"/>
      <c r="G608" s="10"/>
      <c r="H608" s="10"/>
      <c r="I608" s="10"/>
      <c r="J608" s="10"/>
      <c r="K608" s="10"/>
      <c r="L608" s="10"/>
      <c r="M608" s="10"/>
    </row>
    <row r="609" spans="1:21">
      <c r="A609" s="10"/>
      <c r="B609" s="10"/>
      <c r="C609" s="10"/>
      <c r="D609" s="10"/>
      <c r="E609" s="10"/>
      <c r="F609" s="10"/>
      <c r="G609" s="10"/>
      <c r="H609" s="10"/>
      <c r="I609" s="10"/>
      <c r="J609" s="10"/>
      <c r="K609" s="10"/>
      <c r="L609" s="10"/>
      <c r="M609" s="10"/>
    </row>
    <row r="610" spans="1:21">
      <c r="A610" s="10"/>
      <c r="B610" s="10"/>
      <c r="C610" s="10"/>
      <c r="D610" s="10"/>
      <c r="E610" s="10"/>
      <c r="F610" s="10"/>
      <c r="G610" s="10"/>
      <c r="H610" s="10"/>
      <c r="I610" s="10"/>
      <c r="J610" s="10"/>
      <c r="K610" s="10"/>
      <c r="L610" s="10"/>
      <c r="M610" s="10"/>
    </row>
    <row r="611" spans="1:21">
      <c r="A611" s="10"/>
      <c r="B611" s="10"/>
      <c r="C611" s="10"/>
      <c r="D611" s="10"/>
      <c r="E611" s="10"/>
      <c r="F611" s="10"/>
      <c r="G611" s="10"/>
      <c r="H611" s="10"/>
      <c r="I611" s="10"/>
      <c r="J611" s="10"/>
      <c r="K611" s="10"/>
      <c r="L611" s="10"/>
      <c r="M611" s="10"/>
    </row>
    <row r="612" spans="1:21">
      <c r="A612" s="10"/>
      <c r="B612" s="10"/>
      <c r="C612" s="10"/>
      <c r="D612" s="10"/>
      <c r="E612" s="10"/>
      <c r="F612" s="10"/>
      <c r="G612" s="10"/>
      <c r="H612" s="10"/>
      <c r="I612" s="10"/>
      <c r="J612" s="10"/>
      <c r="K612" s="10"/>
      <c r="L612" s="10"/>
      <c r="M612" s="10"/>
    </row>
    <row r="613" spans="1:21">
      <c r="A613" s="10"/>
      <c r="B613" s="10"/>
      <c r="C613" s="10"/>
      <c r="D613" s="10"/>
      <c r="E613" s="10"/>
      <c r="F613" s="10"/>
      <c r="G613" s="10"/>
      <c r="H613" s="10"/>
      <c r="I613" s="10"/>
      <c r="J613" s="10"/>
      <c r="K613" s="10"/>
      <c r="L613" s="10"/>
      <c r="M613" s="10"/>
    </row>
    <row r="614" spans="1:21">
      <c r="A614" s="10"/>
      <c r="B614" s="10"/>
      <c r="C614" s="10"/>
      <c r="D614" s="10"/>
      <c r="E614" s="10"/>
      <c r="F614" s="10"/>
      <c r="G614" s="10"/>
      <c r="H614" s="10"/>
      <c r="I614" s="10"/>
      <c r="J614" s="10"/>
      <c r="K614" s="10"/>
      <c r="L614" s="10"/>
      <c r="M614" s="10"/>
    </row>
    <row r="615" spans="1:21">
      <c r="A615" s="10"/>
      <c r="B615" s="10"/>
      <c r="C615" s="10"/>
      <c r="D615" s="10"/>
      <c r="E615" s="10"/>
      <c r="F615" s="10"/>
      <c r="G615" s="10"/>
      <c r="H615" s="10"/>
      <c r="I615" s="10"/>
      <c r="J615" s="10"/>
      <c r="K615" s="10"/>
      <c r="L615" s="10"/>
      <c r="M615" s="10"/>
    </row>
    <row r="616" spans="1:21">
      <c r="A616" s="10"/>
      <c r="B616" s="10"/>
      <c r="C616" s="10"/>
      <c r="D616" s="10"/>
      <c r="E616" s="10"/>
      <c r="F616" s="10"/>
      <c r="G616" s="10"/>
      <c r="H616" s="10"/>
      <c r="I616" s="10"/>
      <c r="J616" s="10"/>
      <c r="K616" s="10"/>
      <c r="L616" s="10"/>
      <c r="M616" s="10"/>
    </row>
    <row r="617" spans="1:21">
      <c r="A617" s="10"/>
      <c r="B617" s="10"/>
      <c r="C617" s="10"/>
      <c r="D617" s="10"/>
      <c r="E617" s="10"/>
      <c r="F617" s="10"/>
      <c r="G617" s="10"/>
      <c r="H617" s="10"/>
      <c r="I617" s="10"/>
      <c r="J617" s="10"/>
      <c r="K617" s="10"/>
      <c r="L617" s="10"/>
      <c r="M617" s="10"/>
    </row>
    <row r="618" spans="1:21">
      <c r="A618" s="10"/>
      <c r="B618" s="10"/>
      <c r="C618" s="10"/>
      <c r="D618" s="10"/>
      <c r="E618" s="10"/>
      <c r="F618" s="10"/>
      <c r="G618" s="10"/>
      <c r="H618" s="10"/>
      <c r="I618" s="10"/>
      <c r="J618" s="10"/>
      <c r="K618" s="10"/>
      <c r="L618" s="10"/>
      <c r="M618" s="10"/>
    </row>
    <row r="619" spans="1:21">
      <c r="A619" s="10"/>
      <c r="B619" s="10"/>
      <c r="C619" s="10"/>
      <c r="D619" s="10"/>
      <c r="E619" s="10"/>
      <c r="F619" s="10"/>
      <c r="G619" s="10"/>
      <c r="H619" s="10"/>
      <c r="I619" s="10"/>
      <c r="J619" s="10"/>
      <c r="K619" s="10"/>
      <c r="L619" s="10"/>
      <c r="M619" s="10"/>
    </row>
    <row r="620" spans="1:21">
      <c r="A620" s="10"/>
      <c r="B620" s="10"/>
      <c r="C620" s="10"/>
      <c r="D620" s="10"/>
      <c r="E620" s="10"/>
      <c r="F620" s="10"/>
      <c r="G620" s="10"/>
      <c r="H620" s="10"/>
      <c r="I620" s="10"/>
      <c r="J620" s="10"/>
      <c r="K620" s="10"/>
      <c r="L620" s="10"/>
      <c r="M620" s="10"/>
    </row>
    <row r="621" spans="1:21">
      <c r="A621" s="10"/>
      <c r="B621" s="10"/>
      <c r="C621" s="10"/>
      <c r="D621" s="10"/>
      <c r="E621" s="10"/>
      <c r="F621" s="10"/>
      <c r="G621" s="10"/>
      <c r="H621" s="10"/>
      <c r="I621" s="10"/>
      <c r="J621" s="10"/>
      <c r="K621" s="10"/>
      <c r="L621" s="10"/>
      <c r="M621" s="10"/>
    </row>
    <row r="622" spans="1:21">
      <c r="A622" s="10"/>
      <c r="B622" s="10"/>
      <c r="C622" s="10"/>
      <c r="D622" s="10"/>
      <c r="E622" s="10"/>
      <c r="F622" s="10"/>
      <c r="G622" s="10"/>
      <c r="H622" s="10"/>
      <c r="I622" s="10"/>
      <c r="J622" s="10"/>
      <c r="K622" s="10"/>
      <c r="L622" s="10"/>
      <c r="M622" s="10"/>
      <c r="P622" s="10" t="e">
        <f>VLOOKUP(C622,Table_view_sorted!A$2:A$215,1,FALSE)</f>
        <v>#N/A</v>
      </c>
      <c r="Q622" s="22" t="e">
        <f>VLOOKUP(D622,AVY_FACT!A$2:A$153,1,FALSE)</f>
        <v>#N/A</v>
      </c>
      <c r="R622" s="22" t="str">
        <f t="shared" ref="R622:R628" si="2">D622&amp;"  "&amp;G622&amp;","</f>
        <v xml:space="preserve">  ,</v>
      </c>
      <c r="S622" s="22"/>
      <c r="T622" s="21" t="s">
        <v>2460</v>
      </c>
      <c r="U622" s="21" t="s">
        <v>1142</v>
      </c>
    </row>
    <row r="623" spans="1:21">
      <c r="A623" s="10"/>
      <c r="B623" s="10"/>
      <c r="C623" s="10"/>
      <c r="D623" s="10"/>
      <c r="E623" s="10"/>
      <c r="F623" s="10"/>
      <c r="G623" s="10"/>
      <c r="H623" s="10"/>
      <c r="I623" s="10"/>
      <c r="J623" s="10"/>
      <c r="K623" s="10"/>
      <c r="L623" s="10"/>
      <c r="M623" s="10"/>
      <c r="P623" s="10" t="e">
        <f>VLOOKUP(C623,Table_view_sorted!A$2:A$215,1,FALSE)</f>
        <v>#N/A</v>
      </c>
      <c r="Q623" s="23" t="e">
        <f>VLOOKUP(D623,AVY_FACT!A$2:A$153,1,FALSE)</f>
        <v>#N/A</v>
      </c>
      <c r="R623" s="23" t="str">
        <f t="shared" si="2"/>
        <v xml:space="preserve">  ,</v>
      </c>
      <c r="S623" s="23"/>
      <c r="T623" s="23" t="s">
        <v>2460</v>
      </c>
      <c r="U623" s="23" t="s">
        <v>1142</v>
      </c>
    </row>
    <row r="624" spans="1:21" ht="27.6">
      <c r="A624" s="10"/>
      <c r="B624" s="10"/>
      <c r="C624" s="10"/>
      <c r="D624" s="10"/>
      <c r="E624" s="28"/>
      <c r="F624" s="10"/>
      <c r="G624" s="10"/>
      <c r="H624" s="10"/>
      <c r="I624" s="10"/>
      <c r="J624" s="10"/>
      <c r="K624" s="10"/>
      <c r="L624" s="10"/>
      <c r="M624" s="10"/>
      <c r="P624" s="10" t="e">
        <f>VLOOKUP(C624,Table_view_sorted!A$2:A$215,1,FALSE)</f>
        <v>#N/A</v>
      </c>
      <c r="Q624" t="e">
        <f>VLOOKUP(D624,AVY_FACT!A$2:A$153,1,FALSE)</f>
        <v>#N/A</v>
      </c>
      <c r="R624" t="str">
        <f t="shared" si="2"/>
        <v xml:space="preserve">  ,</v>
      </c>
      <c r="T624" s="25" t="s">
        <v>2531</v>
      </c>
      <c r="U624" s="23" t="s">
        <v>1142</v>
      </c>
    </row>
    <row r="625" spans="1:21">
      <c r="A625" s="10"/>
      <c r="B625" s="10"/>
      <c r="C625" s="10"/>
      <c r="D625" s="10"/>
      <c r="E625" s="28"/>
      <c r="F625" s="10"/>
      <c r="G625" s="10"/>
      <c r="H625" s="10"/>
      <c r="I625" s="10"/>
      <c r="J625" s="10"/>
      <c r="K625" s="10"/>
      <c r="L625" s="10"/>
      <c r="M625" s="10"/>
      <c r="P625" s="10" t="e">
        <f>VLOOKUP(C625,Table_view_sorted!A$2:A$215,1,FALSE)</f>
        <v>#N/A</v>
      </c>
      <c r="Q625" t="e">
        <f>VLOOKUP(D625,AVY_FACT!A$2:A$153,1,FALSE)</f>
        <v>#N/A</v>
      </c>
      <c r="R625" t="str">
        <f t="shared" si="2"/>
        <v xml:space="preserve">  ,</v>
      </c>
      <c r="T625" s="10"/>
      <c r="U625" s="10"/>
    </row>
    <row r="626" spans="1:21">
      <c r="A626" s="10"/>
      <c r="B626" s="10"/>
      <c r="C626" s="10"/>
      <c r="D626" s="10"/>
      <c r="E626" s="28"/>
      <c r="F626" s="10"/>
      <c r="G626" s="10"/>
      <c r="H626" s="10"/>
      <c r="I626" s="10"/>
      <c r="J626" s="10"/>
      <c r="K626" s="10"/>
      <c r="L626" s="10"/>
      <c r="M626" s="10"/>
      <c r="P626" s="10" t="e">
        <f>VLOOKUP(C626,Table_view_sorted!A$2:A$215,1,FALSE)</f>
        <v>#N/A</v>
      </c>
      <c r="Q626" s="20" t="e">
        <f>VLOOKUP(D626,AVY_FACT!A$2:A$153,1,FALSE)</f>
        <v>#N/A</v>
      </c>
      <c r="R626" s="20" t="str">
        <f t="shared" si="2"/>
        <v xml:space="preserve">  ,</v>
      </c>
      <c r="S626" s="20"/>
      <c r="T626" s="19" t="s">
        <v>2532</v>
      </c>
      <c r="U626" s="19" t="s">
        <v>1142</v>
      </c>
    </row>
    <row r="627" spans="1:21">
      <c r="A627" s="10"/>
      <c r="B627" s="10"/>
      <c r="C627" s="10"/>
      <c r="D627" s="10"/>
      <c r="E627" s="28"/>
      <c r="F627" s="10"/>
      <c r="G627" s="10"/>
      <c r="H627" s="10"/>
      <c r="I627" s="10"/>
      <c r="J627" s="10"/>
      <c r="K627" s="10"/>
      <c r="L627" s="10"/>
      <c r="M627" s="10"/>
      <c r="P627" s="10" t="e">
        <f>VLOOKUP(C627,Table_view_sorted!A$2:A$215,1,FALSE)</f>
        <v>#N/A</v>
      </c>
      <c r="Q627" t="e">
        <f>VLOOKUP(D627,AVY_FACT!A$2:A$153,1,FALSE)</f>
        <v>#N/A</v>
      </c>
      <c r="R627" t="str">
        <f t="shared" si="2"/>
        <v xml:space="preserve">  ,</v>
      </c>
      <c r="T627" s="10"/>
      <c r="U627" s="10"/>
    </row>
    <row r="628" spans="1:21">
      <c r="A628" s="10"/>
      <c r="B628" s="10"/>
      <c r="C628" s="10"/>
      <c r="D628" s="10"/>
      <c r="E628" s="10"/>
      <c r="F628" s="10"/>
      <c r="G628" s="10"/>
      <c r="H628" s="10"/>
      <c r="I628" s="10"/>
      <c r="J628" s="10"/>
      <c r="K628" s="10"/>
      <c r="L628" s="10"/>
      <c r="M628" s="10"/>
      <c r="P628" s="10" t="e">
        <f>VLOOKUP(C628,Table_view_sorted!A$2:A$215,1,FALSE)</f>
        <v>#N/A</v>
      </c>
      <c r="Q628" t="e">
        <f>VLOOKUP(D628,AVY_FACT!A$2:A$153,1,FALSE)</f>
        <v>#N/A</v>
      </c>
      <c r="R628" t="str">
        <f t="shared" si="2"/>
        <v xml:space="preserve">  ,</v>
      </c>
      <c r="T628" s="10"/>
      <c r="U628" s="10"/>
    </row>
    <row r="629" spans="1:21">
      <c r="A629" s="10"/>
      <c r="B629" s="10"/>
      <c r="C629" s="10"/>
      <c r="D629" s="10"/>
      <c r="E629" s="10"/>
      <c r="F629" s="10"/>
      <c r="G629" s="10"/>
      <c r="H629" s="10"/>
      <c r="I629" s="10"/>
      <c r="J629" s="10"/>
      <c r="K629" s="10"/>
      <c r="L629" s="10"/>
      <c r="M629" s="10"/>
    </row>
    <row r="630" spans="1:21">
      <c r="A630" s="10"/>
      <c r="B630" s="10"/>
      <c r="C630" s="10"/>
      <c r="D630" s="10"/>
      <c r="E630" s="10"/>
      <c r="F630" s="10"/>
      <c r="G630" s="10"/>
      <c r="H630" s="10"/>
      <c r="I630" s="10"/>
      <c r="J630" s="10"/>
      <c r="K630" s="10"/>
      <c r="L630" s="10"/>
      <c r="M630" s="10"/>
    </row>
    <row r="631" spans="1:21">
      <c r="A631" s="10"/>
      <c r="B631" s="10"/>
      <c r="C631" s="10"/>
      <c r="D631" s="10"/>
      <c r="E631" s="10"/>
      <c r="F631" s="10"/>
      <c r="G631" s="10"/>
      <c r="H631" s="10"/>
      <c r="I631" s="10"/>
      <c r="J631" s="10"/>
      <c r="K631" s="10"/>
      <c r="L631" s="10"/>
      <c r="M631" s="10"/>
    </row>
    <row r="632" spans="1:21">
      <c r="A632" s="10"/>
      <c r="B632" s="10"/>
      <c r="C632" s="10"/>
      <c r="D632" s="10"/>
      <c r="E632" s="10"/>
      <c r="F632" s="10"/>
      <c r="G632" s="10"/>
      <c r="H632" s="10"/>
      <c r="I632" s="10"/>
      <c r="J632" s="10"/>
      <c r="K632" s="10"/>
      <c r="L632" s="10"/>
      <c r="M632" s="10"/>
    </row>
    <row r="633" spans="1:21">
      <c r="A633" s="10"/>
      <c r="B633" s="10"/>
      <c r="C633" s="10"/>
      <c r="D633" s="10"/>
      <c r="E633" s="10"/>
      <c r="F633" s="10"/>
      <c r="G633" s="10"/>
      <c r="H633" s="10"/>
      <c r="I633" s="10"/>
      <c r="J633" s="10"/>
      <c r="K633" s="10"/>
      <c r="L633" s="10"/>
      <c r="M633" s="10"/>
      <c r="P633" s="10" t="e">
        <f>VLOOKUP(C633,Table_view_sorted!A$2:A$215,1,FALSE)</f>
        <v>#N/A</v>
      </c>
      <c r="Q633" t="e">
        <f>VLOOKUP(D633,AVY_FACT!A$2:A$153,1,FALSE)</f>
        <v>#N/A</v>
      </c>
      <c r="R633" t="str">
        <f>D633&amp;"  "&amp;G633&amp;","</f>
        <v xml:space="preserve">  ,</v>
      </c>
      <c r="T633" s="23" t="s">
        <v>2533</v>
      </c>
      <c r="U633" s="23" t="s">
        <v>2519</v>
      </c>
    </row>
    <row r="634" spans="1:21">
      <c r="A634" s="10"/>
      <c r="B634" s="10"/>
      <c r="C634" s="10"/>
      <c r="D634" s="10"/>
      <c r="E634" s="28"/>
      <c r="F634" s="10"/>
      <c r="G634" s="10"/>
      <c r="H634" s="10"/>
      <c r="I634" s="10"/>
      <c r="J634" s="10"/>
      <c r="K634" s="10"/>
      <c r="L634" s="10"/>
      <c r="M634" s="10"/>
    </row>
    <row r="635" spans="1:21">
      <c r="A635" s="10"/>
      <c r="B635" s="10"/>
      <c r="C635" s="10"/>
      <c r="D635" s="10"/>
      <c r="E635" s="10"/>
      <c r="F635" s="10"/>
      <c r="G635" s="10"/>
      <c r="H635" s="10"/>
      <c r="I635" s="10"/>
      <c r="J635" s="10"/>
      <c r="K635" s="10"/>
      <c r="L635" s="10"/>
      <c r="M635" s="10"/>
    </row>
    <row r="636" spans="1:21">
      <c r="A636" s="10"/>
      <c r="B636" s="10"/>
      <c r="C636" s="10"/>
      <c r="D636" s="10"/>
      <c r="E636" s="10"/>
      <c r="F636" s="10"/>
      <c r="G636" s="10"/>
      <c r="H636" s="10"/>
      <c r="I636" s="10"/>
      <c r="J636" s="10"/>
      <c r="K636" s="10"/>
      <c r="L636" s="10"/>
      <c r="M636" s="10"/>
    </row>
    <row r="637" spans="1:21">
      <c r="A637" s="10"/>
      <c r="B637" s="10"/>
      <c r="C637" s="10"/>
      <c r="D637" s="10"/>
      <c r="E637" s="10"/>
      <c r="F637" s="10"/>
      <c r="G637" s="10"/>
      <c r="H637" s="10"/>
      <c r="I637" s="10"/>
      <c r="J637" s="10"/>
      <c r="K637" s="10"/>
      <c r="L637" s="10"/>
      <c r="M637" s="10"/>
    </row>
    <row r="638" spans="1:21">
      <c r="A638" s="10"/>
      <c r="B638" s="10"/>
      <c r="C638" s="10"/>
      <c r="D638" s="10"/>
      <c r="E638" s="10"/>
      <c r="F638" s="10"/>
      <c r="G638" s="10"/>
      <c r="H638" s="10"/>
      <c r="I638" s="10"/>
      <c r="J638" s="10"/>
      <c r="K638" s="10"/>
      <c r="L638" s="10"/>
      <c r="M638" s="10"/>
    </row>
    <row r="639" spans="1:21">
      <c r="A639" s="10"/>
      <c r="B639" s="10"/>
      <c r="C639" s="10"/>
      <c r="D639" s="10"/>
      <c r="E639" s="10"/>
      <c r="F639" s="10"/>
      <c r="G639" s="10"/>
      <c r="H639" s="10"/>
      <c r="I639" s="10"/>
      <c r="J639" s="10"/>
      <c r="K639" s="10"/>
      <c r="L639" s="10"/>
      <c r="M639" s="10"/>
    </row>
    <row r="640" spans="1:21">
      <c r="A640" s="10"/>
      <c r="B640" s="10"/>
      <c r="C640" s="10"/>
      <c r="D640" s="10"/>
      <c r="E640" s="10"/>
      <c r="F640" s="10"/>
      <c r="G640" s="10"/>
      <c r="H640" s="10"/>
      <c r="I640" s="10"/>
      <c r="J640" s="10"/>
      <c r="K640" s="10"/>
      <c r="L640" s="10"/>
      <c r="M640" s="10"/>
    </row>
    <row r="641" spans="1:21">
      <c r="A641" s="10"/>
      <c r="B641" s="10"/>
      <c r="C641" s="10"/>
      <c r="D641" s="10"/>
      <c r="E641" s="10"/>
      <c r="F641" s="10"/>
      <c r="G641" s="10"/>
      <c r="H641" s="10"/>
      <c r="I641" s="10"/>
      <c r="J641" s="10"/>
      <c r="K641" s="10"/>
      <c r="L641" s="10"/>
      <c r="M641" s="10"/>
    </row>
    <row r="642" spans="1:21">
      <c r="A642" s="10"/>
      <c r="B642" s="10"/>
      <c r="C642" s="10"/>
      <c r="D642" s="10"/>
      <c r="E642" s="10"/>
      <c r="F642" s="10"/>
      <c r="G642" s="10"/>
      <c r="H642" s="10"/>
      <c r="I642" s="10"/>
      <c r="J642" s="10"/>
      <c r="K642" s="10"/>
      <c r="L642" s="10"/>
      <c r="M642" s="10"/>
      <c r="P642" s="10" t="e">
        <f>VLOOKUP(C642,Table_view_sorted!A$2:A$215,1,FALSE)</f>
        <v>#N/A</v>
      </c>
      <c r="Q642" t="e">
        <f>VLOOKUP(D642,AVY_FACT!A$2:A$153,1,FALSE)</f>
        <v>#N/A</v>
      </c>
      <c r="R642" t="str">
        <f>D642&amp;"  "&amp;G642&amp;","</f>
        <v xml:space="preserve">  ,</v>
      </c>
      <c r="T642" s="10"/>
      <c r="U642" s="10"/>
    </row>
    <row r="643" spans="1:21">
      <c r="A643" s="10"/>
      <c r="B643" s="10"/>
      <c r="C643" s="10"/>
      <c r="D643" s="10"/>
      <c r="E643" s="10"/>
      <c r="F643" s="10"/>
      <c r="G643" s="10"/>
      <c r="H643" s="10"/>
      <c r="I643" s="10"/>
      <c r="J643" s="10"/>
      <c r="K643" s="10"/>
      <c r="L643" s="10"/>
      <c r="M643" s="10"/>
      <c r="P643" s="10" t="e">
        <f>VLOOKUP(C643,Table_view_sorted!A$2:A$215,1,FALSE)</f>
        <v>#N/A</v>
      </c>
      <c r="Q643" t="e">
        <f>VLOOKUP(D643,AVY_FACT!A$2:A$153,1,FALSE)</f>
        <v>#N/A</v>
      </c>
      <c r="R643" t="str">
        <f>D643&amp;"  "&amp;G643&amp;","</f>
        <v xml:space="preserve">  ,</v>
      </c>
      <c r="T643" s="10"/>
      <c r="U643" s="10"/>
    </row>
    <row r="644" spans="1:21">
      <c r="A644" s="10"/>
      <c r="B644" s="10"/>
      <c r="C644" s="10"/>
      <c r="D644" s="10"/>
      <c r="E644" s="28"/>
      <c r="F644" s="10"/>
      <c r="G644" s="10"/>
      <c r="H644" s="10"/>
      <c r="I644" s="10"/>
      <c r="J644" s="10"/>
      <c r="K644" s="10"/>
      <c r="L644" s="10"/>
      <c r="M644" s="10"/>
    </row>
    <row r="645" spans="1:21">
      <c r="A645" s="10"/>
      <c r="B645" s="10"/>
      <c r="C645" s="10"/>
      <c r="D645" s="10"/>
      <c r="E645" s="10"/>
      <c r="F645" s="10"/>
      <c r="G645" s="10"/>
      <c r="H645" s="10"/>
      <c r="I645" s="10"/>
      <c r="J645" s="10"/>
      <c r="K645" s="10"/>
      <c r="L645" s="10"/>
      <c r="M645" s="10"/>
      <c r="N645" s="10"/>
      <c r="O645" s="10"/>
      <c r="P645" s="10" t="e">
        <f>VLOOKUP(C645,Table_view_sorted!A$2:A$215,1,FALSE)</f>
        <v>#N/A</v>
      </c>
      <c r="Q645" t="e">
        <f>VLOOKUP(D645,AVY_FACT!A$2:A$153,1,FALSE)</f>
        <v>#N/A</v>
      </c>
      <c r="R645" t="str">
        <f>D645&amp;"  "&amp;G645&amp;","</f>
        <v xml:space="preserve">  ,</v>
      </c>
      <c r="T645" s="10"/>
      <c r="U645" s="10"/>
    </row>
    <row r="646" spans="1:21">
      <c r="A646" s="10"/>
      <c r="B646" s="10"/>
      <c r="C646" s="10"/>
      <c r="D646" s="10"/>
      <c r="E646" s="10"/>
      <c r="F646" s="10"/>
      <c r="G646" s="10"/>
      <c r="H646" s="10"/>
      <c r="I646" s="10"/>
      <c r="J646" s="10"/>
      <c r="K646" s="10"/>
      <c r="L646" s="10"/>
      <c r="M646" s="10"/>
    </row>
    <row r="647" spans="1:21">
      <c r="A647" s="10"/>
      <c r="B647" s="10"/>
      <c r="C647" s="10"/>
      <c r="D647" s="10"/>
      <c r="E647" s="10"/>
      <c r="F647" s="10"/>
      <c r="G647" s="10"/>
      <c r="H647" s="10"/>
      <c r="I647" s="10"/>
      <c r="J647" s="10"/>
      <c r="K647" s="10"/>
      <c r="L647" s="10"/>
      <c r="M647" s="10"/>
    </row>
    <row r="648" spans="1:21">
      <c r="A648" s="10"/>
      <c r="B648" s="10"/>
      <c r="C648" s="10"/>
      <c r="D648" s="10"/>
      <c r="E648" s="10"/>
      <c r="F648" s="10"/>
      <c r="G648" s="10"/>
      <c r="H648" s="10"/>
      <c r="I648" s="10"/>
      <c r="J648" s="10"/>
      <c r="K648" s="10"/>
      <c r="L648" s="10"/>
      <c r="M648" s="10"/>
    </row>
    <row r="649" spans="1:21">
      <c r="A649" s="10"/>
      <c r="B649" s="10"/>
      <c r="C649" s="10"/>
      <c r="D649" s="10"/>
      <c r="E649" s="10"/>
      <c r="F649" s="10"/>
      <c r="G649" s="10"/>
      <c r="H649" s="10"/>
      <c r="I649" s="10"/>
      <c r="J649" s="10"/>
      <c r="K649" s="10"/>
      <c r="L649" s="10"/>
      <c r="M649" s="10"/>
    </row>
    <row r="650" spans="1:21">
      <c r="A650" s="10"/>
      <c r="B650" s="10"/>
      <c r="C650" s="10"/>
      <c r="D650" s="10"/>
      <c r="E650" s="28"/>
      <c r="F650" s="10"/>
      <c r="G650" s="10"/>
      <c r="H650" s="10"/>
      <c r="I650" s="10"/>
      <c r="J650" s="10"/>
      <c r="K650" s="10"/>
      <c r="L650" s="10"/>
      <c r="M650" s="10"/>
    </row>
    <row r="651" spans="1:21">
      <c r="A651" s="10"/>
      <c r="B651" s="10"/>
      <c r="C651" s="10"/>
      <c r="D651" s="10"/>
      <c r="E651" s="28"/>
      <c r="F651" s="10"/>
      <c r="G651" s="10"/>
      <c r="H651" s="10"/>
      <c r="I651" s="10"/>
      <c r="J651" s="10"/>
      <c r="K651" s="10"/>
      <c r="L651" s="10"/>
      <c r="M651" s="10"/>
      <c r="P651" s="10" t="e">
        <f>VLOOKUP(C651,Table_view_sorted!A$2:A$215,1,FALSE)</f>
        <v>#N/A</v>
      </c>
      <c r="Q651" t="e">
        <f>VLOOKUP(D651,AVY_FACT!A$2:A$153,1,FALSE)</f>
        <v>#N/A</v>
      </c>
      <c r="R651" t="str">
        <f>D651&amp;"  "&amp;G651&amp;","</f>
        <v xml:space="preserve">  ,</v>
      </c>
      <c r="T651" s="10"/>
      <c r="U651" s="10"/>
    </row>
    <row r="652" spans="1:21">
      <c r="A652" s="10"/>
      <c r="B652" s="10"/>
      <c r="C652" s="10"/>
      <c r="D652" s="10"/>
      <c r="E652" s="28"/>
      <c r="F652" s="10"/>
      <c r="G652" s="10"/>
      <c r="H652" s="10"/>
      <c r="I652" s="10"/>
      <c r="J652" s="10"/>
      <c r="K652" s="10"/>
      <c r="L652" s="10"/>
      <c r="M652" s="10"/>
    </row>
    <row r="653" spans="1:21">
      <c r="A653" s="10"/>
      <c r="B653" s="10"/>
      <c r="C653" s="10"/>
      <c r="D653" s="10"/>
      <c r="E653" s="28"/>
      <c r="F653" s="10"/>
      <c r="G653" s="10"/>
      <c r="H653" s="10"/>
      <c r="I653" s="10"/>
      <c r="J653" s="10"/>
      <c r="K653" s="10"/>
      <c r="L653" s="10"/>
      <c r="M653" s="10"/>
    </row>
    <row r="654" spans="1:21">
      <c r="A654" s="10"/>
      <c r="B654" s="10"/>
      <c r="C654" s="10"/>
      <c r="D654" s="10"/>
      <c r="E654" s="10"/>
      <c r="F654" s="10"/>
      <c r="G654" s="10"/>
      <c r="H654" s="10"/>
      <c r="I654" s="10"/>
      <c r="J654" s="10"/>
      <c r="K654" s="10"/>
      <c r="L654" s="10"/>
      <c r="M654" s="10"/>
    </row>
    <row r="655" spans="1:21">
      <c r="A655" s="10"/>
      <c r="B655" s="10"/>
      <c r="C655" s="10"/>
      <c r="D655" s="10"/>
      <c r="E655" s="28"/>
      <c r="F655" s="10"/>
      <c r="G655" s="10"/>
      <c r="H655" s="10"/>
      <c r="I655" s="10"/>
      <c r="J655" s="10"/>
      <c r="K655" s="10"/>
      <c r="L655" s="10"/>
      <c r="M655" s="10"/>
      <c r="P655" s="10" t="e">
        <f>VLOOKUP(C655,Table_view_sorted!A$2:A$215,1,FALSE)</f>
        <v>#N/A</v>
      </c>
      <c r="Q655" t="e">
        <f>VLOOKUP(D655,AVY_FACT!A$2:A$153,1,FALSE)</f>
        <v>#N/A</v>
      </c>
      <c r="R655" t="str">
        <f>D655&amp;"  "&amp;G655&amp;","</f>
        <v xml:space="preserve">  ,</v>
      </c>
      <c r="T655" s="23" t="s">
        <v>2515</v>
      </c>
      <c r="U655" s="23" t="s">
        <v>1142</v>
      </c>
    </row>
    <row r="656" spans="1:21">
      <c r="A656" s="10"/>
      <c r="B656" s="10"/>
      <c r="C656" s="10"/>
      <c r="D656" s="10"/>
      <c r="E656" s="10"/>
      <c r="F656" s="10"/>
      <c r="G656" s="10"/>
      <c r="H656" s="10"/>
      <c r="I656" s="10"/>
      <c r="J656" s="10"/>
      <c r="K656" s="10"/>
      <c r="L656" s="10"/>
      <c r="M656" s="10"/>
    </row>
    <row r="657" spans="1:21">
      <c r="A657" s="10"/>
      <c r="B657" s="10"/>
      <c r="C657" s="10"/>
      <c r="D657" s="10"/>
      <c r="E657" s="10"/>
      <c r="F657" s="10"/>
      <c r="G657" s="10"/>
      <c r="H657" s="10"/>
      <c r="I657" s="10"/>
      <c r="J657" s="10"/>
      <c r="K657" s="10"/>
      <c r="L657" s="10"/>
      <c r="M657" s="10"/>
    </row>
    <row r="658" spans="1:21">
      <c r="A658" s="10"/>
      <c r="B658" s="10"/>
      <c r="C658" s="10"/>
      <c r="D658" s="10"/>
      <c r="E658" s="10"/>
      <c r="F658" s="10"/>
      <c r="G658" s="10"/>
      <c r="H658" s="10"/>
      <c r="I658" s="10"/>
      <c r="J658" s="10"/>
      <c r="K658" s="10"/>
      <c r="L658" s="10"/>
      <c r="M658" s="10"/>
    </row>
    <row r="659" spans="1:21">
      <c r="A659" s="10"/>
      <c r="B659" s="10"/>
      <c r="C659" s="10"/>
      <c r="D659" s="10"/>
      <c r="E659" s="10"/>
      <c r="F659" s="10"/>
      <c r="G659" s="10"/>
      <c r="H659" s="10"/>
      <c r="I659" s="10"/>
      <c r="J659" s="10"/>
      <c r="K659" s="10"/>
      <c r="L659" s="10"/>
      <c r="M659" s="10"/>
      <c r="P659" s="10" t="e">
        <f>VLOOKUP(C659,Table_view_sorted!A$2:A$215,1,FALSE)</f>
        <v>#N/A</v>
      </c>
      <c r="Q659" t="e">
        <f>VLOOKUP(D659,AVY_FACT!A$2:A$153,1,FALSE)</f>
        <v>#N/A</v>
      </c>
      <c r="R659" t="str">
        <f>D659&amp;"  "&amp;G659&amp;","</f>
        <v xml:space="preserve">  ,</v>
      </c>
      <c r="T659" s="10"/>
      <c r="U659" s="10"/>
    </row>
    <row r="660" spans="1:21">
      <c r="A660" s="10"/>
      <c r="B660" s="10"/>
      <c r="C660" s="10"/>
      <c r="D660" s="10"/>
      <c r="E660" s="28"/>
      <c r="F660" s="10"/>
      <c r="G660" s="10"/>
      <c r="H660" s="10"/>
      <c r="I660" s="10"/>
      <c r="J660" s="10"/>
      <c r="K660" s="10"/>
      <c r="L660" s="10"/>
      <c r="M660" s="10"/>
    </row>
    <row r="661" spans="1:21">
      <c r="A661" s="10"/>
      <c r="B661" s="10"/>
      <c r="C661" s="10"/>
      <c r="D661" s="10"/>
      <c r="E661" s="28"/>
      <c r="F661" s="10"/>
      <c r="G661" s="10"/>
      <c r="H661" s="10"/>
      <c r="I661" s="10"/>
      <c r="J661" s="10"/>
      <c r="K661" s="10"/>
      <c r="L661" s="10"/>
      <c r="M661" s="10"/>
    </row>
    <row r="662" spans="1:21">
      <c r="A662" s="10"/>
      <c r="B662" s="10"/>
      <c r="C662" s="10"/>
      <c r="D662" s="10"/>
      <c r="E662" s="10"/>
      <c r="F662" s="10"/>
      <c r="G662" s="10"/>
      <c r="H662" s="10"/>
      <c r="I662" s="10"/>
      <c r="J662" s="10"/>
      <c r="K662" s="10"/>
      <c r="L662" s="10"/>
      <c r="M662" s="10"/>
    </row>
    <row r="663" spans="1:21">
      <c r="A663" s="10"/>
      <c r="B663" s="10"/>
      <c r="C663" s="10"/>
      <c r="D663" s="10"/>
      <c r="E663" s="10"/>
      <c r="F663" s="10"/>
      <c r="G663" s="10"/>
      <c r="H663" s="10"/>
      <c r="I663" s="10"/>
      <c r="J663" s="10"/>
      <c r="K663" s="10"/>
      <c r="L663" s="10"/>
      <c r="M663" s="10"/>
    </row>
    <row r="664" spans="1:21">
      <c r="A664" s="10"/>
      <c r="B664" s="10"/>
      <c r="C664" s="10"/>
      <c r="D664" s="10"/>
      <c r="E664" s="10"/>
      <c r="F664" s="10"/>
      <c r="G664" s="10"/>
      <c r="H664" s="10"/>
      <c r="I664" s="10"/>
      <c r="J664" s="10"/>
      <c r="K664" s="10"/>
      <c r="L664" s="10"/>
      <c r="M664" s="10"/>
    </row>
    <row r="665" spans="1:21">
      <c r="A665" s="10"/>
      <c r="B665" s="10"/>
      <c r="C665" s="10"/>
      <c r="D665" s="10"/>
      <c r="E665" s="28"/>
      <c r="F665" s="10"/>
      <c r="G665" s="10"/>
      <c r="H665" s="10"/>
      <c r="I665" s="10"/>
      <c r="J665" s="10"/>
      <c r="K665" s="10"/>
      <c r="L665" s="10"/>
      <c r="M665" s="10"/>
    </row>
    <row r="666" spans="1:21">
      <c r="A666" s="10"/>
      <c r="B666" s="10"/>
      <c r="C666" s="10"/>
      <c r="D666" s="10"/>
      <c r="E666" s="28"/>
      <c r="F666" s="10"/>
      <c r="G666" s="10"/>
      <c r="H666" s="10"/>
      <c r="I666" s="10"/>
      <c r="J666" s="10"/>
      <c r="K666" s="10"/>
      <c r="L666" s="10"/>
      <c r="M666" s="10"/>
    </row>
    <row r="667" spans="1:21">
      <c r="A667" s="10"/>
      <c r="B667" s="10"/>
      <c r="C667" s="10"/>
      <c r="D667" s="10"/>
      <c r="E667" s="10"/>
      <c r="F667" s="10"/>
      <c r="G667" s="10"/>
      <c r="H667" s="10"/>
      <c r="I667" s="10"/>
      <c r="J667" s="10"/>
      <c r="K667" s="10"/>
      <c r="L667" s="10"/>
      <c r="M667" s="10"/>
    </row>
    <row r="668" spans="1:21">
      <c r="A668" s="10"/>
      <c r="B668" s="10"/>
      <c r="C668" s="10"/>
      <c r="D668" s="10"/>
      <c r="E668" s="10"/>
      <c r="F668" s="10"/>
      <c r="G668" s="10"/>
      <c r="H668" s="10"/>
      <c r="I668" s="10"/>
      <c r="J668" s="10"/>
      <c r="K668" s="10"/>
      <c r="L668" s="10"/>
      <c r="M668" s="10"/>
    </row>
    <row r="669" spans="1:21">
      <c r="A669" s="10"/>
      <c r="B669" s="10"/>
      <c r="C669" s="10"/>
      <c r="D669" s="10"/>
      <c r="E669" s="10"/>
      <c r="F669" s="10"/>
      <c r="G669" s="10"/>
      <c r="H669" s="10"/>
      <c r="I669" s="10"/>
      <c r="J669" s="10"/>
      <c r="K669" s="10"/>
      <c r="L669" s="10"/>
      <c r="M669" s="10"/>
    </row>
    <row r="670" spans="1:21">
      <c r="A670" s="10"/>
      <c r="B670" s="10"/>
      <c r="C670" s="10"/>
      <c r="D670" s="10"/>
      <c r="E670" s="10"/>
      <c r="F670" s="10"/>
      <c r="G670" s="10"/>
      <c r="H670" s="10"/>
      <c r="I670" s="10"/>
      <c r="J670" s="10"/>
      <c r="K670" s="10"/>
      <c r="L670" s="10"/>
      <c r="M670" s="10"/>
    </row>
    <row r="671" spans="1:21">
      <c r="A671" s="10"/>
      <c r="B671" s="10"/>
      <c r="C671" s="10"/>
      <c r="D671" s="10"/>
      <c r="E671" s="10"/>
      <c r="F671" s="10"/>
      <c r="G671" s="10"/>
      <c r="H671" s="10"/>
      <c r="I671" s="10"/>
      <c r="J671" s="10"/>
      <c r="K671" s="10"/>
      <c r="L671" s="10"/>
      <c r="M671" s="10"/>
    </row>
    <row r="672" spans="1:21">
      <c r="A672" s="10"/>
      <c r="B672" s="10"/>
      <c r="C672" s="10"/>
      <c r="D672" s="10"/>
      <c r="E672" s="10"/>
      <c r="F672" s="10"/>
      <c r="G672" s="10"/>
      <c r="H672" s="10"/>
      <c r="I672" s="10"/>
      <c r="J672" s="10"/>
      <c r="K672" s="10"/>
      <c r="L672" s="10"/>
      <c r="M672" s="10"/>
    </row>
    <row r="673" spans="1:21">
      <c r="A673" s="10"/>
      <c r="B673" s="10"/>
      <c r="C673" s="10"/>
      <c r="D673" s="10"/>
      <c r="E673" s="10"/>
      <c r="F673" s="10"/>
      <c r="G673" s="10"/>
      <c r="H673" s="10"/>
      <c r="I673" s="10"/>
      <c r="J673" s="10"/>
      <c r="K673" s="10"/>
      <c r="L673" s="10"/>
      <c r="M673" s="10"/>
    </row>
    <row r="674" spans="1:21">
      <c r="A674" s="10"/>
      <c r="B674" s="10"/>
      <c r="C674" s="10"/>
      <c r="D674" s="10"/>
      <c r="E674" s="10"/>
      <c r="F674" s="10"/>
      <c r="G674" s="10"/>
      <c r="H674" s="10"/>
      <c r="I674" s="10"/>
      <c r="J674" s="10"/>
      <c r="K674" s="10"/>
      <c r="L674" s="10"/>
      <c r="M674" s="10"/>
    </row>
    <row r="675" spans="1:21">
      <c r="A675" s="10"/>
      <c r="B675" s="10"/>
      <c r="C675" s="10"/>
      <c r="D675" s="10"/>
      <c r="E675" s="10"/>
      <c r="F675" s="10"/>
      <c r="G675" s="10"/>
      <c r="H675" s="10"/>
      <c r="I675" s="10"/>
      <c r="J675" s="10"/>
      <c r="K675" s="10"/>
      <c r="L675" s="10"/>
      <c r="M675" s="10"/>
    </row>
    <row r="676" spans="1:21">
      <c r="A676" s="10"/>
      <c r="B676" s="10"/>
      <c r="C676" s="10"/>
      <c r="D676" s="10"/>
      <c r="E676" s="10"/>
      <c r="F676" s="10"/>
      <c r="G676" s="10"/>
      <c r="H676" s="10"/>
      <c r="I676" s="10"/>
      <c r="J676" s="10"/>
      <c r="K676" s="10"/>
      <c r="L676" s="10"/>
      <c r="M676" s="10"/>
    </row>
    <row r="677" spans="1:21">
      <c r="A677" s="10"/>
      <c r="B677" s="10"/>
      <c r="C677" s="10"/>
      <c r="D677" s="10"/>
      <c r="E677" s="10"/>
      <c r="F677" s="10"/>
      <c r="G677" s="10"/>
      <c r="H677" s="10"/>
      <c r="I677" s="10"/>
      <c r="J677" s="10"/>
      <c r="K677" s="10"/>
      <c r="L677" s="10"/>
      <c r="M677" s="10"/>
    </row>
    <row r="678" spans="1:21">
      <c r="A678" s="10"/>
      <c r="B678" s="10"/>
      <c r="C678" s="10"/>
      <c r="D678" s="10"/>
      <c r="E678" s="10"/>
      <c r="F678" s="10"/>
      <c r="G678" s="10"/>
      <c r="H678" s="10"/>
      <c r="I678" s="10"/>
      <c r="J678" s="10"/>
      <c r="K678" s="10"/>
      <c r="L678" s="10"/>
      <c r="M678" s="10"/>
    </row>
    <row r="679" spans="1:21">
      <c r="A679" s="10"/>
      <c r="B679" s="10"/>
      <c r="C679" s="10"/>
      <c r="D679" s="10"/>
      <c r="E679" s="10"/>
      <c r="F679" s="10"/>
      <c r="G679" s="10"/>
      <c r="H679" s="10"/>
      <c r="I679" s="10"/>
      <c r="J679" s="10"/>
      <c r="K679" s="10"/>
      <c r="L679" s="10"/>
      <c r="M679" s="10"/>
    </row>
    <row r="680" spans="1:21">
      <c r="A680" s="10"/>
      <c r="B680" s="10"/>
      <c r="C680" s="10"/>
      <c r="D680" s="10"/>
      <c r="E680" s="10"/>
      <c r="F680" s="10"/>
      <c r="G680" s="10"/>
      <c r="H680" s="10"/>
      <c r="I680" s="10"/>
      <c r="J680" s="10"/>
      <c r="K680" s="10"/>
      <c r="L680" s="10"/>
      <c r="M680" s="10"/>
    </row>
    <row r="681" spans="1:21">
      <c r="A681" s="10"/>
      <c r="B681" s="10"/>
      <c r="C681" s="10"/>
      <c r="D681" s="10"/>
      <c r="E681" s="10"/>
      <c r="F681" s="10"/>
      <c r="G681" s="10"/>
      <c r="H681" s="10"/>
      <c r="I681" s="10"/>
      <c r="J681" s="10"/>
      <c r="K681" s="10"/>
      <c r="L681" s="10"/>
      <c r="M681" s="10"/>
      <c r="P681" s="10" t="e">
        <f>VLOOKUP(C681,Table_view_sorted!A$2:A$215,1,FALSE)</f>
        <v>#N/A</v>
      </c>
      <c r="Q681" t="e">
        <f>VLOOKUP(D681,AVY_FACT!A$2:A$153,1,FALSE)</f>
        <v>#N/A</v>
      </c>
      <c r="R681" t="str">
        <f>D681&amp;"  "&amp;G681&amp;","</f>
        <v xml:space="preserve">  ,</v>
      </c>
      <c r="T681" s="10"/>
      <c r="U681" s="10"/>
    </row>
    <row r="682" spans="1:21">
      <c r="A682" s="10"/>
      <c r="B682" s="10"/>
      <c r="C682" s="10"/>
      <c r="D682" s="10"/>
      <c r="E682" s="10"/>
      <c r="F682" s="10"/>
      <c r="G682" s="10"/>
      <c r="H682" s="10"/>
      <c r="I682" s="10"/>
      <c r="J682" s="10"/>
      <c r="K682" s="10"/>
      <c r="L682" s="10"/>
      <c r="M682" s="10"/>
    </row>
    <row r="683" spans="1:21">
      <c r="A683" s="10"/>
      <c r="B683" s="10"/>
      <c r="C683" s="10"/>
      <c r="D683" s="10"/>
      <c r="E683" s="10"/>
      <c r="F683" s="10"/>
      <c r="G683" s="10"/>
      <c r="H683" s="10"/>
      <c r="I683" s="10"/>
      <c r="J683" s="10"/>
      <c r="K683" s="10"/>
      <c r="L683" s="10"/>
      <c r="M683" s="10"/>
    </row>
    <row r="684" spans="1:21">
      <c r="A684" s="10"/>
      <c r="B684" s="10"/>
      <c r="C684" s="10"/>
      <c r="D684" s="10"/>
      <c r="E684" s="10"/>
      <c r="F684" s="10"/>
      <c r="G684" s="10"/>
      <c r="H684" s="10"/>
      <c r="I684" s="10"/>
      <c r="J684" s="10"/>
      <c r="K684" s="10"/>
      <c r="L684" s="10"/>
      <c r="M684" s="10"/>
    </row>
    <row r="685" spans="1:21">
      <c r="A685" s="10"/>
      <c r="B685" s="10"/>
      <c r="C685" s="10"/>
      <c r="D685" s="10"/>
      <c r="E685" s="10"/>
      <c r="F685" s="10"/>
      <c r="G685" s="10"/>
      <c r="H685" s="10"/>
      <c r="I685" s="10"/>
      <c r="J685" s="10"/>
      <c r="K685" s="10"/>
      <c r="L685" s="10"/>
      <c r="M685" s="10"/>
    </row>
    <row r="686" spans="1:21">
      <c r="A686" s="10"/>
      <c r="B686" s="10"/>
      <c r="C686" s="10"/>
      <c r="D686" s="10"/>
      <c r="E686" s="10"/>
      <c r="F686" s="10"/>
      <c r="G686" s="10"/>
      <c r="H686" s="10"/>
      <c r="I686" s="10"/>
      <c r="J686" s="10"/>
      <c r="K686" s="10"/>
      <c r="L686" s="10"/>
      <c r="M686" s="10"/>
    </row>
    <row r="687" spans="1:21">
      <c r="A687" s="10"/>
      <c r="B687" s="10"/>
      <c r="C687" s="10"/>
      <c r="D687" s="10"/>
      <c r="E687" s="10"/>
      <c r="F687" s="10"/>
      <c r="G687" s="10"/>
      <c r="H687" s="10"/>
      <c r="I687" s="10"/>
      <c r="J687" s="10"/>
      <c r="K687" s="10"/>
      <c r="L687" s="10"/>
      <c r="M687" s="10"/>
    </row>
    <row r="688" spans="1:21">
      <c r="A688" s="10"/>
      <c r="B688" s="10"/>
      <c r="C688" s="10"/>
      <c r="D688" s="10"/>
      <c r="E688" s="10"/>
      <c r="F688" s="10"/>
      <c r="G688" s="10"/>
      <c r="H688" s="10"/>
      <c r="I688" s="10"/>
      <c r="J688" s="10"/>
      <c r="K688" s="10"/>
      <c r="L688" s="10"/>
      <c r="M688" s="10"/>
    </row>
    <row r="689" spans="1:13">
      <c r="A689" s="10"/>
      <c r="B689" s="10"/>
      <c r="C689" s="10"/>
      <c r="D689" s="10"/>
      <c r="E689" s="10"/>
      <c r="F689" s="10"/>
      <c r="G689" s="10"/>
      <c r="H689" s="10"/>
      <c r="I689" s="10"/>
      <c r="J689" s="10"/>
      <c r="K689" s="10"/>
      <c r="L689" s="10"/>
      <c r="M689" s="10"/>
    </row>
    <row r="690" spans="1:13">
      <c r="A690" s="10"/>
      <c r="B690" s="10"/>
      <c r="C690" s="10"/>
      <c r="D690" s="10"/>
      <c r="E690" s="10"/>
      <c r="F690" s="10"/>
      <c r="G690" s="10"/>
      <c r="H690" s="10"/>
      <c r="I690" s="10"/>
      <c r="J690" s="10"/>
      <c r="K690" s="10"/>
      <c r="L690" s="10"/>
      <c r="M690" s="10"/>
    </row>
    <row r="691" spans="1:13">
      <c r="A691" s="10"/>
      <c r="B691" s="10"/>
      <c r="C691" s="10"/>
      <c r="D691" s="10"/>
      <c r="E691" s="10"/>
      <c r="F691" s="10"/>
      <c r="G691" s="10"/>
      <c r="H691" s="10"/>
      <c r="I691" s="10"/>
      <c r="J691" s="10"/>
      <c r="K691" s="10"/>
      <c r="L691" s="10"/>
      <c r="M691" s="10"/>
    </row>
    <row r="692" spans="1:13">
      <c r="A692" s="10"/>
      <c r="B692" s="10"/>
      <c r="C692" s="10"/>
      <c r="D692" s="10"/>
      <c r="E692" s="10"/>
      <c r="F692" s="10"/>
      <c r="G692" s="10"/>
      <c r="H692" s="10"/>
      <c r="I692" s="10"/>
      <c r="J692" s="10"/>
      <c r="K692" s="10"/>
      <c r="L692" s="10"/>
      <c r="M692" s="10"/>
    </row>
    <row r="693" spans="1:13">
      <c r="A693" s="10"/>
      <c r="B693" s="10"/>
      <c r="C693" s="10"/>
      <c r="D693" s="10"/>
      <c r="E693" s="10"/>
      <c r="F693" s="10"/>
      <c r="G693" s="10"/>
      <c r="H693" s="10"/>
      <c r="I693" s="10"/>
      <c r="J693" s="10"/>
      <c r="K693" s="10"/>
      <c r="L693" s="10"/>
      <c r="M693" s="10"/>
    </row>
    <row r="694" spans="1:13">
      <c r="A694" s="10"/>
      <c r="B694" s="10"/>
      <c r="C694" s="10"/>
      <c r="D694" s="10"/>
      <c r="E694" s="10"/>
      <c r="F694" s="10"/>
      <c r="G694" s="10"/>
      <c r="H694" s="10"/>
      <c r="I694" s="10"/>
      <c r="J694" s="10"/>
      <c r="K694" s="10"/>
      <c r="L694" s="10"/>
      <c r="M694" s="10"/>
    </row>
    <row r="695" spans="1:13">
      <c r="A695" s="10"/>
      <c r="B695" s="10"/>
      <c r="C695" s="10"/>
      <c r="D695" s="10"/>
      <c r="E695" s="10"/>
      <c r="F695" s="10"/>
      <c r="G695" s="10"/>
      <c r="H695" s="10"/>
      <c r="I695" s="10"/>
      <c r="J695" s="10"/>
      <c r="K695" s="10"/>
      <c r="L695" s="10"/>
      <c r="M695" s="10"/>
    </row>
    <row r="696" spans="1:13">
      <c r="A696" s="10"/>
      <c r="B696" s="10"/>
      <c r="C696" s="10"/>
      <c r="D696" s="10"/>
      <c r="E696" s="10"/>
      <c r="F696" s="10"/>
      <c r="G696" s="10"/>
      <c r="H696" s="10"/>
      <c r="I696" s="10"/>
      <c r="J696" s="10"/>
      <c r="K696" s="10"/>
      <c r="L696" s="10"/>
      <c r="M696" s="10"/>
    </row>
    <row r="697" spans="1:13">
      <c r="A697" s="10"/>
      <c r="B697" s="10"/>
      <c r="C697" s="10"/>
      <c r="D697" s="10"/>
      <c r="E697" s="10"/>
      <c r="F697" s="10"/>
      <c r="G697" s="10"/>
      <c r="H697" s="10"/>
      <c r="I697" s="10"/>
      <c r="J697" s="10"/>
      <c r="K697" s="10"/>
      <c r="L697" s="10"/>
      <c r="M697" s="10"/>
    </row>
    <row r="698" spans="1:13">
      <c r="A698" s="10"/>
      <c r="B698" s="10"/>
      <c r="C698" s="10"/>
      <c r="D698" s="10"/>
      <c r="E698" s="10"/>
      <c r="F698" s="10"/>
      <c r="G698" s="10"/>
      <c r="H698" s="10"/>
      <c r="I698" s="10"/>
      <c r="J698" s="10"/>
      <c r="K698" s="10"/>
      <c r="L698" s="10"/>
      <c r="M698" s="10"/>
    </row>
    <row r="699" spans="1:13">
      <c r="A699" s="10"/>
      <c r="B699" s="10"/>
      <c r="C699" s="10"/>
      <c r="D699" s="10"/>
      <c r="E699" s="10"/>
      <c r="F699" s="10"/>
      <c r="G699" s="10"/>
      <c r="H699" s="10"/>
      <c r="I699" s="10"/>
      <c r="J699" s="10"/>
      <c r="K699" s="10"/>
      <c r="L699" s="10"/>
      <c r="M699" s="10"/>
    </row>
    <row r="700" spans="1:13">
      <c r="A700" s="10"/>
      <c r="B700" s="10"/>
      <c r="C700" s="10"/>
      <c r="D700" s="10"/>
      <c r="E700" s="10"/>
      <c r="F700" s="10"/>
      <c r="G700" s="10"/>
      <c r="H700" s="10"/>
      <c r="I700" s="10"/>
      <c r="J700" s="10"/>
      <c r="K700" s="10"/>
      <c r="L700" s="10"/>
      <c r="M700" s="10"/>
    </row>
    <row r="701" spans="1:13">
      <c r="A701" s="10"/>
      <c r="B701" s="10"/>
      <c r="C701" s="10"/>
      <c r="D701" s="10"/>
      <c r="E701" s="10"/>
      <c r="F701" s="10"/>
      <c r="G701" s="10"/>
      <c r="H701" s="10"/>
      <c r="I701" s="10"/>
      <c r="J701" s="10"/>
      <c r="K701" s="10"/>
      <c r="L701" s="10"/>
      <c r="M701" s="10"/>
    </row>
    <row r="702" spans="1:13">
      <c r="A702" s="10"/>
      <c r="B702" s="10"/>
      <c r="C702" s="10"/>
      <c r="D702" s="10"/>
      <c r="E702" s="10"/>
      <c r="F702" s="10"/>
      <c r="G702" s="10"/>
      <c r="H702" s="10"/>
      <c r="I702" s="10"/>
      <c r="J702" s="10"/>
      <c r="K702" s="10"/>
      <c r="L702" s="10"/>
      <c r="M702" s="10"/>
    </row>
    <row r="703" spans="1:13">
      <c r="A703" s="10"/>
      <c r="B703" s="10"/>
      <c r="C703" s="10"/>
      <c r="D703" s="10"/>
      <c r="E703" s="10"/>
      <c r="F703" s="10"/>
      <c r="G703" s="10"/>
      <c r="H703" s="10"/>
      <c r="I703" s="10"/>
      <c r="J703" s="10"/>
      <c r="K703" s="10"/>
      <c r="L703" s="10"/>
      <c r="M703" s="10"/>
    </row>
    <row r="704" spans="1:13">
      <c r="A704" s="10"/>
      <c r="B704" s="10"/>
      <c r="C704" s="10"/>
      <c r="D704" s="10"/>
      <c r="E704" s="10"/>
      <c r="F704" s="10"/>
      <c r="G704" s="10"/>
      <c r="H704" s="10"/>
      <c r="I704" s="10"/>
      <c r="J704" s="10"/>
      <c r="K704" s="10"/>
      <c r="L704" s="10"/>
      <c r="M704" s="10"/>
    </row>
    <row r="705" spans="1:13">
      <c r="A705" s="10"/>
      <c r="B705" s="10"/>
      <c r="C705" s="10"/>
      <c r="D705" s="10"/>
      <c r="E705" s="10"/>
      <c r="F705" s="10"/>
      <c r="G705" s="10"/>
      <c r="H705" s="10"/>
      <c r="I705" s="10"/>
      <c r="J705" s="10"/>
      <c r="K705" s="10"/>
      <c r="L705" s="10"/>
      <c r="M705" s="10"/>
    </row>
    <row r="706" spans="1:13">
      <c r="A706" s="10"/>
      <c r="B706" s="10"/>
      <c r="C706" s="10"/>
      <c r="D706" s="10"/>
      <c r="E706" s="10"/>
      <c r="F706" s="10"/>
      <c r="G706" s="10"/>
      <c r="H706" s="10"/>
      <c r="I706" s="10"/>
      <c r="J706" s="10"/>
      <c r="K706" s="10"/>
      <c r="L706" s="10"/>
      <c r="M706" s="10"/>
    </row>
    <row r="707" spans="1:13">
      <c r="A707" s="10"/>
      <c r="B707" s="10"/>
      <c r="C707" s="10"/>
      <c r="D707" s="10"/>
      <c r="E707" s="10"/>
      <c r="F707" s="10"/>
      <c r="G707" s="10"/>
      <c r="H707" s="10"/>
      <c r="I707" s="10"/>
      <c r="J707" s="10"/>
      <c r="K707" s="10"/>
      <c r="L707" s="10"/>
      <c r="M707" s="10"/>
    </row>
    <row r="708" spans="1:13">
      <c r="A708" s="10"/>
      <c r="B708" s="10"/>
      <c r="C708" s="10"/>
      <c r="D708" s="10"/>
      <c r="E708" s="10"/>
      <c r="F708" s="10"/>
      <c r="G708" s="10"/>
      <c r="H708" s="10"/>
      <c r="I708" s="10"/>
      <c r="J708" s="10"/>
      <c r="K708" s="10"/>
      <c r="L708" s="10"/>
      <c r="M708" s="10"/>
    </row>
    <row r="709" spans="1:13">
      <c r="A709" s="10"/>
      <c r="B709" s="10"/>
      <c r="C709" s="10"/>
      <c r="D709" s="10"/>
      <c r="E709" s="10"/>
      <c r="F709" s="10"/>
      <c r="G709" s="10"/>
      <c r="H709" s="10"/>
      <c r="I709" s="10"/>
      <c r="J709" s="10"/>
      <c r="K709" s="10"/>
      <c r="L709" s="10"/>
      <c r="M709" s="10"/>
    </row>
    <row r="710" spans="1:13">
      <c r="A710" s="10"/>
      <c r="B710" s="10"/>
      <c r="C710" s="10"/>
      <c r="D710" s="10"/>
      <c r="E710" s="10"/>
      <c r="F710" s="10"/>
      <c r="G710" s="10"/>
      <c r="H710" s="10"/>
      <c r="I710" s="10"/>
      <c r="J710" s="10"/>
      <c r="K710" s="10"/>
      <c r="L710" s="10"/>
      <c r="M710" s="10"/>
    </row>
    <row r="711" spans="1:13">
      <c r="A711" s="10"/>
      <c r="B711" s="10"/>
      <c r="C711" s="10"/>
      <c r="D711" s="10"/>
      <c r="E711" s="10"/>
      <c r="F711" s="10"/>
      <c r="G711" s="10"/>
      <c r="H711" s="10"/>
      <c r="I711" s="10"/>
      <c r="J711" s="10"/>
      <c r="K711" s="10"/>
      <c r="L711" s="10"/>
      <c r="M711" s="10"/>
    </row>
    <row r="712" spans="1:13">
      <c r="A712" s="10"/>
      <c r="B712" s="10"/>
      <c r="C712" s="10"/>
      <c r="D712" s="10"/>
      <c r="E712" s="10"/>
      <c r="F712" s="10"/>
      <c r="G712" s="10"/>
      <c r="H712" s="10"/>
      <c r="I712" s="10"/>
      <c r="J712" s="10"/>
      <c r="K712" s="10"/>
      <c r="L712" s="10"/>
      <c r="M712" s="10"/>
    </row>
    <row r="713" spans="1:13">
      <c r="A713" s="10"/>
      <c r="B713" s="10"/>
      <c r="C713" s="10"/>
      <c r="D713" s="10"/>
      <c r="E713" s="10"/>
      <c r="F713" s="10"/>
      <c r="G713" s="10"/>
      <c r="H713" s="10"/>
      <c r="I713" s="10"/>
      <c r="J713" s="10"/>
      <c r="K713" s="10"/>
      <c r="L713" s="10"/>
      <c r="M713" s="10"/>
    </row>
    <row r="714" spans="1:13">
      <c r="A714" s="10"/>
      <c r="B714" s="10"/>
      <c r="C714" s="10"/>
      <c r="D714" s="10"/>
      <c r="E714" s="10"/>
      <c r="F714" s="10"/>
      <c r="G714" s="10"/>
      <c r="H714" s="10"/>
      <c r="I714" s="10"/>
      <c r="J714" s="10"/>
      <c r="K714" s="10"/>
      <c r="L714" s="10"/>
      <c r="M714" s="10"/>
    </row>
    <row r="715" spans="1:13">
      <c r="A715" s="10"/>
      <c r="B715" s="10"/>
      <c r="C715" s="10"/>
      <c r="D715" s="10"/>
      <c r="E715" s="10"/>
      <c r="F715" s="10"/>
      <c r="G715" s="10"/>
      <c r="H715" s="10"/>
      <c r="I715" s="10"/>
      <c r="J715" s="10"/>
      <c r="K715" s="10"/>
      <c r="L715" s="10"/>
      <c r="M715" s="10"/>
    </row>
    <row r="716" spans="1:13">
      <c r="A716" s="10"/>
      <c r="B716" s="10"/>
      <c r="C716" s="10"/>
      <c r="D716" s="10"/>
      <c r="E716" s="10"/>
      <c r="F716" s="10"/>
      <c r="G716" s="10"/>
      <c r="H716" s="10"/>
      <c r="I716" s="10"/>
      <c r="J716" s="10"/>
      <c r="K716" s="10"/>
      <c r="L716" s="10"/>
      <c r="M716" s="10"/>
    </row>
    <row r="717" spans="1:13">
      <c r="A717" s="10"/>
      <c r="B717" s="10"/>
      <c r="C717" s="10"/>
      <c r="D717" s="10"/>
      <c r="E717" s="10"/>
      <c r="F717" s="10"/>
      <c r="G717" s="10"/>
      <c r="H717" s="10"/>
      <c r="I717" s="10"/>
      <c r="J717" s="10"/>
      <c r="K717" s="10"/>
      <c r="L717" s="10"/>
      <c r="M717" s="10"/>
    </row>
    <row r="718" spans="1:13">
      <c r="A718" s="10"/>
      <c r="B718" s="10"/>
      <c r="C718" s="10"/>
      <c r="D718" s="10"/>
      <c r="E718" s="10"/>
      <c r="F718" s="10"/>
      <c r="G718" s="10"/>
      <c r="H718" s="10"/>
      <c r="I718" s="10"/>
      <c r="J718" s="10"/>
      <c r="K718" s="10"/>
      <c r="L718" s="10"/>
      <c r="M718" s="10"/>
    </row>
    <row r="719" spans="1:13">
      <c r="A719" s="10"/>
      <c r="B719" s="10"/>
      <c r="C719" s="10"/>
      <c r="D719" s="10"/>
      <c r="E719" s="10"/>
      <c r="F719" s="10"/>
      <c r="G719" s="10"/>
      <c r="H719" s="10"/>
      <c r="I719" s="10"/>
      <c r="J719" s="10"/>
      <c r="K719" s="10"/>
      <c r="L719" s="10"/>
      <c r="M719" s="10"/>
    </row>
    <row r="720" spans="1:13">
      <c r="A720" s="10"/>
      <c r="B720" s="10"/>
      <c r="C720" s="10"/>
      <c r="D720" s="10"/>
      <c r="E720" s="10"/>
      <c r="F720" s="10"/>
      <c r="G720" s="10"/>
      <c r="H720" s="10"/>
      <c r="I720" s="10"/>
      <c r="J720" s="10"/>
      <c r="K720" s="10"/>
      <c r="L720" s="10"/>
      <c r="M720" s="10"/>
    </row>
    <row r="721" spans="1:21">
      <c r="A721" s="10"/>
      <c r="B721" s="10"/>
      <c r="C721" s="10"/>
      <c r="D721" s="10"/>
      <c r="E721" s="10"/>
      <c r="F721" s="10"/>
      <c r="G721" s="10"/>
      <c r="H721" s="10"/>
      <c r="I721" s="10"/>
      <c r="J721" s="10"/>
      <c r="K721" s="10"/>
      <c r="L721" s="10"/>
      <c r="M721" s="10"/>
    </row>
    <row r="722" spans="1:21">
      <c r="A722" s="10"/>
      <c r="B722" s="10"/>
      <c r="C722" s="10"/>
      <c r="D722" s="10"/>
      <c r="E722" s="10"/>
      <c r="F722" s="10"/>
      <c r="G722" s="10"/>
      <c r="H722" s="10"/>
      <c r="I722" s="10"/>
      <c r="J722" s="10"/>
      <c r="K722" s="10"/>
      <c r="L722" s="10"/>
      <c r="M722" s="10"/>
    </row>
    <row r="723" spans="1:21">
      <c r="A723" s="10"/>
      <c r="B723" s="10"/>
      <c r="C723" s="10"/>
      <c r="D723" s="10"/>
      <c r="E723" s="10"/>
      <c r="F723" s="10"/>
      <c r="G723" s="10"/>
      <c r="H723" s="10"/>
      <c r="I723" s="10"/>
      <c r="J723" s="10"/>
      <c r="K723" s="10"/>
      <c r="L723" s="10"/>
      <c r="M723" s="10"/>
    </row>
    <row r="724" spans="1:21">
      <c r="A724" s="10"/>
      <c r="B724" s="10"/>
      <c r="C724" s="10"/>
      <c r="D724" s="10"/>
      <c r="E724" s="10"/>
      <c r="F724" s="10"/>
      <c r="G724" s="10"/>
      <c r="H724" s="10"/>
      <c r="I724" s="10"/>
      <c r="J724" s="10"/>
      <c r="K724" s="10"/>
      <c r="L724" s="10"/>
      <c r="M724" s="10"/>
    </row>
    <row r="725" spans="1:21">
      <c r="A725" s="10"/>
      <c r="B725" s="10"/>
      <c r="C725" s="10"/>
      <c r="D725" s="10"/>
      <c r="E725" s="10"/>
      <c r="F725" s="10"/>
      <c r="G725" s="10"/>
      <c r="H725" s="10"/>
      <c r="I725" s="10"/>
      <c r="J725" s="10"/>
      <c r="K725" s="10"/>
      <c r="L725" s="10"/>
      <c r="M725" s="10"/>
    </row>
    <row r="726" spans="1:21">
      <c r="A726" s="10"/>
      <c r="B726" s="10"/>
      <c r="C726" s="10"/>
      <c r="D726" s="10"/>
      <c r="E726" s="10"/>
      <c r="F726" s="10"/>
      <c r="G726" s="10"/>
      <c r="H726" s="10"/>
      <c r="I726" s="10"/>
      <c r="J726" s="10"/>
      <c r="K726" s="10"/>
      <c r="L726" s="10"/>
      <c r="M726" s="10"/>
      <c r="P726" s="10" t="e">
        <f>VLOOKUP(C726,Table_view_sorted!A$2:A$215,1,FALSE)</f>
        <v>#N/A</v>
      </c>
      <c r="Q726" t="e">
        <f>VLOOKUP(D726,AVY_FACT!A$2:A$153,1,FALSE)</f>
        <v>#N/A</v>
      </c>
      <c r="R726" t="str">
        <f>D726&amp;"  "&amp;G726&amp;","</f>
        <v xml:space="preserve">  ,</v>
      </c>
      <c r="T726" s="10"/>
      <c r="U726" s="10"/>
    </row>
    <row r="727" spans="1:21">
      <c r="A727" s="10"/>
      <c r="B727" s="10"/>
      <c r="C727" s="10"/>
      <c r="D727" s="10"/>
      <c r="E727" s="10"/>
      <c r="F727" s="10"/>
      <c r="G727" s="10"/>
      <c r="H727" s="10"/>
      <c r="I727" s="10"/>
      <c r="J727" s="10"/>
      <c r="K727" s="10"/>
      <c r="L727" s="10"/>
      <c r="M727" s="10"/>
    </row>
    <row r="728" spans="1:21">
      <c r="A728" s="10"/>
      <c r="B728" s="10"/>
      <c r="C728" s="10"/>
      <c r="D728" s="10"/>
      <c r="E728" s="10"/>
      <c r="F728" s="10"/>
      <c r="G728" s="10"/>
      <c r="H728" s="10"/>
      <c r="I728" s="10"/>
      <c r="J728" s="10"/>
      <c r="K728" s="10"/>
      <c r="L728" s="10"/>
      <c r="M728" s="10"/>
    </row>
    <row r="729" spans="1:21">
      <c r="A729" s="10"/>
      <c r="B729" s="10"/>
      <c r="C729" s="10"/>
      <c r="D729" s="10"/>
      <c r="E729" s="10"/>
      <c r="F729" s="10"/>
      <c r="G729" s="10"/>
      <c r="H729" s="10"/>
      <c r="I729" s="10"/>
      <c r="J729" s="10"/>
      <c r="K729" s="10"/>
      <c r="L729" s="10"/>
      <c r="M729" s="10"/>
    </row>
    <row r="730" spans="1:21">
      <c r="A730" s="10"/>
      <c r="B730" s="10"/>
      <c r="C730" s="10"/>
      <c r="D730" s="10"/>
      <c r="E730" s="10"/>
      <c r="F730" s="10"/>
      <c r="G730" s="10"/>
      <c r="H730" s="10"/>
      <c r="I730" s="10"/>
      <c r="J730" s="10"/>
      <c r="K730" s="10"/>
      <c r="L730" s="10"/>
      <c r="M730" s="10"/>
    </row>
    <row r="731" spans="1:21">
      <c r="A731" s="10"/>
      <c r="B731" s="10"/>
      <c r="C731" s="10"/>
      <c r="D731" s="10"/>
      <c r="E731" s="10"/>
      <c r="F731" s="10"/>
      <c r="G731" s="10"/>
      <c r="H731" s="10"/>
      <c r="I731" s="10"/>
      <c r="J731" s="10"/>
      <c r="K731" s="10"/>
      <c r="L731" s="10"/>
      <c r="M731" s="10"/>
    </row>
    <row r="732" spans="1:21">
      <c r="A732" s="10"/>
      <c r="B732" s="10"/>
      <c r="C732" s="10"/>
      <c r="D732" s="10"/>
      <c r="E732" s="10"/>
      <c r="F732" s="10"/>
      <c r="G732" s="10"/>
      <c r="H732" s="10"/>
      <c r="I732" s="10"/>
      <c r="J732" s="10"/>
      <c r="K732" s="10"/>
      <c r="L732" s="10"/>
      <c r="M732" s="10"/>
    </row>
    <row r="733" spans="1:21">
      <c r="A733" s="10"/>
      <c r="B733" s="10"/>
      <c r="C733" s="10"/>
      <c r="D733" s="10"/>
      <c r="E733" s="10"/>
      <c r="F733" s="10"/>
      <c r="G733" s="10"/>
      <c r="H733" s="10"/>
      <c r="I733" s="10"/>
      <c r="J733" s="10"/>
      <c r="K733" s="10"/>
      <c r="L733" s="10"/>
      <c r="M733" s="10"/>
    </row>
    <row r="734" spans="1:21">
      <c r="A734" s="10"/>
      <c r="B734" s="10"/>
      <c r="C734" s="10"/>
      <c r="D734" s="10"/>
      <c r="E734" s="10"/>
      <c r="F734" s="10"/>
      <c r="G734" s="10"/>
      <c r="H734" s="10"/>
      <c r="I734" s="10"/>
      <c r="J734" s="10"/>
      <c r="K734" s="10"/>
      <c r="L734" s="10"/>
      <c r="M734" s="10"/>
    </row>
    <row r="735" spans="1:21">
      <c r="A735" s="10"/>
      <c r="B735" s="10"/>
      <c r="C735" s="10"/>
      <c r="D735" s="10"/>
      <c r="E735" s="10"/>
      <c r="F735" s="10"/>
      <c r="G735" s="10"/>
      <c r="H735" s="10"/>
      <c r="I735" s="10"/>
      <c r="J735" s="10"/>
      <c r="K735" s="10"/>
      <c r="L735" s="10"/>
      <c r="M735" s="10"/>
      <c r="P735" s="10" t="e">
        <f>VLOOKUP(C735,Table_view_sorted!A$2:A$215,1,FALSE)</f>
        <v>#N/A</v>
      </c>
      <c r="Q735" t="e">
        <f>VLOOKUP(D735,AVY_FACT!A$2:A$153,1,FALSE)</f>
        <v>#N/A</v>
      </c>
      <c r="R735" t="str">
        <f>D735&amp;"  "&amp;G735&amp;","</f>
        <v xml:space="preserve">  ,</v>
      </c>
      <c r="T735" s="10"/>
      <c r="U735" s="10"/>
    </row>
    <row r="736" spans="1:21">
      <c r="A736" s="10"/>
      <c r="B736" s="10"/>
      <c r="C736" s="10"/>
      <c r="D736" s="10"/>
      <c r="E736" s="10"/>
      <c r="F736" s="10"/>
      <c r="G736" s="10"/>
      <c r="H736" s="10"/>
      <c r="I736" s="10"/>
      <c r="J736" s="10"/>
      <c r="K736" s="10"/>
      <c r="L736" s="10"/>
      <c r="M736" s="10"/>
    </row>
    <row r="737" spans="1:21">
      <c r="A737" s="10"/>
      <c r="B737" s="10"/>
      <c r="C737" s="10"/>
      <c r="D737" s="10"/>
      <c r="E737" s="10"/>
      <c r="F737" s="10"/>
      <c r="G737" s="10"/>
      <c r="H737" s="10"/>
      <c r="I737" s="10"/>
      <c r="J737" s="10"/>
      <c r="K737" s="10"/>
      <c r="L737" s="10"/>
      <c r="M737" s="10"/>
    </row>
    <row r="738" spans="1:21">
      <c r="A738" s="10"/>
      <c r="B738" s="10"/>
      <c r="C738" s="10"/>
      <c r="D738" s="10"/>
      <c r="E738" s="10"/>
      <c r="F738" s="10"/>
      <c r="G738" s="10"/>
      <c r="H738" s="10"/>
      <c r="I738" s="10"/>
      <c r="J738" s="10"/>
      <c r="K738" s="10"/>
      <c r="L738" s="10"/>
      <c r="M738" s="10"/>
    </row>
    <row r="739" spans="1:21">
      <c r="A739" s="10"/>
      <c r="B739" s="10"/>
      <c r="C739" s="10"/>
      <c r="D739" s="10"/>
      <c r="E739" s="10"/>
      <c r="F739" s="10"/>
      <c r="G739" s="10"/>
      <c r="H739" s="10"/>
      <c r="I739" s="10"/>
      <c r="J739" s="10"/>
      <c r="K739" s="10"/>
      <c r="L739" s="10"/>
      <c r="M739" s="10"/>
    </row>
    <row r="740" spans="1:21">
      <c r="A740" s="10"/>
      <c r="B740" s="10"/>
      <c r="C740" s="10"/>
      <c r="D740" s="10"/>
      <c r="E740" s="10"/>
      <c r="F740" s="10"/>
      <c r="G740" s="10"/>
      <c r="H740" s="10"/>
      <c r="I740" s="10"/>
      <c r="J740" s="10"/>
      <c r="K740" s="10"/>
      <c r="L740" s="10"/>
      <c r="M740" s="10"/>
      <c r="P740" s="10" t="e">
        <f>VLOOKUP(C740,Table_view_sorted!A$2:A$215,1,FALSE)</f>
        <v>#N/A</v>
      </c>
      <c r="Q740" t="e">
        <f>VLOOKUP(D740,AVY_FACT!A$2:A$153,1,FALSE)</f>
        <v>#N/A</v>
      </c>
      <c r="R740" t="str">
        <f>D740&amp;"  "&amp;G740&amp;","</f>
        <v xml:space="preserve">  ,</v>
      </c>
      <c r="T740" s="10"/>
      <c r="U740" s="10"/>
    </row>
    <row r="741" spans="1:21">
      <c r="A741" s="10"/>
      <c r="B741" s="10"/>
      <c r="C741" s="10"/>
      <c r="D741" s="10"/>
      <c r="E741" s="10"/>
      <c r="F741" s="10"/>
      <c r="G741" s="10"/>
      <c r="H741" s="10"/>
      <c r="I741" s="10"/>
      <c r="J741" s="10"/>
      <c r="K741" s="10"/>
      <c r="L741" s="10"/>
      <c r="M741" s="10"/>
      <c r="P741" s="10" t="e">
        <f>VLOOKUP(C741,Table_view_sorted!A$2:A$215,1,FALSE)</f>
        <v>#N/A</v>
      </c>
      <c r="Q741" t="e">
        <f>VLOOKUP(D741,AVY_FACT!A$2:A$153,1,FALSE)</f>
        <v>#N/A</v>
      </c>
      <c r="R741" t="str">
        <f>D741&amp;"  "&amp;G741&amp;","</f>
        <v xml:space="preserve">  ,</v>
      </c>
      <c r="T741" s="10"/>
      <c r="U741" s="10"/>
    </row>
    <row r="742" spans="1:21">
      <c r="A742" s="10"/>
      <c r="B742" s="10"/>
      <c r="C742" s="10"/>
      <c r="D742" s="10"/>
      <c r="E742" s="10"/>
      <c r="F742" s="10"/>
      <c r="G742" s="10"/>
      <c r="H742" s="10"/>
      <c r="I742" s="10"/>
      <c r="J742" s="10"/>
      <c r="K742" s="10"/>
      <c r="L742" s="10"/>
      <c r="M742" s="10"/>
      <c r="P742" s="10" t="e">
        <f>VLOOKUP(C742,Table_view_sorted!A$2:A$215,1,FALSE)</f>
        <v>#N/A</v>
      </c>
      <c r="Q742" s="22" t="e">
        <f>VLOOKUP(D742,AVY_FACT!A$2:A$153,1,FALSE)</f>
        <v>#N/A</v>
      </c>
      <c r="R742" s="22" t="str">
        <f>D742&amp;"  "&amp;G742&amp;","</f>
        <v xml:space="preserve">  ,</v>
      </c>
      <c r="S742" s="22"/>
      <c r="T742" s="21" t="s">
        <v>2460</v>
      </c>
      <c r="U742" s="21" t="s">
        <v>1142</v>
      </c>
    </row>
    <row r="743" spans="1:21">
      <c r="A743" s="10"/>
      <c r="B743" s="10"/>
      <c r="C743" s="10"/>
      <c r="D743" s="10"/>
      <c r="E743" s="10"/>
      <c r="F743" s="10"/>
      <c r="G743" s="10"/>
      <c r="H743" s="10"/>
      <c r="I743" s="10"/>
      <c r="J743" s="10"/>
      <c r="K743" s="10"/>
      <c r="L743" s="10"/>
      <c r="M743" s="10"/>
    </row>
    <row r="744" spans="1:21">
      <c r="A744" s="10"/>
      <c r="B744" s="10"/>
      <c r="C744" s="10"/>
      <c r="D744" s="10"/>
      <c r="E744" s="10"/>
      <c r="F744" s="10"/>
      <c r="G744" s="10"/>
      <c r="H744" s="10"/>
      <c r="I744" s="10"/>
      <c r="J744" s="10"/>
      <c r="K744" s="10"/>
      <c r="L744" s="10"/>
      <c r="M744" s="10"/>
      <c r="P744" s="10" t="e">
        <f>VLOOKUP(C744,Table_view_sorted!A$2:A$215,1,FALSE)</f>
        <v>#N/A</v>
      </c>
      <c r="Q744" t="e">
        <f>VLOOKUP(D744,AVY_FACT!A$2:A$153,1,FALSE)</f>
        <v>#N/A</v>
      </c>
      <c r="R744" t="str">
        <f>D744&amp;"  "&amp;G744&amp;","</f>
        <v xml:space="preserve">  ,</v>
      </c>
      <c r="T744" s="10"/>
      <c r="U744" s="10"/>
    </row>
    <row r="745" spans="1:21">
      <c r="A745" s="10"/>
      <c r="B745" s="10"/>
      <c r="C745" s="10"/>
      <c r="D745" s="10"/>
      <c r="E745" s="10"/>
      <c r="F745" s="10"/>
      <c r="G745" s="10"/>
      <c r="H745" s="10"/>
      <c r="I745" s="10"/>
      <c r="J745" s="10"/>
      <c r="K745" s="10"/>
      <c r="L745" s="10"/>
      <c r="M745" s="10"/>
      <c r="P745" s="10" t="e">
        <f>VLOOKUP(C745,Table_view_sorted!A$2:A$215,1,FALSE)</f>
        <v>#N/A</v>
      </c>
      <c r="Q745" t="e">
        <f>VLOOKUP(D745,AVY_FACT!A$2:A$153,1,FALSE)</f>
        <v>#N/A</v>
      </c>
      <c r="R745" t="str">
        <f>D745&amp;"  "&amp;G745&amp;","</f>
        <v xml:space="preserve">  ,</v>
      </c>
      <c r="T745" s="10"/>
      <c r="U745" s="10"/>
    </row>
    <row r="746" spans="1:21">
      <c r="A746" s="10"/>
      <c r="B746" s="10"/>
      <c r="C746" s="10"/>
      <c r="D746" s="10"/>
      <c r="E746" s="10"/>
      <c r="F746" s="10"/>
      <c r="G746" s="10"/>
      <c r="H746" s="10"/>
      <c r="I746" s="10"/>
      <c r="J746" s="10"/>
      <c r="K746" s="10"/>
      <c r="L746" s="10"/>
      <c r="M746" s="10"/>
      <c r="P746" s="10" t="e">
        <f>VLOOKUP(C746,Table_view_sorted!A$2:A$215,1,FALSE)</f>
        <v>#N/A</v>
      </c>
      <c r="Q746" t="e">
        <f>VLOOKUP(D746,AVY_FACT!A$2:A$153,1,FALSE)</f>
        <v>#N/A</v>
      </c>
      <c r="R746" t="str">
        <f>D746&amp;"  "&amp;G746&amp;","</f>
        <v xml:space="preserve">  ,</v>
      </c>
      <c r="T746" s="10"/>
      <c r="U746" s="10"/>
    </row>
    <row r="747" spans="1:21">
      <c r="A747" s="10"/>
      <c r="B747" s="10"/>
      <c r="C747" s="10"/>
      <c r="D747" s="10"/>
      <c r="E747" s="10"/>
      <c r="F747" s="10"/>
      <c r="G747" s="10"/>
      <c r="H747" s="10"/>
      <c r="I747" s="10"/>
      <c r="J747" s="10"/>
      <c r="K747" s="10"/>
      <c r="L747" s="10"/>
      <c r="M747" s="10"/>
      <c r="P747" s="10" t="e">
        <f>VLOOKUP(C747,Table_view_sorted!A$2:A$215,1,FALSE)</f>
        <v>#N/A</v>
      </c>
      <c r="Q747" t="e">
        <f>VLOOKUP(D747,AVY_FACT!A$2:A$153,1,FALSE)</f>
        <v>#N/A</v>
      </c>
      <c r="R747" t="str">
        <f>D747&amp;"  "&amp;G747&amp;","</f>
        <v xml:space="preserve">  ,</v>
      </c>
      <c r="T747" s="10"/>
      <c r="U747" s="10"/>
    </row>
    <row r="748" spans="1:21">
      <c r="A748" s="10"/>
      <c r="B748" s="10"/>
      <c r="C748" s="10"/>
      <c r="D748" s="10"/>
      <c r="E748" s="10"/>
      <c r="F748" s="10"/>
      <c r="G748" s="10"/>
      <c r="H748" s="10"/>
      <c r="I748" s="10"/>
      <c r="J748" s="10"/>
      <c r="K748" s="10"/>
      <c r="L748" s="10"/>
      <c r="M748" s="10"/>
      <c r="P748" s="10" t="e">
        <f>VLOOKUP(C748,Table_view_sorted!A$2:A$215,1,FALSE)</f>
        <v>#N/A</v>
      </c>
      <c r="Q748" s="22" t="e">
        <f>VLOOKUP(D748,AVY_FACT!A$2:A$153,1,FALSE)</f>
        <v>#N/A</v>
      </c>
      <c r="R748" s="22" t="str">
        <f>D748&amp;"  "&amp;G748&amp;","</f>
        <v xml:space="preserve">  ,</v>
      </c>
      <c r="S748" s="22"/>
      <c r="T748" s="21" t="s">
        <v>2460</v>
      </c>
      <c r="U748" s="21" t="s">
        <v>1142</v>
      </c>
    </row>
    <row r="749" spans="1:21">
      <c r="A749" s="10"/>
      <c r="B749" s="10"/>
      <c r="C749" s="10"/>
      <c r="D749" s="10"/>
      <c r="E749" s="10"/>
      <c r="F749" s="10"/>
      <c r="G749" s="10"/>
      <c r="H749" s="10"/>
      <c r="I749" s="10"/>
      <c r="J749" s="10"/>
      <c r="K749" s="10"/>
      <c r="L749" s="10"/>
      <c r="M749" s="10"/>
    </row>
    <row r="750" spans="1:21">
      <c r="A750" s="10"/>
      <c r="B750" s="10"/>
      <c r="C750" s="10"/>
      <c r="D750" s="10"/>
      <c r="E750" s="10"/>
      <c r="F750" s="10"/>
      <c r="G750" s="10"/>
      <c r="H750" s="10"/>
      <c r="I750" s="10"/>
      <c r="J750" s="10"/>
      <c r="K750" s="10"/>
      <c r="L750" s="10"/>
      <c r="M750" s="10"/>
    </row>
    <row r="751" spans="1:21">
      <c r="A751" s="10"/>
      <c r="B751" s="10"/>
      <c r="C751" s="10"/>
      <c r="D751" s="10"/>
      <c r="E751" s="10"/>
      <c r="F751" s="10"/>
      <c r="G751" s="10"/>
      <c r="H751" s="10"/>
      <c r="I751" s="10"/>
      <c r="J751" s="10"/>
      <c r="K751" s="10"/>
      <c r="L751" s="10"/>
      <c r="M751" s="10"/>
    </row>
    <row r="752" spans="1:21">
      <c r="A752" s="10"/>
      <c r="B752" s="10"/>
      <c r="C752" s="10"/>
      <c r="D752" s="10"/>
      <c r="E752" s="10"/>
      <c r="F752" s="10"/>
      <c r="G752" s="10"/>
      <c r="H752" s="10"/>
      <c r="I752" s="10"/>
      <c r="J752" s="10"/>
      <c r="K752" s="10"/>
      <c r="L752" s="10"/>
      <c r="M752" s="10"/>
    </row>
    <row r="753" spans="1:21">
      <c r="A753" s="10"/>
      <c r="B753" s="10"/>
      <c r="C753" s="10"/>
      <c r="D753" s="10"/>
      <c r="E753" s="10"/>
      <c r="F753" s="10"/>
      <c r="G753" s="10"/>
      <c r="H753" s="10"/>
      <c r="I753" s="10"/>
      <c r="J753" s="10"/>
      <c r="K753" s="10"/>
      <c r="L753" s="10"/>
      <c r="M753" s="10"/>
    </row>
    <row r="754" spans="1:21">
      <c r="A754" s="10"/>
      <c r="B754" s="10"/>
      <c r="C754" s="10"/>
      <c r="D754" s="10"/>
      <c r="E754" s="10"/>
      <c r="F754" s="10"/>
      <c r="G754" s="10"/>
      <c r="H754" s="10"/>
      <c r="I754" s="10"/>
      <c r="J754" s="10"/>
      <c r="K754" s="10"/>
      <c r="L754" s="10"/>
      <c r="M754" s="10"/>
    </row>
    <row r="755" spans="1:21">
      <c r="A755" s="10"/>
      <c r="B755" s="10"/>
      <c r="C755" s="10"/>
      <c r="D755" s="10"/>
      <c r="E755" s="10"/>
      <c r="F755" s="10"/>
      <c r="G755" s="10"/>
      <c r="H755" s="10"/>
      <c r="I755" s="10"/>
      <c r="J755" s="10"/>
      <c r="K755" s="10"/>
      <c r="L755" s="10"/>
      <c r="M755" s="10"/>
    </row>
    <row r="756" spans="1:21">
      <c r="A756" s="10"/>
      <c r="B756" s="10"/>
      <c r="C756" s="10"/>
      <c r="D756" s="10"/>
      <c r="E756" s="10"/>
      <c r="F756" s="10"/>
      <c r="G756" s="10"/>
      <c r="H756" s="10"/>
      <c r="I756" s="10"/>
      <c r="J756" s="10"/>
      <c r="K756" s="10"/>
      <c r="L756" s="10"/>
      <c r="M756" s="10"/>
    </row>
    <row r="757" spans="1:21">
      <c r="A757" s="10"/>
      <c r="B757" s="10"/>
      <c r="C757" s="10"/>
      <c r="D757" s="10"/>
      <c r="E757" s="10"/>
      <c r="F757" s="10"/>
      <c r="G757" s="10"/>
      <c r="H757" s="10"/>
      <c r="I757" s="10"/>
      <c r="J757" s="10"/>
      <c r="K757" s="10"/>
      <c r="L757" s="10"/>
      <c r="M757" s="10"/>
    </row>
    <row r="758" spans="1:21">
      <c r="A758" s="10"/>
      <c r="B758" s="10"/>
      <c r="C758" s="10"/>
      <c r="D758" s="10"/>
      <c r="E758" s="10"/>
      <c r="F758" s="10"/>
      <c r="G758" s="10"/>
      <c r="H758" s="10"/>
      <c r="I758" s="10"/>
      <c r="J758" s="10"/>
      <c r="K758" s="10"/>
      <c r="L758" s="10"/>
      <c r="M758" s="10"/>
    </row>
    <row r="759" spans="1:21">
      <c r="A759" s="10"/>
      <c r="B759" s="10"/>
      <c r="C759" s="10"/>
      <c r="D759" s="10"/>
      <c r="E759" s="10"/>
      <c r="F759" s="10"/>
      <c r="G759" s="10"/>
      <c r="H759" s="10"/>
      <c r="I759" s="10"/>
      <c r="J759" s="10"/>
      <c r="K759" s="10"/>
      <c r="L759" s="10"/>
      <c r="M759" s="10"/>
    </row>
    <row r="760" spans="1:21">
      <c r="A760" s="10"/>
      <c r="B760" s="10"/>
      <c r="C760" s="10"/>
      <c r="D760" s="10"/>
      <c r="E760" s="10"/>
      <c r="F760" s="10"/>
      <c r="G760" s="10"/>
      <c r="H760" s="10"/>
      <c r="I760" s="10"/>
      <c r="J760" s="10"/>
      <c r="K760" s="10"/>
      <c r="L760" s="10"/>
      <c r="M760" s="10"/>
    </row>
    <row r="761" spans="1:21">
      <c r="A761" s="10"/>
      <c r="B761" s="10"/>
      <c r="C761" s="10"/>
      <c r="D761" s="10"/>
      <c r="E761" s="10"/>
      <c r="F761" s="10"/>
      <c r="G761" s="10"/>
      <c r="H761" s="10"/>
      <c r="I761" s="10"/>
      <c r="J761" s="10"/>
      <c r="K761" s="10"/>
      <c r="L761" s="10"/>
      <c r="M761" s="10"/>
    </row>
    <row r="762" spans="1:21">
      <c r="A762" s="10"/>
      <c r="B762" s="10"/>
      <c r="C762" s="10"/>
      <c r="D762" s="10"/>
      <c r="E762" s="10"/>
      <c r="F762" s="10"/>
      <c r="G762" s="10"/>
      <c r="H762" s="10"/>
      <c r="I762" s="10"/>
      <c r="J762" s="10"/>
      <c r="K762" s="10"/>
      <c r="L762" s="10"/>
      <c r="M762" s="10"/>
    </row>
    <row r="763" spans="1:21">
      <c r="A763" s="10"/>
      <c r="B763" s="10"/>
      <c r="C763" s="10"/>
      <c r="D763" s="10"/>
      <c r="E763" s="10"/>
      <c r="F763" s="10"/>
      <c r="G763" s="10"/>
      <c r="H763" s="10"/>
      <c r="I763" s="10"/>
      <c r="J763" s="10"/>
      <c r="K763" s="10"/>
      <c r="L763" s="10"/>
      <c r="M763" s="10"/>
    </row>
    <row r="764" spans="1:21">
      <c r="A764" s="10"/>
      <c r="B764" s="10"/>
      <c r="C764" s="10"/>
      <c r="D764" s="10"/>
      <c r="E764" s="10"/>
      <c r="F764" s="10"/>
      <c r="G764" s="10"/>
      <c r="H764" s="10"/>
      <c r="I764" s="10"/>
      <c r="J764" s="10"/>
      <c r="K764" s="10"/>
      <c r="L764" s="10"/>
      <c r="M764" s="10"/>
      <c r="P764" s="10" t="e">
        <f>VLOOKUP(C764,Table_view_sorted!A$2:A$215,1,FALSE)</f>
        <v>#N/A</v>
      </c>
      <c r="Q764" t="e">
        <f>VLOOKUP(D764,AVY_FACT!A$2:A$153,1,FALSE)</f>
        <v>#N/A</v>
      </c>
      <c r="R764" t="str">
        <f>D764&amp;"  "&amp;G764&amp;","</f>
        <v xml:space="preserve">  ,</v>
      </c>
      <c r="T764" s="10"/>
      <c r="U764" s="10"/>
    </row>
    <row r="765" spans="1:21" ht="27.6">
      <c r="A765" s="10"/>
      <c r="B765" s="10"/>
      <c r="C765" s="10"/>
      <c r="D765" s="10"/>
      <c r="E765" s="10"/>
      <c r="F765" s="10"/>
      <c r="G765" s="10"/>
      <c r="H765" s="10"/>
      <c r="I765" s="10"/>
      <c r="J765" s="10"/>
      <c r="K765" s="10"/>
      <c r="L765" s="10"/>
      <c r="M765" s="10"/>
      <c r="P765" s="10" t="e">
        <f>VLOOKUP(C765,Table_view_sorted!A$2:A$215,1,FALSE)</f>
        <v>#N/A</v>
      </c>
      <c r="Q765" t="e">
        <f>VLOOKUP(D765,AVY_FACT!A$2:A$153,1,FALSE)</f>
        <v>#N/A</v>
      </c>
      <c r="R765" t="str">
        <f>D765&amp;"  "&amp;G765&amp;","</f>
        <v xml:space="preserve">  ,</v>
      </c>
      <c r="T765" s="25" t="s">
        <v>2534</v>
      </c>
      <c r="U765" s="25" t="s">
        <v>1142</v>
      </c>
    </row>
    <row r="766" spans="1:21">
      <c r="A766" s="10"/>
      <c r="B766" s="10"/>
      <c r="C766" s="10"/>
      <c r="D766" s="10"/>
      <c r="E766" s="10"/>
      <c r="F766" s="10"/>
      <c r="G766" s="10"/>
      <c r="H766" s="10"/>
      <c r="I766" s="10"/>
      <c r="J766" s="10"/>
      <c r="K766" s="10"/>
      <c r="L766" s="10"/>
      <c r="M766" s="10"/>
    </row>
    <row r="767" spans="1:21">
      <c r="A767" s="10"/>
      <c r="B767" s="10"/>
      <c r="C767" s="10"/>
      <c r="D767" s="10"/>
      <c r="E767" s="10"/>
      <c r="F767" s="10"/>
      <c r="G767" s="10"/>
      <c r="H767" s="10"/>
      <c r="I767" s="10"/>
      <c r="J767" s="10"/>
      <c r="K767" s="10"/>
      <c r="L767" s="10"/>
      <c r="M767" s="10"/>
      <c r="P767" s="10" t="e">
        <f>VLOOKUP(C767,Table_view_sorted!A$2:A$215,1,FALSE)</f>
        <v>#N/A</v>
      </c>
      <c r="Q767" t="e">
        <f>VLOOKUP(D767,AVY_FACT!A$2:A$153,1,FALSE)</f>
        <v>#N/A</v>
      </c>
      <c r="R767" t="str">
        <f>D767&amp;"  "&amp;G767&amp;","</f>
        <v xml:space="preserve">  ,</v>
      </c>
      <c r="T767" s="10"/>
      <c r="U767" s="10"/>
    </row>
    <row r="768" spans="1:21">
      <c r="A768" s="10"/>
      <c r="B768" s="10"/>
      <c r="C768" s="10"/>
      <c r="D768" s="10"/>
      <c r="E768" s="10"/>
      <c r="F768" s="10"/>
      <c r="G768" s="10"/>
      <c r="H768" s="10"/>
      <c r="I768" s="10"/>
      <c r="J768" s="10"/>
      <c r="K768" s="10"/>
      <c r="L768" s="10"/>
      <c r="M768" s="10"/>
    </row>
    <row r="769" spans="1:21">
      <c r="A769" s="10"/>
      <c r="B769" s="10"/>
      <c r="C769" s="10"/>
      <c r="D769" s="10"/>
      <c r="E769" s="10"/>
      <c r="F769" s="10"/>
      <c r="G769" s="10"/>
      <c r="H769" s="10"/>
      <c r="I769" s="10"/>
      <c r="J769" s="10"/>
      <c r="K769" s="10"/>
      <c r="L769" s="10"/>
      <c r="M769" s="10"/>
    </row>
    <row r="770" spans="1:21">
      <c r="A770" s="10"/>
      <c r="B770" s="10"/>
      <c r="C770" s="10"/>
      <c r="D770" s="10"/>
      <c r="E770" s="10"/>
      <c r="F770" s="10"/>
      <c r="G770" s="10"/>
      <c r="H770" s="10"/>
      <c r="I770" s="10"/>
      <c r="J770" s="10"/>
      <c r="K770" s="10"/>
      <c r="L770" s="10"/>
      <c r="M770" s="10"/>
      <c r="P770" s="10" t="e">
        <f>VLOOKUP(C770,Table_view_sorted!A$2:A$215,1,FALSE)</f>
        <v>#N/A</v>
      </c>
      <c r="Q770" t="e">
        <f>VLOOKUP(D770,AVY_FACT!A$2:A$153,1,FALSE)</f>
        <v>#N/A</v>
      </c>
      <c r="R770" t="str">
        <f>D770&amp;"  "&amp;G770&amp;","</f>
        <v xml:space="preserve">  ,</v>
      </c>
      <c r="T770" s="10"/>
      <c r="U770" s="10"/>
    </row>
    <row r="771" spans="1:21">
      <c r="A771" s="10"/>
      <c r="B771" s="10"/>
      <c r="C771" s="10"/>
      <c r="D771" s="10"/>
      <c r="E771" s="10"/>
      <c r="F771" s="10"/>
      <c r="G771" s="10"/>
      <c r="H771" s="10"/>
      <c r="I771" s="10"/>
      <c r="J771" s="10"/>
      <c r="K771" s="10"/>
      <c r="L771" s="10"/>
      <c r="M771" s="10"/>
      <c r="P771" s="10" t="e">
        <f>VLOOKUP(C771,Table_view_sorted!A$2:A$215,1,FALSE)</f>
        <v>#N/A</v>
      </c>
      <c r="Q771" t="e">
        <f>VLOOKUP(D771,AVY_FACT!A$2:A$153,1,FALSE)</f>
        <v>#N/A</v>
      </c>
      <c r="R771" t="str">
        <f>D771&amp;"  "&amp;G771&amp;","</f>
        <v xml:space="preserve">  ,</v>
      </c>
      <c r="T771" s="10"/>
      <c r="U771" s="10"/>
    </row>
    <row r="772" spans="1:21">
      <c r="A772" s="10"/>
      <c r="B772" s="10"/>
      <c r="C772" s="10"/>
      <c r="D772" s="10"/>
      <c r="E772" s="10"/>
      <c r="F772" s="10"/>
      <c r="G772" s="10"/>
      <c r="H772" s="10"/>
      <c r="I772" s="10"/>
      <c r="J772" s="10"/>
      <c r="K772" s="10"/>
      <c r="L772" s="10"/>
      <c r="M772" s="10"/>
      <c r="P772" s="10" t="e">
        <f>VLOOKUP(C772,Table_view_sorted!A$2:A$215,1,FALSE)</f>
        <v>#N/A</v>
      </c>
      <c r="Q772" t="e">
        <f>VLOOKUP(D772,AVY_FACT!A$2:A$153,1,FALSE)</f>
        <v>#N/A</v>
      </c>
      <c r="R772" t="str">
        <f>D772&amp;"  "&amp;G772&amp;","</f>
        <v xml:space="preserve">  ,</v>
      </c>
      <c r="T772" s="10"/>
      <c r="U772" s="10"/>
    </row>
    <row r="773" spans="1:21">
      <c r="A773" s="10"/>
      <c r="B773" s="10"/>
      <c r="C773" s="10"/>
      <c r="D773" s="10"/>
      <c r="E773" s="10"/>
      <c r="F773" s="10"/>
      <c r="G773" s="10"/>
      <c r="H773" s="10"/>
      <c r="I773" s="10"/>
      <c r="J773" s="10"/>
      <c r="K773" s="10"/>
      <c r="L773" s="10"/>
      <c r="M773" s="10"/>
    </row>
    <row r="774" spans="1:21">
      <c r="A774" s="10"/>
      <c r="B774" s="10"/>
      <c r="C774" s="10"/>
      <c r="D774" s="10"/>
      <c r="E774" s="10"/>
      <c r="F774" s="10"/>
      <c r="G774" s="10"/>
      <c r="H774" s="10"/>
      <c r="I774" s="10"/>
      <c r="J774" s="10"/>
      <c r="K774" s="10"/>
      <c r="L774" s="10"/>
      <c r="M774" s="10"/>
    </row>
    <row r="775" spans="1:21">
      <c r="A775" s="10"/>
      <c r="B775" s="10"/>
      <c r="C775" s="10"/>
      <c r="D775" s="10"/>
      <c r="E775" s="10"/>
      <c r="F775" s="10"/>
      <c r="G775" s="10"/>
      <c r="H775" s="10"/>
      <c r="I775" s="10"/>
      <c r="J775" s="10"/>
      <c r="K775" s="10"/>
      <c r="L775" s="10"/>
      <c r="M775" s="10"/>
    </row>
    <row r="776" spans="1:21">
      <c r="A776" s="10"/>
      <c r="B776" s="10"/>
      <c r="C776" s="10"/>
      <c r="D776" s="10"/>
      <c r="E776" s="10"/>
      <c r="F776" s="10"/>
      <c r="G776" s="10"/>
      <c r="H776" s="10"/>
      <c r="I776" s="10"/>
      <c r="J776" s="10"/>
      <c r="K776" s="10"/>
      <c r="L776" s="10"/>
      <c r="M776" s="10"/>
      <c r="P776" s="10" t="e">
        <f>VLOOKUP(C776,Table_view_sorted!A$2:A$215,1,FALSE)</f>
        <v>#N/A</v>
      </c>
      <c r="Q776" t="e">
        <f>VLOOKUP(D776,AVY_FACT!A$2:A$153,1,FALSE)</f>
        <v>#N/A</v>
      </c>
      <c r="R776" t="str">
        <f>D776&amp;"  "&amp;G776&amp;","</f>
        <v xml:space="preserve">  ,</v>
      </c>
      <c r="T776" s="10"/>
      <c r="U776" s="10"/>
    </row>
    <row r="777" spans="1:21">
      <c r="A777" s="10"/>
      <c r="B777" s="10"/>
      <c r="C777" s="10"/>
      <c r="D777" s="10"/>
      <c r="E777" s="10"/>
      <c r="F777" s="10"/>
      <c r="G777" s="10"/>
      <c r="H777" s="10"/>
      <c r="I777" s="10"/>
      <c r="J777" s="10"/>
      <c r="K777" s="10"/>
      <c r="L777" s="10"/>
      <c r="M777" s="10"/>
      <c r="N777" s="10"/>
      <c r="O777" s="10"/>
      <c r="P777" s="10" t="e">
        <f>VLOOKUP(C777,Table_view_sorted!A$2:A$215,1,FALSE)</f>
        <v>#N/A</v>
      </c>
      <c r="Q777" t="e">
        <f>VLOOKUP(D777,AVY_FACT!A$2:A$153,1,FALSE)</f>
        <v>#N/A</v>
      </c>
      <c r="R777" t="str">
        <f>D777&amp;"  "&amp;G777&amp;","</f>
        <v xml:space="preserve">  ,</v>
      </c>
      <c r="T777" s="10"/>
      <c r="U777" s="10"/>
    </row>
    <row r="778" spans="1:21">
      <c r="A778" s="10"/>
      <c r="B778" s="10"/>
      <c r="C778" s="10"/>
      <c r="D778" s="10"/>
      <c r="E778" s="10"/>
      <c r="F778" s="10"/>
      <c r="G778" s="10"/>
      <c r="H778" s="10"/>
      <c r="I778" s="10"/>
      <c r="J778" s="10"/>
      <c r="K778" s="10"/>
      <c r="L778" s="10"/>
      <c r="M778" s="10"/>
      <c r="N778" s="10"/>
      <c r="O778" s="10"/>
      <c r="P778" s="10" t="e">
        <f>VLOOKUP(C778,Table_view_sorted!A$2:A$215,1,FALSE)</f>
        <v>#N/A</v>
      </c>
      <c r="Q778" t="e">
        <f>VLOOKUP(D778,AVY_FACT!A$2:A$153,1,FALSE)</f>
        <v>#N/A</v>
      </c>
      <c r="R778" t="str">
        <f>D778&amp;"  "&amp;G778&amp;","</f>
        <v xml:space="preserve">  ,</v>
      </c>
      <c r="T778" s="10"/>
      <c r="U778" s="10"/>
    </row>
    <row r="779" spans="1:21">
      <c r="A779" s="10"/>
      <c r="B779" s="10"/>
      <c r="C779" s="10"/>
      <c r="D779" s="10"/>
      <c r="E779" s="10"/>
      <c r="F779" s="10"/>
      <c r="G779" s="10"/>
      <c r="H779" s="10"/>
      <c r="I779" s="10"/>
      <c r="J779" s="10"/>
      <c r="K779" s="10"/>
      <c r="L779" s="10"/>
      <c r="M779" s="10"/>
    </row>
    <row r="780" spans="1:21">
      <c r="A780" s="10"/>
      <c r="B780" s="10"/>
      <c r="C780" s="10"/>
      <c r="D780" s="10"/>
      <c r="E780" s="10"/>
      <c r="F780" s="10"/>
      <c r="G780" s="10"/>
      <c r="H780" s="10"/>
      <c r="I780" s="10"/>
      <c r="J780" s="10"/>
      <c r="K780" s="10"/>
      <c r="L780" s="10"/>
      <c r="M780" s="10"/>
    </row>
    <row r="781" spans="1:21">
      <c r="A781" s="10"/>
      <c r="B781" s="10"/>
      <c r="C781" s="10"/>
      <c r="D781" s="10"/>
      <c r="E781" s="10"/>
      <c r="F781" s="10"/>
      <c r="G781" s="10"/>
      <c r="H781" s="10"/>
      <c r="I781" s="10"/>
      <c r="J781" s="10"/>
      <c r="K781" s="10"/>
      <c r="L781" s="10"/>
      <c r="M781" s="10"/>
    </row>
    <row r="782" spans="1:21">
      <c r="A782" s="10"/>
      <c r="B782" s="10"/>
      <c r="C782" s="10"/>
      <c r="D782" s="10"/>
      <c r="E782" s="10"/>
      <c r="F782" s="10"/>
      <c r="G782" s="10"/>
      <c r="H782" s="10"/>
      <c r="I782" s="10"/>
      <c r="J782" s="10"/>
      <c r="K782" s="10"/>
      <c r="L782" s="10"/>
      <c r="M782" s="10"/>
    </row>
    <row r="783" spans="1:21">
      <c r="A783" s="10"/>
      <c r="B783" s="10"/>
      <c r="C783" s="10"/>
      <c r="D783" s="10"/>
      <c r="E783" s="10"/>
      <c r="F783" s="10"/>
      <c r="G783" s="10"/>
      <c r="H783" s="10"/>
      <c r="I783" s="10"/>
      <c r="J783" s="10"/>
      <c r="K783" s="10"/>
      <c r="L783" s="10"/>
      <c r="M783" s="10"/>
    </row>
    <row r="784" spans="1:21">
      <c r="A784" s="10"/>
      <c r="B784" s="10"/>
      <c r="C784" s="10"/>
      <c r="D784" s="10"/>
      <c r="E784" s="10"/>
      <c r="F784" s="10"/>
      <c r="G784" s="10"/>
      <c r="H784" s="10"/>
      <c r="I784" s="10"/>
      <c r="J784" s="10"/>
      <c r="K784" s="10"/>
      <c r="L784" s="10"/>
      <c r="M784" s="10"/>
    </row>
    <row r="785" spans="1:21">
      <c r="A785" s="10"/>
      <c r="B785" s="10"/>
      <c r="C785" s="10"/>
      <c r="D785" s="10"/>
      <c r="E785" s="10"/>
      <c r="F785" s="10"/>
      <c r="G785" s="10"/>
      <c r="H785" s="10"/>
      <c r="I785" s="10"/>
      <c r="J785" s="10"/>
      <c r="K785" s="10"/>
      <c r="L785" s="10"/>
      <c r="M785" s="10"/>
    </row>
    <row r="786" spans="1:21">
      <c r="A786" s="10"/>
      <c r="B786" s="10"/>
      <c r="C786" s="10"/>
      <c r="D786" s="10"/>
      <c r="E786" s="10"/>
      <c r="F786" s="10"/>
      <c r="G786" s="10"/>
      <c r="H786" s="10"/>
      <c r="I786" s="10"/>
      <c r="J786" s="10"/>
      <c r="K786" s="10"/>
      <c r="L786" s="10"/>
      <c r="M786" s="10"/>
    </row>
    <row r="787" spans="1:21">
      <c r="A787" s="10"/>
      <c r="B787" s="10"/>
      <c r="C787" s="10"/>
      <c r="D787" s="10"/>
      <c r="E787" s="10"/>
      <c r="F787" s="10"/>
      <c r="G787" s="10"/>
      <c r="H787" s="10"/>
      <c r="I787" s="10"/>
      <c r="J787" s="10"/>
      <c r="K787" s="10"/>
      <c r="L787" s="10"/>
      <c r="M787" s="10"/>
    </row>
    <row r="788" spans="1:21">
      <c r="A788" s="10"/>
      <c r="B788" s="10"/>
      <c r="C788" s="10"/>
      <c r="D788" s="10"/>
      <c r="E788" s="10"/>
      <c r="F788" s="10"/>
      <c r="G788" s="10"/>
      <c r="H788" s="10"/>
      <c r="I788" s="10"/>
      <c r="J788" s="10"/>
      <c r="K788" s="10"/>
      <c r="L788" s="10"/>
      <c r="M788" s="10"/>
    </row>
    <row r="789" spans="1:21">
      <c r="A789" s="10"/>
      <c r="B789" s="10"/>
      <c r="C789" s="10"/>
      <c r="D789" s="10"/>
      <c r="E789" s="10"/>
      <c r="F789" s="10"/>
      <c r="G789" s="10"/>
      <c r="H789" s="10"/>
      <c r="I789" s="10"/>
      <c r="J789" s="10"/>
      <c r="K789" s="10"/>
      <c r="L789" s="10"/>
      <c r="M789" s="10"/>
    </row>
    <row r="790" spans="1:21">
      <c r="A790" s="10"/>
      <c r="B790" s="10"/>
      <c r="C790" s="10"/>
      <c r="D790" s="10"/>
      <c r="E790" s="10"/>
      <c r="F790" s="10"/>
      <c r="G790" s="10"/>
      <c r="H790" s="10"/>
      <c r="I790" s="10"/>
      <c r="J790" s="10"/>
      <c r="K790" s="10"/>
      <c r="L790" s="10"/>
      <c r="M790" s="10"/>
    </row>
    <row r="791" spans="1:21">
      <c r="A791" s="10"/>
      <c r="B791" s="10"/>
      <c r="C791" s="10"/>
      <c r="D791" s="10"/>
      <c r="E791" s="10"/>
      <c r="F791" s="10"/>
      <c r="G791" s="10"/>
      <c r="H791" s="10"/>
      <c r="I791" s="10"/>
      <c r="J791" s="10"/>
      <c r="K791" s="10"/>
      <c r="L791" s="10"/>
      <c r="M791" s="10"/>
    </row>
    <row r="792" spans="1:21">
      <c r="A792" s="10"/>
      <c r="B792" s="10"/>
      <c r="C792" s="10"/>
      <c r="D792" s="10"/>
      <c r="E792" s="10"/>
      <c r="F792" s="10"/>
      <c r="G792" s="10"/>
      <c r="H792" s="10"/>
      <c r="I792" s="10"/>
      <c r="J792" s="10"/>
      <c r="K792" s="10"/>
      <c r="L792" s="10"/>
      <c r="M792" s="10"/>
      <c r="P792" s="10" t="e">
        <f>VLOOKUP(C792,Table_view_sorted!A$2:A$215,1,FALSE)</f>
        <v>#N/A</v>
      </c>
      <c r="Q792" t="e">
        <f>VLOOKUP(D792,AVY_FACT!A$2:A$153,1,FALSE)</f>
        <v>#N/A</v>
      </c>
      <c r="R792" t="str">
        <f>D792&amp;"  "&amp;G792&amp;","</f>
        <v xml:space="preserve">  ,</v>
      </c>
      <c r="T792" s="10"/>
      <c r="U792" s="10"/>
    </row>
    <row r="793" spans="1:21">
      <c r="A793" s="10"/>
      <c r="B793" s="10"/>
      <c r="C793" s="10"/>
      <c r="D793" s="10"/>
      <c r="E793" s="10"/>
      <c r="F793" s="10"/>
      <c r="G793" s="10"/>
      <c r="H793" s="10"/>
      <c r="I793" s="10"/>
      <c r="J793" s="10"/>
      <c r="K793" s="10"/>
      <c r="L793" s="10"/>
      <c r="M793" s="10"/>
      <c r="N793" s="10"/>
      <c r="O793" s="10"/>
      <c r="P793" s="10" t="e">
        <f>VLOOKUP(C793,Table_view_sorted!A$2:A$215,1,FALSE)</f>
        <v>#N/A</v>
      </c>
      <c r="Q793" t="e">
        <f>VLOOKUP(D793,AVY_FACT!A$2:A$153,1,FALSE)</f>
        <v>#N/A</v>
      </c>
      <c r="R793" t="str">
        <f>D793&amp;"  "&amp;G793&amp;","</f>
        <v xml:space="preserve">  ,</v>
      </c>
      <c r="T793" s="10"/>
      <c r="U793" s="10"/>
    </row>
    <row r="794" spans="1:21">
      <c r="A794" s="10"/>
      <c r="B794" s="10"/>
      <c r="C794" s="10"/>
      <c r="D794" s="10"/>
      <c r="E794" s="10"/>
      <c r="F794" s="10"/>
      <c r="G794" s="10"/>
      <c r="H794" s="10"/>
      <c r="I794" s="10"/>
      <c r="J794" s="10"/>
      <c r="K794" s="10"/>
      <c r="L794" s="10"/>
      <c r="M794" s="10"/>
    </row>
    <row r="795" spans="1:21">
      <c r="A795" s="10"/>
      <c r="B795" s="10"/>
      <c r="C795" s="10"/>
      <c r="D795" s="10"/>
      <c r="E795" s="10"/>
      <c r="F795" s="10"/>
      <c r="G795" s="10"/>
      <c r="H795" s="10"/>
      <c r="I795" s="10"/>
      <c r="J795" s="10"/>
      <c r="K795" s="10"/>
      <c r="L795" s="10"/>
      <c r="M795" s="10"/>
    </row>
    <row r="796" spans="1:21">
      <c r="A796" s="10"/>
      <c r="B796" s="10"/>
      <c r="C796" s="10"/>
      <c r="D796" s="10"/>
      <c r="E796" s="10"/>
      <c r="F796" s="10"/>
      <c r="G796" s="10"/>
      <c r="H796" s="10"/>
      <c r="I796" s="10"/>
      <c r="J796" s="10"/>
      <c r="K796" s="10"/>
      <c r="L796" s="10"/>
      <c r="M796" s="10"/>
      <c r="P796" s="10" t="e">
        <f>VLOOKUP(C796,Table_view_sorted!A$2:A$215,1,FALSE)</f>
        <v>#N/A</v>
      </c>
      <c r="Q796" t="e">
        <f>VLOOKUP(D796,AVY_FACT!A$2:A$153,1,FALSE)</f>
        <v>#N/A</v>
      </c>
      <c r="R796" t="str">
        <f>D796&amp;"  "&amp;G796&amp;","</f>
        <v xml:space="preserve">  ,</v>
      </c>
      <c r="T796" s="10"/>
      <c r="U796" s="10"/>
    </row>
    <row r="797" spans="1:21">
      <c r="A797" s="10"/>
      <c r="B797" s="10"/>
      <c r="C797" s="10"/>
      <c r="D797" s="10"/>
      <c r="E797" s="10"/>
      <c r="F797" s="10"/>
      <c r="G797" s="10"/>
      <c r="H797" s="10"/>
      <c r="I797" s="10"/>
      <c r="J797" s="10"/>
      <c r="K797" s="10"/>
      <c r="L797" s="10"/>
      <c r="M797" s="10"/>
    </row>
    <row r="798" spans="1:21">
      <c r="A798" s="10"/>
      <c r="B798" s="10"/>
      <c r="C798" s="10"/>
      <c r="D798" s="10"/>
      <c r="E798" s="10"/>
      <c r="F798" s="10"/>
      <c r="G798" s="10"/>
      <c r="H798" s="10"/>
      <c r="I798" s="10"/>
      <c r="J798" s="10"/>
      <c r="K798" s="10"/>
      <c r="L798" s="10"/>
      <c r="M798" s="10"/>
    </row>
    <row r="799" spans="1:21">
      <c r="A799" s="10"/>
      <c r="B799" s="10"/>
      <c r="C799" s="10"/>
      <c r="D799" s="10"/>
      <c r="E799" s="10"/>
      <c r="F799" s="10"/>
      <c r="G799" s="10"/>
      <c r="H799" s="10"/>
      <c r="I799" s="10"/>
      <c r="J799" s="10"/>
      <c r="K799" s="10"/>
      <c r="L799" s="10"/>
      <c r="M799" s="10"/>
    </row>
    <row r="800" spans="1:21">
      <c r="A800" s="10"/>
      <c r="B800" s="10"/>
      <c r="C800" s="10"/>
      <c r="D800" s="10"/>
      <c r="E800" s="10"/>
      <c r="F800" s="10"/>
      <c r="G800" s="10"/>
      <c r="H800" s="10"/>
      <c r="I800" s="10"/>
      <c r="J800" s="10"/>
      <c r="K800" s="10"/>
      <c r="L800" s="10"/>
      <c r="M800" s="10"/>
    </row>
    <row r="801" spans="1:13">
      <c r="A801" s="10"/>
      <c r="B801" s="10"/>
      <c r="C801" s="10"/>
      <c r="D801" s="10"/>
      <c r="E801" s="10"/>
      <c r="F801" s="10"/>
      <c r="G801" s="10"/>
      <c r="H801" s="10"/>
      <c r="I801" s="10"/>
      <c r="J801" s="10"/>
      <c r="K801" s="10"/>
      <c r="L801" s="10"/>
      <c r="M801" s="10"/>
    </row>
    <row r="802" spans="1:13">
      <c r="A802" s="10"/>
      <c r="B802" s="10"/>
      <c r="C802" s="10"/>
      <c r="D802" s="10"/>
      <c r="E802" s="10"/>
      <c r="F802" s="10"/>
      <c r="G802" s="10"/>
      <c r="H802" s="10"/>
      <c r="I802" s="10"/>
      <c r="J802" s="10"/>
      <c r="K802" s="10"/>
      <c r="L802" s="10"/>
      <c r="M802" s="10"/>
    </row>
    <row r="803" spans="1:13">
      <c r="A803" s="10"/>
      <c r="B803" s="10"/>
      <c r="C803" s="10"/>
      <c r="D803" s="10"/>
      <c r="E803" s="10"/>
      <c r="F803" s="10"/>
      <c r="G803" s="10"/>
      <c r="H803" s="10"/>
      <c r="I803" s="10"/>
      <c r="J803" s="10"/>
      <c r="K803" s="10"/>
      <c r="L803" s="10"/>
      <c r="M803" s="10"/>
    </row>
    <row r="804" spans="1:13">
      <c r="A804" s="10"/>
      <c r="B804" s="10"/>
      <c r="C804" s="10"/>
      <c r="D804" s="10"/>
      <c r="E804" s="10"/>
      <c r="F804" s="10"/>
      <c r="G804" s="10"/>
      <c r="H804" s="10"/>
      <c r="I804" s="10"/>
      <c r="J804" s="10"/>
      <c r="K804" s="10"/>
      <c r="L804" s="10"/>
      <c r="M804" s="10"/>
    </row>
    <row r="805" spans="1:13">
      <c r="A805" s="10"/>
      <c r="B805" s="10"/>
      <c r="C805" s="10"/>
      <c r="D805" s="10"/>
      <c r="E805" s="10"/>
      <c r="F805" s="10"/>
      <c r="G805" s="10"/>
      <c r="H805" s="10"/>
      <c r="I805" s="10"/>
      <c r="J805" s="10"/>
      <c r="K805" s="10"/>
      <c r="L805" s="10"/>
      <c r="M805" s="10"/>
    </row>
    <row r="806" spans="1:13">
      <c r="A806" s="10"/>
      <c r="B806" s="10"/>
      <c r="C806" s="10"/>
      <c r="D806" s="10"/>
      <c r="E806" s="10"/>
      <c r="F806" s="10"/>
      <c r="G806" s="10"/>
      <c r="H806" s="10"/>
      <c r="I806" s="10"/>
      <c r="J806" s="10"/>
      <c r="K806" s="10"/>
      <c r="L806" s="10"/>
      <c r="M806" s="10"/>
    </row>
    <row r="807" spans="1:13">
      <c r="A807" s="10"/>
      <c r="B807" s="10"/>
      <c r="C807" s="10"/>
      <c r="D807" s="10"/>
      <c r="E807" s="10"/>
      <c r="F807" s="10"/>
      <c r="G807" s="10"/>
      <c r="H807" s="10"/>
      <c r="I807" s="10"/>
      <c r="J807" s="10"/>
      <c r="K807" s="10"/>
      <c r="L807" s="10"/>
      <c r="M807" s="10"/>
    </row>
    <row r="808" spans="1:13">
      <c r="A808" s="10"/>
      <c r="B808" s="10"/>
      <c r="C808" s="10"/>
      <c r="D808" s="10"/>
      <c r="E808" s="10"/>
      <c r="F808" s="10"/>
      <c r="G808" s="10"/>
      <c r="H808" s="10"/>
      <c r="I808" s="10"/>
      <c r="J808" s="10"/>
      <c r="K808" s="10"/>
      <c r="L808" s="10"/>
      <c r="M808" s="10"/>
    </row>
    <row r="809" spans="1:13">
      <c r="A809" s="10"/>
      <c r="B809" s="10"/>
      <c r="C809" s="10"/>
      <c r="D809" s="10"/>
      <c r="E809" s="10"/>
      <c r="F809" s="10"/>
      <c r="G809" s="10"/>
      <c r="H809" s="10"/>
      <c r="I809" s="10"/>
      <c r="J809" s="10"/>
      <c r="K809" s="10"/>
      <c r="L809" s="10"/>
      <c r="M809" s="10"/>
    </row>
    <row r="810" spans="1:13">
      <c r="A810" s="10"/>
      <c r="B810" s="10"/>
      <c r="C810" s="10"/>
      <c r="D810" s="10"/>
      <c r="E810" s="10"/>
      <c r="F810" s="10"/>
      <c r="G810" s="10"/>
      <c r="H810" s="10"/>
      <c r="I810" s="10"/>
      <c r="J810" s="10"/>
      <c r="K810" s="10"/>
      <c r="L810" s="10"/>
      <c r="M810" s="10"/>
    </row>
    <row r="811" spans="1:13">
      <c r="A811" s="10"/>
      <c r="B811" s="10"/>
      <c r="C811" s="10"/>
      <c r="D811" s="10"/>
      <c r="E811" s="10"/>
      <c r="F811" s="10"/>
      <c r="G811" s="10"/>
      <c r="H811" s="10"/>
      <c r="I811" s="10"/>
      <c r="J811" s="10"/>
      <c r="K811" s="10"/>
      <c r="L811" s="10"/>
      <c r="M811" s="10"/>
    </row>
    <row r="812" spans="1:13">
      <c r="A812" s="10"/>
      <c r="B812" s="10"/>
      <c r="C812" s="10"/>
      <c r="D812" s="10"/>
      <c r="E812" s="10"/>
      <c r="F812" s="10"/>
      <c r="G812" s="10"/>
      <c r="H812" s="10"/>
      <c r="I812" s="10"/>
      <c r="J812" s="10"/>
      <c r="K812" s="10"/>
      <c r="L812" s="10"/>
      <c r="M812" s="10"/>
    </row>
    <row r="813" spans="1:13">
      <c r="A813" s="10"/>
      <c r="B813" s="10"/>
      <c r="C813" s="10"/>
      <c r="D813" s="10"/>
      <c r="E813" s="10"/>
      <c r="F813" s="10"/>
      <c r="G813" s="10"/>
      <c r="H813" s="10"/>
      <c r="I813" s="10"/>
      <c r="J813" s="10"/>
      <c r="K813" s="10"/>
      <c r="L813" s="10"/>
      <c r="M813" s="10"/>
    </row>
    <row r="814" spans="1:13">
      <c r="A814" s="10"/>
      <c r="B814" s="10"/>
      <c r="C814" s="10"/>
      <c r="D814" s="10"/>
      <c r="E814" s="10"/>
      <c r="F814" s="10"/>
      <c r="G814" s="10"/>
      <c r="H814" s="10"/>
      <c r="I814" s="10"/>
      <c r="J814" s="10"/>
      <c r="K814" s="10"/>
      <c r="L814" s="10"/>
      <c r="M814" s="10"/>
    </row>
    <row r="815" spans="1:13">
      <c r="A815" s="10"/>
      <c r="B815" s="10"/>
      <c r="C815" s="10"/>
      <c r="D815" s="10"/>
      <c r="E815" s="10"/>
      <c r="F815" s="10"/>
      <c r="G815" s="10"/>
      <c r="H815" s="10"/>
      <c r="I815" s="10"/>
      <c r="J815" s="10"/>
      <c r="K815" s="10"/>
      <c r="L815" s="10"/>
      <c r="M815" s="10"/>
    </row>
    <row r="816" spans="1:13">
      <c r="A816" s="10"/>
      <c r="B816" s="10"/>
      <c r="C816" s="10"/>
      <c r="D816" s="10"/>
      <c r="E816" s="10"/>
      <c r="F816" s="10"/>
      <c r="G816" s="10"/>
      <c r="H816" s="10"/>
      <c r="I816" s="10"/>
      <c r="J816" s="10"/>
      <c r="K816" s="10"/>
      <c r="L816" s="10"/>
      <c r="M816" s="10"/>
    </row>
    <row r="817" spans="1:21">
      <c r="A817" s="10"/>
      <c r="B817" s="10"/>
      <c r="C817" s="10"/>
      <c r="D817" s="10"/>
      <c r="E817" s="10"/>
      <c r="F817" s="10"/>
      <c r="G817" s="10"/>
      <c r="H817" s="10"/>
      <c r="I817" s="10"/>
      <c r="J817" s="10"/>
      <c r="K817" s="10"/>
      <c r="L817" s="10"/>
      <c r="M817" s="10"/>
    </row>
    <row r="818" spans="1:21">
      <c r="A818" s="10"/>
      <c r="B818" s="10"/>
      <c r="C818" s="10"/>
      <c r="D818" s="10"/>
      <c r="E818" s="10"/>
      <c r="F818" s="10"/>
      <c r="G818" s="10"/>
      <c r="H818" s="10"/>
      <c r="I818" s="10"/>
      <c r="J818" s="10"/>
      <c r="K818" s="10"/>
      <c r="L818" s="10"/>
      <c r="M818" s="10"/>
    </row>
    <row r="819" spans="1:21">
      <c r="A819" s="10"/>
      <c r="B819" s="10"/>
      <c r="C819" s="10"/>
      <c r="D819" s="10"/>
      <c r="E819" s="10"/>
      <c r="F819" s="10"/>
      <c r="G819" s="10"/>
      <c r="H819" s="10"/>
      <c r="I819" s="10"/>
      <c r="J819" s="10"/>
      <c r="K819" s="10"/>
      <c r="L819" s="10"/>
      <c r="M819" s="10"/>
    </row>
    <row r="820" spans="1:21">
      <c r="A820" s="10"/>
      <c r="B820" s="10"/>
      <c r="C820" s="10"/>
      <c r="D820" s="10"/>
      <c r="E820" s="10"/>
      <c r="F820" s="10"/>
      <c r="G820" s="10"/>
      <c r="H820" s="10"/>
      <c r="I820" s="10"/>
      <c r="J820" s="10"/>
      <c r="K820" s="10"/>
      <c r="L820" s="10"/>
      <c r="M820" s="10"/>
    </row>
    <row r="821" spans="1:21">
      <c r="A821" s="10"/>
      <c r="B821" s="10"/>
      <c r="C821" s="10"/>
      <c r="D821" s="10"/>
      <c r="E821" s="10"/>
      <c r="F821" s="10"/>
      <c r="G821" s="10"/>
      <c r="H821" s="10"/>
      <c r="I821" s="10"/>
      <c r="J821" s="10"/>
      <c r="K821" s="10"/>
      <c r="L821" s="10"/>
      <c r="M821" s="10"/>
    </row>
    <row r="822" spans="1:21">
      <c r="A822" s="10"/>
      <c r="B822" s="10"/>
      <c r="C822" s="10"/>
      <c r="D822" s="10"/>
      <c r="E822" s="10"/>
      <c r="F822" s="10"/>
      <c r="G822" s="10"/>
      <c r="H822" s="10"/>
      <c r="I822" s="10"/>
      <c r="J822" s="10"/>
      <c r="K822" s="10"/>
      <c r="L822" s="10"/>
      <c r="M822" s="10"/>
      <c r="P822" s="10" t="e">
        <f>VLOOKUP(C822,Table_view_sorted!A$2:A$215,1,FALSE)</f>
        <v>#N/A</v>
      </c>
      <c r="Q822" t="e">
        <f>VLOOKUP(D822,AVY_FACT!A$2:A$153,1,FALSE)</f>
        <v>#N/A</v>
      </c>
      <c r="R822" t="str">
        <f>D822&amp;"  "&amp;G822&amp;","</f>
        <v xml:space="preserve">  ,</v>
      </c>
      <c r="T822" s="10"/>
      <c r="U822" s="10"/>
    </row>
    <row r="823" spans="1:21">
      <c r="A823" s="10"/>
      <c r="B823" s="10"/>
      <c r="C823" s="10"/>
      <c r="D823" s="10"/>
      <c r="E823" s="10"/>
      <c r="F823" s="10"/>
      <c r="G823" s="10"/>
      <c r="H823" s="10"/>
      <c r="I823" s="10"/>
      <c r="J823" s="10"/>
      <c r="K823" s="10"/>
      <c r="L823" s="10"/>
      <c r="M823" s="10"/>
    </row>
    <row r="824" spans="1:21">
      <c r="A824" s="10"/>
      <c r="B824" s="10"/>
      <c r="C824" s="10"/>
      <c r="D824" s="10"/>
      <c r="E824" s="10"/>
      <c r="F824" s="10"/>
      <c r="G824" s="10"/>
      <c r="H824" s="10"/>
      <c r="I824" s="10"/>
      <c r="J824" s="10"/>
      <c r="K824" s="10"/>
      <c r="L824" s="10"/>
      <c r="M824" s="10"/>
      <c r="N824" s="10"/>
      <c r="O824" s="10"/>
      <c r="P824" s="10" t="e">
        <f>VLOOKUP(C824,Table_view_sorted!A$2:A$215,1,FALSE)</f>
        <v>#N/A</v>
      </c>
      <c r="Q824" t="e">
        <f>VLOOKUP(D824,AVY_FACT!A$2:A$153,1,FALSE)</f>
        <v>#N/A</v>
      </c>
      <c r="R824" t="str">
        <f>D824&amp;"  "&amp;G824&amp;","</f>
        <v xml:space="preserve">  ,</v>
      </c>
      <c r="T824" s="23" t="s">
        <v>2515</v>
      </c>
      <c r="U824" s="23" t="s">
        <v>1142</v>
      </c>
    </row>
    <row r="825" spans="1:21">
      <c r="A825" s="10"/>
      <c r="B825" s="10"/>
      <c r="C825" s="10"/>
      <c r="D825" s="10"/>
      <c r="E825" s="10"/>
      <c r="F825" s="10"/>
      <c r="G825" s="10"/>
      <c r="H825" s="10"/>
      <c r="I825" s="10"/>
      <c r="J825" s="10"/>
      <c r="K825" s="10"/>
      <c r="L825" s="10"/>
      <c r="M825" s="10"/>
    </row>
    <row r="826" spans="1:21">
      <c r="A826" s="10"/>
      <c r="B826" s="10"/>
      <c r="C826" s="10"/>
      <c r="D826" s="10"/>
      <c r="E826" s="10"/>
      <c r="F826" s="10"/>
      <c r="G826" s="10"/>
      <c r="H826" s="10"/>
      <c r="I826" s="10"/>
      <c r="J826" s="10"/>
      <c r="K826" s="10"/>
      <c r="L826" s="10"/>
      <c r="M826" s="10"/>
    </row>
    <row r="827" spans="1:21">
      <c r="A827" s="10"/>
      <c r="B827" s="10"/>
      <c r="C827" s="10"/>
      <c r="D827" s="10"/>
      <c r="E827" s="10"/>
      <c r="F827" s="10"/>
      <c r="G827" s="10"/>
      <c r="H827" s="10"/>
      <c r="I827" s="10"/>
      <c r="J827" s="10"/>
      <c r="K827" s="10"/>
      <c r="L827" s="10"/>
      <c r="M827" s="10"/>
      <c r="P827" s="10" t="e">
        <f>VLOOKUP(C827,Table_view_sorted!A$2:A$215,1,FALSE)</f>
        <v>#N/A</v>
      </c>
      <c r="Q827" t="e">
        <f>VLOOKUP(D827,AVY_FACT!A$2:A$153,1,FALSE)</f>
        <v>#N/A</v>
      </c>
      <c r="R827" t="str">
        <f>D827&amp;"  "&amp;G827&amp;","</f>
        <v xml:space="preserve">  ,</v>
      </c>
      <c r="T827" s="10"/>
      <c r="U827" s="10"/>
    </row>
    <row r="828" spans="1:21">
      <c r="A828" s="10"/>
      <c r="B828" s="10"/>
      <c r="C828" s="10"/>
      <c r="D828" s="10"/>
      <c r="E828" s="10"/>
      <c r="F828" s="10"/>
      <c r="G828" s="10"/>
      <c r="H828" s="10"/>
      <c r="I828" s="10"/>
      <c r="J828" s="10"/>
      <c r="K828" s="10"/>
      <c r="L828" s="10"/>
      <c r="M828" s="10"/>
      <c r="P828" s="10" t="e">
        <f>VLOOKUP(C828,Table_view_sorted!A$2:A$215,1,FALSE)</f>
        <v>#N/A</v>
      </c>
      <c r="Q828" t="e">
        <f>VLOOKUP(D828,AVY_FACT!A$2:A$153,1,FALSE)</f>
        <v>#N/A</v>
      </c>
      <c r="R828" t="str">
        <f>D828&amp;"  "&amp;G828&amp;","</f>
        <v xml:space="preserve">  ,</v>
      </c>
      <c r="T828" s="10"/>
      <c r="U828" s="10"/>
    </row>
    <row r="829" spans="1:21">
      <c r="A829" s="10"/>
      <c r="B829" s="10"/>
      <c r="C829" s="10"/>
      <c r="D829" s="10"/>
      <c r="E829" s="10"/>
      <c r="F829" s="10"/>
      <c r="G829" s="10"/>
      <c r="H829" s="10"/>
      <c r="I829" s="10"/>
      <c r="J829" s="10"/>
      <c r="K829" s="10"/>
      <c r="L829" s="10"/>
      <c r="M829" s="10"/>
      <c r="N829" s="10"/>
      <c r="O829" s="10"/>
      <c r="P829" s="10" t="e">
        <f>VLOOKUP(C829,Table_view_sorted!A$2:A$215,1,FALSE)</f>
        <v>#N/A</v>
      </c>
      <c r="Q829" t="e">
        <f>VLOOKUP(D829,AVY_FACT!A$2:A$153,1,FALSE)</f>
        <v>#N/A</v>
      </c>
      <c r="R829" t="str">
        <f>D829&amp;"  "&amp;G829&amp;","</f>
        <v xml:space="preserve">  ,</v>
      </c>
      <c r="T829" s="10"/>
      <c r="U829" s="10"/>
    </row>
    <row r="830" spans="1:21">
      <c r="A830" s="10"/>
      <c r="B830" s="10"/>
      <c r="C830" s="10"/>
      <c r="D830" s="10"/>
      <c r="E830" s="10"/>
      <c r="F830" s="10"/>
      <c r="G830" s="10"/>
      <c r="H830" s="10"/>
      <c r="I830" s="10"/>
      <c r="J830" s="10"/>
      <c r="K830" s="10"/>
      <c r="L830" s="10"/>
      <c r="M830" s="10"/>
    </row>
    <row r="831" spans="1:21">
      <c r="A831" s="10"/>
      <c r="B831" s="10"/>
      <c r="C831" s="10"/>
      <c r="D831" s="10"/>
      <c r="E831" s="10"/>
      <c r="F831" s="10"/>
      <c r="G831" s="10"/>
      <c r="H831" s="10"/>
      <c r="I831" s="10"/>
      <c r="J831" s="10"/>
      <c r="K831" s="10"/>
      <c r="L831" s="10"/>
      <c r="M831" s="10"/>
    </row>
    <row r="832" spans="1:21">
      <c r="A832" s="10"/>
      <c r="B832" s="10"/>
      <c r="C832" s="10"/>
      <c r="D832" s="10"/>
      <c r="E832" s="10"/>
      <c r="F832" s="10"/>
      <c r="G832" s="10"/>
      <c r="H832" s="10"/>
      <c r="I832" s="10"/>
      <c r="J832" s="10"/>
      <c r="K832" s="10"/>
      <c r="L832" s="10"/>
      <c r="M832" s="10"/>
    </row>
    <row r="833" spans="1:21">
      <c r="A833" s="10"/>
      <c r="B833" s="10"/>
      <c r="C833" s="10"/>
      <c r="D833" s="10"/>
      <c r="E833" s="10"/>
      <c r="F833" s="10"/>
      <c r="G833" s="10"/>
      <c r="H833" s="10"/>
      <c r="I833" s="10"/>
      <c r="J833" s="10"/>
      <c r="K833" s="10"/>
      <c r="L833" s="10"/>
      <c r="M833" s="10"/>
    </row>
    <row r="834" spans="1:21">
      <c r="A834" s="10"/>
      <c r="B834" s="10"/>
      <c r="C834" s="10"/>
      <c r="D834" s="10"/>
      <c r="E834" s="10"/>
      <c r="F834" s="10"/>
      <c r="G834" s="10"/>
      <c r="H834" s="10"/>
      <c r="I834" s="10"/>
      <c r="J834" s="10"/>
      <c r="K834" s="10"/>
      <c r="L834" s="10"/>
      <c r="M834" s="10"/>
    </row>
    <row r="835" spans="1:21">
      <c r="A835" s="10"/>
      <c r="B835" s="10"/>
      <c r="C835" s="10"/>
      <c r="D835" s="10"/>
      <c r="E835" s="10"/>
      <c r="F835" s="10"/>
      <c r="G835" s="10"/>
      <c r="H835" s="10"/>
      <c r="I835" s="10"/>
      <c r="J835" s="10"/>
      <c r="K835" s="10"/>
      <c r="L835" s="10"/>
      <c r="M835" s="10"/>
    </row>
    <row r="836" spans="1:21">
      <c r="A836" s="10"/>
      <c r="B836" s="10"/>
      <c r="C836" s="10"/>
      <c r="D836" s="10"/>
      <c r="E836" s="10"/>
      <c r="F836" s="10"/>
      <c r="G836" s="10"/>
      <c r="H836" s="10"/>
      <c r="I836" s="10"/>
      <c r="J836" s="10"/>
      <c r="K836" s="10"/>
      <c r="L836" s="10"/>
      <c r="M836" s="10"/>
    </row>
    <row r="837" spans="1:21">
      <c r="A837" s="10"/>
      <c r="B837" s="10"/>
      <c r="C837" s="10"/>
      <c r="D837" s="10"/>
      <c r="E837" s="10"/>
      <c r="F837" s="10"/>
      <c r="G837" s="10"/>
      <c r="H837" s="10"/>
      <c r="I837" s="10"/>
      <c r="J837" s="10"/>
      <c r="K837" s="10"/>
      <c r="L837" s="10"/>
      <c r="M837" s="10"/>
      <c r="P837" s="10" t="e">
        <f>VLOOKUP(C837,Table_view_sorted!A$2:A$215,1,FALSE)</f>
        <v>#N/A</v>
      </c>
      <c r="Q837" s="26" t="e">
        <f>VLOOKUP(D837,AVY_FACT!A$2:A$153,1,FALSE)</f>
        <v>#N/A</v>
      </c>
      <c r="R837" s="26" t="str">
        <f>D837&amp;"  "&amp;G837&amp;","</f>
        <v xml:space="preserve">  ,</v>
      </c>
      <c r="S837" s="26"/>
      <c r="T837" s="23" t="s">
        <v>2460</v>
      </c>
      <c r="U837" s="23" t="s">
        <v>1142</v>
      </c>
    </row>
    <row r="838" spans="1:21">
      <c r="A838" s="10"/>
      <c r="B838" s="10"/>
      <c r="C838" s="10"/>
      <c r="D838" s="10"/>
      <c r="E838" s="10"/>
      <c r="F838" s="10"/>
      <c r="G838" s="10"/>
      <c r="H838" s="10"/>
      <c r="I838" s="10"/>
      <c r="J838" s="10"/>
      <c r="K838" s="10"/>
      <c r="L838" s="10"/>
      <c r="M838" s="10"/>
    </row>
    <row r="839" spans="1:21">
      <c r="A839" s="10"/>
      <c r="B839" s="10"/>
      <c r="C839" s="10"/>
      <c r="D839" s="10"/>
      <c r="E839" s="10"/>
      <c r="F839" s="10"/>
      <c r="G839" s="10"/>
      <c r="H839" s="10"/>
      <c r="I839" s="10"/>
      <c r="J839" s="10"/>
      <c r="K839" s="10"/>
      <c r="L839" s="10"/>
      <c r="M839" s="10"/>
      <c r="P839" s="10" t="e">
        <f>VLOOKUP(C839,Table_view_sorted!A$2:A$215,1,FALSE)</f>
        <v>#N/A</v>
      </c>
      <c r="Q839" t="e">
        <f>VLOOKUP(D839,AVY_FACT!A$2:A$153,1,FALSE)</f>
        <v>#N/A</v>
      </c>
      <c r="R839" t="str">
        <f>D839&amp;"  "&amp;G839&amp;","</f>
        <v xml:space="preserve">  ,</v>
      </c>
      <c r="T839" s="10"/>
      <c r="U839" s="10"/>
    </row>
    <row r="840" spans="1:21">
      <c r="A840" s="10"/>
      <c r="B840" s="10"/>
      <c r="C840" s="10"/>
      <c r="D840" s="10"/>
      <c r="E840" s="10"/>
      <c r="F840" s="10"/>
      <c r="G840" s="10"/>
      <c r="H840" s="10"/>
      <c r="I840" s="10"/>
      <c r="J840" s="10"/>
      <c r="K840" s="10"/>
      <c r="L840" s="10"/>
      <c r="M840" s="10"/>
    </row>
    <row r="841" spans="1:21">
      <c r="A841" s="10"/>
      <c r="B841" s="10"/>
      <c r="C841" s="10"/>
      <c r="D841" s="10"/>
      <c r="E841" s="10"/>
      <c r="F841" s="10"/>
      <c r="G841" s="10"/>
      <c r="H841" s="10"/>
      <c r="I841" s="10"/>
      <c r="J841" s="10"/>
      <c r="K841" s="10"/>
      <c r="L841" s="10"/>
      <c r="M841" s="10"/>
    </row>
    <row r="842" spans="1:21">
      <c r="A842" s="10"/>
      <c r="B842" s="10"/>
      <c r="C842" s="10"/>
      <c r="D842" s="10"/>
      <c r="E842" s="10"/>
      <c r="F842" s="10"/>
      <c r="G842" s="10"/>
      <c r="H842" s="10"/>
      <c r="I842" s="10"/>
      <c r="J842" s="10"/>
      <c r="K842" s="10"/>
      <c r="L842" s="10"/>
      <c r="M842" s="10"/>
    </row>
    <row r="843" spans="1:21">
      <c r="A843" s="10"/>
      <c r="B843" s="10"/>
      <c r="C843" s="10"/>
      <c r="D843" s="10"/>
      <c r="E843" s="10"/>
      <c r="F843" s="10"/>
      <c r="G843" s="10"/>
      <c r="H843" s="10"/>
      <c r="I843" s="10"/>
      <c r="J843" s="10"/>
      <c r="K843" s="10"/>
      <c r="L843" s="10"/>
      <c r="M843" s="10"/>
    </row>
    <row r="844" spans="1:21">
      <c r="A844" s="10"/>
      <c r="B844" s="10"/>
      <c r="C844" s="10"/>
      <c r="D844" s="10"/>
      <c r="E844" s="10"/>
      <c r="F844" s="10"/>
      <c r="G844" s="10"/>
      <c r="H844" s="10"/>
      <c r="I844" s="10"/>
      <c r="J844" s="10"/>
      <c r="K844" s="10"/>
      <c r="L844" s="10"/>
      <c r="M844" s="10"/>
    </row>
    <row r="845" spans="1:21">
      <c r="A845" s="10"/>
      <c r="B845" s="10"/>
      <c r="C845" s="10"/>
      <c r="D845" s="10"/>
      <c r="E845" s="10"/>
      <c r="F845" s="10"/>
      <c r="G845" s="10"/>
      <c r="H845" s="10"/>
      <c r="I845" s="10"/>
      <c r="J845" s="10"/>
      <c r="K845" s="10"/>
      <c r="L845" s="10"/>
      <c r="M845" s="10"/>
    </row>
    <row r="846" spans="1:21">
      <c r="A846" s="10"/>
      <c r="B846" s="10"/>
      <c r="C846" s="10"/>
      <c r="D846" s="10"/>
      <c r="E846" s="10"/>
      <c r="F846" s="10"/>
      <c r="G846" s="10"/>
      <c r="H846" s="10"/>
      <c r="I846" s="10"/>
      <c r="J846" s="10"/>
      <c r="K846" s="10"/>
      <c r="L846" s="10"/>
      <c r="M846" s="10"/>
      <c r="P846" s="10" t="e">
        <f>VLOOKUP(C846,Table_view_sorted!A$2:A$215,1,FALSE)</f>
        <v>#N/A</v>
      </c>
      <c r="Q846" t="e">
        <f>VLOOKUP(D846,AVY_FACT!A$2:A$153,1,FALSE)</f>
        <v>#N/A</v>
      </c>
      <c r="R846" t="str">
        <f>D846&amp;"  "&amp;G846&amp;","</f>
        <v xml:space="preserve">  ,</v>
      </c>
      <c r="T846" s="10"/>
      <c r="U846" s="10"/>
    </row>
    <row r="847" spans="1:21">
      <c r="A847" s="10"/>
      <c r="B847" s="10"/>
      <c r="C847" s="10"/>
      <c r="D847" s="10"/>
      <c r="E847" s="10"/>
      <c r="F847" s="10"/>
      <c r="G847" s="10"/>
      <c r="H847" s="10"/>
      <c r="I847" s="10"/>
      <c r="J847" s="10"/>
      <c r="K847" s="10"/>
      <c r="L847" s="10"/>
      <c r="M847" s="10"/>
    </row>
    <row r="848" spans="1:21">
      <c r="A848" s="10"/>
      <c r="B848" s="10"/>
      <c r="C848" s="10"/>
      <c r="D848" s="10"/>
      <c r="E848" s="10"/>
      <c r="F848" s="10"/>
      <c r="G848" s="10"/>
      <c r="H848" s="10"/>
      <c r="I848" s="10"/>
      <c r="J848" s="10"/>
      <c r="K848" s="10"/>
      <c r="L848" s="10"/>
      <c r="M848" s="10"/>
    </row>
    <row r="849" spans="1:21">
      <c r="A849" s="10"/>
      <c r="B849" s="10"/>
      <c r="C849" s="10"/>
      <c r="D849" s="10"/>
      <c r="E849" s="10"/>
      <c r="F849" s="10"/>
      <c r="G849" s="10"/>
      <c r="H849" s="10"/>
      <c r="I849" s="10"/>
      <c r="J849" s="10"/>
      <c r="K849" s="10"/>
      <c r="L849" s="10"/>
      <c r="M849" s="10"/>
    </row>
    <row r="850" spans="1:21">
      <c r="A850" s="10"/>
      <c r="B850" s="10"/>
      <c r="C850" s="10"/>
      <c r="D850" s="10"/>
      <c r="E850" s="10"/>
      <c r="F850" s="10"/>
      <c r="G850" s="10"/>
      <c r="H850" s="10"/>
      <c r="I850" s="10"/>
      <c r="J850" s="10"/>
      <c r="K850" s="10"/>
      <c r="L850" s="10"/>
      <c r="M850" s="10"/>
    </row>
    <row r="851" spans="1:21">
      <c r="A851" s="10"/>
      <c r="B851" s="10"/>
      <c r="C851" s="10"/>
      <c r="D851" s="10"/>
      <c r="E851" s="10"/>
      <c r="F851" s="10"/>
      <c r="G851" s="10"/>
      <c r="H851" s="10"/>
      <c r="I851" s="10"/>
      <c r="J851" s="10"/>
      <c r="K851" s="10"/>
      <c r="L851" s="10"/>
      <c r="M851" s="10"/>
    </row>
    <row r="852" spans="1:21">
      <c r="A852" s="10"/>
      <c r="B852" s="10"/>
      <c r="C852" s="10"/>
      <c r="D852" s="10"/>
      <c r="E852" s="10"/>
      <c r="F852" s="10"/>
      <c r="G852" s="10"/>
      <c r="H852" s="10"/>
      <c r="I852" s="10"/>
      <c r="J852" s="10"/>
      <c r="K852" s="10"/>
      <c r="L852" s="10"/>
      <c r="M852" s="10"/>
    </row>
    <row r="853" spans="1:21">
      <c r="A853" s="10"/>
      <c r="B853" s="10"/>
      <c r="C853" s="10"/>
      <c r="D853" s="10"/>
      <c r="E853" s="10"/>
      <c r="F853" s="10"/>
      <c r="G853" s="10"/>
      <c r="H853" s="10"/>
      <c r="I853" s="10"/>
      <c r="J853" s="10"/>
      <c r="K853" s="10"/>
      <c r="L853" s="10"/>
      <c r="M853" s="10"/>
    </row>
    <row r="854" spans="1:21">
      <c r="A854" s="10"/>
      <c r="B854" s="10"/>
      <c r="C854" s="10"/>
      <c r="D854" s="10"/>
      <c r="E854" s="10"/>
      <c r="F854" s="10"/>
      <c r="G854" s="10"/>
      <c r="H854" s="10"/>
      <c r="I854" s="10"/>
      <c r="J854" s="10"/>
      <c r="K854" s="10"/>
      <c r="L854" s="10"/>
      <c r="M854" s="10"/>
    </row>
    <row r="855" spans="1:21">
      <c r="A855" s="10"/>
      <c r="B855" s="10"/>
      <c r="C855" s="10"/>
      <c r="D855" s="10"/>
      <c r="E855" s="10"/>
      <c r="F855" s="10"/>
      <c r="G855" s="10"/>
      <c r="H855" s="10"/>
      <c r="I855" s="10"/>
      <c r="J855" s="10"/>
      <c r="K855" s="10"/>
      <c r="L855" s="10"/>
      <c r="M855" s="10"/>
    </row>
    <row r="856" spans="1:21">
      <c r="A856" s="10"/>
      <c r="B856" s="10"/>
      <c r="C856" s="10"/>
      <c r="D856" s="10"/>
      <c r="E856" s="10"/>
      <c r="F856" s="10"/>
      <c r="G856" s="10"/>
      <c r="H856" s="10"/>
      <c r="I856" s="10"/>
      <c r="J856" s="10"/>
      <c r="K856" s="10"/>
      <c r="L856" s="10"/>
      <c r="M856" s="10"/>
    </row>
    <row r="857" spans="1:21">
      <c r="A857" s="10"/>
      <c r="B857" s="10"/>
      <c r="C857" s="10"/>
      <c r="D857" s="10"/>
      <c r="E857" s="10"/>
      <c r="F857" s="10"/>
      <c r="G857" s="10"/>
      <c r="H857" s="10"/>
      <c r="I857" s="10"/>
      <c r="J857" s="10"/>
      <c r="K857" s="10"/>
      <c r="L857" s="10"/>
      <c r="M857" s="10"/>
      <c r="N857" s="10"/>
      <c r="O857" s="10"/>
      <c r="P857" s="10" t="e">
        <f>VLOOKUP(C857,Table_view_sorted!A$2:A$215,1,FALSE)</f>
        <v>#N/A</v>
      </c>
      <c r="Q857" t="e">
        <f>VLOOKUP(D857,AVY_FACT!A$2:A$153,1,FALSE)</f>
        <v>#N/A</v>
      </c>
      <c r="R857" t="str">
        <f>D857&amp;"  "&amp;G857&amp;","</f>
        <v xml:space="preserve">  ,</v>
      </c>
      <c r="T857" s="23" t="s">
        <v>2535</v>
      </c>
      <c r="U857" s="23" t="s">
        <v>1142</v>
      </c>
    </row>
    <row r="858" spans="1:21">
      <c r="A858" s="10"/>
      <c r="B858" s="10"/>
      <c r="C858" s="10"/>
      <c r="D858" s="10"/>
      <c r="E858" s="10"/>
      <c r="F858" s="10"/>
      <c r="G858" s="10"/>
      <c r="H858" s="10"/>
      <c r="I858" s="10"/>
      <c r="J858" s="10"/>
      <c r="K858" s="10"/>
      <c r="L858" s="10"/>
      <c r="M858" s="10"/>
      <c r="P858" s="10" t="e">
        <f>VLOOKUP(C858,Table_view_sorted!A$2:A$215,1,FALSE)</f>
        <v>#N/A</v>
      </c>
      <c r="Q858" t="e">
        <f>VLOOKUP(D858,AVY_FACT!A$2:A$153,1,FALSE)</f>
        <v>#N/A</v>
      </c>
      <c r="R858" t="str">
        <f>D858&amp;"  "&amp;G858&amp;","</f>
        <v xml:space="preserve">  ,</v>
      </c>
      <c r="T858" s="10"/>
      <c r="U858" s="10"/>
    </row>
    <row r="859" spans="1:21">
      <c r="A859" s="10"/>
      <c r="B859" s="10"/>
      <c r="C859" s="10"/>
      <c r="D859" s="10"/>
      <c r="E859" s="10"/>
      <c r="F859" s="10"/>
      <c r="G859" s="10"/>
      <c r="H859" s="10"/>
      <c r="I859" s="10"/>
      <c r="J859" s="10"/>
      <c r="K859" s="10"/>
      <c r="L859" s="10"/>
      <c r="M859" s="10"/>
    </row>
    <row r="860" spans="1:21">
      <c r="A860" s="10"/>
      <c r="B860" s="10"/>
      <c r="C860" s="10"/>
      <c r="D860" s="10"/>
      <c r="E860" s="10"/>
      <c r="F860" s="10"/>
      <c r="G860" s="10"/>
      <c r="H860" s="10"/>
      <c r="I860" s="10"/>
      <c r="J860" s="10"/>
      <c r="K860" s="10"/>
      <c r="L860" s="10"/>
      <c r="M860" s="10"/>
    </row>
    <row r="861" spans="1:21">
      <c r="A861" s="10"/>
      <c r="B861" s="10"/>
      <c r="C861" s="10"/>
      <c r="D861" s="10"/>
      <c r="E861" s="10"/>
      <c r="F861" s="10"/>
      <c r="G861" s="10"/>
      <c r="H861" s="10"/>
      <c r="I861" s="10"/>
      <c r="J861" s="10"/>
      <c r="K861" s="10"/>
      <c r="L861" s="10"/>
      <c r="M861" s="10"/>
    </row>
    <row r="862" spans="1:21">
      <c r="A862" s="10"/>
      <c r="B862" s="10"/>
      <c r="C862" s="10"/>
      <c r="D862" s="10"/>
      <c r="E862" s="10"/>
      <c r="F862" s="10"/>
      <c r="G862" s="10"/>
      <c r="H862" s="10"/>
      <c r="I862" s="10"/>
      <c r="J862" s="10"/>
      <c r="K862" s="10"/>
      <c r="L862" s="10"/>
      <c r="M862" s="10"/>
    </row>
    <row r="863" spans="1:21">
      <c r="A863" s="10"/>
      <c r="B863" s="10"/>
      <c r="C863" s="10"/>
      <c r="D863" s="10"/>
      <c r="E863" s="10"/>
      <c r="F863" s="10"/>
      <c r="G863" s="10"/>
      <c r="H863" s="10"/>
      <c r="I863" s="10"/>
      <c r="J863" s="10"/>
      <c r="K863" s="10"/>
      <c r="L863" s="10"/>
      <c r="M863" s="10"/>
    </row>
    <row r="864" spans="1:21">
      <c r="A864" s="10"/>
      <c r="B864" s="10"/>
      <c r="C864" s="10"/>
      <c r="D864" s="10"/>
      <c r="E864" s="10"/>
      <c r="F864" s="10"/>
      <c r="G864" s="10"/>
      <c r="H864" s="10"/>
      <c r="I864" s="10"/>
      <c r="J864" s="10"/>
      <c r="K864" s="10"/>
      <c r="L864" s="10"/>
      <c r="M864" s="10"/>
    </row>
    <row r="865" spans="1:21">
      <c r="A865" s="10"/>
      <c r="B865" s="10"/>
      <c r="C865" s="10"/>
      <c r="D865" s="10"/>
      <c r="E865" s="10"/>
      <c r="F865" s="10"/>
      <c r="G865" s="10"/>
      <c r="H865" s="10"/>
      <c r="I865" s="10"/>
      <c r="J865" s="10"/>
      <c r="K865" s="10"/>
      <c r="L865" s="10"/>
      <c r="M865" s="10"/>
    </row>
    <row r="866" spans="1:21">
      <c r="A866" s="10"/>
      <c r="B866" s="10"/>
      <c r="C866" s="10"/>
      <c r="D866" s="10"/>
      <c r="E866" s="10"/>
      <c r="F866" s="10"/>
      <c r="G866" s="10"/>
      <c r="H866" s="10"/>
      <c r="I866" s="10"/>
      <c r="J866" s="10"/>
      <c r="K866" s="10"/>
      <c r="L866" s="10"/>
      <c r="M866" s="10"/>
    </row>
    <row r="867" spans="1:21">
      <c r="A867" s="10"/>
      <c r="B867" s="10"/>
      <c r="C867" s="10"/>
      <c r="D867" s="10"/>
      <c r="E867" s="10"/>
      <c r="F867" s="10"/>
      <c r="G867" s="10"/>
      <c r="H867" s="10"/>
      <c r="I867" s="10"/>
      <c r="J867" s="10"/>
      <c r="K867" s="10"/>
      <c r="L867" s="10"/>
      <c r="M867" s="10"/>
    </row>
    <row r="868" spans="1:21">
      <c r="A868" s="10"/>
      <c r="B868" s="10"/>
      <c r="C868" s="10"/>
      <c r="D868" s="10"/>
      <c r="E868" s="10"/>
      <c r="F868" s="10"/>
      <c r="G868" s="10"/>
      <c r="H868" s="10"/>
      <c r="I868" s="10"/>
      <c r="J868" s="10"/>
      <c r="K868" s="10"/>
      <c r="L868" s="10"/>
      <c r="M868" s="10"/>
    </row>
    <row r="869" spans="1:21">
      <c r="A869" s="10"/>
      <c r="B869" s="10"/>
      <c r="C869" s="10"/>
      <c r="D869" s="10"/>
      <c r="E869" s="10"/>
      <c r="F869" s="10"/>
      <c r="G869" s="10"/>
      <c r="H869" s="10"/>
      <c r="I869" s="10"/>
      <c r="J869" s="10"/>
      <c r="K869" s="10"/>
      <c r="L869" s="10"/>
      <c r="M869" s="10"/>
    </row>
    <row r="870" spans="1:21">
      <c r="A870" s="10"/>
      <c r="B870" s="10"/>
      <c r="C870" s="10"/>
      <c r="D870" s="10"/>
      <c r="E870" s="10"/>
      <c r="F870" s="10"/>
      <c r="G870" s="10"/>
      <c r="H870" s="10"/>
      <c r="I870" s="10"/>
      <c r="J870" s="10"/>
      <c r="K870" s="10"/>
      <c r="L870" s="10"/>
      <c r="M870" s="10"/>
    </row>
    <row r="871" spans="1:21">
      <c r="A871" s="10"/>
      <c r="B871" s="10"/>
      <c r="C871" s="10"/>
      <c r="D871" s="10"/>
      <c r="E871" s="10"/>
      <c r="F871" s="10"/>
      <c r="G871" s="10"/>
      <c r="H871" s="10"/>
      <c r="I871" s="10"/>
      <c r="J871" s="10"/>
      <c r="K871" s="10"/>
      <c r="L871" s="10"/>
      <c r="M871" s="10"/>
    </row>
    <row r="872" spans="1:21">
      <c r="A872" s="10"/>
      <c r="B872" s="10"/>
      <c r="C872" s="10"/>
      <c r="D872" s="10"/>
      <c r="E872" s="10"/>
      <c r="F872" s="10"/>
      <c r="G872" s="10"/>
      <c r="H872" s="10"/>
      <c r="I872" s="10"/>
      <c r="J872" s="10"/>
      <c r="K872" s="10"/>
      <c r="L872" s="10"/>
      <c r="M872" s="10"/>
    </row>
    <row r="873" spans="1:21">
      <c r="A873" s="10"/>
      <c r="B873" s="10"/>
      <c r="C873" s="10"/>
      <c r="D873" s="10"/>
      <c r="E873" s="10"/>
      <c r="F873" s="10"/>
      <c r="G873" s="10"/>
      <c r="H873" s="10"/>
      <c r="I873" s="10"/>
      <c r="J873" s="10"/>
      <c r="K873" s="10"/>
      <c r="L873" s="10"/>
      <c r="M873" s="10"/>
    </row>
    <row r="874" spans="1:21">
      <c r="A874" s="10"/>
      <c r="B874" s="10"/>
      <c r="C874" s="10"/>
      <c r="D874" s="10"/>
      <c r="E874" s="10"/>
      <c r="F874" s="10"/>
      <c r="G874" s="10"/>
      <c r="H874" s="10"/>
      <c r="I874" s="10"/>
      <c r="J874" s="10"/>
      <c r="K874" s="10"/>
      <c r="L874" s="10"/>
      <c r="M874" s="10"/>
    </row>
    <row r="875" spans="1:21">
      <c r="A875" s="10"/>
      <c r="B875" s="10"/>
      <c r="C875" s="10"/>
      <c r="D875" s="10"/>
      <c r="E875" s="10"/>
      <c r="F875" s="10"/>
      <c r="G875" s="10"/>
      <c r="H875" s="10"/>
      <c r="I875" s="10"/>
      <c r="J875" s="10"/>
      <c r="K875" s="10"/>
      <c r="L875" s="10"/>
      <c r="M875" s="10"/>
    </row>
    <row r="876" spans="1:21">
      <c r="A876" s="10"/>
      <c r="B876" s="10"/>
      <c r="C876" s="10"/>
      <c r="D876" s="10"/>
      <c r="E876" s="10"/>
      <c r="F876" s="10"/>
      <c r="G876" s="10"/>
      <c r="H876" s="10"/>
      <c r="I876" s="10"/>
      <c r="J876" s="10"/>
      <c r="K876" s="10"/>
      <c r="L876" s="10"/>
      <c r="M876" s="10"/>
    </row>
    <row r="877" spans="1:21">
      <c r="A877" s="10"/>
      <c r="B877" s="10"/>
      <c r="C877" s="10"/>
      <c r="D877" s="10"/>
      <c r="E877" s="10"/>
      <c r="F877" s="10"/>
      <c r="G877" s="10"/>
      <c r="H877" s="10"/>
      <c r="I877" s="10"/>
      <c r="J877" s="10"/>
      <c r="K877" s="10"/>
      <c r="L877" s="10"/>
      <c r="M877" s="10"/>
    </row>
    <row r="878" spans="1:21">
      <c r="A878" s="10"/>
      <c r="B878" s="10"/>
      <c r="C878" s="10"/>
      <c r="D878" s="10"/>
      <c r="E878" s="10"/>
      <c r="F878" s="10"/>
      <c r="G878" s="10"/>
      <c r="H878" s="10"/>
      <c r="I878" s="10"/>
      <c r="J878" s="10"/>
      <c r="K878" s="10"/>
      <c r="L878" s="10"/>
      <c r="M878" s="10"/>
    </row>
    <row r="879" spans="1:21">
      <c r="A879" s="10"/>
      <c r="B879" s="10"/>
      <c r="C879" s="10"/>
      <c r="D879" s="10"/>
      <c r="E879" s="10"/>
      <c r="F879" s="10"/>
      <c r="G879" s="10"/>
      <c r="H879" s="10"/>
      <c r="I879" s="10"/>
      <c r="J879" s="10"/>
      <c r="K879" s="10"/>
      <c r="L879" s="10"/>
      <c r="M879" s="10"/>
      <c r="P879" s="10" t="e">
        <f>VLOOKUP(C879,Table_view_sorted!A$2:A$215,1,FALSE)</f>
        <v>#N/A</v>
      </c>
      <c r="Q879" t="e">
        <f>VLOOKUP(D879,AVY_FACT!A$2:A$153,1,FALSE)</f>
        <v>#N/A</v>
      </c>
      <c r="R879" t="str">
        <f>D879&amp;"  "&amp;G879&amp;","</f>
        <v xml:space="preserve">  ,</v>
      </c>
      <c r="T879" s="10"/>
      <c r="U879" s="10"/>
    </row>
    <row r="880" spans="1:21">
      <c r="A880" s="10"/>
      <c r="B880" s="10"/>
      <c r="C880" s="10"/>
      <c r="D880" s="10"/>
      <c r="E880" s="10"/>
      <c r="F880" s="10"/>
      <c r="G880" s="10"/>
      <c r="H880" s="10"/>
      <c r="I880" s="10"/>
      <c r="J880" s="10"/>
      <c r="K880" s="10"/>
      <c r="L880" s="10"/>
      <c r="M880" s="10"/>
    </row>
    <row r="881" spans="1:21">
      <c r="A881" s="10"/>
      <c r="B881" s="10"/>
      <c r="C881" s="10"/>
      <c r="D881" s="10"/>
      <c r="E881" s="10"/>
      <c r="F881" s="10"/>
      <c r="G881" s="10"/>
      <c r="H881" s="10"/>
      <c r="I881" s="10"/>
      <c r="J881" s="10"/>
      <c r="K881" s="10"/>
      <c r="L881" s="10"/>
      <c r="M881" s="10"/>
      <c r="N881" s="10"/>
      <c r="O881" s="10"/>
      <c r="P881" s="10" t="e">
        <f>VLOOKUP(C881,Table_view_sorted!A$2:A$215,1,FALSE)</f>
        <v>#N/A</v>
      </c>
      <c r="Q881" t="e">
        <f>VLOOKUP(D881,AVY_FACT!A$2:A$153,1,FALSE)</f>
        <v>#N/A</v>
      </c>
      <c r="R881" t="str">
        <f>D881&amp;"  "&amp;G881&amp;","</f>
        <v xml:space="preserve">  ,</v>
      </c>
      <c r="T881" s="10"/>
      <c r="U881" s="10"/>
    </row>
    <row r="882" spans="1:21">
      <c r="A882" s="10"/>
      <c r="B882" s="10"/>
      <c r="C882" s="10"/>
      <c r="D882" s="10"/>
      <c r="E882" s="10"/>
      <c r="F882" s="10"/>
      <c r="G882" s="10"/>
      <c r="H882" s="10"/>
      <c r="I882" s="10"/>
      <c r="J882" s="10"/>
      <c r="K882" s="10"/>
      <c r="L882" s="10"/>
      <c r="M882" s="10"/>
      <c r="P882" s="10" t="e">
        <f>VLOOKUP(C882,Table_view_sorted!A$2:A$215,1,FALSE)</f>
        <v>#N/A</v>
      </c>
      <c r="Q882" t="e">
        <f>VLOOKUP(D882,AVY_FACT!A$2:A$153,1,FALSE)</f>
        <v>#N/A</v>
      </c>
      <c r="R882" t="str">
        <f>D882&amp;"  "&amp;G882&amp;","</f>
        <v xml:space="preserve">  ,</v>
      </c>
      <c r="T882" s="10"/>
      <c r="U882" s="10"/>
    </row>
    <row r="883" spans="1:21">
      <c r="A883" s="10"/>
      <c r="B883" s="10"/>
      <c r="C883" s="10"/>
      <c r="D883" s="10"/>
      <c r="E883" s="10"/>
      <c r="F883" s="10"/>
      <c r="G883" s="10"/>
      <c r="H883" s="10"/>
      <c r="I883" s="10"/>
      <c r="J883" s="10"/>
      <c r="K883" s="10"/>
      <c r="L883" s="10"/>
      <c r="M883" s="10"/>
      <c r="P883" s="10" t="e">
        <f>VLOOKUP(C883,Table_view_sorted!A$2:A$215,1,FALSE)</f>
        <v>#N/A</v>
      </c>
      <c r="Q883" t="e">
        <f>VLOOKUP(D883,AVY_FACT!A$2:A$153,1,FALSE)</f>
        <v>#N/A</v>
      </c>
      <c r="R883" t="str">
        <f>D883&amp;"  "&amp;G883&amp;","</f>
        <v xml:space="preserve">  ,</v>
      </c>
      <c r="T883" s="10"/>
      <c r="U883" s="10"/>
    </row>
    <row r="884" spans="1:21">
      <c r="A884" s="10"/>
      <c r="B884" s="10"/>
      <c r="C884" s="10"/>
      <c r="D884" s="10"/>
      <c r="E884" s="10"/>
      <c r="F884" s="10"/>
      <c r="G884" s="10"/>
      <c r="H884" s="10"/>
      <c r="I884" s="10"/>
      <c r="J884" s="10"/>
      <c r="K884" s="10"/>
      <c r="L884" s="10"/>
      <c r="M884" s="10"/>
      <c r="P884" s="10" t="e">
        <f>VLOOKUP(C884,Table_view_sorted!A$2:A$215,1,FALSE)</f>
        <v>#N/A</v>
      </c>
      <c r="Q884" t="e">
        <f>VLOOKUP(D884,AVY_FACT!A$2:A$153,1,FALSE)</f>
        <v>#N/A</v>
      </c>
      <c r="R884" t="str">
        <f>D884&amp;"  "&amp;G884&amp;","</f>
        <v xml:space="preserve">  ,</v>
      </c>
      <c r="T884" s="10"/>
      <c r="U884" s="10"/>
    </row>
    <row r="885" spans="1:21">
      <c r="A885" s="10"/>
      <c r="B885" s="10"/>
      <c r="C885" s="10"/>
      <c r="D885" s="10"/>
      <c r="E885" s="10"/>
      <c r="F885" s="10"/>
      <c r="G885" s="10"/>
      <c r="H885" s="10"/>
      <c r="I885" s="10"/>
      <c r="J885" s="10"/>
      <c r="K885" s="10"/>
      <c r="L885" s="10"/>
      <c r="M885" s="10"/>
    </row>
    <row r="886" spans="1:21">
      <c r="A886" s="10"/>
      <c r="B886" s="10"/>
      <c r="C886" s="10"/>
      <c r="D886" s="10"/>
      <c r="E886" s="10"/>
      <c r="F886" s="10"/>
      <c r="G886" s="10"/>
      <c r="H886" s="10"/>
      <c r="I886" s="10"/>
      <c r="J886" s="10"/>
      <c r="K886" s="10"/>
      <c r="L886" s="10"/>
      <c r="M886" s="10"/>
    </row>
    <row r="887" spans="1:21">
      <c r="A887" s="10"/>
      <c r="B887" s="10"/>
      <c r="C887" s="10"/>
      <c r="D887" s="10"/>
      <c r="E887" s="10"/>
      <c r="F887" s="10"/>
      <c r="G887" s="10"/>
      <c r="H887" s="10"/>
      <c r="I887" s="10"/>
      <c r="J887" s="10"/>
      <c r="K887" s="10"/>
      <c r="L887" s="10"/>
      <c r="M887" s="10"/>
      <c r="P887" s="10" t="e">
        <f>VLOOKUP(C887,Table_view_sorted!A$2:A$215,1,FALSE)</f>
        <v>#N/A</v>
      </c>
      <c r="Q887" t="e">
        <f>VLOOKUP(D887,AVY_FACT!A$2:A$153,1,FALSE)</f>
        <v>#N/A</v>
      </c>
      <c r="R887" t="str">
        <f>D887&amp;"  "&amp;G887&amp;","</f>
        <v xml:space="preserve">  ,</v>
      </c>
      <c r="T887" s="10"/>
      <c r="U887" s="10"/>
    </row>
    <row r="888" spans="1:21">
      <c r="A888" s="10"/>
      <c r="B888" s="10"/>
      <c r="C888" s="10"/>
      <c r="D888" s="10"/>
      <c r="E888" s="10"/>
      <c r="F888" s="10"/>
      <c r="G888" s="10"/>
      <c r="H888" s="10"/>
      <c r="I888" s="10"/>
      <c r="J888" s="10"/>
      <c r="K888" s="10"/>
      <c r="L888" s="10"/>
      <c r="M888" s="10"/>
    </row>
    <row r="889" spans="1:21">
      <c r="A889" s="10"/>
      <c r="B889" s="10"/>
      <c r="C889" s="10"/>
      <c r="D889" s="10"/>
      <c r="E889" s="10"/>
      <c r="F889" s="10"/>
      <c r="G889" s="10"/>
      <c r="H889" s="10"/>
      <c r="I889" s="10"/>
      <c r="J889" s="10"/>
      <c r="K889" s="10"/>
      <c r="L889" s="10"/>
      <c r="M889" s="10"/>
    </row>
    <row r="890" spans="1:21">
      <c r="A890" s="10"/>
      <c r="B890" s="10"/>
      <c r="C890" s="10"/>
      <c r="D890" s="10"/>
      <c r="E890" s="10"/>
      <c r="F890" s="10"/>
      <c r="G890" s="10"/>
      <c r="H890" s="10"/>
      <c r="I890" s="10"/>
      <c r="J890" s="10"/>
      <c r="K890" s="10"/>
      <c r="L890" s="10"/>
      <c r="M890" s="10"/>
    </row>
    <row r="891" spans="1:21">
      <c r="A891" s="10"/>
      <c r="B891" s="10"/>
      <c r="C891" s="10"/>
      <c r="D891" s="10"/>
      <c r="E891" s="10"/>
      <c r="F891" s="10"/>
      <c r="G891" s="10"/>
      <c r="H891" s="10"/>
      <c r="I891" s="10"/>
      <c r="J891" s="10"/>
      <c r="K891" s="10"/>
      <c r="L891" s="10"/>
      <c r="M891" s="10"/>
    </row>
    <row r="892" spans="1:21">
      <c r="A892" s="10"/>
      <c r="B892" s="10"/>
      <c r="C892" s="10"/>
      <c r="D892" s="10"/>
      <c r="E892" s="10"/>
      <c r="F892" s="10"/>
      <c r="G892" s="10"/>
      <c r="H892" s="10"/>
      <c r="I892" s="10"/>
      <c r="J892" s="10"/>
      <c r="K892" s="10"/>
      <c r="L892" s="10"/>
      <c r="M892" s="10"/>
    </row>
    <row r="893" spans="1:21">
      <c r="A893" s="10"/>
      <c r="B893" s="10"/>
      <c r="C893" s="10"/>
      <c r="D893" s="10"/>
      <c r="E893" s="10"/>
      <c r="F893" s="10"/>
      <c r="G893" s="10"/>
      <c r="H893" s="10"/>
      <c r="I893" s="10"/>
      <c r="J893" s="10"/>
      <c r="K893" s="10"/>
      <c r="L893" s="10"/>
      <c r="M893" s="10"/>
      <c r="N893" s="10"/>
      <c r="O893" s="10"/>
      <c r="P893" s="10" t="e">
        <f>VLOOKUP(C893,Table_view_sorted!A$2:A$215,1,FALSE)</f>
        <v>#N/A</v>
      </c>
      <c r="Q893" t="e">
        <f>VLOOKUP(D893,AVY_FACT!A$2:A$153,1,FALSE)</f>
        <v>#N/A</v>
      </c>
      <c r="R893" t="str">
        <f t="shared" ref="R893:R900" si="3">D893&amp;"  "&amp;G893&amp;","</f>
        <v xml:space="preserve">  ,</v>
      </c>
      <c r="T893" s="23" t="s">
        <v>2536</v>
      </c>
      <c r="U893" s="23" t="s">
        <v>1142</v>
      </c>
    </row>
    <row r="894" spans="1:21" ht="27.6">
      <c r="A894" s="10"/>
      <c r="B894" s="10"/>
      <c r="C894" s="10"/>
      <c r="D894" s="10"/>
      <c r="E894" s="10"/>
      <c r="F894" s="10"/>
      <c r="G894" s="10"/>
      <c r="H894" s="10"/>
      <c r="I894" s="10"/>
      <c r="J894" s="10"/>
      <c r="K894" s="10"/>
      <c r="L894" s="10"/>
      <c r="M894" s="10"/>
      <c r="P894" s="10" t="e">
        <f>VLOOKUP(C894,Table_view_sorted!A$2:A$215,1,FALSE)</f>
        <v>#N/A</v>
      </c>
      <c r="Q894" t="e">
        <f>VLOOKUP(D894,AVY_FACT!A$2:A$153,1,FALSE)</f>
        <v>#N/A</v>
      </c>
      <c r="R894" t="str">
        <f t="shared" si="3"/>
        <v xml:space="preserve">  ,</v>
      </c>
      <c r="T894" s="28" t="s">
        <v>2537</v>
      </c>
      <c r="U894" s="10" t="s">
        <v>1142</v>
      </c>
    </row>
    <row r="895" spans="1:21">
      <c r="A895" s="10"/>
      <c r="B895" s="10"/>
      <c r="C895" s="10"/>
      <c r="D895" s="10"/>
      <c r="E895" s="10"/>
      <c r="F895" s="10"/>
      <c r="G895" s="10"/>
      <c r="H895" s="10"/>
      <c r="I895" s="10"/>
      <c r="J895" s="10"/>
      <c r="K895" s="10"/>
      <c r="L895" s="10"/>
      <c r="M895" s="10"/>
      <c r="P895" s="10" t="e">
        <f>VLOOKUP(C895,Table_view_sorted!A$2:A$215,1,FALSE)</f>
        <v>#N/A</v>
      </c>
      <c r="Q895" t="e">
        <f>VLOOKUP(D895,AVY_FACT!A$2:A$153,1,FALSE)</f>
        <v>#N/A</v>
      </c>
      <c r="R895" t="str">
        <f t="shared" si="3"/>
        <v xml:space="preserve">  ,</v>
      </c>
      <c r="T895" s="10"/>
      <c r="U895" s="10"/>
    </row>
    <row r="896" spans="1:21">
      <c r="A896" s="10"/>
      <c r="B896" s="10"/>
      <c r="C896" s="10"/>
      <c r="D896" s="10"/>
      <c r="E896" s="10"/>
      <c r="F896" s="10"/>
      <c r="G896" s="10"/>
      <c r="H896" s="10"/>
      <c r="I896" s="10"/>
      <c r="J896" s="10"/>
      <c r="K896" s="10"/>
      <c r="L896" s="10"/>
      <c r="M896" s="10"/>
      <c r="P896" s="10" t="e">
        <f>VLOOKUP(C896,Table_view_sorted!A$2:A$215,1,FALSE)</f>
        <v>#N/A</v>
      </c>
      <c r="Q896" t="e">
        <f>VLOOKUP(D896,AVY_FACT!A$2:A$153,1,FALSE)</f>
        <v>#N/A</v>
      </c>
      <c r="R896" t="str">
        <f t="shared" si="3"/>
        <v xml:space="preserve">  ,</v>
      </c>
      <c r="T896" s="10"/>
      <c r="U896" s="10"/>
    </row>
    <row r="897" spans="1:21">
      <c r="A897" s="10"/>
      <c r="B897" s="10"/>
      <c r="C897" s="10"/>
      <c r="D897" s="10"/>
      <c r="E897" s="10"/>
      <c r="F897" s="10"/>
      <c r="G897" s="10"/>
      <c r="H897" s="10"/>
      <c r="I897" s="10"/>
      <c r="J897" s="10"/>
      <c r="K897" s="10"/>
      <c r="L897" s="10"/>
      <c r="M897" s="10"/>
      <c r="N897" s="10"/>
      <c r="O897" s="10"/>
      <c r="P897" s="10" t="e">
        <f>VLOOKUP(C897,Table_view_sorted!A$2:A$215,1,FALSE)</f>
        <v>#N/A</v>
      </c>
      <c r="Q897" t="e">
        <f>VLOOKUP(D897,AVY_FACT!A$2:A$153,1,FALSE)</f>
        <v>#N/A</v>
      </c>
      <c r="R897" t="str">
        <f t="shared" si="3"/>
        <v xml:space="preserve">  ,</v>
      </c>
      <c r="T897" s="10"/>
      <c r="U897" s="10"/>
    </row>
    <row r="898" spans="1:21">
      <c r="A898" s="10"/>
      <c r="B898" s="10"/>
      <c r="C898" s="10"/>
      <c r="D898" s="10"/>
      <c r="E898" s="10"/>
      <c r="F898" s="10"/>
      <c r="G898" s="10"/>
      <c r="H898" s="10"/>
      <c r="I898" s="10"/>
      <c r="J898" s="10"/>
      <c r="K898" s="10"/>
      <c r="L898" s="10"/>
      <c r="M898" s="10"/>
      <c r="P898" s="10" t="e">
        <f>VLOOKUP(C898,Table_view_sorted!A$2:A$215,1,FALSE)</f>
        <v>#N/A</v>
      </c>
      <c r="Q898" t="e">
        <f>VLOOKUP(D898,AVY_FACT!A$2:A$153,1,FALSE)</f>
        <v>#N/A</v>
      </c>
      <c r="R898" t="str">
        <f t="shared" si="3"/>
        <v xml:space="preserve">  ,</v>
      </c>
      <c r="T898" s="10"/>
      <c r="U898" s="10"/>
    </row>
    <row r="899" spans="1:21">
      <c r="A899" s="10"/>
      <c r="B899" s="10"/>
      <c r="C899" s="10"/>
      <c r="D899" s="10"/>
      <c r="E899" s="10"/>
      <c r="F899" s="10"/>
      <c r="G899" s="10"/>
      <c r="H899" s="10"/>
      <c r="I899" s="10"/>
      <c r="J899" s="10"/>
      <c r="K899" s="10"/>
      <c r="L899" s="10"/>
      <c r="M899" s="10"/>
      <c r="P899" s="10" t="e">
        <f>VLOOKUP(C899,Table_view_sorted!A$2:A$215,1,FALSE)</f>
        <v>#N/A</v>
      </c>
      <c r="Q899" t="e">
        <f>VLOOKUP(D899,AVY_FACT!A$2:A$153,1,FALSE)</f>
        <v>#N/A</v>
      </c>
      <c r="R899" t="str">
        <f t="shared" si="3"/>
        <v xml:space="preserve">  ,</v>
      </c>
      <c r="T899" s="10"/>
      <c r="U899" s="10"/>
    </row>
    <row r="900" spans="1:21">
      <c r="A900" s="10"/>
      <c r="B900" s="10"/>
      <c r="C900" s="10"/>
      <c r="D900" s="10"/>
      <c r="E900" s="10"/>
      <c r="F900" s="10"/>
      <c r="G900" s="10"/>
      <c r="H900" s="10"/>
      <c r="I900" s="10"/>
      <c r="J900" s="10"/>
      <c r="K900" s="10"/>
      <c r="L900" s="10"/>
      <c r="M900" s="10"/>
      <c r="P900" s="10" t="e">
        <f>VLOOKUP(C900,Table_view_sorted!A$2:A$215,1,FALSE)</f>
        <v>#N/A</v>
      </c>
      <c r="Q900" t="e">
        <f>VLOOKUP(D900,AVY_FACT!A$2:A$153,1,FALSE)</f>
        <v>#N/A</v>
      </c>
      <c r="R900" t="str">
        <f t="shared" si="3"/>
        <v xml:space="preserve">  ,</v>
      </c>
      <c r="T900" s="10"/>
      <c r="U900" s="10"/>
    </row>
    <row r="901" spans="1:21">
      <c r="A901" s="10"/>
      <c r="B901" s="10"/>
      <c r="C901" s="10"/>
      <c r="D901" s="10"/>
      <c r="E901" s="10"/>
      <c r="F901" s="10"/>
      <c r="G901" s="10"/>
      <c r="H901" s="10"/>
      <c r="I901" s="10"/>
      <c r="J901" s="10"/>
      <c r="K901" s="10"/>
      <c r="L901" s="10"/>
      <c r="M901" s="10"/>
    </row>
    <row r="902" spans="1:21">
      <c r="A902" s="10"/>
      <c r="B902" s="10"/>
      <c r="C902" s="10"/>
      <c r="D902" s="10"/>
      <c r="E902" s="10"/>
      <c r="F902" s="10"/>
      <c r="G902" s="10"/>
      <c r="H902" s="10"/>
      <c r="I902" s="10"/>
      <c r="J902" s="10"/>
      <c r="K902" s="10"/>
      <c r="L902" s="10"/>
      <c r="M902" s="10"/>
    </row>
    <row r="903" spans="1:21">
      <c r="A903" s="10"/>
      <c r="B903" s="10"/>
      <c r="C903" s="10"/>
      <c r="D903" s="10"/>
      <c r="E903" s="10"/>
      <c r="F903" s="10"/>
      <c r="G903" s="10"/>
      <c r="H903" s="10"/>
      <c r="I903" s="10"/>
      <c r="J903" s="10"/>
      <c r="K903" s="10"/>
      <c r="L903" s="10"/>
      <c r="M903" s="10"/>
    </row>
    <row r="904" spans="1:21">
      <c r="A904" s="10"/>
      <c r="B904" s="10"/>
      <c r="C904" s="10"/>
      <c r="D904" s="10"/>
      <c r="E904" s="10"/>
      <c r="F904" s="10"/>
      <c r="G904" s="10"/>
      <c r="H904" s="10"/>
      <c r="I904" s="10"/>
      <c r="J904" s="10"/>
      <c r="K904" s="10"/>
      <c r="L904" s="10"/>
      <c r="M904" s="10"/>
      <c r="P904" s="10" t="e">
        <f>VLOOKUP(C904,Table_view_sorted!A$2:A$215,1,FALSE)</f>
        <v>#N/A</v>
      </c>
      <c r="Q904" t="e">
        <f>VLOOKUP(D904,AVY_FACT!A$2:A$153,1,FALSE)</f>
        <v>#N/A</v>
      </c>
      <c r="R904" t="str">
        <f>D904&amp;"  "&amp;G904&amp;","</f>
        <v xml:space="preserve">  ,</v>
      </c>
      <c r="T904" s="10"/>
      <c r="U904" s="10"/>
    </row>
    <row r="905" spans="1:21">
      <c r="A905" s="10"/>
      <c r="B905" s="10"/>
      <c r="C905" s="10"/>
      <c r="D905" s="10"/>
      <c r="E905" s="10"/>
      <c r="F905" s="10"/>
      <c r="G905" s="10"/>
      <c r="H905" s="10"/>
      <c r="I905" s="10"/>
      <c r="J905" s="10"/>
      <c r="K905" s="10"/>
      <c r="L905" s="10"/>
      <c r="M905" s="10"/>
      <c r="P905" s="10" t="e">
        <f>VLOOKUP(C905,Table_view_sorted!A$2:A$215,1,FALSE)</f>
        <v>#N/A</v>
      </c>
      <c r="Q905" t="e">
        <f>VLOOKUP(D905,AVY_FACT!A$2:A$153,1,FALSE)</f>
        <v>#N/A</v>
      </c>
      <c r="R905" t="str">
        <f>D905&amp;"  "&amp;G905&amp;","</f>
        <v xml:space="preserve">  ,</v>
      </c>
      <c r="T905" s="10"/>
      <c r="U905" s="10"/>
    </row>
    <row r="906" spans="1:21">
      <c r="A906" s="10"/>
      <c r="B906" s="10"/>
      <c r="C906" s="10"/>
      <c r="D906" s="10"/>
      <c r="E906" s="10"/>
      <c r="F906" s="10"/>
      <c r="G906" s="10"/>
      <c r="H906" s="10"/>
      <c r="I906" s="10"/>
      <c r="J906" s="10"/>
      <c r="K906" s="10"/>
      <c r="L906" s="10"/>
      <c r="M906" s="10"/>
      <c r="P906" s="10" t="e">
        <f>VLOOKUP(C906,Table_view_sorted!A$2:A$215,1,FALSE)</f>
        <v>#N/A</v>
      </c>
      <c r="Q906" s="19" t="e">
        <f>VLOOKUP(D906,AVY_FACT!A$2:A$153,1,FALSE)</f>
        <v>#N/A</v>
      </c>
      <c r="R906" s="19" t="str">
        <f>D906&amp;"  "&amp;G906&amp;","</f>
        <v xml:space="preserve">  ,</v>
      </c>
      <c r="S906" s="19"/>
      <c r="T906" s="19"/>
      <c r="U906" s="19" t="s">
        <v>1142</v>
      </c>
    </row>
    <row r="907" spans="1:21">
      <c r="A907" s="10"/>
      <c r="B907" s="10"/>
      <c r="C907" s="10"/>
      <c r="D907" s="10"/>
      <c r="E907" s="10"/>
      <c r="F907" s="10"/>
      <c r="G907" s="10"/>
      <c r="H907" s="10"/>
      <c r="I907" s="10"/>
      <c r="J907" s="10"/>
      <c r="K907" s="10"/>
      <c r="L907" s="10"/>
      <c r="M907" s="10"/>
    </row>
    <row r="908" spans="1:21">
      <c r="A908" s="10"/>
      <c r="B908" s="10"/>
      <c r="C908" s="10"/>
      <c r="D908" s="10"/>
      <c r="E908" s="10"/>
      <c r="F908" s="10"/>
      <c r="G908" s="10"/>
      <c r="H908" s="10"/>
      <c r="I908" s="10"/>
      <c r="J908" s="10"/>
      <c r="K908" s="10"/>
      <c r="L908" s="10"/>
      <c r="M908" s="10"/>
    </row>
    <row r="909" spans="1:21">
      <c r="A909" s="10"/>
      <c r="B909" s="10"/>
      <c r="C909" s="10"/>
      <c r="D909" s="10"/>
      <c r="E909" s="10"/>
      <c r="F909" s="10"/>
      <c r="G909" s="10"/>
      <c r="H909" s="10"/>
      <c r="I909" s="10"/>
      <c r="J909" s="10"/>
      <c r="K909" s="10"/>
      <c r="L909" s="10"/>
      <c r="M909" s="10"/>
    </row>
    <row r="910" spans="1:21">
      <c r="A910" s="10"/>
      <c r="B910" s="10"/>
      <c r="C910" s="10"/>
      <c r="D910" s="10"/>
      <c r="E910" s="10"/>
      <c r="F910" s="10"/>
      <c r="G910" s="10"/>
      <c r="H910" s="10"/>
      <c r="I910" s="10"/>
      <c r="J910" s="10"/>
      <c r="K910" s="10"/>
      <c r="L910" s="10"/>
      <c r="M910" s="10"/>
      <c r="P910" s="10" t="e">
        <f>VLOOKUP(C910,Table_view_sorted!A$2:A$215,1,FALSE)</f>
        <v>#N/A</v>
      </c>
      <c r="Q910" t="e">
        <f>VLOOKUP(D910,AVY_FACT!A$2:A$153,1,FALSE)</f>
        <v>#N/A</v>
      </c>
      <c r="R910" t="str">
        <f>D910&amp;"  "&amp;G910&amp;","</f>
        <v xml:space="preserve">  ,</v>
      </c>
      <c r="T910" s="10"/>
      <c r="U910" s="10"/>
    </row>
    <row r="911" spans="1:21">
      <c r="A911" s="10"/>
      <c r="B911" s="10"/>
      <c r="C911" s="10"/>
      <c r="D911" s="10"/>
      <c r="E911" s="10"/>
      <c r="F911" s="10"/>
      <c r="G911" s="10"/>
      <c r="H911" s="10"/>
      <c r="I911" s="10"/>
      <c r="J911" s="10"/>
      <c r="K911" s="10"/>
      <c r="L911" s="10"/>
      <c r="M911" s="10"/>
      <c r="N911" s="10"/>
      <c r="O911" s="10"/>
      <c r="P911" s="10" t="e">
        <f>VLOOKUP(C911,Table_view_sorted!A$2:A$215,1,FALSE)</f>
        <v>#N/A</v>
      </c>
      <c r="Q911" t="e">
        <f>VLOOKUP(D911,AVY_FACT!A$2:A$153,1,FALSE)</f>
        <v>#N/A</v>
      </c>
      <c r="R911" t="str">
        <f>D911&amp;"  "&amp;G911&amp;","</f>
        <v xml:space="preserve">  ,</v>
      </c>
      <c r="T911" s="10"/>
      <c r="U911" s="10"/>
    </row>
    <row r="912" spans="1:21">
      <c r="A912" s="10"/>
      <c r="B912" s="10"/>
      <c r="C912" s="10"/>
      <c r="D912" s="10"/>
      <c r="E912" s="10"/>
      <c r="F912" s="10"/>
      <c r="G912" s="10"/>
      <c r="H912" s="10"/>
      <c r="I912" s="10"/>
      <c r="J912" s="10"/>
      <c r="K912" s="10"/>
      <c r="L912" s="10"/>
      <c r="M912" s="10"/>
      <c r="N912" s="10"/>
      <c r="O912" s="10"/>
      <c r="P912" s="10" t="e">
        <f>VLOOKUP(C912,Table_view_sorted!A$2:A$215,1,FALSE)</f>
        <v>#N/A</v>
      </c>
      <c r="Q912" t="e">
        <f>VLOOKUP(D912,AVY_FACT!A$2:A$153,1,FALSE)</f>
        <v>#N/A</v>
      </c>
      <c r="R912" t="str">
        <f>D912&amp;"  "&amp;G912&amp;","</f>
        <v xml:space="preserve">  ,</v>
      </c>
      <c r="T912" s="10"/>
      <c r="U912" s="10"/>
    </row>
    <row r="913" spans="1:21">
      <c r="A913" s="10"/>
      <c r="B913" s="10"/>
      <c r="C913" s="10"/>
      <c r="D913" s="10"/>
      <c r="E913" s="10"/>
      <c r="F913" s="10"/>
      <c r="G913" s="10"/>
      <c r="H913" s="10"/>
      <c r="I913" s="10"/>
      <c r="J913" s="10"/>
      <c r="K913" s="10"/>
      <c r="L913" s="10"/>
      <c r="M913" s="10"/>
      <c r="P913" s="10" t="e">
        <f>VLOOKUP(C913,Table_view_sorted!A$2:A$215,1,FALSE)</f>
        <v>#N/A</v>
      </c>
      <c r="Q913" t="e">
        <f>VLOOKUP(D913,AVY_FACT!A$2:A$153,1,FALSE)</f>
        <v>#N/A</v>
      </c>
      <c r="R913" t="str">
        <f>D913&amp;"  "&amp;G913&amp;","</f>
        <v xml:space="preserve">  ,</v>
      </c>
      <c r="T913" s="10"/>
      <c r="U913" s="10"/>
    </row>
    <row r="914" spans="1:21">
      <c r="A914" s="10"/>
      <c r="B914" s="10"/>
      <c r="C914" s="10"/>
      <c r="D914" s="10"/>
      <c r="E914" s="10"/>
      <c r="F914" s="10"/>
      <c r="G914" s="10"/>
      <c r="H914" s="10"/>
      <c r="I914" s="10"/>
      <c r="J914" s="10"/>
      <c r="K914" s="10"/>
      <c r="L914" s="10"/>
      <c r="M914" s="10"/>
    </row>
    <row r="915" spans="1:21">
      <c r="A915" s="10"/>
      <c r="B915" s="10"/>
      <c r="C915" s="10"/>
      <c r="D915" s="10"/>
      <c r="E915" s="10"/>
      <c r="F915" s="10"/>
      <c r="G915" s="10"/>
      <c r="H915" s="10"/>
      <c r="I915" s="10"/>
      <c r="J915" s="10"/>
      <c r="K915" s="10"/>
      <c r="L915" s="10"/>
      <c r="M915" s="10"/>
    </row>
    <row r="916" spans="1:21">
      <c r="A916" s="10"/>
      <c r="B916" s="10"/>
      <c r="C916" s="10"/>
      <c r="D916" s="10"/>
      <c r="E916" s="10"/>
      <c r="F916" s="10"/>
      <c r="G916" s="10"/>
      <c r="H916" s="10"/>
      <c r="I916" s="10"/>
      <c r="J916" s="10"/>
      <c r="K916" s="10"/>
      <c r="L916" s="10"/>
      <c r="M916" s="10"/>
    </row>
    <row r="917" spans="1:21">
      <c r="A917" s="10"/>
      <c r="B917" s="10"/>
      <c r="C917" s="10"/>
      <c r="D917" s="10"/>
      <c r="E917" s="10"/>
      <c r="F917" s="10"/>
      <c r="G917" s="10"/>
      <c r="H917" s="10"/>
      <c r="I917" s="10"/>
      <c r="J917" s="10"/>
      <c r="K917" s="10"/>
      <c r="L917" s="10"/>
      <c r="M917" s="10"/>
    </row>
    <row r="918" spans="1:21">
      <c r="A918" s="10"/>
      <c r="B918" s="10"/>
      <c r="C918" s="10"/>
      <c r="D918" s="10"/>
      <c r="E918" s="10"/>
      <c r="F918" s="10"/>
      <c r="G918" s="10"/>
      <c r="H918" s="10"/>
      <c r="I918" s="10"/>
      <c r="J918" s="10"/>
      <c r="K918" s="10"/>
      <c r="L918" s="10"/>
      <c r="M918" s="10"/>
    </row>
    <row r="919" spans="1:21">
      <c r="A919" s="10"/>
      <c r="B919" s="10"/>
      <c r="C919" s="10"/>
      <c r="D919" s="10"/>
      <c r="E919" s="10"/>
      <c r="F919" s="10"/>
      <c r="G919" s="10"/>
      <c r="H919" s="10"/>
      <c r="I919" s="10"/>
      <c r="J919" s="10"/>
      <c r="K919" s="10"/>
      <c r="L919" s="10"/>
      <c r="M919" s="10"/>
    </row>
    <row r="920" spans="1:21">
      <c r="A920" s="10"/>
      <c r="B920" s="10"/>
      <c r="C920" s="10"/>
      <c r="D920" s="10"/>
      <c r="E920" s="10"/>
      <c r="F920" s="10"/>
      <c r="G920" s="10"/>
      <c r="H920" s="10"/>
      <c r="I920" s="10"/>
      <c r="J920" s="10"/>
      <c r="K920" s="10"/>
      <c r="L920" s="10"/>
      <c r="M920" s="10"/>
    </row>
    <row r="921" spans="1:21">
      <c r="A921" s="10"/>
      <c r="B921" s="10"/>
      <c r="C921" s="10"/>
      <c r="D921" s="10"/>
      <c r="E921" s="10"/>
      <c r="F921" s="10"/>
      <c r="G921" s="10"/>
      <c r="H921" s="10"/>
      <c r="I921" s="10"/>
      <c r="J921" s="10"/>
      <c r="K921" s="10"/>
      <c r="L921" s="10"/>
      <c r="M921" s="10"/>
    </row>
    <row r="922" spans="1:21">
      <c r="A922" s="10"/>
      <c r="B922" s="10"/>
      <c r="C922" s="10"/>
      <c r="D922" s="10"/>
      <c r="E922" s="10"/>
      <c r="F922" s="10"/>
      <c r="G922" s="10"/>
      <c r="H922" s="10"/>
      <c r="I922" s="10"/>
      <c r="J922" s="10"/>
      <c r="K922" s="10"/>
      <c r="L922" s="10"/>
      <c r="M922" s="10"/>
    </row>
    <row r="923" spans="1:21">
      <c r="A923" s="10"/>
      <c r="B923" s="10"/>
      <c r="C923" s="10"/>
      <c r="D923" s="10"/>
      <c r="E923" s="10"/>
      <c r="F923" s="10"/>
      <c r="G923" s="10"/>
      <c r="H923" s="10"/>
      <c r="I923" s="10"/>
      <c r="J923" s="10"/>
      <c r="K923" s="10"/>
      <c r="L923" s="10"/>
      <c r="M923" s="10"/>
    </row>
    <row r="924" spans="1:21">
      <c r="A924" s="10"/>
      <c r="B924" s="10"/>
      <c r="C924" s="10"/>
      <c r="D924" s="10"/>
      <c r="E924" s="10"/>
      <c r="F924" s="10"/>
      <c r="G924" s="10"/>
      <c r="H924" s="10"/>
      <c r="I924" s="10"/>
      <c r="J924" s="10"/>
      <c r="K924" s="10"/>
      <c r="L924" s="10"/>
      <c r="M924" s="10"/>
    </row>
    <row r="925" spans="1:21">
      <c r="A925" s="10"/>
      <c r="B925" s="10"/>
      <c r="C925" s="10"/>
      <c r="D925" s="10"/>
      <c r="E925" s="10"/>
      <c r="F925" s="10"/>
      <c r="G925" s="10"/>
      <c r="H925" s="10"/>
      <c r="I925" s="10"/>
      <c r="J925" s="10"/>
      <c r="K925" s="10"/>
      <c r="L925" s="10"/>
      <c r="M925" s="10"/>
    </row>
    <row r="926" spans="1:21">
      <c r="A926" s="10"/>
      <c r="B926" s="10"/>
      <c r="C926" s="10"/>
      <c r="D926" s="10"/>
      <c r="E926" s="10"/>
      <c r="F926" s="10"/>
      <c r="G926" s="10"/>
      <c r="H926" s="10"/>
      <c r="I926" s="10"/>
      <c r="J926" s="10"/>
      <c r="K926" s="10"/>
      <c r="L926" s="10"/>
      <c r="M926" s="10"/>
    </row>
    <row r="927" spans="1:21">
      <c r="A927" s="10"/>
      <c r="B927" s="10"/>
      <c r="C927" s="10"/>
      <c r="D927" s="10"/>
      <c r="E927" s="10"/>
      <c r="F927" s="10"/>
      <c r="G927" s="10"/>
      <c r="H927" s="10"/>
      <c r="I927" s="10"/>
      <c r="J927" s="10"/>
      <c r="K927" s="10"/>
      <c r="L927" s="10"/>
      <c r="M927" s="10"/>
    </row>
    <row r="928" spans="1:21">
      <c r="A928" s="10"/>
      <c r="B928" s="10"/>
      <c r="C928" s="10"/>
      <c r="D928" s="10"/>
      <c r="E928" s="10"/>
      <c r="F928" s="10"/>
      <c r="G928" s="10"/>
      <c r="H928" s="10"/>
      <c r="I928" s="10"/>
      <c r="J928" s="10"/>
      <c r="K928" s="10"/>
      <c r="L928" s="10"/>
      <c r="M928" s="10"/>
    </row>
    <row r="929" spans="1:21">
      <c r="A929" s="10"/>
      <c r="B929" s="10"/>
      <c r="C929" s="10"/>
      <c r="D929" s="10"/>
      <c r="E929" s="10"/>
      <c r="F929" s="10"/>
      <c r="G929" s="10"/>
      <c r="H929" s="10"/>
      <c r="I929" s="10"/>
      <c r="J929" s="10"/>
      <c r="K929" s="10"/>
      <c r="L929" s="10"/>
      <c r="M929" s="10"/>
      <c r="P929" s="10" t="e">
        <f>VLOOKUP(C929,Table_view_sorted!A$2:A$215,1,FALSE)</f>
        <v>#N/A</v>
      </c>
      <c r="Q929" t="e">
        <f>VLOOKUP(D929,AVY_FACT!A$2:A$153,1,FALSE)</f>
        <v>#N/A</v>
      </c>
      <c r="R929" t="str">
        <f>D929&amp;"  "&amp;G929&amp;","</f>
        <v xml:space="preserve">  ,</v>
      </c>
      <c r="T929" s="10"/>
      <c r="U929" s="10"/>
    </row>
    <row r="930" spans="1:21">
      <c r="A930" s="10"/>
      <c r="B930" s="10"/>
      <c r="C930" s="10"/>
      <c r="D930" s="10"/>
      <c r="E930" s="10"/>
      <c r="F930" s="10"/>
      <c r="G930" s="10"/>
      <c r="H930" s="10"/>
      <c r="I930" s="10"/>
      <c r="J930" s="10"/>
      <c r="K930" s="10"/>
      <c r="L930" s="10"/>
      <c r="M930" s="10"/>
      <c r="N930" s="10"/>
      <c r="O930" s="10"/>
      <c r="P930" s="10" t="e">
        <f>VLOOKUP(C930,Table_view_sorted!A$2:A$215,1,FALSE)</f>
        <v>#N/A</v>
      </c>
      <c r="Q930" t="e">
        <f>VLOOKUP(D930,AVY_FACT!A$2:A$153,1,FALSE)</f>
        <v>#N/A</v>
      </c>
      <c r="R930" t="str">
        <f>D930&amp;"  "&amp;G930&amp;","</f>
        <v xml:space="preserve">  ,</v>
      </c>
      <c r="T930" s="10"/>
      <c r="U930" s="10"/>
    </row>
    <row r="931" spans="1:21">
      <c r="A931" s="10"/>
      <c r="B931" s="10"/>
      <c r="C931" s="10"/>
      <c r="D931" s="10"/>
      <c r="E931" s="10"/>
      <c r="F931" s="10"/>
      <c r="G931" s="10"/>
      <c r="H931" s="10"/>
      <c r="I931" s="10"/>
      <c r="J931" s="10"/>
      <c r="K931" s="10"/>
      <c r="L931" s="10"/>
      <c r="M931" s="10"/>
    </row>
    <row r="932" spans="1:21">
      <c r="A932" s="10"/>
      <c r="B932" s="10"/>
      <c r="C932" s="10"/>
      <c r="D932" s="10"/>
      <c r="E932" s="10"/>
      <c r="F932" s="10"/>
      <c r="G932" s="10"/>
      <c r="H932" s="10"/>
      <c r="I932" s="10"/>
      <c r="J932" s="10"/>
      <c r="K932" s="10"/>
      <c r="L932" s="10"/>
      <c r="M932" s="10"/>
    </row>
    <row r="933" spans="1:21">
      <c r="A933" s="10"/>
      <c r="B933" s="10"/>
      <c r="C933" s="10"/>
      <c r="D933" s="10"/>
      <c r="E933" s="10"/>
      <c r="F933" s="10"/>
      <c r="G933" s="10"/>
      <c r="H933" s="10"/>
      <c r="I933" s="10"/>
      <c r="J933" s="10"/>
      <c r="K933" s="10"/>
      <c r="L933" s="10"/>
      <c r="M933" s="10"/>
    </row>
    <row r="934" spans="1:21">
      <c r="A934" s="10"/>
      <c r="B934" s="10"/>
      <c r="C934" s="10"/>
      <c r="D934" s="10"/>
      <c r="E934" s="10"/>
      <c r="F934" s="10"/>
      <c r="G934" s="10"/>
      <c r="H934" s="10"/>
      <c r="I934" s="10"/>
      <c r="J934" s="10"/>
      <c r="K934" s="10"/>
      <c r="L934" s="10"/>
      <c r="M934" s="10"/>
    </row>
    <row r="935" spans="1:21">
      <c r="A935" s="10"/>
      <c r="B935" s="10"/>
      <c r="C935" s="10"/>
      <c r="D935" s="10"/>
      <c r="E935" s="10"/>
      <c r="F935" s="10"/>
      <c r="G935" s="10"/>
      <c r="H935" s="10"/>
      <c r="I935" s="10"/>
      <c r="J935" s="10"/>
      <c r="K935" s="10"/>
      <c r="L935" s="10"/>
      <c r="M935" s="10"/>
    </row>
    <row r="936" spans="1:21">
      <c r="A936" s="10"/>
      <c r="B936" s="10"/>
      <c r="C936" s="10"/>
      <c r="D936" s="10"/>
      <c r="E936" s="10"/>
      <c r="F936" s="10"/>
      <c r="G936" s="10"/>
      <c r="H936" s="10"/>
      <c r="I936" s="10"/>
      <c r="J936" s="10"/>
      <c r="K936" s="10"/>
      <c r="L936" s="10"/>
      <c r="M936" s="10"/>
      <c r="N936" s="10"/>
      <c r="O936" s="10"/>
      <c r="P936" s="10" t="e">
        <f>VLOOKUP(C936,Table_view_sorted!A$2:A$215,1,FALSE)</f>
        <v>#N/A</v>
      </c>
      <c r="Q936" t="e">
        <f>VLOOKUP(D936,AVY_FACT!A$2:A$153,1,FALSE)</f>
        <v>#N/A</v>
      </c>
      <c r="R936" t="str">
        <f>D936&amp;"  "&amp;G936&amp;","</f>
        <v xml:space="preserve">  ,</v>
      </c>
      <c r="T936" s="10"/>
      <c r="U936" s="10"/>
    </row>
    <row r="937" spans="1:21">
      <c r="A937" s="10"/>
      <c r="B937" s="10"/>
      <c r="C937" s="10"/>
      <c r="D937" s="10"/>
      <c r="E937" s="10"/>
      <c r="F937" s="10"/>
      <c r="G937" s="10"/>
      <c r="H937" s="10"/>
      <c r="I937" s="10"/>
      <c r="J937" s="10"/>
      <c r="K937" s="10"/>
      <c r="L937" s="10"/>
      <c r="M937" s="10"/>
    </row>
    <row r="938" spans="1:21">
      <c r="A938" s="10"/>
      <c r="B938" s="10"/>
      <c r="C938" s="10"/>
      <c r="D938" s="10"/>
      <c r="E938" s="10"/>
      <c r="F938" s="10"/>
      <c r="G938" s="10"/>
      <c r="H938" s="10"/>
      <c r="I938" s="10"/>
      <c r="J938" s="10"/>
      <c r="K938" s="10"/>
      <c r="L938" s="10"/>
      <c r="M938" s="10"/>
    </row>
    <row r="939" spans="1:21">
      <c r="A939" s="10"/>
      <c r="B939" s="10"/>
      <c r="C939" s="10"/>
      <c r="D939" s="10"/>
      <c r="E939" s="10"/>
      <c r="F939" s="10"/>
      <c r="G939" s="10"/>
      <c r="H939" s="10"/>
      <c r="I939" s="10"/>
      <c r="J939" s="10"/>
      <c r="K939" s="10"/>
      <c r="L939" s="10"/>
      <c r="M939" s="10"/>
    </row>
    <row r="940" spans="1:21">
      <c r="A940" s="10"/>
      <c r="B940" s="10"/>
      <c r="C940" s="10"/>
      <c r="D940" s="10"/>
      <c r="E940" s="10"/>
      <c r="F940" s="10"/>
      <c r="G940" s="10"/>
      <c r="H940" s="10"/>
      <c r="I940" s="10"/>
      <c r="J940" s="10"/>
      <c r="K940" s="10"/>
      <c r="L940" s="10"/>
      <c r="M940" s="10"/>
    </row>
    <row r="941" spans="1:21">
      <c r="A941" s="10"/>
      <c r="B941" s="10"/>
      <c r="C941" s="10"/>
      <c r="D941" s="10"/>
      <c r="E941" s="10"/>
      <c r="F941" s="10"/>
      <c r="G941" s="10"/>
      <c r="H941" s="10"/>
      <c r="I941" s="10"/>
      <c r="J941" s="10"/>
      <c r="K941" s="10"/>
      <c r="L941" s="10"/>
      <c r="M941" s="10"/>
    </row>
    <row r="942" spans="1:21">
      <c r="A942" s="10"/>
      <c r="B942" s="10"/>
      <c r="C942" s="10"/>
      <c r="D942" s="10"/>
      <c r="E942" s="28"/>
      <c r="F942" s="10"/>
      <c r="G942" s="10"/>
      <c r="H942" s="10"/>
      <c r="I942" s="10"/>
      <c r="J942" s="10"/>
      <c r="K942" s="10"/>
      <c r="L942" s="10"/>
      <c r="M942" s="10"/>
    </row>
    <row r="943" spans="1:21">
      <c r="A943" s="10"/>
      <c r="B943" s="10"/>
      <c r="C943" s="10"/>
      <c r="D943" s="10"/>
      <c r="E943" s="28"/>
      <c r="F943" s="10"/>
      <c r="G943" s="10"/>
      <c r="H943" s="10"/>
      <c r="I943" s="10"/>
      <c r="J943" s="10"/>
      <c r="K943" s="10"/>
      <c r="L943" s="10"/>
      <c r="M943" s="10"/>
    </row>
    <row r="944" spans="1:21">
      <c r="A944" s="10"/>
      <c r="B944" s="10"/>
      <c r="C944" s="10"/>
      <c r="D944" s="10"/>
      <c r="E944" s="28"/>
      <c r="F944" s="10"/>
      <c r="G944" s="10"/>
      <c r="H944" s="10"/>
      <c r="I944" s="10"/>
      <c r="J944" s="10"/>
      <c r="K944" s="10"/>
      <c r="L944" s="10"/>
      <c r="M944" s="10"/>
    </row>
    <row r="945" spans="1:21">
      <c r="A945" s="10"/>
      <c r="B945" s="10"/>
      <c r="C945" s="10"/>
      <c r="D945" s="10"/>
      <c r="E945" s="28"/>
      <c r="F945" s="10"/>
      <c r="G945" s="10"/>
      <c r="H945" s="10"/>
      <c r="I945" s="10"/>
      <c r="J945" s="10"/>
      <c r="K945" s="10"/>
      <c r="L945" s="10"/>
      <c r="M945" s="10"/>
    </row>
    <row r="946" spans="1:21">
      <c r="A946" s="10"/>
      <c r="B946" s="10"/>
      <c r="C946" s="10"/>
      <c r="D946" s="10"/>
      <c r="E946" s="28"/>
      <c r="F946" s="10"/>
      <c r="G946" s="10"/>
      <c r="H946" s="10"/>
      <c r="I946" s="10"/>
      <c r="J946" s="10"/>
      <c r="K946" s="10"/>
      <c r="L946" s="10"/>
      <c r="M946" s="10"/>
    </row>
    <row r="947" spans="1:21">
      <c r="A947" s="10"/>
      <c r="B947" s="10"/>
      <c r="C947" s="10"/>
      <c r="D947" s="10"/>
      <c r="E947" s="28"/>
      <c r="F947" s="10"/>
      <c r="G947" s="10"/>
      <c r="H947" s="10"/>
      <c r="I947" s="10"/>
      <c r="J947" s="10"/>
      <c r="K947" s="10"/>
      <c r="L947" s="10"/>
      <c r="M947" s="10"/>
    </row>
    <row r="948" spans="1:21">
      <c r="A948" s="10"/>
      <c r="B948" s="10"/>
      <c r="C948" s="10"/>
      <c r="D948" s="10"/>
      <c r="E948" s="28"/>
      <c r="F948" s="10"/>
      <c r="G948" s="10"/>
      <c r="H948" s="10"/>
      <c r="I948" s="10"/>
      <c r="J948" s="10"/>
      <c r="K948" s="10"/>
      <c r="L948" s="10"/>
      <c r="M948" s="10"/>
    </row>
    <row r="949" spans="1:21">
      <c r="A949" s="10"/>
      <c r="B949" s="10"/>
      <c r="C949" s="10"/>
      <c r="D949" s="10"/>
      <c r="E949" s="28"/>
      <c r="F949" s="10"/>
      <c r="G949" s="10"/>
      <c r="H949" s="10"/>
      <c r="I949" s="10"/>
      <c r="J949" s="10"/>
      <c r="K949" s="10"/>
      <c r="L949" s="10"/>
      <c r="M949" s="10"/>
    </row>
    <row r="950" spans="1:21">
      <c r="A950" s="10"/>
      <c r="B950" s="10"/>
      <c r="C950" s="10"/>
      <c r="D950" s="10"/>
      <c r="E950" s="10"/>
      <c r="F950" s="10"/>
      <c r="G950" s="10"/>
      <c r="H950" s="10"/>
      <c r="I950" s="10"/>
      <c r="J950" s="10"/>
      <c r="K950" s="10"/>
      <c r="L950" s="10"/>
      <c r="M950" s="10"/>
    </row>
    <row r="951" spans="1:21">
      <c r="A951" s="10"/>
      <c r="B951" s="10"/>
      <c r="C951" s="10"/>
      <c r="D951" s="10"/>
      <c r="E951" s="28"/>
      <c r="F951" s="10"/>
      <c r="G951" s="10"/>
      <c r="H951" s="10"/>
      <c r="I951" s="10"/>
      <c r="J951" s="10"/>
      <c r="K951" s="10"/>
      <c r="L951" s="10"/>
      <c r="M951" s="10"/>
      <c r="N951" s="10"/>
      <c r="O951" s="10"/>
      <c r="P951" s="10" t="e">
        <f>VLOOKUP(C951,Table_view_sorted!A$2:A$215,1,FALSE)</f>
        <v>#N/A</v>
      </c>
      <c r="Q951" t="e">
        <f>VLOOKUP(D951,AVY_FACT!A$2:A$153,1,FALSE)</f>
        <v>#N/A</v>
      </c>
      <c r="R951" t="str">
        <f>D951&amp;"  "&amp;G951&amp;","</f>
        <v xml:space="preserve">  ,</v>
      </c>
      <c r="T951" s="10"/>
      <c r="U951" s="10"/>
    </row>
    <row r="952" spans="1:21">
      <c r="A952" s="10"/>
      <c r="B952" s="10"/>
      <c r="C952" s="10"/>
      <c r="D952" s="10"/>
      <c r="E952" s="28"/>
      <c r="F952" s="10"/>
      <c r="G952" s="10"/>
      <c r="H952" s="10"/>
      <c r="I952" s="10"/>
      <c r="J952" s="10"/>
      <c r="K952" s="10"/>
      <c r="L952" s="10"/>
      <c r="M952" s="10"/>
    </row>
    <row r="953" spans="1:21">
      <c r="A953" s="10"/>
      <c r="B953" s="10"/>
      <c r="C953" s="10"/>
      <c r="D953" s="10"/>
      <c r="E953" s="10"/>
      <c r="F953" s="10"/>
      <c r="G953" s="10"/>
      <c r="H953" s="10"/>
      <c r="I953" s="10"/>
      <c r="J953" s="10"/>
      <c r="K953" s="10"/>
      <c r="L953" s="10"/>
      <c r="M953" s="10"/>
    </row>
    <row r="954" spans="1:21">
      <c r="A954" s="10"/>
      <c r="B954" s="10"/>
      <c r="C954" s="10"/>
      <c r="D954" s="10"/>
      <c r="E954" s="28"/>
      <c r="F954" s="10"/>
      <c r="G954" s="10"/>
      <c r="H954" s="10"/>
      <c r="I954" s="10"/>
      <c r="J954" s="10"/>
      <c r="K954" s="10"/>
      <c r="L954" s="10"/>
      <c r="M954" s="10"/>
    </row>
    <row r="955" spans="1:21">
      <c r="A955" s="10"/>
      <c r="B955" s="10"/>
      <c r="C955" s="10"/>
      <c r="D955" s="10"/>
      <c r="E955" s="28"/>
      <c r="F955" s="10"/>
      <c r="G955" s="10"/>
      <c r="H955" s="10"/>
      <c r="I955" s="10"/>
      <c r="J955" s="10"/>
      <c r="K955" s="10"/>
      <c r="L955" s="10"/>
      <c r="M955" s="10"/>
    </row>
    <row r="956" spans="1:21">
      <c r="A956" s="10"/>
      <c r="B956" s="10"/>
      <c r="C956" s="10"/>
      <c r="D956" s="10"/>
      <c r="E956" s="28"/>
      <c r="F956" s="10"/>
      <c r="G956" s="10"/>
      <c r="H956" s="10"/>
      <c r="I956" s="10"/>
      <c r="J956" s="10"/>
      <c r="K956" s="10"/>
      <c r="L956" s="10"/>
      <c r="M956" s="10"/>
    </row>
    <row r="957" spans="1:21">
      <c r="A957" s="10"/>
      <c r="B957" s="10"/>
      <c r="C957" s="10"/>
      <c r="D957" s="10"/>
      <c r="E957" s="28"/>
      <c r="F957" s="10"/>
      <c r="G957" s="10"/>
      <c r="H957" s="10"/>
      <c r="I957" s="10"/>
      <c r="J957" s="10"/>
      <c r="K957" s="10"/>
      <c r="L957" s="10"/>
      <c r="M957" s="10"/>
    </row>
    <row r="958" spans="1:21">
      <c r="A958" s="10"/>
      <c r="B958" s="10"/>
      <c r="C958" s="10"/>
      <c r="D958" s="10"/>
      <c r="E958" s="28"/>
      <c r="F958" s="10"/>
      <c r="G958" s="10"/>
      <c r="H958" s="10"/>
      <c r="I958" s="10"/>
      <c r="J958" s="10"/>
      <c r="K958" s="10"/>
      <c r="L958" s="10"/>
      <c r="M958" s="10"/>
    </row>
    <row r="959" spans="1:21">
      <c r="A959" s="10"/>
      <c r="B959" s="10"/>
      <c r="C959" s="10"/>
      <c r="D959" s="10"/>
      <c r="E959" s="28"/>
      <c r="F959" s="10"/>
      <c r="G959" s="10"/>
      <c r="H959" s="10"/>
      <c r="I959" s="10"/>
      <c r="J959" s="10"/>
      <c r="K959" s="10"/>
      <c r="L959" s="10"/>
      <c r="M959" s="10"/>
    </row>
    <row r="960" spans="1:21">
      <c r="A960" s="10"/>
      <c r="B960" s="10"/>
      <c r="C960" s="10"/>
      <c r="D960" s="10"/>
      <c r="E960" s="28"/>
      <c r="F960" s="10"/>
      <c r="G960" s="10"/>
      <c r="H960" s="10"/>
      <c r="I960" s="10"/>
      <c r="J960" s="10"/>
      <c r="K960" s="10"/>
      <c r="L960" s="10"/>
      <c r="M960" s="10"/>
    </row>
    <row r="961" spans="1:21">
      <c r="A961" s="10"/>
      <c r="B961" s="10"/>
      <c r="C961" s="10"/>
      <c r="D961" s="10"/>
      <c r="E961" s="28"/>
      <c r="F961" s="10"/>
      <c r="G961" s="10"/>
      <c r="H961" s="10"/>
      <c r="I961" s="10"/>
      <c r="J961" s="10"/>
      <c r="K961" s="10"/>
      <c r="L961" s="10"/>
      <c r="M961" s="10"/>
    </row>
    <row r="962" spans="1:21">
      <c r="A962" s="10"/>
      <c r="B962" s="10"/>
      <c r="C962" s="10"/>
      <c r="D962" s="10"/>
      <c r="E962" s="28"/>
      <c r="F962" s="10"/>
      <c r="G962" s="10"/>
      <c r="H962" s="10"/>
      <c r="I962" s="10"/>
      <c r="J962" s="10"/>
      <c r="K962" s="10"/>
      <c r="L962" s="10"/>
      <c r="M962" s="10"/>
    </row>
    <row r="963" spans="1:21">
      <c r="A963" s="10"/>
      <c r="B963" s="10"/>
      <c r="C963" s="10"/>
      <c r="D963" s="10"/>
      <c r="E963" s="10"/>
      <c r="F963" s="10"/>
      <c r="G963" s="10"/>
      <c r="H963" s="10"/>
      <c r="I963" s="10"/>
      <c r="J963" s="10"/>
      <c r="K963" s="10"/>
      <c r="L963" s="10"/>
      <c r="M963" s="10"/>
      <c r="P963" s="10" t="e">
        <f>VLOOKUP(C963,Table_view_sorted!A$2:A$215,1,FALSE)</f>
        <v>#N/A</v>
      </c>
      <c r="Q963" s="20" t="e">
        <f>VLOOKUP(D963,AVY_FACT!A$2:A$153,1,FALSE)</f>
        <v>#N/A</v>
      </c>
      <c r="R963" s="20" t="str">
        <f>D963&amp;"  "&amp;G963&amp;","</f>
        <v xml:space="preserve">  ,</v>
      </c>
      <c r="S963" s="20"/>
      <c r="T963" s="19" t="s">
        <v>2538</v>
      </c>
      <c r="U963" s="19" t="s">
        <v>1142</v>
      </c>
    </row>
    <row r="964" spans="1:21">
      <c r="A964" s="10"/>
      <c r="B964" s="10"/>
      <c r="C964" s="10"/>
      <c r="D964" s="10"/>
      <c r="E964" s="28"/>
      <c r="F964" s="10"/>
      <c r="G964" s="10"/>
      <c r="H964" s="10"/>
      <c r="I964" s="10"/>
      <c r="J964" s="10"/>
      <c r="K964" s="10"/>
      <c r="L964" s="10"/>
      <c r="M964" s="10"/>
      <c r="P964" s="10" t="e">
        <f>VLOOKUP(C964,Table_view_sorted!A$2:A$215,1,FALSE)</f>
        <v>#N/A</v>
      </c>
      <c r="Q964" t="e">
        <f>VLOOKUP(D964,AVY_FACT!A$2:A$153,1,FALSE)</f>
        <v>#N/A</v>
      </c>
      <c r="R964" t="str">
        <f>D964&amp;"  "&amp;G964&amp;","</f>
        <v xml:space="preserve">  ,</v>
      </c>
      <c r="T964" s="10"/>
      <c r="U964" s="10"/>
    </row>
    <row r="965" spans="1:21">
      <c r="A965" s="10"/>
      <c r="B965" s="10"/>
      <c r="C965" s="10"/>
      <c r="D965" s="10"/>
      <c r="E965" s="28"/>
      <c r="F965" s="10"/>
      <c r="G965" s="10"/>
      <c r="H965" s="10"/>
      <c r="I965" s="10"/>
      <c r="J965" s="10"/>
      <c r="K965" s="10"/>
      <c r="L965" s="10"/>
      <c r="M965" s="10"/>
    </row>
    <row r="966" spans="1:21">
      <c r="A966" s="10"/>
      <c r="B966" s="10"/>
      <c r="C966" s="10"/>
      <c r="D966" s="10"/>
      <c r="E966" s="10"/>
      <c r="F966" s="10"/>
      <c r="G966" s="10"/>
      <c r="H966" s="10"/>
      <c r="I966" s="10"/>
      <c r="J966" s="10"/>
      <c r="K966" s="10"/>
      <c r="L966" s="10"/>
      <c r="M966" s="10"/>
    </row>
    <row r="967" spans="1:21">
      <c r="A967" s="10"/>
      <c r="B967" s="10"/>
      <c r="C967" s="10"/>
      <c r="D967" s="10"/>
      <c r="E967" s="28"/>
      <c r="F967" s="10"/>
      <c r="G967" s="10"/>
      <c r="H967" s="10"/>
      <c r="I967" s="10"/>
      <c r="J967" s="10"/>
      <c r="K967" s="10"/>
      <c r="L967" s="10"/>
      <c r="M967" s="10"/>
    </row>
    <row r="968" spans="1:21">
      <c r="A968" s="10"/>
      <c r="B968" s="10"/>
      <c r="C968" s="10"/>
      <c r="D968" s="10"/>
      <c r="E968" s="28"/>
      <c r="F968" s="10"/>
      <c r="G968" s="10"/>
      <c r="H968" s="10"/>
      <c r="I968" s="10"/>
      <c r="J968" s="10"/>
      <c r="K968" s="10"/>
      <c r="L968" s="10"/>
      <c r="M968" s="10"/>
    </row>
    <row r="969" spans="1:21">
      <c r="A969" s="10"/>
      <c r="B969" s="10"/>
      <c r="C969" s="10"/>
      <c r="D969" s="10"/>
      <c r="E969" s="28"/>
      <c r="F969" s="10"/>
      <c r="G969" s="10"/>
      <c r="H969" s="10"/>
      <c r="I969" s="10"/>
      <c r="J969" s="10"/>
      <c r="K969" s="10"/>
      <c r="L969" s="10"/>
      <c r="M969" s="10"/>
    </row>
    <row r="970" spans="1:21">
      <c r="A970" s="10"/>
      <c r="B970" s="10"/>
      <c r="C970" s="10"/>
      <c r="D970" s="10"/>
      <c r="E970" s="28"/>
      <c r="F970" s="10"/>
      <c r="G970" s="10"/>
      <c r="H970" s="10"/>
      <c r="I970" s="10"/>
      <c r="J970" s="10"/>
      <c r="K970" s="10"/>
      <c r="L970" s="10"/>
      <c r="M970" s="10"/>
    </row>
    <row r="971" spans="1:21">
      <c r="A971" s="10"/>
      <c r="B971" s="10"/>
      <c r="C971" s="10"/>
      <c r="D971" s="10"/>
      <c r="E971" s="10"/>
      <c r="F971" s="10"/>
      <c r="G971" s="10"/>
      <c r="H971" s="10"/>
      <c r="I971" s="10"/>
      <c r="J971" s="10"/>
      <c r="K971" s="10"/>
      <c r="L971" s="10"/>
      <c r="M971" s="10"/>
    </row>
    <row r="972" spans="1:21">
      <c r="A972" s="10"/>
      <c r="B972" s="10"/>
      <c r="C972" s="10"/>
      <c r="D972" s="10"/>
      <c r="E972" s="10"/>
      <c r="F972" s="10"/>
      <c r="G972" s="10"/>
      <c r="H972" s="10"/>
      <c r="I972" s="10"/>
      <c r="J972" s="10"/>
      <c r="K972" s="10"/>
      <c r="L972" s="10"/>
      <c r="M972" s="10"/>
      <c r="N972" s="10"/>
      <c r="O972" s="10"/>
      <c r="P972" s="10" t="e">
        <f>VLOOKUP(C972,Table_view_sorted!A$2:A$215,1,FALSE)</f>
        <v>#N/A</v>
      </c>
      <c r="Q972" t="e">
        <f>VLOOKUP(D972,AVY_FACT!A$2:A$153,1,FALSE)</f>
        <v>#N/A</v>
      </c>
      <c r="R972" t="str">
        <f>D972&amp;"  "&amp;G972&amp;","</f>
        <v xml:space="preserve">  ,</v>
      </c>
      <c r="T972" s="10"/>
      <c r="U972" s="10"/>
    </row>
    <row r="973" spans="1:21">
      <c r="A973" s="10"/>
      <c r="B973" s="10"/>
      <c r="C973" s="10"/>
      <c r="D973" s="10"/>
      <c r="E973" s="10"/>
      <c r="F973" s="10"/>
      <c r="G973" s="10"/>
      <c r="H973" s="10"/>
      <c r="I973" s="10"/>
      <c r="J973" s="10"/>
      <c r="K973" s="10"/>
      <c r="L973" s="10"/>
      <c r="M973" s="10"/>
      <c r="N973" s="10"/>
      <c r="O973" s="10"/>
      <c r="P973" s="10" t="e">
        <f>VLOOKUP(C973,Table_view_sorted!A$2:A$215,1,FALSE)</f>
        <v>#N/A</v>
      </c>
      <c r="Q973" t="e">
        <f>VLOOKUP(D973,AVY_FACT!A$2:A$153,1,FALSE)</f>
        <v>#N/A</v>
      </c>
      <c r="R973" t="str">
        <f>D973&amp;"  "&amp;G973&amp;","</f>
        <v xml:space="preserve">  ,</v>
      </c>
      <c r="T973" s="10"/>
      <c r="U973" s="10"/>
    </row>
    <row r="974" spans="1:21">
      <c r="A974" s="10"/>
      <c r="B974" s="10"/>
      <c r="C974" s="10"/>
      <c r="D974" s="10"/>
      <c r="E974" s="10"/>
      <c r="F974" s="10"/>
      <c r="G974" s="10"/>
      <c r="H974" s="10"/>
      <c r="I974" s="10"/>
      <c r="J974" s="10"/>
      <c r="K974" s="10"/>
      <c r="L974" s="10"/>
      <c r="M974" s="10"/>
    </row>
    <row r="975" spans="1:21">
      <c r="A975" s="10"/>
      <c r="B975" s="10"/>
      <c r="C975" s="10"/>
      <c r="D975" s="10"/>
      <c r="E975" s="28"/>
      <c r="F975" s="10"/>
      <c r="G975" s="10"/>
      <c r="H975" s="10"/>
      <c r="I975" s="10"/>
      <c r="J975" s="10"/>
      <c r="K975" s="10"/>
      <c r="L975" s="10"/>
      <c r="M975" s="10"/>
    </row>
    <row r="976" spans="1:21">
      <c r="A976" s="10"/>
      <c r="B976" s="10"/>
      <c r="C976" s="10"/>
      <c r="D976" s="10"/>
      <c r="E976" s="28"/>
      <c r="F976" s="10"/>
      <c r="G976" s="10"/>
      <c r="H976" s="10"/>
      <c r="I976" s="10"/>
      <c r="J976" s="10"/>
      <c r="K976" s="10"/>
      <c r="L976" s="10"/>
      <c r="M976" s="10"/>
      <c r="P976" s="10" t="e">
        <f>VLOOKUP(C976,Table_view_sorted!A$2:A$215,1,FALSE)</f>
        <v>#N/A</v>
      </c>
      <c r="Q976" s="22" t="e">
        <f>VLOOKUP(D976,AVY_FACT!A$2:A$153,1,FALSE)</f>
        <v>#N/A</v>
      </c>
      <c r="R976" s="22" t="str">
        <f>D976&amp;"  "&amp;G976&amp;","</f>
        <v xml:space="preserve">  ,</v>
      </c>
      <c r="S976" s="22"/>
      <c r="T976" s="21" t="s">
        <v>2515</v>
      </c>
      <c r="U976" s="21" t="s">
        <v>1142</v>
      </c>
    </row>
    <row r="977" spans="1:21">
      <c r="A977" s="10"/>
      <c r="B977" s="10"/>
      <c r="C977" s="10"/>
      <c r="D977" s="10"/>
      <c r="E977" s="28"/>
      <c r="F977" s="10"/>
      <c r="G977" s="10"/>
      <c r="H977" s="10"/>
      <c r="I977" s="10"/>
      <c r="J977" s="10"/>
      <c r="K977" s="10"/>
      <c r="L977" s="10"/>
      <c r="M977" s="10"/>
    </row>
    <row r="978" spans="1:21">
      <c r="A978" s="10"/>
      <c r="B978" s="10"/>
      <c r="C978" s="10"/>
      <c r="D978" s="10"/>
      <c r="E978" s="28"/>
      <c r="F978" s="10"/>
      <c r="G978" s="10"/>
      <c r="H978" s="10"/>
      <c r="I978" s="10"/>
      <c r="J978" s="10"/>
      <c r="K978" s="10"/>
      <c r="L978" s="10"/>
      <c r="M978" s="10"/>
    </row>
    <row r="979" spans="1:21">
      <c r="A979" s="10"/>
      <c r="B979" s="10"/>
      <c r="C979" s="10"/>
      <c r="D979" s="10"/>
      <c r="E979" s="28"/>
      <c r="F979" s="10"/>
      <c r="G979" s="10"/>
      <c r="H979" s="10"/>
      <c r="I979" s="10"/>
      <c r="J979" s="10"/>
      <c r="K979" s="10"/>
      <c r="L979" s="10"/>
      <c r="M979" s="10"/>
    </row>
    <row r="980" spans="1:21">
      <c r="A980" s="10"/>
      <c r="B980" s="10"/>
      <c r="C980" s="10"/>
      <c r="D980" s="10"/>
      <c r="E980" s="28"/>
      <c r="F980" s="10"/>
      <c r="G980" s="10"/>
      <c r="H980" s="10"/>
      <c r="I980" s="10"/>
      <c r="J980" s="10"/>
      <c r="K980" s="10"/>
      <c r="L980" s="10"/>
      <c r="M980" s="10"/>
    </row>
    <row r="981" spans="1:21">
      <c r="A981" s="10"/>
      <c r="B981" s="10"/>
      <c r="C981" s="10"/>
      <c r="D981" s="10"/>
      <c r="E981" s="28"/>
      <c r="F981" s="10"/>
      <c r="G981" s="10"/>
      <c r="H981" s="10"/>
      <c r="I981" s="10"/>
      <c r="J981" s="10"/>
      <c r="K981" s="10"/>
      <c r="L981" s="10"/>
      <c r="M981" s="10"/>
      <c r="N981" s="10"/>
      <c r="O981" s="10"/>
      <c r="P981" s="10" t="e">
        <f>VLOOKUP(C981,Table_view_sorted!A$2:A$215,1,FALSE)</f>
        <v>#N/A</v>
      </c>
      <c r="Q981" t="e">
        <f>VLOOKUP(D981,AVY_FACT!A$2:A$153,1,FALSE)</f>
        <v>#N/A</v>
      </c>
      <c r="R981" t="str">
        <f>D981&amp;"  "&amp;G981&amp;","</f>
        <v xml:space="preserve">  ,</v>
      </c>
      <c r="T981" s="10"/>
      <c r="U981" s="10"/>
    </row>
    <row r="982" spans="1:21">
      <c r="A982" s="10"/>
      <c r="B982" s="10"/>
      <c r="C982" s="10"/>
      <c r="D982" s="10"/>
      <c r="E982" s="28"/>
      <c r="F982" s="10"/>
      <c r="G982" s="10"/>
      <c r="H982" s="10"/>
      <c r="I982" s="10"/>
      <c r="J982" s="10"/>
      <c r="K982" s="10"/>
      <c r="L982" s="10"/>
      <c r="M982" s="10"/>
    </row>
    <row r="983" spans="1:21">
      <c r="A983" s="10"/>
      <c r="B983" s="10"/>
      <c r="C983" s="10"/>
      <c r="D983" s="10"/>
      <c r="E983" s="28"/>
      <c r="F983" s="10"/>
      <c r="G983" s="10"/>
      <c r="H983" s="10"/>
      <c r="I983" s="10"/>
      <c r="J983" s="10"/>
      <c r="K983" s="10"/>
      <c r="L983" s="10"/>
      <c r="M983" s="10"/>
    </row>
    <row r="984" spans="1:21">
      <c r="A984" s="10"/>
      <c r="B984" s="10"/>
      <c r="C984" s="10"/>
      <c r="D984" s="10"/>
      <c r="E984" s="28"/>
      <c r="F984" s="10"/>
      <c r="G984" s="10"/>
      <c r="H984" s="10"/>
      <c r="I984" s="10"/>
      <c r="J984" s="10"/>
      <c r="K984" s="10"/>
      <c r="L984" s="10"/>
      <c r="M984" s="10"/>
    </row>
    <row r="985" spans="1:21">
      <c r="A985" s="10"/>
      <c r="B985" s="10"/>
      <c r="C985" s="10"/>
      <c r="D985" s="10"/>
      <c r="E985" s="28"/>
      <c r="F985" s="10"/>
      <c r="G985" s="10"/>
      <c r="H985" s="10"/>
      <c r="I985" s="10"/>
      <c r="J985" s="10"/>
      <c r="K985" s="10"/>
      <c r="L985" s="10"/>
      <c r="M985" s="10"/>
    </row>
    <row r="986" spans="1:21">
      <c r="A986" s="10"/>
      <c r="B986" s="10"/>
      <c r="C986" s="10"/>
      <c r="D986" s="10"/>
      <c r="E986" s="28"/>
      <c r="F986" s="10"/>
      <c r="G986" s="10"/>
      <c r="H986" s="10"/>
      <c r="I986" s="10"/>
      <c r="J986" s="10"/>
      <c r="K986" s="10"/>
      <c r="L986" s="10"/>
      <c r="M986" s="10"/>
    </row>
    <row r="987" spans="1:21">
      <c r="A987" s="10"/>
      <c r="B987" s="10"/>
      <c r="C987" s="10"/>
      <c r="D987" s="10"/>
      <c r="E987" s="28"/>
      <c r="F987" s="10"/>
      <c r="G987" s="10"/>
      <c r="H987" s="10"/>
      <c r="I987" s="10"/>
      <c r="J987" s="10"/>
      <c r="K987" s="10"/>
      <c r="L987" s="10"/>
      <c r="M987" s="10"/>
    </row>
    <row r="988" spans="1:21">
      <c r="A988" s="10"/>
      <c r="B988" s="10"/>
      <c r="C988" s="10"/>
      <c r="D988" s="10"/>
      <c r="E988" s="28"/>
      <c r="F988" s="10"/>
      <c r="G988" s="10"/>
      <c r="H988" s="10"/>
      <c r="I988" s="10"/>
      <c r="J988" s="10"/>
      <c r="K988" s="10"/>
      <c r="L988" s="10"/>
      <c r="M988" s="10"/>
    </row>
    <row r="989" spans="1:21">
      <c r="A989" s="10"/>
      <c r="B989" s="10"/>
      <c r="C989" s="10"/>
      <c r="D989" s="10"/>
      <c r="E989" s="28"/>
      <c r="F989" s="10"/>
      <c r="G989" s="10"/>
      <c r="H989" s="10"/>
      <c r="I989" s="10"/>
      <c r="J989" s="10"/>
      <c r="K989" s="10"/>
      <c r="L989" s="10"/>
      <c r="M989" s="10"/>
    </row>
    <row r="990" spans="1:21">
      <c r="A990" s="10"/>
      <c r="B990" s="10"/>
      <c r="C990" s="10"/>
      <c r="D990" s="10"/>
      <c r="E990" s="28"/>
      <c r="F990" s="10"/>
      <c r="G990" s="10"/>
      <c r="H990" s="10"/>
      <c r="I990" s="10"/>
      <c r="J990" s="10"/>
      <c r="K990" s="10"/>
      <c r="L990" s="10"/>
      <c r="M990" s="10"/>
    </row>
    <row r="991" spans="1:21">
      <c r="A991" s="10"/>
      <c r="B991" s="10"/>
      <c r="C991" s="10"/>
      <c r="D991" s="10"/>
      <c r="E991" s="28"/>
      <c r="F991" s="10"/>
      <c r="G991" s="10"/>
      <c r="H991" s="10"/>
      <c r="I991" s="10"/>
      <c r="J991" s="10"/>
      <c r="K991" s="10"/>
      <c r="L991" s="10"/>
      <c r="M991" s="10"/>
    </row>
    <row r="992" spans="1:21">
      <c r="A992" s="10"/>
      <c r="B992" s="10"/>
      <c r="C992" s="10"/>
      <c r="D992" s="10"/>
      <c r="E992" s="10"/>
      <c r="F992" s="10"/>
      <c r="G992" s="10"/>
      <c r="H992" s="10"/>
      <c r="I992" s="10"/>
      <c r="J992" s="10"/>
      <c r="K992" s="10"/>
      <c r="L992" s="10"/>
      <c r="M992" s="10"/>
    </row>
    <row r="993" spans="1:13">
      <c r="A993" s="10"/>
      <c r="B993" s="10"/>
      <c r="C993" s="10"/>
      <c r="D993" s="10"/>
      <c r="E993" s="10"/>
      <c r="F993" s="10"/>
      <c r="G993" s="10"/>
      <c r="H993" s="10"/>
      <c r="I993" s="10"/>
      <c r="J993" s="10"/>
      <c r="K993" s="10"/>
      <c r="L993" s="10"/>
      <c r="M993" s="10"/>
    </row>
    <row r="994" spans="1:13">
      <c r="A994" s="10"/>
      <c r="B994" s="10"/>
      <c r="C994" s="10"/>
      <c r="D994" s="10"/>
      <c r="E994" s="10"/>
      <c r="F994" s="10"/>
      <c r="G994" s="10"/>
      <c r="H994" s="10"/>
      <c r="I994" s="10"/>
      <c r="J994" s="10"/>
      <c r="K994" s="10"/>
      <c r="L994" s="10"/>
      <c r="M994" s="10"/>
    </row>
    <row r="995" spans="1:13">
      <c r="A995" s="10"/>
      <c r="B995" s="10"/>
      <c r="C995" s="10"/>
      <c r="D995" s="10"/>
      <c r="E995" s="10"/>
      <c r="F995" s="10"/>
      <c r="G995" s="10"/>
      <c r="H995" s="10"/>
      <c r="I995" s="10"/>
      <c r="J995" s="10"/>
      <c r="K995" s="10"/>
      <c r="L995" s="10"/>
      <c r="M995" s="10"/>
    </row>
    <row r="996" spans="1:13">
      <c r="A996" s="10"/>
      <c r="B996" s="10"/>
      <c r="C996" s="10"/>
      <c r="D996" s="10"/>
      <c r="E996" s="10"/>
      <c r="F996" s="10"/>
      <c r="G996" s="10"/>
      <c r="H996" s="10"/>
      <c r="I996" s="10"/>
      <c r="J996" s="10"/>
      <c r="K996" s="10"/>
      <c r="L996" s="10"/>
      <c r="M996" s="10"/>
    </row>
    <row r="997" spans="1:13">
      <c r="A997" s="10"/>
      <c r="B997" s="10"/>
      <c r="C997" s="10"/>
      <c r="D997" s="10"/>
      <c r="E997" s="28"/>
      <c r="F997" s="10"/>
      <c r="G997" s="10"/>
      <c r="H997" s="10"/>
      <c r="I997" s="10"/>
      <c r="J997" s="10"/>
      <c r="K997" s="10"/>
      <c r="L997" s="10"/>
      <c r="M997" s="10"/>
    </row>
    <row r="998" spans="1:13">
      <c r="A998" s="10"/>
      <c r="B998" s="10"/>
      <c r="C998" s="10"/>
      <c r="D998" s="10"/>
      <c r="E998" s="28"/>
      <c r="F998" s="10"/>
      <c r="G998" s="10"/>
      <c r="H998" s="10"/>
      <c r="I998" s="10"/>
      <c r="J998" s="10"/>
      <c r="K998" s="10"/>
      <c r="L998" s="10"/>
      <c r="M998" s="10"/>
    </row>
    <row r="999" spans="1:13">
      <c r="A999" s="10"/>
      <c r="B999" s="10"/>
      <c r="C999" s="10"/>
      <c r="D999" s="10"/>
      <c r="E999" s="28"/>
      <c r="F999" s="10"/>
      <c r="G999" s="10"/>
      <c r="H999" s="10"/>
      <c r="I999" s="10"/>
      <c r="J999" s="10"/>
      <c r="K999" s="10"/>
      <c r="L999" s="10"/>
      <c r="M999" s="10"/>
    </row>
    <row r="1000" spans="1:13">
      <c r="A1000" s="10"/>
      <c r="B1000" s="10"/>
      <c r="C1000" s="10"/>
      <c r="D1000" s="10"/>
      <c r="E1000" s="10"/>
      <c r="F1000" s="10"/>
      <c r="G1000" s="10"/>
      <c r="H1000" s="10"/>
      <c r="I1000" s="10"/>
      <c r="J1000" s="10"/>
      <c r="K1000" s="10"/>
      <c r="L1000" s="10"/>
      <c r="M1000" s="10"/>
    </row>
    <row r="1001" spans="1:13">
      <c r="A1001" s="10"/>
      <c r="B1001" s="10"/>
      <c r="C1001" s="10"/>
      <c r="D1001" s="10"/>
      <c r="E1001" s="10"/>
      <c r="F1001" s="10"/>
      <c r="G1001" s="10"/>
      <c r="H1001" s="10"/>
      <c r="I1001" s="10"/>
      <c r="J1001" s="10"/>
      <c r="K1001" s="10"/>
      <c r="L1001" s="10"/>
      <c r="M1001" s="10"/>
    </row>
    <row r="1002" spans="1:13">
      <c r="A1002" s="10"/>
      <c r="B1002" s="10"/>
      <c r="C1002" s="10"/>
      <c r="D1002" s="10"/>
      <c r="E1002" s="10"/>
      <c r="F1002" s="10"/>
      <c r="G1002" s="10"/>
      <c r="H1002" s="10"/>
      <c r="I1002" s="10"/>
      <c r="J1002" s="10"/>
      <c r="K1002" s="10"/>
      <c r="L1002" s="10"/>
      <c r="M1002" s="10"/>
    </row>
    <row r="1003" spans="1:13">
      <c r="A1003" s="10"/>
      <c r="B1003" s="10"/>
      <c r="C1003" s="10"/>
      <c r="D1003" s="10"/>
      <c r="E1003" s="10"/>
      <c r="F1003" s="10"/>
      <c r="G1003" s="10"/>
      <c r="H1003" s="10"/>
      <c r="I1003" s="10"/>
      <c r="J1003" s="10"/>
      <c r="K1003" s="10"/>
      <c r="L1003" s="10"/>
      <c r="M1003" s="10"/>
    </row>
    <row r="1004" spans="1:13">
      <c r="A1004" s="10"/>
      <c r="B1004" s="10"/>
      <c r="C1004" s="10"/>
      <c r="D1004" s="10"/>
      <c r="E1004" s="10"/>
      <c r="F1004" s="10"/>
      <c r="G1004" s="10"/>
      <c r="H1004" s="10"/>
      <c r="I1004" s="10"/>
      <c r="J1004" s="10"/>
      <c r="K1004" s="10"/>
      <c r="L1004" s="10"/>
      <c r="M1004" s="10"/>
    </row>
    <row r="1005" spans="1:13">
      <c r="A1005" s="10"/>
      <c r="B1005" s="10"/>
      <c r="C1005" s="10"/>
      <c r="D1005" s="10"/>
      <c r="E1005" s="10"/>
      <c r="F1005" s="10"/>
      <c r="G1005" s="10"/>
      <c r="H1005" s="10"/>
      <c r="I1005" s="10"/>
      <c r="J1005" s="10"/>
      <c r="K1005" s="10"/>
      <c r="L1005" s="10"/>
      <c r="M1005" s="10"/>
    </row>
    <row r="1006" spans="1:13">
      <c r="A1006" s="10"/>
      <c r="B1006" s="10"/>
      <c r="C1006" s="10"/>
      <c r="D1006" s="10"/>
      <c r="E1006" s="10"/>
      <c r="F1006" s="10"/>
      <c r="G1006" s="10"/>
      <c r="H1006" s="10"/>
      <c r="I1006" s="10"/>
      <c r="J1006" s="10"/>
      <c r="K1006" s="10"/>
      <c r="L1006" s="10"/>
      <c r="M1006" s="10"/>
    </row>
    <row r="1007" spans="1:13">
      <c r="A1007" s="10"/>
      <c r="B1007" s="10"/>
      <c r="C1007" s="10"/>
      <c r="D1007" s="10"/>
      <c r="E1007" s="10"/>
      <c r="F1007" s="10"/>
      <c r="G1007" s="10"/>
      <c r="H1007" s="10"/>
      <c r="I1007" s="10"/>
      <c r="J1007" s="10"/>
      <c r="K1007" s="10"/>
      <c r="L1007" s="10"/>
      <c r="M1007" s="10"/>
    </row>
    <row r="1008" spans="1:13">
      <c r="A1008" s="10"/>
      <c r="B1008" s="10"/>
      <c r="C1008" s="10"/>
      <c r="D1008" s="10"/>
      <c r="E1008" s="10"/>
      <c r="F1008" s="10"/>
      <c r="G1008" s="10"/>
      <c r="H1008" s="10"/>
      <c r="I1008" s="10"/>
      <c r="J1008" s="10"/>
      <c r="K1008" s="10"/>
      <c r="L1008" s="10"/>
      <c r="M1008" s="10"/>
    </row>
    <row r="1009" spans="1:13">
      <c r="A1009" s="10"/>
      <c r="B1009" s="10"/>
      <c r="C1009" s="10"/>
      <c r="D1009" s="10"/>
      <c r="E1009" s="10"/>
      <c r="F1009" s="10"/>
      <c r="G1009" s="10"/>
      <c r="H1009" s="10"/>
      <c r="I1009" s="10"/>
      <c r="J1009" s="10"/>
      <c r="K1009" s="10"/>
      <c r="L1009" s="10"/>
      <c r="M1009" s="10"/>
    </row>
    <row r="1010" spans="1:13">
      <c r="A1010" s="10"/>
      <c r="B1010" s="10"/>
      <c r="C1010" s="10"/>
      <c r="D1010" s="10"/>
      <c r="E1010" s="10"/>
      <c r="F1010" s="10"/>
      <c r="G1010" s="10"/>
      <c r="H1010" s="10"/>
      <c r="I1010" s="10"/>
      <c r="J1010" s="10"/>
      <c r="K1010" s="10"/>
      <c r="L1010" s="10"/>
      <c r="M1010" s="10"/>
    </row>
    <row r="1011" spans="1:13">
      <c r="A1011" s="10"/>
      <c r="B1011" s="10"/>
      <c r="C1011" s="10"/>
      <c r="D1011" s="10"/>
      <c r="E1011" s="10"/>
      <c r="F1011" s="10"/>
      <c r="G1011" s="10"/>
      <c r="H1011" s="10"/>
      <c r="I1011" s="10"/>
      <c r="J1011" s="10"/>
      <c r="K1011" s="10"/>
      <c r="L1011" s="10"/>
      <c r="M1011" s="10"/>
    </row>
    <row r="1012" spans="1:13">
      <c r="A1012" s="10"/>
      <c r="B1012" s="10"/>
      <c r="C1012" s="10"/>
      <c r="D1012" s="10"/>
      <c r="E1012" s="10"/>
      <c r="F1012" s="10"/>
      <c r="G1012" s="10"/>
      <c r="H1012" s="10"/>
      <c r="I1012" s="10"/>
      <c r="J1012" s="10"/>
      <c r="K1012" s="10"/>
      <c r="L1012" s="10"/>
      <c r="M1012" s="10"/>
    </row>
    <row r="1013" spans="1:13">
      <c r="A1013" s="10"/>
      <c r="B1013" s="10"/>
      <c r="C1013" s="10"/>
      <c r="D1013" s="10"/>
      <c r="E1013" s="28"/>
      <c r="F1013" s="10"/>
      <c r="G1013" s="10"/>
      <c r="H1013" s="10"/>
      <c r="I1013" s="10"/>
      <c r="J1013" s="10"/>
      <c r="K1013" s="10"/>
      <c r="L1013" s="10"/>
      <c r="M1013" s="10"/>
    </row>
    <row r="1014" spans="1:13">
      <c r="A1014" s="10"/>
      <c r="B1014" s="10"/>
      <c r="C1014" s="10"/>
      <c r="D1014" s="10"/>
      <c r="E1014" s="10"/>
      <c r="F1014" s="10"/>
      <c r="G1014" s="10"/>
      <c r="H1014" s="10"/>
      <c r="I1014" s="10"/>
      <c r="J1014" s="10"/>
      <c r="K1014" s="10"/>
      <c r="L1014" s="10"/>
      <c r="M1014" s="10"/>
    </row>
    <row r="1015" spans="1:13">
      <c r="A1015" s="10"/>
      <c r="B1015" s="10"/>
      <c r="C1015" s="10"/>
      <c r="D1015" s="10"/>
      <c r="E1015" s="10"/>
      <c r="F1015" s="10"/>
      <c r="G1015" s="10"/>
      <c r="H1015" s="10"/>
      <c r="I1015" s="10"/>
      <c r="J1015" s="10"/>
      <c r="K1015" s="10"/>
      <c r="L1015" s="10"/>
      <c r="M1015" s="10"/>
    </row>
    <row r="1016" spans="1:13">
      <c r="A1016" s="10"/>
      <c r="B1016" s="10"/>
      <c r="C1016" s="10"/>
      <c r="D1016" s="10"/>
      <c r="E1016" s="10"/>
      <c r="F1016" s="10"/>
      <c r="G1016" s="10"/>
      <c r="H1016" s="10"/>
      <c r="I1016" s="10"/>
      <c r="J1016" s="10"/>
      <c r="K1016" s="10"/>
      <c r="L1016" s="10"/>
      <c r="M1016" s="10"/>
    </row>
    <row r="1017" spans="1:13">
      <c r="A1017" s="10"/>
      <c r="B1017" s="10"/>
      <c r="C1017" s="10"/>
      <c r="D1017" s="10"/>
      <c r="E1017" s="10"/>
      <c r="F1017" s="10"/>
      <c r="G1017" s="10"/>
      <c r="H1017" s="10"/>
      <c r="I1017" s="10"/>
      <c r="J1017" s="10"/>
      <c r="K1017" s="10"/>
      <c r="L1017" s="10"/>
      <c r="M1017" s="10"/>
    </row>
    <row r="1018" spans="1:13">
      <c r="A1018" s="10"/>
      <c r="B1018" s="10"/>
      <c r="C1018" s="10"/>
      <c r="D1018" s="10"/>
      <c r="E1018" s="10"/>
      <c r="F1018" s="10"/>
      <c r="G1018" s="10"/>
      <c r="H1018" s="10"/>
      <c r="I1018" s="10"/>
      <c r="J1018" s="10"/>
      <c r="K1018" s="10"/>
      <c r="L1018" s="10"/>
      <c r="M1018" s="10"/>
    </row>
    <row r="1019" spans="1:13">
      <c r="A1019" s="10"/>
      <c r="B1019" s="10"/>
      <c r="C1019" s="10"/>
      <c r="D1019" s="10"/>
      <c r="E1019" s="10"/>
      <c r="F1019" s="10"/>
      <c r="G1019" s="10"/>
      <c r="H1019" s="10"/>
      <c r="I1019" s="10"/>
      <c r="J1019" s="10"/>
      <c r="K1019" s="10"/>
      <c r="L1019" s="10"/>
      <c r="M1019" s="10"/>
    </row>
    <row r="1020" spans="1:13">
      <c r="A1020" s="10"/>
      <c r="B1020" s="10"/>
      <c r="C1020" s="10"/>
      <c r="D1020" s="10"/>
      <c r="E1020" s="10"/>
      <c r="F1020" s="10"/>
      <c r="G1020" s="10"/>
      <c r="H1020" s="10"/>
      <c r="I1020" s="10"/>
      <c r="J1020" s="10"/>
      <c r="K1020" s="10"/>
      <c r="L1020" s="10"/>
      <c r="M1020" s="10"/>
    </row>
    <row r="1021" spans="1:13">
      <c r="A1021" s="10"/>
      <c r="B1021" s="10"/>
      <c r="C1021" s="10"/>
      <c r="D1021" s="10"/>
      <c r="E1021" s="10"/>
      <c r="F1021" s="10"/>
      <c r="G1021" s="10"/>
      <c r="H1021" s="10"/>
      <c r="I1021" s="10"/>
      <c r="J1021" s="10"/>
      <c r="K1021" s="10"/>
      <c r="L1021" s="10"/>
      <c r="M1021" s="10"/>
    </row>
    <row r="1022" spans="1:13">
      <c r="A1022" s="10"/>
      <c r="B1022" s="10"/>
      <c r="C1022" s="10"/>
      <c r="D1022" s="10"/>
      <c r="E1022" s="10"/>
      <c r="F1022" s="10"/>
      <c r="G1022" s="10"/>
      <c r="H1022" s="10"/>
      <c r="I1022" s="10"/>
      <c r="J1022" s="10"/>
      <c r="K1022" s="10"/>
      <c r="L1022" s="10"/>
      <c r="M1022" s="10"/>
    </row>
    <row r="1023" spans="1:13">
      <c r="A1023" s="10"/>
      <c r="B1023" s="10"/>
      <c r="C1023" s="10"/>
      <c r="D1023" s="10"/>
      <c r="E1023" s="10"/>
      <c r="F1023" s="10"/>
      <c r="G1023" s="10"/>
      <c r="H1023" s="10"/>
      <c r="I1023" s="10"/>
      <c r="J1023" s="10"/>
      <c r="K1023" s="10"/>
      <c r="L1023" s="10"/>
      <c r="M1023" s="10"/>
    </row>
    <row r="1024" spans="1:13">
      <c r="A1024" s="10"/>
      <c r="B1024" s="10"/>
      <c r="C1024" s="10"/>
      <c r="D1024" s="10"/>
      <c r="E1024" s="10"/>
      <c r="F1024" s="10"/>
      <c r="G1024" s="10"/>
      <c r="H1024" s="10"/>
      <c r="I1024" s="10"/>
      <c r="J1024" s="10"/>
      <c r="K1024" s="10"/>
      <c r="L1024" s="10"/>
      <c r="M1024" s="10"/>
    </row>
    <row r="1025" spans="1:13">
      <c r="A1025" s="10"/>
      <c r="B1025" s="10"/>
      <c r="C1025" s="10"/>
      <c r="D1025" s="10"/>
      <c r="E1025" s="10"/>
      <c r="F1025" s="10"/>
      <c r="G1025" s="10"/>
      <c r="H1025" s="10"/>
      <c r="I1025" s="10"/>
      <c r="J1025" s="10"/>
      <c r="K1025" s="10"/>
      <c r="L1025" s="10"/>
      <c r="M1025" s="10"/>
    </row>
    <row r="1026" spans="1:13">
      <c r="A1026" s="10"/>
      <c r="B1026" s="10"/>
      <c r="C1026" s="10"/>
      <c r="D1026" s="10"/>
      <c r="E1026" s="10"/>
      <c r="F1026" s="10"/>
      <c r="G1026" s="10"/>
      <c r="H1026" s="10"/>
      <c r="I1026" s="10"/>
      <c r="J1026" s="10"/>
      <c r="K1026" s="10"/>
      <c r="L1026" s="10"/>
      <c r="M1026" s="10"/>
    </row>
    <row r="1027" spans="1:13">
      <c r="A1027" s="10"/>
      <c r="B1027" s="10"/>
      <c r="C1027" s="10"/>
      <c r="D1027" s="10"/>
      <c r="E1027" s="10"/>
      <c r="F1027" s="10"/>
      <c r="G1027" s="10"/>
      <c r="H1027" s="10"/>
      <c r="I1027" s="10"/>
      <c r="J1027" s="10"/>
      <c r="K1027" s="10"/>
      <c r="L1027" s="10"/>
      <c r="M1027" s="10"/>
    </row>
    <row r="1028" spans="1:13">
      <c r="A1028" s="10"/>
      <c r="B1028" s="10"/>
      <c r="C1028" s="10"/>
      <c r="D1028" s="10"/>
      <c r="E1028" s="10"/>
      <c r="F1028" s="10"/>
      <c r="G1028" s="10"/>
      <c r="H1028" s="10"/>
      <c r="I1028" s="10"/>
      <c r="J1028" s="10"/>
      <c r="K1028" s="10"/>
      <c r="L1028" s="10"/>
      <c r="M1028" s="10"/>
    </row>
    <row r="1029" spans="1:13">
      <c r="A1029" s="10"/>
      <c r="B1029" s="10"/>
      <c r="C1029" s="10"/>
      <c r="D1029" s="10"/>
      <c r="E1029" s="10"/>
      <c r="F1029" s="10"/>
      <c r="G1029" s="10"/>
      <c r="H1029" s="10"/>
      <c r="I1029" s="10"/>
      <c r="J1029" s="10"/>
      <c r="K1029" s="10"/>
      <c r="L1029" s="10"/>
      <c r="M1029" s="10"/>
    </row>
    <row r="1030" spans="1:13">
      <c r="A1030" s="10"/>
      <c r="B1030" s="10"/>
      <c r="C1030" s="10"/>
      <c r="D1030" s="10"/>
      <c r="E1030" s="10"/>
      <c r="F1030" s="10"/>
      <c r="G1030" s="10"/>
      <c r="H1030" s="10"/>
      <c r="I1030" s="10"/>
      <c r="J1030" s="10"/>
      <c r="K1030" s="10"/>
      <c r="L1030" s="10"/>
      <c r="M1030" s="10"/>
    </row>
    <row r="1031" spans="1:13">
      <c r="A1031" s="10"/>
      <c r="B1031" s="10"/>
      <c r="C1031" s="10"/>
      <c r="D1031" s="10"/>
      <c r="E1031" s="10"/>
      <c r="F1031" s="10"/>
      <c r="G1031" s="10"/>
      <c r="H1031" s="10"/>
      <c r="I1031" s="10"/>
      <c r="J1031" s="10"/>
      <c r="K1031" s="10"/>
      <c r="L1031" s="10"/>
      <c r="M1031" s="10"/>
    </row>
    <row r="1032" spans="1:13">
      <c r="A1032" s="10"/>
      <c r="B1032" s="10"/>
      <c r="C1032" s="10"/>
      <c r="D1032" s="10"/>
      <c r="E1032" s="10"/>
      <c r="F1032" s="10"/>
      <c r="G1032" s="10"/>
      <c r="H1032" s="10"/>
      <c r="I1032" s="10"/>
      <c r="J1032" s="10"/>
      <c r="K1032" s="10"/>
      <c r="L1032" s="10"/>
      <c r="M1032" s="10"/>
    </row>
    <row r="1033" spans="1:13">
      <c r="A1033" s="10"/>
      <c r="B1033" s="10"/>
      <c r="C1033" s="10"/>
      <c r="D1033" s="10"/>
      <c r="E1033" s="10"/>
      <c r="F1033" s="10"/>
      <c r="G1033" s="10"/>
      <c r="H1033" s="10"/>
      <c r="I1033" s="10"/>
      <c r="J1033" s="10"/>
      <c r="K1033" s="10"/>
      <c r="L1033" s="10"/>
      <c r="M1033" s="10"/>
    </row>
    <row r="1034" spans="1:13">
      <c r="A1034" s="10"/>
      <c r="B1034" s="10"/>
      <c r="C1034" s="10"/>
      <c r="D1034" s="10"/>
      <c r="E1034" s="10"/>
      <c r="F1034" s="10"/>
      <c r="G1034" s="10"/>
      <c r="H1034" s="10"/>
      <c r="I1034" s="10"/>
      <c r="J1034" s="10"/>
      <c r="K1034" s="10"/>
      <c r="L1034" s="10"/>
      <c r="M1034" s="10"/>
    </row>
    <row r="1035" spans="1:13">
      <c r="A1035" s="10"/>
      <c r="B1035" s="10"/>
      <c r="C1035" s="10"/>
      <c r="D1035" s="10"/>
      <c r="E1035" s="10"/>
      <c r="F1035" s="10"/>
      <c r="G1035" s="10"/>
      <c r="H1035" s="10"/>
      <c r="I1035" s="10"/>
      <c r="J1035" s="10"/>
      <c r="K1035" s="10"/>
      <c r="L1035" s="10"/>
      <c r="M1035" s="10"/>
    </row>
    <row r="1036" spans="1:13">
      <c r="A1036" s="10"/>
      <c r="B1036" s="10"/>
      <c r="C1036" s="10"/>
      <c r="D1036" s="10"/>
      <c r="E1036" s="10"/>
      <c r="F1036" s="10"/>
      <c r="G1036" s="10"/>
      <c r="H1036" s="10"/>
      <c r="I1036" s="10"/>
      <c r="J1036" s="10"/>
      <c r="K1036" s="10"/>
      <c r="L1036" s="10"/>
      <c r="M1036" s="10"/>
    </row>
    <row r="1037" spans="1:13">
      <c r="A1037" s="10"/>
      <c r="B1037" s="10"/>
      <c r="C1037" s="10"/>
      <c r="D1037" s="10"/>
      <c r="E1037" s="10"/>
      <c r="F1037" s="10"/>
      <c r="G1037" s="10"/>
      <c r="H1037" s="10"/>
      <c r="I1037" s="10"/>
      <c r="J1037" s="10"/>
      <c r="K1037" s="10"/>
      <c r="L1037" s="10"/>
      <c r="M1037" s="10"/>
    </row>
    <row r="1038" spans="1:13">
      <c r="A1038" s="10"/>
      <c r="B1038" s="10"/>
      <c r="C1038" s="10"/>
      <c r="D1038" s="10"/>
      <c r="E1038" s="10"/>
      <c r="F1038" s="10"/>
      <c r="G1038" s="10"/>
      <c r="H1038" s="10"/>
      <c r="I1038" s="10"/>
      <c r="J1038" s="10"/>
      <c r="K1038" s="10"/>
      <c r="L1038" s="10"/>
      <c r="M1038" s="10"/>
    </row>
    <row r="1039" spans="1:13">
      <c r="A1039" s="10"/>
      <c r="B1039" s="10"/>
      <c r="C1039" s="10"/>
      <c r="D1039" s="10"/>
      <c r="E1039" s="10"/>
      <c r="F1039" s="10"/>
      <c r="G1039" s="10"/>
      <c r="H1039" s="10"/>
      <c r="I1039" s="10"/>
      <c r="J1039" s="10"/>
      <c r="K1039" s="10"/>
      <c r="L1039" s="10"/>
      <c r="M1039" s="10"/>
    </row>
    <row r="1040" spans="1:13">
      <c r="A1040" s="10"/>
      <c r="B1040" s="10"/>
      <c r="C1040" s="10"/>
      <c r="D1040" s="10"/>
      <c r="E1040" s="10"/>
      <c r="F1040" s="10"/>
      <c r="G1040" s="10"/>
      <c r="H1040" s="10"/>
      <c r="I1040" s="10"/>
      <c r="J1040" s="10"/>
      <c r="K1040" s="10"/>
      <c r="L1040" s="10"/>
      <c r="M1040" s="10"/>
    </row>
    <row r="1041" spans="1:13">
      <c r="A1041" s="10"/>
      <c r="B1041" s="10"/>
      <c r="C1041" s="10"/>
      <c r="D1041" s="10"/>
      <c r="E1041" s="10"/>
      <c r="F1041" s="10"/>
      <c r="G1041" s="10"/>
      <c r="H1041" s="10"/>
      <c r="I1041" s="10"/>
      <c r="J1041" s="10"/>
      <c r="K1041" s="10"/>
      <c r="L1041" s="10"/>
      <c r="M1041" s="10"/>
    </row>
    <row r="1042" spans="1:13">
      <c r="A1042" s="10"/>
      <c r="B1042" s="10"/>
      <c r="C1042" s="10"/>
      <c r="D1042" s="10"/>
      <c r="E1042" s="10"/>
      <c r="F1042" s="10"/>
      <c r="G1042" s="10"/>
      <c r="H1042" s="10"/>
      <c r="I1042" s="10"/>
      <c r="J1042" s="10"/>
      <c r="K1042" s="10"/>
      <c r="L1042" s="10"/>
      <c r="M1042" s="10"/>
    </row>
    <row r="1043" spans="1:13">
      <c r="A1043" s="10"/>
      <c r="B1043" s="10"/>
      <c r="C1043" s="10"/>
      <c r="D1043" s="10"/>
      <c r="E1043" s="10"/>
      <c r="F1043" s="10"/>
      <c r="G1043" s="10"/>
      <c r="H1043" s="10"/>
      <c r="I1043" s="10"/>
      <c r="J1043" s="10"/>
      <c r="K1043" s="10"/>
      <c r="L1043" s="10"/>
      <c r="M1043" s="10"/>
    </row>
    <row r="1044" spans="1:13">
      <c r="A1044" s="10"/>
      <c r="B1044" s="10"/>
      <c r="C1044" s="10"/>
      <c r="D1044" s="10"/>
      <c r="E1044" s="10"/>
      <c r="F1044" s="10"/>
      <c r="G1044" s="10"/>
      <c r="H1044" s="10"/>
      <c r="I1044" s="10"/>
      <c r="J1044" s="10"/>
      <c r="K1044" s="10"/>
      <c r="L1044" s="10"/>
      <c r="M1044" s="10"/>
    </row>
    <row r="1045" spans="1:13">
      <c r="A1045" s="10"/>
      <c r="B1045" s="10"/>
      <c r="C1045" s="10"/>
      <c r="D1045" s="10"/>
      <c r="E1045" s="10"/>
      <c r="F1045" s="10"/>
      <c r="G1045" s="10"/>
      <c r="H1045" s="10"/>
      <c r="I1045" s="10"/>
      <c r="J1045" s="10"/>
      <c r="K1045" s="10"/>
      <c r="L1045" s="10"/>
      <c r="M1045" s="10"/>
    </row>
    <row r="1046" spans="1:13">
      <c r="A1046" s="10"/>
      <c r="B1046" s="10"/>
      <c r="C1046" s="10"/>
      <c r="D1046" s="10"/>
      <c r="E1046" s="10"/>
      <c r="F1046" s="10"/>
      <c r="G1046" s="10"/>
      <c r="H1046" s="10"/>
      <c r="I1046" s="10"/>
      <c r="J1046" s="10"/>
      <c r="K1046" s="10"/>
      <c r="L1046" s="10"/>
      <c r="M1046" s="10"/>
    </row>
    <row r="1047" spans="1:13">
      <c r="A1047" s="10"/>
      <c r="B1047" s="10"/>
      <c r="C1047" s="10"/>
      <c r="D1047" s="10"/>
      <c r="E1047" s="10"/>
      <c r="F1047" s="10"/>
      <c r="G1047" s="10"/>
      <c r="H1047" s="10"/>
      <c r="I1047" s="10"/>
      <c r="J1047" s="10"/>
      <c r="K1047" s="10"/>
      <c r="L1047" s="10"/>
      <c r="M1047" s="10"/>
    </row>
    <row r="1048" spans="1:13">
      <c r="A1048" s="10"/>
      <c r="B1048" s="10"/>
      <c r="C1048" s="10"/>
      <c r="D1048" s="10"/>
      <c r="E1048" s="10"/>
      <c r="F1048" s="10"/>
      <c r="G1048" s="10"/>
      <c r="H1048" s="10"/>
      <c r="I1048" s="10"/>
      <c r="J1048" s="10"/>
      <c r="K1048" s="10"/>
      <c r="L1048" s="10"/>
      <c r="M1048" s="10"/>
    </row>
    <row r="1049" spans="1:13">
      <c r="A1049" s="10"/>
      <c r="B1049" s="10"/>
      <c r="C1049" s="10"/>
      <c r="D1049" s="10"/>
      <c r="E1049" s="10"/>
      <c r="F1049" s="10"/>
      <c r="G1049" s="10"/>
      <c r="H1049" s="10"/>
      <c r="I1049" s="10"/>
      <c r="J1049" s="10"/>
      <c r="K1049" s="10"/>
      <c r="L1049" s="10"/>
      <c r="M1049" s="10"/>
    </row>
    <row r="1050" spans="1:13">
      <c r="A1050" s="10"/>
      <c r="B1050" s="10"/>
      <c r="C1050" s="10"/>
      <c r="D1050" s="10"/>
      <c r="E1050" s="10"/>
      <c r="F1050" s="10"/>
      <c r="G1050" s="10"/>
      <c r="H1050" s="10"/>
      <c r="I1050" s="10"/>
      <c r="J1050" s="10"/>
      <c r="K1050" s="10"/>
      <c r="L1050" s="10"/>
      <c r="M1050" s="10"/>
    </row>
    <row r="1051" spans="1:13">
      <c r="A1051" s="10"/>
      <c r="B1051" s="10"/>
      <c r="C1051" s="10"/>
      <c r="D1051" s="10"/>
      <c r="E1051" s="10"/>
      <c r="F1051" s="10"/>
      <c r="G1051" s="10"/>
      <c r="H1051" s="10"/>
      <c r="I1051" s="10"/>
      <c r="J1051" s="10"/>
      <c r="K1051" s="10"/>
      <c r="L1051" s="10"/>
      <c r="M1051" s="10"/>
    </row>
    <row r="1052" spans="1:13">
      <c r="A1052" s="10"/>
      <c r="B1052" s="10"/>
      <c r="C1052" s="10"/>
      <c r="D1052" s="10"/>
      <c r="E1052" s="10"/>
      <c r="F1052" s="10"/>
      <c r="G1052" s="10"/>
      <c r="H1052" s="10"/>
      <c r="I1052" s="10"/>
      <c r="J1052" s="10"/>
      <c r="K1052" s="10"/>
      <c r="L1052" s="10"/>
      <c r="M1052" s="10"/>
    </row>
    <row r="1053" spans="1:13">
      <c r="A1053" s="10"/>
      <c r="B1053" s="10"/>
      <c r="C1053" s="10"/>
      <c r="D1053" s="10"/>
      <c r="E1053" s="10"/>
      <c r="F1053" s="10"/>
      <c r="G1053" s="10"/>
      <c r="H1053" s="10"/>
      <c r="I1053" s="10"/>
      <c r="J1053" s="10"/>
      <c r="K1053" s="10"/>
      <c r="L1053" s="10"/>
      <c r="M1053" s="10"/>
    </row>
    <row r="1054" spans="1:13">
      <c r="A1054" s="10"/>
      <c r="B1054" s="10"/>
      <c r="C1054" s="10"/>
      <c r="D1054" s="10"/>
      <c r="E1054" s="10"/>
      <c r="F1054" s="10"/>
      <c r="G1054" s="10"/>
      <c r="H1054" s="10"/>
      <c r="I1054" s="10"/>
      <c r="J1054" s="10"/>
      <c r="K1054" s="10"/>
      <c r="L1054" s="10"/>
      <c r="M1054" s="10"/>
    </row>
    <row r="1055" spans="1:13">
      <c r="A1055" s="10"/>
      <c r="B1055" s="10"/>
      <c r="C1055" s="10"/>
      <c r="D1055" s="10"/>
      <c r="E1055" s="10"/>
      <c r="F1055" s="10"/>
      <c r="G1055" s="10"/>
      <c r="H1055" s="10"/>
      <c r="I1055" s="10"/>
      <c r="J1055" s="10"/>
      <c r="K1055" s="10"/>
      <c r="L1055" s="10"/>
      <c r="M1055" s="10"/>
    </row>
    <row r="1056" spans="1:13">
      <c r="A1056" s="10"/>
      <c r="B1056" s="10"/>
      <c r="C1056" s="10"/>
      <c r="D1056" s="10"/>
      <c r="E1056" s="10"/>
      <c r="F1056" s="10"/>
      <c r="G1056" s="10"/>
      <c r="H1056" s="10"/>
      <c r="I1056" s="10"/>
      <c r="J1056" s="10"/>
      <c r="K1056" s="10"/>
      <c r="L1056" s="10"/>
      <c r="M1056" s="10"/>
    </row>
    <row r="1057" spans="1:21">
      <c r="A1057" s="10"/>
      <c r="B1057" s="10"/>
      <c r="C1057" s="10"/>
      <c r="D1057" s="10"/>
      <c r="E1057" s="10"/>
      <c r="F1057" s="10"/>
      <c r="G1057" s="10"/>
      <c r="H1057" s="10"/>
      <c r="I1057" s="10"/>
      <c r="J1057" s="10"/>
      <c r="K1057" s="10"/>
      <c r="L1057" s="10"/>
      <c r="M1057" s="10"/>
    </row>
    <row r="1058" spans="1:21">
      <c r="A1058" s="10"/>
      <c r="B1058" s="10"/>
      <c r="C1058" s="10"/>
      <c r="D1058" s="10"/>
      <c r="E1058" s="10"/>
      <c r="F1058" s="10"/>
      <c r="G1058" s="10"/>
      <c r="H1058" s="10"/>
      <c r="I1058" s="10"/>
      <c r="J1058" s="10"/>
      <c r="K1058" s="10"/>
      <c r="L1058" s="10"/>
      <c r="M1058" s="10"/>
    </row>
    <row r="1059" spans="1:21">
      <c r="A1059" s="10"/>
      <c r="B1059" s="10"/>
      <c r="C1059" s="10"/>
      <c r="D1059" s="10"/>
      <c r="E1059" s="10"/>
      <c r="F1059" s="10"/>
      <c r="G1059" s="10"/>
      <c r="H1059" s="10"/>
      <c r="I1059" s="10"/>
      <c r="J1059" s="10"/>
      <c r="K1059" s="10"/>
      <c r="L1059" s="10"/>
      <c r="M1059" s="10"/>
      <c r="P1059" s="10" t="e">
        <f>VLOOKUP(C1059,Table_view_sorted!A$2:A$215,1,FALSE)</f>
        <v>#N/A</v>
      </c>
      <c r="Q1059" t="e">
        <f>VLOOKUP(D1059,AVY_FACT!A$2:A$153,1,FALSE)</f>
        <v>#N/A</v>
      </c>
      <c r="R1059" t="str">
        <f>D1059&amp;"  "&amp;G1059&amp;","</f>
        <v xml:space="preserve">  ,</v>
      </c>
      <c r="T1059" s="23" t="s">
        <v>2460</v>
      </c>
      <c r="U1059" s="23"/>
    </row>
    <row r="1060" spans="1:21">
      <c r="A1060" s="10"/>
      <c r="B1060" s="10"/>
      <c r="C1060" s="10"/>
      <c r="D1060" s="10"/>
      <c r="E1060" s="10"/>
      <c r="F1060" s="10"/>
      <c r="G1060" s="10"/>
      <c r="H1060" s="10"/>
      <c r="I1060" s="10"/>
      <c r="J1060" s="10"/>
      <c r="K1060" s="10"/>
      <c r="L1060" s="10"/>
      <c r="M1060" s="10"/>
    </row>
    <row r="1061" spans="1:21">
      <c r="A1061" s="10"/>
      <c r="B1061" s="10"/>
      <c r="C1061" s="10"/>
      <c r="D1061" s="10"/>
      <c r="E1061" s="10"/>
      <c r="F1061" s="10"/>
      <c r="G1061" s="10"/>
      <c r="H1061" s="10"/>
      <c r="I1061" s="10"/>
      <c r="J1061" s="10"/>
      <c r="K1061" s="10"/>
      <c r="L1061" s="10"/>
      <c r="M1061" s="10"/>
    </row>
    <row r="1062" spans="1:21">
      <c r="A1062" s="10"/>
      <c r="B1062" s="10"/>
      <c r="C1062" s="10"/>
      <c r="D1062" s="10"/>
      <c r="E1062" s="10"/>
      <c r="F1062" s="10"/>
      <c r="G1062" s="10"/>
      <c r="H1062" s="10"/>
      <c r="I1062" s="10"/>
      <c r="J1062" s="10"/>
      <c r="K1062" s="10"/>
      <c r="L1062" s="10"/>
      <c r="M1062" s="10"/>
      <c r="P1062" s="10" t="e">
        <f>VLOOKUP(C1062,Table_view_sorted!A$2:A$215,1,FALSE)</f>
        <v>#N/A</v>
      </c>
      <c r="Q1062" t="e">
        <f>VLOOKUP(D1062,AVY_FACT!A$2:A$153,1,FALSE)</f>
        <v>#N/A</v>
      </c>
      <c r="R1062" t="str">
        <f>D1062&amp;"  "&amp;G1062&amp;","</f>
        <v xml:space="preserve">  ,</v>
      </c>
      <c r="T1062" s="10"/>
      <c r="U1062" s="10"/>
    </row>
    <row r="1063" spans="1:21">
      <c r="A1063" s="10"/>
      <c r="B1063" s="10"/>
      <c r="C1063" s="10"/>
      <c r="D1063" s="10"/>
      <c r="E1063" s="10"/>
      <c r="F1063" s="10"/>
      <c r="G1063" s="10"/>
      <c r="H1063" s="10"/>
      <c r="I1063" s="10"/>
      <c r="J1063" s="10"/>
      <c r="K1063" s="10"/>
      <c r="L1063" s="10"/>
      <c r="M1063" s="10"/>
      <c r="P1063" s="10" t="e">
        <f>VLOOKUP(C1063,Table_view_sorted!A$2:A$215,1,FALSE)</f>
        <v>#N/A</v>
      </c>
      <c r="Q1063" t="e">
        <f>VLOOKUP(D1063,AVY_FACT!A$2:A$153,1,FALSE)</f>
        <v>#N/A</v>
      </c>
      <c r="R1063" t="str">
        <f>D1063&amp;"  "&amp;G1063&amp;","</f>
        <v xml:space="preserve">  ,</v>
      </c>
      <c r="T1063" s="10"/>
      <c r="U1063" s="10"/>
    </row>
    <row r="1064" spans="1:21">
      <c r="A1064" s="10"/>
      <c r="B1064" s="10"/>
      <c r="C1064" s="10"/>
      <c r="D1064" s="10"/>
      <c r="E1064" s="10"/>
      <c r="F1064" s="10"/>
      <c r="G1064" s="10"/>
      <c r="H1064" s="10"/>
      <c r="I1064" s="10"/>
      <c r="J1064" s="10"/>
      <c r="K1064" s="10"/>
      <c r="L1064" s="10"/>
      <c r="M1064" s="10"/>
    </row>
    <row r="1065" spans="1:21">
      <c r="A1065" s="10"/>
      <c r="B1065" s="10"/>
      <c r="C1065" s="10"/>
      <c r="D1065" s="10"/>
      <c r="E1065" s="10"/>
      <c r="F1065" s="10"/>
      <c r="G1065" s="10"/>
      <c r="H1065" s="10"/>
      <c r="I1065" s="10"/>
      <c r="J1065" s="10"/>
      <c r="K1065" s="10"/>
      <c r="L1065" s="10"/>
      <c r="M1065" s="10"/>
    </row>
    <row r="1066" spans="1:21">
      <c r="A1066" s="10"/>
      <c r="B1066" s="10"/>
      <c r="C1066" s="10"/>
      <c r="D1066" s="10"/>
      <c r="E1066" s="10"/>
      <c r="F1066" s="10"/>
      <c r="G1066" s="10"/>
      <c r="H1066" s="10"/>
      <c r="I1066" s="10"/>
      <c r="J1066" s="10"/>
      <c r="K1066" s="10"/>
      <c r="L1066" s="10"/>
      <c r="M1066" s="10"/>
    </row>
    <row r="1067" spans="1:21">
      <c r="A1067" s="10"/>
      <c r="B1067" s="10"/>
      <c r="C1067" s="10"/>
      <c r="D1067" s="10"/>
      <c r="E1067" s="10"/>
      <c r="F1067" s="10"/>
      <c r="G1067" s="10"/>
      <c r="H1067" s="10"/>
      <c r="I1067" s="10"/>
      <c r="J1067" s="10"/>
      <c r="K1067" s="10"/>
      <c r="L1067" s="10"/>
      <c r="M1067" s="10"/>
    </row>
    <row r="1068" spans="1:21">
      <c r="A1068" s="10"/>
      <c r="B1068" s="10"/>
      <c r="C1068" s="10"/>
      <c r="D1068" s="10"/>
      <c r="E1068" s="10"/>
      <c r="F1068" s="10"/>
      <c r="G1068" s="10"/>
      <c r="H1068" s="10"/>
      <c r="I1068" s="10"/>
      <c r="J1068" s="10"/>
      <c r="K1068" s="10"/>
      <c r="L1068" s="10"/>
      <c r="M1068" s="10"/>
    </row>
    <row r="1069" spans="1:21">
      <c r="A1069" s="10"/>
      <c r="B1069" s="10"/>
      <c r="C1069" s="10"/>
      <c r="D1069" s="10"/>
      <c r="E1069" s="10"/>
      <c r="F1069" s="10"/>
      <c r="G1069" s="10"/>
      <c r="H1069" s="10"/>
      <c r="I1069" s="10"/>
      <c r="J1069" s="10"/>
      <c r="K1069" s="10"/>
      <c r="L1069" s="10"/>
      <c r="M1069" s="10"/>
    </row>
    <row r="1070" spans="1:21">
      <c r="A1070" s="10"/>
      <c r="B1070" s="10"/>
      <c r="C1070" s="10"/>
      <c r="D1070" s="10"/>
      <c r="E1070" s="10"/>
      <c r="F1070" s="10"/>
      <c r="G1070" s="10"/>
      <c r="H1070" s="10"/>
      <c r="I1070" s="10"/>
      <c r="J1070" s="10"/>
      <c r="K1070" s="10"/>
      <c r="L1070" s="10"/>
      <c r="M1070" s="10"/>
    </row>
    <row r="1071" spans="1:21">
      <c r="A1071" s="10"/>
      <c r="B1071" s="10"/>
      <c r="C1071" s="10"/>
      <c r="D1071" s="10"/>
      <c r="E1071" s="10"/>
      <c r="F1071" s="10"/>
      <c r="G1071" s="10"/>
      <c r="H1071" s="10"/>
      <c r="I1071" s="10"/>
      <c r="J1071" s="10"/>
      <c r="K1071" s="10"/>
      <c r="L1071" s="10"/>
      <c r="M1071" s="10"/>
    </row>
    <row r="1072" spans="1:21">
      <c r="A1072" s="10"/>
      <c r="B1072" s="10"/>
      <c r="C1072" s="10"/>
      <c r="D1072" s="10"/>
      <c r="E1072" s="10"/>
      <c r="F1072" s="10"/>
      <c r="G1072" s="10"/>
      <c r="H1072" s="10"/>
      <c r="I1072" s="10"/>
      <c r="J1072" s="10"/>
      <c r="K1072" s="10"/>
      <c r="L1072" s="10"/>
      <c r="M1072" s="10"/>
    </row>
    <row r="1073" spans="1:21">
      <c r="A1073" s="10"/>
      <c r="B1073" s="10"/>
      <c r="C1073" s="10"/>
      <c r="D1073" s="10"/>
      <c r="E1073" s="10"/>
      <c r="F1073" s="10"/>
      <c r="G1073" s="10"/>
      <c r="H1073" s="10"/>
      <c r="I1073" s="10"/>
      <c r="J1073" s="10"/>
      <c r="K1073" s="10"/>
      <c r="L1073" s="10"/>
      <c r="M1073" s="10"/>
    </row>
    <row r="1074" spans="1:21">
      <c r="A1074" s="10"/>
      <c r="B1074" s="10"/>
      <c r="C1074" s="10"/>
      <c r="D1074" s="10"/>
      <c r="E1074" s="10"/>
      <c r="F1074" s="10"/>
      <c r="G1074" s="10"/>
      <c r="H1074" s="10"/>
      <c r="I1074" s="10"/>
      <c r="J1074" s="10"/>
      <c r="K1074" s="10"/>
      <c r="L1074" s="10"/>
      <c r="M1074" s="10"/>
    </row>
    <row r="1075" spans="1:21">
      <c r="A1075" s="10"/>
      <c r="B1075" s="10"/>
      <c r="C1075" s="10"/>
      <c r="D1075" s="10"/>
      <c r="E1075" s="10"/>
      <c r="F1075" s="10"/>
      <c r="G1075" s="10"/>
      <c r="H1075" s="10"/>
      <c r="I1075" s="10"/>
      <c r="J1075" s="10"/>
      <c r="K1075" s="10"/>
      <c r="L1075" s="10"/>
      <c r="M1075" s="10"/>
    </row>
    <row r="1076" spans="1:21">
      <c r="A1076" s="10"/>
      <c r="B1076" s="10"/>
      <c r="C1076" s="10"/>
      <c r="D1076" s="10"/>
      <c r="E1076" s="10"/>
      <c r="F1076" s="10"/>
      <c r="G1076" s="10"/>
      <c r="H1076" s="10"/>
      <c r="I1076" s="10"/>
      <c r="J1076" s="10"/>
      <c r="K1076" s="10"/>
      <c r="L1076" s="10"/>
      <c r="M1076" s="10"/>
    </row>
    <row r="1077" spans="1:21">
      <c r="A1077" s="10"/>
      <c r="B1077" s="10"/>
      <c r="C1077" s="10"/>
      <c r="D1077" s="10"/>
      <c r="E1077" s="10"/>
      <c r="F1077" s="10"/>
      <c r="G1077" s="10"/>
      <c r="H1077" s="10"/>
      <c r="I1077" s="10"/>
      <c r="J1077" s="10"/>
      <c r="K1077" s="10"/>
      <c r="L1077" s="10"/>
      <c r="M1077" s="10"/>
    </row>
    <row r="1078" spans="1:21">
      <c r="A1078" s="10"/>
      <c r="B1078" s="10"/>
      <c r="C1078" s="10"/>
      <c r="D1078" s="10"/>
      <c r="E1078" s="10"/>
      <c r="F1078" s="10"/>
      <c r="G1078" s="10"/>
      <c r="H1078" s="10"/>
      <c r="I1078" s="10"/>
      <c r="J1078" s="10"/>
      <c r="K1078" s="10"/>
      <c r="L1078" s="10"/>
      <c r="M1078" s="10"/>
    </row>
    <row r="1079" spans="1:21">
      <c r="A1079" s="10"/>
      <c r="B1079" s="10"/>
      <c r="C1079" s="10"/>
      <c r="D1079" s="10"/>
      <c r="E1079" s="10"/>
      <c r="F1079" s="10"/>
      <c r="G1079" s="10"/>
      <c r="H1079" s="10"/>
      <c r="I1079" s="10"/>
      <c r="J1079" s="10"/>
      <c r="K1079" s="10"/>
      <c r="L1079" s="10"/>
      <c r="M1079" s="10"/>
    </row>
    <row r="1080" spans="1:21">
      <c r="A1080" s="10"/>
      <c r="B1080" s="10"/>
      <c r="C1080" s="10"/>
      <c r="D1080" s="10"/>
      <c r="E1080" s="10"/>
      <c r="F1080" s="10"/>
      <c r="G1080" s="10"/>
      <c r="H1080" s="10"/>
      <c r="I1080" s="10"/>
      <c r="J1080" s="10"/>
      <c r="K1080" s="10"/>
      <c r="L1080" s="10"/>
      <c r="M1080" s="10"/>
    </row>
    <row r="1081" spans="1:21">
      <c r="A1081" s="10"/>
      <c r="B1081" s="10"/>
      <c r="C1081" s="10"/>
      <c r="D1081" s="10"/>
      <c r="E1081" s="10"/>
      <c r="F1081" s="10"/>
      <c r="G1081" s="10"/>
      <c r="H1081" s="10"/>
      <c r="I1081" s="10"/>
      <c r="J1081" s="10"/>
      <c r="K1081" s="10"/>
      <c r="L1081" s="10"/>
      <c r="M1081" s="10"/>
    </row>
    <row r="1082" spans="1:21">
      <c r="A1082" s="10"/>
      <c r="B1082" s="10"/>
      <c r="C1082" s="10"/>
      <c r="D1082" s="10"/>
      <c r="E1082" s="10"/>
      <c r="F1082" s="10"/>
      <c r="G1082" s="10"/>
      <c r="H1082" s="10"/>
      <c r="I1082" s="10"/>
      <c r="J1082" s="10"/>
      <c r="K1082" s="10"/>
      <c r="L1082" s="10"/>
      <c r="M1082" s="10"/>
    </row>
    <row r="1083" spans="1:21">
      <c r="A1083" s="10"/>
      <c r="B1083" s="10"/>
      <c r="C1083" s="10"/>
      <c r="D1083" s="10"/>
      <c r="E1083" s="10"/>
      <c r="F1083" s="10"/>
      <c r="G1083" s="10"/>
      <c r="H1083" s="10"/>
      <c r="I1083" s="10"/>
      <c r="J1083" s="10"/>
      <c r="K1083" s="10"/>
      <c r="L1083" s="10"/>
      <c r="M1083" s="10"/>
      <c r="P1083" s="10" t="e">
        <f>VLOOKUP(C1083,Table_view_sorted!A$2:A$215,1,FALSE)</f>
        <v>#N/A</v>
      </c>
      <c r="Q1083" t="e">
        <f>VLOOKUP(D1083,AVY_FACT!A$2:A$153,1,FALSE)</f>
        <v>#N/A</v>
      </c>
      <c r="R1083" t="str">
        <f>D1083&amp;"  "&amp;G1083&amp;","</f>
        <v xml:space="preserve">  ,</v>
      </c>
      <c r="T1083" s="10"/>
      <c r="U1083" s="10"/>
    </row>
    <row r="1084" spans="1:21">
      <c r="A1084" s="10"/>
      <c r="B1084" s="10"/>
      <c r="C1084" s="10"/>
      <c r="D1084" s="10"/>
      <c r="E1084" s="10"/>
      <c r="F1084" s="10"/>
      <c r="G1084" s="10"/>
      <c r="H1084" s="10"/>
      <c r="I1084" s="10"/>
      <c r="J1084" s="10"/>
      <c r="K1084" s="10"/>
      <c r="L1084" s="10"/>
      <c r="M1084" s="10"/>
    </row>
    <row r="1085" spans="1:21">
      <c r="A1085" s="10"/>
      <c r="B1085" s="10"/>
      <c r="C1085" s="10"/>
      <c r="D1085" s="10"/>
      <c r="E1085" s="10"/>
      <c r="F1085" s="10"/>
      <c r="G1085" s="10"/>
      <c r="H1085" s="10"/>
      <c r="I1085" s="10"/>
      <c r="J1085" s="10"/>
      <c r="K1085" s="10"/>
      <c r="L1085" s="10"/>
      <c r="M1085" s="10"/>
    </row>
    <row r="1086" spans="1:21">
      <c r="A1086" s="10"/>
      <c r="B1086" s="10"/>
      <c r="C1086" s="10"/>
      <c r="D1086" s="10"/>
      <c r="E1086" s="10"/>
      <c r="F1086" s="10"/>
      <c r="G1086" s="10"/>
      <c r="H1086" s="10"/>
      <c r="I1086" s="10"/>
      <c r="J1086" s="10"/>
      <c r="K1086" s="10"/>
      <c r="L1086" s="10"/>
      <c r="M1086" s="10"/>
    </row>
    <row r="1087" spans="1:21">
      <c r="A1087" s="10"/>
      <c r="B1087" s="10"/>
      <c r="C1087" s="10"/>
      <c r="D1087" s="10"/>
      <c r="E1087" s="10"/>
      <c r="F1087" s="10"/>
      <c r="G1087" s="10"/>
      <c r="H1087" s="10"/>
      <c r="I1087" s="10"/>
      <c r="J1087" s="10"/>
      <c r="K1087" s="10"/>
      <c r="L1087" s="10"/>
      <c r="M1087" s="10"/>
    </row>
    <row r="1088" spans="1:21">
      <c r="A1088" s="10"/>
      <c r="B1088" s="10"/>
      <c r="C1088" s="10"/>
      <c r="D1088" s="10"/>
      <c r="E1088" s="10"/>
      <c r="F1088" s="10"/>
      <c r="G1088" s="10"/>
      <c r="H1088" s="10"/>
      <c r="I1088" s="10"/>
      <c r="J1088" s="10"/>
      <c r="K1088" s="10"/>
      <c r="L1088" s="10"/>
      <c r="M1088" s="10"/>
    </row>
    <row r="1089" spans="1:21">
      <c r="A1089" s="10"/>
      <c r="B1089" s="10"/>
      <c r="C1089" s="10"/>
      <c r="D1089" s="10"/>
      <c r="E1089" s="10"/>
      <c r="F1089" s="10"/>
      <c r="G1089" s="10"/>
      <c r="H1089" s="10"/>
      <c r="I1089" s="10"/>
      <c r="J1089" s="10"/>
      <c r="K1089" s="10"/>
      <c r="L1089" s="10"/>
      <c r="M1089" s="10"/>
    </row>
    <row r="1090" spans="1:21">
      <c r="A1090" s="10"/>
      <c r="B1090" s="10"/>
      <c r="C1090" s="10"/>
      <c r="D1090" s="10"/>
      <c r="E1090" s="10"/>
      <c r="F1090" s="10"/>
      <c r="G1090" s="10"/>
      <c r="H1090" s="10"/>
      <c r="I1090" s="10"/>
      <c r="J1090" s="10"/>
      <c r="K1090" s="10"/>
      <c r="L1090" s="10"/>
      <c r="M1090" s="10"/>
    </row>
    <row r="1091" spans="1:21">
      <c r="A1091" s="10"/>
      <c r="B1091" s="10"/>
      <c r="C1091" s="10"/>
      <c r="D1091" s="10"/>
      <c r="E1091" s="10"/>
      <c r="F1091" s="10"/>
      <c r="G1091" s="10"/>
      <c r="H1091" s="10"/>
      <c r="I1091" s="10"/>
      <c r="J1091" s="10"/>
      <c r="K1091" s="10"/>
      <c r="L1091" s="10"/>
      <c r="M1091" s="10"/>
    </row>
    <row r="1092" spans="1:21">
      <c r="A1092" s="10"/>
      <c r="B1092" s="10"/>
      <c r="C1092" s="10"/>
      <c r="D1092" s="10"/>
      <c r="E1092" s="10"/>
      <c r="F1092" s="10"/>
      <c r="G1092" s="10"/>
      <c r="H1092" s="10"/>
      <c r="I1092" s="10"/>
      <c r="J1092" s="10"/>
      <c r="K1092" s="10"/>
      <c r="L1092" s="10"/>
      <c r="M1092" s="10"/>
      <c r="P1092" s="10" t="e">
        <f>VLOOKUP(C1092,Table_view_sorted!A$2:A$215,1,FALSE)</f>
        <v>#N/A</v>
      </c>
      <c r="Q1092" t="e">
        <f>VLOOKUP(D1092,AVY_FACT!A$2:A$153,1,FALSE)</f>
        <v>#N/A</v>
      </c>
      <c r="R1092" t="str">
        <f>D1092&amp;"  "&amp;G1092&amp;","</f>
        <v xml:space="preserve">  ,</v>
      </c>
      <c r="T1092" s="10"/>
      <c r="U1092" s="10"/>
    </row>
    <row r="1093" spans="1:21">
      <c r="A1093" s="10"/>
      <c r="B1093" s="10"/>
      <c r="C1093" s="10"/>
      <c r="D1093" s="10"/>
      <c r="E1093" s="10"/>
      <c r="F1093" s="10"/>
      <c r="G1093" s="10"/>
      <c r="H1093" s="10"/>
      <c r="I1093" s="10"/>
      <c r="J1093" s="10"/>
      <c r="K1093" s="10"/>
      <c r="L1093" s="10"/>
      <c r="M1093" s="10"/>
    </row>
    <row r="1094" spans="1:21">
      <c r="A1094" s="10"/>
      <c r="B1094" s="10"/>
      <c r="C1094" s="10"/>
      <c r="D1094" s="10"/>
      <c r="E1094" s="28"/>
      <c r="F1094" s="10"/>
      <c r="G1094" s="10"/>
      <c r="H1094" s="10"/>
      <c r="I1094" s="10"/>
      <c r="J1094" s="10"/>
      <c r="K1094" s="10"/>
      <c r="L1094" s="10"/>
      <c r="M1094" s="10"/>
    </row>
    <row r="1095" spans="1:21">
      <c r="A1095" s="10"/>
      <c r="B1095" s="10"/>
      <c r="C1095" s="10"/>
      <c r="D1095" s="10"/>
      <c r="E1095" s="28"/>
      <c r="F1095" s="10"/>
      <c r="G1095" s="10"/>
      <c r="H1095" s="10"/>
      <c r="I1095" s="10"/>
      <c r="J1095" s="10"/>
      <c r="K1095" s="10"/>
      <c r="L1095" s="10"/>
      <c r="M1095" s="10"/>
    </row>
    <row r="1096" spans="1:21">
      <c r="A1096" s="10"/>
      <c r="B1096" s="10"/>
      <c r="C1096" s="10"/>
      <c r="D1096" s="10"/>
      <c r="E1096" s="28"/>
      <c r="F1096" s="10"/>
      <c r="G1096" s="10"/>
      <c r="H1096" s="10"/>
      <c r="I1096" s="10"/>
      <c r="J1096" s="10"/>
      <c r="K1096" s="10"/>
      <c r="L1096" s="10"/>
      <c r="M1096" s="10"/>
    </row>
    <row r="1097" spans="1:21">
      <c r="A1097" s="10"/>
      <c r="B1097" s="10"/>
      <c r="C1097" s="10"/>
      <c r="D1097" s="10"/>
      <c r="E1097" s="10"/>
      <c r="F1097" s="10"/>
      <c r="G1097" s="10"/>
      <c r="H1097" s="10"/>
      <c r="I1097" s="10"/>
      <c r="J1097" s="10"/>
      <c r="K1097" s="10"/>
      <c r="L1097" s="10"/>
      <c r="M1097" s="10"/>
    </row>
    <row r="1098" spans="1:21">
      <c r="A1098" s="10"/>
      <c r="B1098" s="10"/>
      <c r="C1098" s="10"/>
      <c r="D1098" s="10"/>
      <c r="E1098" s="10"/>
      <c r="F1098" s="10"/>
      <c r="G1098" s="10"/>
      <c r="H1098" s="10"/>
      <c r="I1098" s="10"/>
      <c r="J1098" s="10"/>
      <c r="K1098" s="10"/>
      <c r="L1098" s="10"/>
      <c r="M1098" s="10"/>
    </row>
    <row r="1099" spans="1:21">
      <c r="A1099" s="10"/>
      <c r="B1099" s="10"/>
      <c r="C1099" s="10"/>
      <c r="D1099" s="10"/>
      <c r="E1099" s="28"/>
      <c r="F1099" s="10"/>
      <c r="G1099" s="10"/>
      <c r="H1099" s="10"/>
      <c r="I1099" s="10"/>
      <c r="J1099" s="10"/>
      <c r="K1099" s="10"/>
      <c r="L1099" s="10"/>
      <c r="M1099" s="10"/>
    </row>
    <row r="1100" spans="1:21">
      <c r="A1100" s="10"/>
      <c r="B1100" s="10"/>
      <c r="C1100" s="10"/>
      <c r="D1100" s="10"/>
      <c r="E1100" s="10"/>
      <c r="F1100" s="10"/>
      <c r="G1100" s="10"/>
      <c r="H1100" s="10"/>
      <c r="I1100" s="10"/>
      <c r="J1100" s="10"/>
      <c r="K1100" s="10"/>
      <c r="L1100" s="10"/>
      <c r="M1100" s="10"/>
    </row>
    <row r="1101" spans="1:21">
      <c r="A1101" s="10"/>
      <c r="B1101" s="10"/>
      <c r="C1101" s="10"/>
      <c r="D1101" s="10"/>
      <c r="E1101" s="10"/>
      <c r="F1101" s="10"/>
      <c r="G1101" s="10"/>
      <c r="H1101" s="10"/>
      <c r="I1101" s="10"/>
      <c r="J1101" s="10"/>
      <c r="K1101" s="10"/>
      <c r="L1101" s="10"/>
      <c r="M1101" s="10"/>
    </row>
    <row r="1102" spans="1:21">
      <c r="A1102" s="10"/>
      <c r="B1102" s="10"/>
      <c r="C1102" s="10"/>
      <c r="D1102" s="10"/>
      <c r="E1102" s="10"/>
      <c r="F1102" s="10"/>
      <c r="G1102" s="10"/>
      <c r="H1102" s="10"/>
      <c r="I1102" s="10"/>
      <c r="J1102" s="10"/>
      <c r="K1102" s="10"/>
      <c r="L1102" s="10"/>
      <c r="M1102" s="10"/>
    </row>
    <row r="1103" spans="1:21">
      <c r="A1103" s="10"/>
      <c r="B1103" s="10"/>
      <c r="C1103" s="10"/>
      <c r="D1103" s="10"/>
      <c r="E1103" s="10"/>
      <c r="F1103" s="10"/>
      <c r="G1103" s="10"/>
      <c r="H1103" s="10"/>
      <c r="I1103" s="10"/>
      <c r="J1103" s="10"/>
      <c r="K1103" s="10"/>
      <c r="L1103" s="10"/>
      <c r="M1103" s="10"/>
    </row>
    <row r="1104" spans="1:21">
      <c r="A1104" s="10"/>
      <c r="B1104" s="10"/>
      <c r="C1104" s="10"/>
      <c r="D1104" s="10"/>
      <c r="E1104" s="10"/>
      <c r="F1104" s="10"/>
      <c r="G1104" s="10"/>
      <c r="H1104" s="10"/>
      <c r="I1104" s="10"/>
      <c r="J1104" s="10"/>
      <c r="K1104" s="10"/>
      <c r="L1104" s="10"/>
      <c r="M1104" s="10"/>
    </row>
    <row r="1105" spans="1:13">
      <c r="A1105" s="10"/>
      <c r="B1105" s="10"/>
      <c r="C1105" s="10"/>
      <c r="D1105" s="10"/>
      <c r="E1105" s="10"/>
      <c r="F1105" s="10"/>
      <c r="G1105" s="10"/>
      <c r="H1105" s="10"/>
      <c r="I1105" s="10"/>
      <c r="J1105" s="10"/>
      <c r="K1105" s="10"/>
      <c r="L1105" s="10"/>
      <c r="M1105" s="10"/>
    </row>
    <row r="1106" spans="1:13">
      <c r="A1106" s="10"/>
      <c r="B1106" s="10"/>
      <c r="C1106" s="10"/>
      <c r="D1106" s="10"/>
      <c r="E1106" s="10"/>
      <c r="F1106" s="10"/>
      <c r="G1106" s="10"/>
      <c r="H1106" s="10"/>
      <c r="I1106" s="10"/>
      <c r="J1106" s="10"/>
      <c r="K1106" s="10"/>
      <c r="L1106" s="10"/>
      <c r="M1106" s="10"/>
    </row>
    <row r="1107" spans="1:13">
      <c r="A1107" s="10"/>
      <c r="B1107" s="10"/>
      <c r="C1107" s="10"/>
      <c r="D1107" s="10"/>
      <c r="E1107" s="10"/>
      <c r="F1107" s="10"/>
      <c r="G1107" s="10"/>
      <c r="H1107" s="10"/>
      <c r="I1107" s="10"/>
      <c r="J1107" s="10"/>
      <c r="K1107" s="10"/>
      <c r="L1107" s="10"/>
      <c r="M1107" s="10"/>
    </row>
    <row r="1108" spans="1:13">
      <c r="A1108" s="10"/>
      <c r="B1108" s="10"/>
      <c r="C1108" s="10"/>
      <c r="D1108" s="10"/>
      <c r="E1108" s="10"/>
      <c r="F1108" s="10"/>
      <c r="G1108" s="10"/>
      <c r="H1108" s="10"/>
      <c r="I1108" s="10"/>
      <c r="J1108" s="10"/>
      <c r="K1108" s="10"/>
      <c r="L1108" s="10"/>
      <c r="M1108" s="10"/>
    </row>
    <row r="1109" spans="1:13">
      <c r="A1109" s="10"/>
      <c r="B1109" s="10"/>
      <c r="C1109" s="10"/>
      <c r="D1109" s="10"/>
      <c r="E1109" s="10"/>
      <c r="F1109" s="10"/>
      <c r="G1109" s="10"/>
      <c r="H1109" s="10"/>
      <c r="I1109" s="10"/>
      <c r="J1109" s="10"/>
      <c r="K1109" s="10"/>
      <c r="L1109" s="10"/>
      <c r="M1109" s="10"/>
    </row>
    <row r="1110" spans="1:13">
      <c r="A1110" s="10"/>
      <c r="B1110" s="10"/>
      <c r="C1110" s="10"/>
      <c r="D1110" s="10"/>
      <c r="E1110" s="10"/>
      <c r="F1110" s="10"/>
      <c r="G1110" s="10"/>
      <c r="H1110" s="10"/>
      <c r="I1110" s="10"/>
      <c r="J1110" s="10"/>
      <c r="K1110" s="10"/>
      <c r="L1110" s="10"/>
      <c r="M1110" s="10"/>
    </row>
    <row r="1111" spans="1:13">
      <c r="A1111" s="10"/>
      <c r="B1111" s="10"/>
      <c r="C1111" s="10"/>
      <c r="D1111" s="10"/>
      <c r="E1111" s="10"/>
      <c r="F1111" s="10"/>
      <c r="G1111" s="10"/>
      <c r="H1111" s="10"/>
      <c r="I1111" s="10"/>
      <c r="J1111" s="10"/>
      <c r="K1111" s="10"/>
      <c r="L1111" s="10"/>
      <c r="M1111" s="10"/>
    </row>
    <row r="1112" spans="1:13">
      <c r="A1112" s="10"/>
      <c r="B1112" s="10"/>
      <c r="C1112" s="10"/>
      <c r="D1112" s="10"/>
      <c r="E1112" s="10"/>
      <c r="F1112" s="10"/>
      <c r="G1112" s="10"/>
      <c r="H1112" s="10"/>
      <c r="I1112" s="10"/>
      <c r="J1112" s="10"/>
      <c r="K1112" s="10"/>
      <c r="L1112" s="10"/>
      <c r="M1112" s="10"/>
    </row>
    <row r="1113" spans="1:13">
      <c r="A1113" s="10"/>
      <c r="B1113" s="10"/>
      <c r="C1113" s="10"/>
      <c r="D1113" s="10"/>
      <c r="E1113" s="10"/>
      <c r="F1113" s="10"/>
      <c r="G1113" s="10"/>
      <c r="H1113" s="10"/>
      <c r="I1113" s="10"/>
      <c r="J1113" s="10"/>
      <c r="K1113" s="10"/>
      <c r="L1113" s="10"/>
      <c r="M1113" s="10"/>
    </row>
    <row r="1114" spans="1:13">
      <c r="A1114" s="10"/>
      <c r="B1114" s="10"/>
      <c r="C1114" s="10"/>
      <c r="D1114" s="10"/>
      <c r="E1114" s="10"/>
      <c r="F1114" s="10"/>
      <c r="G1114" s="10"/>
      <c r="H1114" s="10"/>
      <c r="I1114" s="10"/>
      <c r="J1114" s="10"/>
      <c r="K1114" s="10"/>
      <c r="L1114" s="10"/>
      <c r="M1114" s="10"/>
    </row>
    <row r="1115" spans="1:13">
      <c r="A1115" s="10"/>
      <c r="B1115" s="10"/>
      <c r="C1115" s="10"/>
      <c r="D1115" s="10"/>
      <c r="E1115" s="10"/>
      <c r="F1115" s="10"/>
      <c r="G1115" s="10"/>
      <c r="H1115" s="10"/>
      <c r="I1115" s="10"/>
      <c r="J1115" s="10"/>
      <c r="K1115" s="10"/>
      <c r="L1115" s="10"/>
      <c r="M1115" s="10"/>
    </row>
    <row r="1116" spans="1:13">
      <c r="A1116" s="10"/>
      <c r="B1116" s="10"/>
      <c r="C1116" s="10"/>
      <c r="D1116" s="10"/>
      <c r="E1116" s="10"/>
      <c r="F1116" s="10"/>
      <c r="G1116" s="10"/>
      <c r="H1116" s="10"/>
      <c r="I1116" s="10"/>
      <c r="J1116" s="10"/>
      <c r="K1116" s="10"/>
      <c r="L1116" s="10"/>
      <c r="M1116" s="10"/>
    </row>
    <row r="1117" spans="1:13">
      <c r="A1117" s="10"/>
      <c r="B1117" s="10"/>
      <c r="C1117" s="10"/>
      <c r="D1117" s="10"/>
      <c r="E1117" s="10"/>
      <c r="F1117" s="10"/>
      <c r="G1117" s="10"/>
      <c r="H1117" s="10"/>
      <c r="I1117" s="10"/>
      <c r="J1117" s="10"/>
      <c r="K1117" s="10"/>
      <c r="L1117" s="10"/>
      <c r="M1117" s="10"/>
    </row>
    <row r="1118" spans="1:13">
      <c r="A1118" s="10"/>
      <c r="B1118" s="10"/>
      <c r="C1118" s="10"/>
      <c r="D1118" s="10"/>
      <c r="E1118" s="10"/>
      <c r="F1118" s="10"/>
      <c r="G1118" s="10"/>
      <c r="H1118" s="10"/>
      <c r="I1118" s="10"/>
      <c r="J1118" s="10"/>
      <c r="K1118" s="10"/>
      <c r="L1118" s="10"/>
      <c r="M1118" s="10"/>
    </row>
    <row r="1119" spans="1:13">
      <c r="A1119" s="10"/>
      <c r="B1119" s="10"/>
      <c r="C1119" s="10"/>
      <c r="D1119" s="10"/>
      <c r="E1119" s="10"/>
      <c r="F1119" s="10"/>
      <c r="G1119" s="10"/>
      <c r="H1119" s="10"/>
      <c r="I1119" s="10"/>
      <c r="J1119" s="10"/>
      <c r="K1119" s="10"/>
      <c r="L1119" s="10"/>
      <c r="M1119" s="10"/>
    </row>
    <row r="1120" spans="1:13">
      <c r="A1120" s="10"/>
      <c r="B1120" s="10"/>
      <c r="C1120" s="10"/>
      <c r="D1120" s="10"/>
      <c r="E1120" s="10"/>
      <c r="F1120" s="10"/>
      <c r="G1120" s="10"/>
      <c r="H1120" s="10"/>
      <c r="I1120" s="10"/>
      <c r="J1120" s="10"/>
      <c r="K1120" s="10"/>
      <c r="L1120" s="10"/>
      <c r="M1120" s="10"/>
    </row>
    <row r="1121" spans="1:13">
      <c r="A1121" s="10"/>
      <c r="B1121" s="10"/>
      <c r="C1121" s="10"/>
      <c r="D1121" s="10"/>
      <c r="E1121" s="10"/>
      <c r="F1121" s="10"/>
      <c r="G1121" s="10"/>
      <c r="H1121" s="10"/>
      <c r="I1121" s="10"/>
      <c r="J1121" s="10"/>
      <c r="K1121" s="10"/>
      <c r="L1121" s="10"/>
      <c r="M1121" s="10"/>
    </row>
    <row r="1122" spans="1:13">
      <c r="A1122" s="10"/>
      <c r="B1122" s="10"/>
      <c r="C1122" s="10"/>
      <c r="D1122" s="10"/>
      <c r="E1122" s="10"/>
      <c r="F1122" s="10"/>
      <c r="G1122" s="10"/>
      <c r="H1122" s="10"/>
      <c r="I1122" s="10"/>
      <c r="J1122" s="10"/>
      <c r="K1122" s="10"/>
      <c r="L1122" s="10"/>
      <c r="M1122" s="10"/>
    </row>
    <row r="1123" spans="1:13">
      <c r="A1123" s="10"/>
      <c r="B1123" s="10"/>
      <c r="C1123" s="10"/>
      <c r="D1123" s="10"/>
      <c r="E1123" s="28"/>
      <c r="F1123" s="10"/>
      <c r="G1123" s="10"/>
      <c r="H1123" s="10"/>
      <c r="I1123" s="10"/>
      <c r="J1123" s="10"/>
      <c r="K1123" s="10"/>
      <c r="L1123" s="10"/>
      <c r="M1123" s="10"/>
    </row>
    <row r="1124" spans="1:13">
      <c r="A1124" s="10"/>
      <c r="B1124" s="10"/>
      <c r="C1124" s="10"/>
      <c r="D1124" s="10"/>
      <c r="E1124" s="28"/>
      <c r="F1124" s="10"/>
      <c r="G1124" s="10"/>
      <c r="H1124" s="10"/>
      <c r="I1124" s="10"/>
      <c r="J1124" s="10"/>
      <c r="K1124" s="10"/>
      <c r="L1124" s="10"/>
      <c r="M1124" s="10"/>
    </row>
    <row r="1125" spans="1:13">
      <c r="A1125" s="10"/>
      <c r="B1125" s="10"/>
      <c r="C1125" s="10"/>
      <c r="D1125" s="10"/>
      <c r="E1125" s="10"/>
      <c r="F1125" s="10"/>
      <c r="G1125" s="10"/>
      <c r="H1125" s="10"/>
      <c r="I1125" s="10"/>
      <c r="J1125" s="10"/>
      <c r="K1125" s="10"/>
      <c r="L1125" s="10"/>
      <c r="M1125" s="10"/>
    </row>
    <row r="1126" spans="1:13">
      <c r="A1126" s="10"/>
      <c r="B1126" s="10"/>
      <c r="C1126" s="10"/>
      <c r="D1126" s="10"/>
      <c r="E1126" s="10"/>
      <c r="F1126" s="10"/>
      <c r="G1126" s="10"/>
      <c r="H1126" s="10"/>
      <c r="I1126" s="10"/>
      <c r="J1126" s="10"/>
      <c r="K1126" s="10"/>
      <c r="L1126" s="10"/>
      <c r="M1126" s="10"/>
    </row>
    <row r="1127" spans="1:13">
      <c r="A1127" s="10"/>
      <c r="B1127" s="10"/>
      <c r="C1127" s="10"/>
      <c r="D1127" s="10"/>
      <c r="E1127" s="10"/>
      <c r="F1127" s="10"/>
      <c r="G1127" s="10"/>
      <c r="H1127" s="10"/>
      <c r="I1127" s="10"/>
      <c r="J1127" s="10"/>
      <c r="K1127" s="10"/>
      <c r="L1127" s="10"/>
      <c r="M1127" s="10"/>
    </row>
    <row r="1128" spans="1:13">
      <c r="A1128" s="10"/>
      <c r="B1128" s="10"/>
      <c r="C1128" s="10"/>
      <c r="D1128" s="10"/>
      <c r="E1128" s="10"/>
      <c r="F1128" s="10"/>
      <c r="G1128" s="10"/>
      <c r="H1128" s="10"/>
      <c r="I1128" s="10"/>
      <c r="J1128" s="10"/>
      <c r="K1128" s="10"/>
      <c r="L1128" s="10"/>
      <c r="M1128" s="10"/>
    </row>
    <row r="1129" spans="1:13">
      <c r="A1129" s="10"/>
      <c r="B1129" s="10"/>
      <c r="C1129" s="10"/>
      <c r="D1129" s="10"/>
      <c r="E1129" s="10"/>
      <c r="F1129" s="10"/>
      <c r="G1129" s="10"/>
      <c r="H1129" s="10"/>
      <c r="I1129" s="10"/>
      <c r="J1129" s="10"/>
      <c r="K1129" s="10"/>
      <c r="L1129" s="10"/>
      <c r="M1129" s="10"/>
    </row>
    <row r="1130" spans="1:13">
      <c r="A1130" s="10"/>
      <c r="B1130" s="10"/>
      <c r="C1130" s="10"/>
      <c r="D1130" s="10"/>
      <c r="E1130" s="10"/>
      <c r="F1130" s="10"/>
      <c r="G1130" s="10"/>
      <c r="H1130" s="10"/>
      <c r="I1130" s="10"/>
      <c r="J1130" s="10"/>
      <c r="K1130" s="10"/>
      <c r="L1130" s="10"/>
      <c r="M1130" s="10"/>
    </row>
    <row r="1131" spans="1:13">
      <c r="A1131" s="10"/>
      <c r="B1131" s="10"/>
      <c r="C1131" s="10"/>
      <c r="D1131" s="10"/>
      <c r="E1131" s="10"/>
      <c r="F1131" s="10"/>
      <c r="G1131" s="10"/>
      <c r="H1131" s="10"/>
      <c r="I1131" s="10"/>
      <c r="J1131" s="10"/>
      <c r="K1131" s="10"/>
      <c r="L1131" s="10"/>
      <c r="M1131" s="10"/>
    </row>
    <row r="1132" spans="1:13">
      <c r="A1132" s="10"/>
      <c r="B1132" s="10"/>
      <c r="C1132" s="10"/>
      <c r="D1132" s="10"/>
      <c r="E1132" s="10"/>
      <c r="F1132" s="10"/>
      <c r="G1132" s="10"/>
      <c r="H1132" s="10"/>
      <c r="I1132" s="10"/>
      <c r="J1132" s="10"/>
      <c r="K1132" s="10"/>
      <c r="L1132" s="10"/>
      <c r="M1132" s="10"/>
    </row>
    <row r="1133" spans="1:13">
      <c r="A1133" s="10"/>
      <c r="B1133" s="10"/>
      <c r="C1133" s="10"/>
      <c r="D1133" s="10"/>
      <c r="E1133" s="10"/>
      <c r="F1133" s="10"/>
      <c r="G1133" s="10"/>
      <c r="H1133" s="10"/>
      <c r="I1133" s="10"/>
      <c r="J1133" s="10"/>
      <c r="K1133" s="10"/>
      <c r="L1133" s="10"/>
      <c r="M1133" s="10"/>
    </row>
    <row r="1134" spans="1:13">
      <c r="A1134" s="10"/>
      <c r="B1134" s="10"/>
      <c r="C1134" s="10"/>
      <c r="D1134" s="10"/>
      <c r="E1134" s="10"/>
      <c r="F1134" s="10"/>
      <c r="G1134" s="10"/>
      <c r="H1134" s="10"/>
      <c r="I1134" s="10"/>
      <c r="J1134" s="10"/>
      <c r="K1134" s="10"/>
      <c r="L1134" s="10"/>
      <c r="M1134" s="10"/>
    </row>
    <row r="1135" spans="1:13">
      <c r="A1135" s="10"/>
      <c r="B1135" s="10"/>
      <c r="C1135" s="10"/>
      <c r="D1135" s="10"/>
      <c r="E1135" s="10"/>
      <c r="F1135" s="10"/>
      <c r="G1135" s="10"/>
      <c r="H1135" s="10"/>
      <c r="I1135" s="10"/>
      <c r="J1135" s="10"/>
      <c r="K1135" s="10"/>
      <c r="L1135" s="10"/>
      <c r="M1135" s="10"/>
    </row>
    <row r="1136" spans="1:13">
      <c r="A1136" s="10"/>
      <c r="B1136" s="10"/>
      <c r="C1136" s="10"/>
      <c r="D1136" s="10"/>
      <c r="E1136" s="10"/>
      <c r="F1136" s="10"/>
      <c r="G1136" s="10"/>
      <c r="H1136" s="10"/>
      <c r="I1136" s="10"/>
      <c r="J1136" s="10"/>
      <c r="K1136" s="10"/>
      <c r="L1136" s="10"/>
      <c r="M1136" s="10"/>
    </row>
    <row r="1137" spans="1:13">
      <c r="A1137" s="10"/>
      <c r="B1137" s="10"/>
      <c r="C1137" s="10"/>
      <c r="D1137" s="10"/>
      <c r="E1137" s="10"/>
      <c r="F1137" s="10"/>
      <c r="G1137" s="10"/>
      <c r="H1137" s="10"/>
      <c r="I1137" s="10"/>
      <c r="J1137" s="10"/>
      <c r="K1137" s="10"/>
      <c r="L1137" s="10"/>
      <c r="M1137" s="10"/>
    </row>
    <row r="1138" spans="1:13">
      <c r="A1138" s="10"/>
      <c r="B1138" s="10"/>
      <c r="C1138" s="10"/>
      <c r="D1138" s="10"/>
      <c r="E1138" s="10"/>
      <c r="F1138" s="10"/>
      <c r="G1138" s="10"/>
      <c r="H1138" s="10"/>
      <c r="I1138" s="10"/>
      <c r="J1138" s="10"/>
      <c r="K1138" s="10"/>
      <c r="L1138" s="10"/>
      <c r="M1138" s="10"/>
    </row>
    <row r="1139" spans="1:13">
      <c r="A1139" s="10"/>
      <c r="B1139" s="10"/>
      <c r="C1139" s="10"/>
      <c r="D1139" s="10"/>
      <c r="E1139" s="10"/>
      <c r="F1139" s="10"/>
      <c r="G1139" s="10"/>
      <c r="H1139" s="10"/>
      <c r="I1139" s="10"/>
      <c r="J1139" s="10"/>
      <c r="K1139" s="10"/>
      <c r="L1139" s="10"/>
      <c r="M1139" s="10"/>
    </row>
    <row r="1140" spans="1:13">
      <c r="A1140" s="10"/>
      <c r="B1140" s="10"/>
      <c r="C1140" s="10"/>
      <c r="D1140" s="10"/>
      <c r="E1140" s="10"/>
      <c r="F1140" s="10"/>
      <c r="G1140" s="10"/>
      <c r="H1140" s="10"/>
      <c r="I1140" s="10"/>
      <c r="J1140" s="10"/>
      <c r="K1140" s="10"/>
      <c r="L1140" s="10"/>
      <c r="M1140" s="10"/>
    </row>
    <row r="1141" spans="1:13">
      <c r="A1141" s="10"/>
      <c r="B1141" s="10"/>
      <c r="C1141" s="10"/>
      <c r="D1141" s="10"/>
      <c r="E1141" s="10"/>
      <c r="F1141" s="10"/>
      <c r="G1141" s="10"/>
      <c r="H1141" s="10"/>
      <c r="I1141" s="10"/>
      <c r="J1141" s="10"/>
      <c r="K1141" s="10"/>
      <c r="L1141" s="10"/>
      <c r="M1141" s="10"/>
    </row>
    <row r="1142" spans="1:13">
      <c r="A1142" s="10"/>
      <c r="B1142" s="10"/>
      <c r="C1142" s="10"/>
      <c r="D1142" s="10"/>
      <c r="E1142" s="10"/>
      <c r="F1142" s="10"/>
      <c r="G1142" s="10"/>
      <c r="H1142" s="10"/>
      <c r="I1142" s="10"/>
      <c r="J1142" s="10"/>
      <c r="K1142" s="10"/>
      <c r="L1142" s="10"/>
      <c r="M1142" s="10"/>
    </row>
    <row r="1143" spans="1:13">
      <c r="A1143" s="10"/>
      <c r="B1143" s="10"/>
      <c r="C1143" s="10"/>
      <c r="D1143" s="10"/>
      <c r="E1143" s="10"/>
      <c r="F1143" s="10"/>
      <c r="G1143" s="10"/>
      <c r="H1143" s="10"/>
      <c r="I1143" s="10"/>
      <c r="J1143" s="10"/>
      <c r="K1143" s="10"/>
      <c r="L1143" s="10"/>
      <c r="M1143" s="10"/>
    </row>
    <row r="1144" spans="1:13">
      <c r="A1144" s="10"/>
      <c r="B1144" s="10"/>
      <c r="C1144" s="10"/>
      <c r="D1144" s="10"/>
      <c r="E1144" s="10"/>
      <c r="F1144" s="10"/>
      <c r="G1144" s="10"/>
      <c r="H1144" s="10"/>
      <c r="I1144" s="10"/>
      <c r="J1144" s="10"/>
      <c r="K1144" s="10"/>
      <c r="L1144" s="10"/>
      <c r="M1144" s="10"/>
    </row>
    <row r="1145" spans="1:13">
      <c r="A1145" s="10"/>
      <c r="B1145" s="10"/>
      <c r="C1145" s="10"/>
      <c r="D1145" s="10"/>
      <c r="E1145" s="10"/>
      <c r="F1145" s="10"/>
      <c r="G1145" s="10"/>
      <c r="H1145" s="10"/>
      <c r="I1145" s="10"/>
      <c r="J1145" s="10"/>
      <c r="K1145" s="10"/>
      <c r="L1145" s="10"/>
      <c r="M1145" s="10"/>
    </row>
    <row r="1146" spans="1:13">
      <c r="A1146" s="10"/>
      <c r="B1146" s="10"/>
      <c r="C1146" s="10"/>
      <c r="D1146" s="10"/>
      <c r="E1146" s="28"/>
      <c r="F1146" s="10"/>
      <c r="G1146" s="10"/>
      <c r="H1146" s="10"/>
      <c r="I1146" s="10"/>
      <c r="J1146" s="10"/>
      <c r="K1146" s="10"/>
      <c r="L1146" s="10"/>
      <c r="M1146" s="10"/>
    </row>
    <row r="1147" spans="1:13">
      <c r="A1147" s="10"/>
      <c r="B1147" s="10"/>
      <c r="C1147" s="10"/>
      <c r="D1147" s="10"/>
      <c r="E1147" s="10"/>
      <c r="F1147" s="10"/>
      <c r="G1147" s="10"/>
      <c r="H1147" s="10"/>
      <c r="I1147" s="10"/>
      <c r="J1147" s="10"/>
      <c r="K1147" s="10"/>
      <c r="L1147" s="10"/>
      <c r="M1147" s="10"/>
    </row>
    <row r="1148" spans="1:13">
      <c r="A1148" s="10"/>
      <c r="B1148" s="10"/>
      <c r="C1148" s="10"/>
      <c r="D1148" s="10"/>
      <c r="E1148" s="10"/>
      <c r="F1148" s="10"/>
      <c r="G1148" s="10"/>
      <c r="H1148" s="10"/>
      <c r="I1148" s="10"/>
      <c r="J1148" s="10"/>
      <c r="K1148" s="10"/>
      <c r="L1148" s="10"/>
      <c r="M1148" s="10"/>
    </row>
    <row r="1149" spans="1:13">
      <c r="A1149" s="10"/>
      <c r="B1149" s="10"/>
      <c r="C1149" s="10"/>
      <c r="D1149" s="10"/>
      <c r="E1149" s="10"/>
      <c r="F1149" s="10"/>
      <c r="G1149" s="10"/>
      <c r="H1149" s="10"/>
      <c r="I1149" s="10"/>
      <c r="J1149" s="10"/>
      <c r="K1149" s="10"/>
      <c r="L1149" s="10"/>
      <c r="M1149" s="10"/>
    </row>
    <row r="1150" spans="1:13">
      <c r="A1150" s="10"/>
      <c r="B1150" s="10"/>
      <c r="C1150" s="10"/>
      <c r="D1150" s="10"/>
      <c r="E1150" s="10"/>
      <c r="F1150" s="10"/>
      <c r="G1150" s="10"/>
      <c r="H1150" s="10"/>
      <c r="I1150" s="10"/>
      <c r="J1150" s="10"/>
      <c r="K1150" s="10"/>
      <c r="L1150" s="10"/>
      <c r="M1150" s="10"/>
    </row>
    <row r="1151" spans="1:13">
      <c r="A1151" s="10"/>
      <c r="B1151" s="10"/>
      <c r="C1151" s="10"/>
      <c r="D1151" s="10"/>
      <c r="E1151" s="28"/>
      <c r="F1151" s="10"/>
      <c r="G1151" s="10"/>
      <c r="H1151" s="10"/>
      <c r="I1151" s="10"/>
      <c r="J1151" s="10"/>
      <c r="K1151" s="10"/>
      <c r="L1151" s="10"/>
      <c r="M1151" s="10"/>
    </row>
    <row r="1152" spans="1:13">
      <c r="A1152" s="10"/>
      <c r="B1152" s="10"/>
      <c r="C1152" s="10"/>
      <c r="D1152" s="10"/>
      <c r="E1152" s="28"/>
      <c r="F1152" s="10"/>
      <c r="G1152" s="10"/>
      <c r="H1152" s="10"/>
      <c r="I1152" s="10"/>
      <c r="J1152" s="10"/>
      <c r="K1152" s="10"/>
      <c r="L1152" s="10"/>
      <c r="M1152" s="10"/>
    </row>
    <row r="1153" spans="1:21">
      <c r="A1153" s="10"/>
      <c r="B1153" s="10"/>
      <c r="C1153" s="10"/>
      <c r="D1153" s="10"/>
      <c r="E1153" s="28"/>
      <c r="F1153" s="10"/>
      <c r="G1153" s="10"/>
      <c r="H1153" s="10"/>
      <c r="I1153" s="10"/>
      <c r="J1153" s="10"/>
      <c r="K1153" s="10"/>
      <c r="L1153" s="10"/>
      <c r="M1153" s="10"/>
    </row>
    <row r="1154" spans="1:21">
      <c r="A1154" s="10"/>
      <c r="B1154" s="10"/>
      <c r="C1154" s="10"/>
      <c r="D1154" s="10"/>
      <c r="E1154" s="28"/>
      <c r="F1154" s="10"/>
      <c r="G1154" s="10"/>
      <c r="H1154" s="10"/>
      <c r="I1154" s="10"/>
      <c r="J1154" s="10"/>
      <c r="K1154" s="10"/>
      <c r="L1154" s="10"/>
      <c r="M1154" s="10"/>
    </row>
    <row r="1155" spans="1:21">
      <c r="A1155" s="10"/>
      <c r="B1155" s="10"/>
      <c r="C1155" s="10"/>
      <c r="D1155" s="10"/>
      <c r="E1155" s="10"/>
      <c r="F1155" s="10"/>
      <c r="G1155" s="10"/>
      <c r="H1155" s="10"/>
      <c r="I1155" s="10"/>
      <c r="J1155" s="10"/>
      <c r="K1155" s="10"/>
      <c r="L1155" s="10"/>
      <c r="M1155" s="10"/>
    </row>
    <row r="1156" spans="1:21">
      <c r="A1156" s="10"/>
      <c r="B1156" s="10"/>
      <c r="C1156" s="10"/>
      <c r="D1156" s="10"/>
      <c r="E1156" s="10"/>
      <c r="F1156" s="10"/>
      <c r="G1156" s="10"/>
      <c r="H1156" s="10"/>
      <c r="I1156" s="10"/>
      <c r="J1156" s="10"/>
      <c r="K1156" s="10"/>
      <c r="L1156" s="10"/>
      <c r="M1156" s="10"/>
    </row>
    <row r="1157" spans="1:21">
      <c r="A1157" s="10"/>
      <c r="B1157" s="10"/>
      <c r="C1157" s="10"/>
      <c r="D1157" s="10"/>
      <c r="E1157" s="10"/>
      <c r="F1157" s="10"/>
      <c r="G1157" s="10"/>
      <c r="H1157" s="10"/>
      <c r="I1157" s="10"/>
      <c r="J1157" s="10"/>
      <c r="K1157" s="10"/>
      <c r="L1157" s="10"/>
      <c r="M1157" s="10"/>
    </row>
    <row r="1158" spans="1:21">
      <c r="A1158" s="10"/>
      <c r="B1158" s="10"/>
      <c r="C1158" s="10"/>
      <c r="D1158" s="10"/>
      <c r="E1158" s="10"/>
      <c r="F1158" s="10"/>
      <c r="G1158" s="10"/>
      <c r="H1158" s="10"/>
      <c r="I1158" s="10"/>
      <c r="J1158" s="10"/>
      <c r="K1158" s="10"/>
      <c r="L1158" s="10"/>
      <c r="M1158" s="10"/>
    </row>
    <row r="1159" spans="1:21">
      <c r="A1159" s="10"/>
      <c r="B1159" s="10"/>
      <c r="C1159" s="10"/>
      <c r="D1159" s="10"/>
      <c r="E1159" s="10"/>
      <c r="F1159" s="10"/>
      <c r="G1159" s="10"/>
      <c r="H1159" s="10"/>
      <c r="I1159" s="10"/>
      <c r="J1159" s="10"/>
      <c r="K1159" s="10"/>
      <c r="L1159" s="10"/>
      <c r="M1159" s="10"/>
    </row>
    <row r="1160" spans="1:21">
      <c r="A1160" s="10"/>
      <c r="B1160" s="10"/>
      <c r="C1160" s="10"/>
      <c r="D1160" s="10"/>
      <c r="E1160" s="10"/>
      <c r="F1160" s="10"/>
      <c r="G1160" s="10"/>
      <c r="H1160" s="10"/>
      <c r="I1160" s="10"/>
      <c r="J1160" s="10"/>
      <c r="K1160" s="10"/>
      <c r="L1160" s="10"/>
      <c r="M1160" s="10"/>
    </row>
    <row r="1161" spans="1:21">
      <c r="A1161" s="10"/>
      <c r="B1161" s="10"/>
      <c r="C1161" s="10"/>
      <c r="D1161" s="10"/>
      <c r="E1161" s="28"/>
      <c r="F1161" s="10"/>
      <c r="G1161" s="10"/>
      <c r="H1161" s="10"/>
      <c r="I1161" s="10"/>
      <c r="J1161" s="10"/>
      <c r="K1161" s="10"/>
      <c r="L1161" s="10"/>
      <c r="M1161" s="10"/>
    </row>
    <row r="1162" spans="1:21">
      <c r="A1162" s="10"/>
      <c r="B1162" s="10"/>
      <c r="C1162" s="10"/>
      <c r="D1162" s="10"/>
      <c r="E1162" s="28"/>
      <c r="F1162" s="10"/>
      <c r="G1162" s="10"/>
      <c r="H1162" s="10"/>
      <c r="I1162" s="10"/>
      <c r="J1162" s="10"/>
      <c r="K1162" s="10"/>
      <c r="L1162" s="10"/>
      <c r="M1162" s="10"/>
    </row>
    <row r="1163" spans="1:21">
      <c r="A1163" s="10"/>
      <c r="B1163" s="10"/>
      <c r="C1163" s="10"/>
      <c r="D1163" s="10"/>
      <c r="E1163" s="10"/>
      <c r="F1163" s="10"/>
      <c r="G1163" s="10"/>
      <c r="H1163" s="10"/>
      <c r="I1163" s="10"/>
      <c r="J1163" s="10"/>
      <c r="K1163" s="10"/>
      <c r="L1163" s="10"/>
      <c r="M1163" s="10"/>
    </row>
    <row r="1164" spans="1:21">
      <c r="A1164" s="10"/>
      <c r="B1164" s="10"/>
      <c r="C1164" s="10"/>
      <c r="D1164" s="10"/>
      <c r="E1164" s="10"/>
      <c r="F1164" s="10"/>
      <c r="G1164" s="10"/>
      <c r="H1164" s="10"/>
      <c r="I1164" s="10"/>
      <c r="J1164" s="10"/>
      <c r="K1164" s="10"/>
      <c r="L1164" s="10"/>
      <c r="M1164" s="10"/>
    </row>
    <row r="1165" spans="1:21">
      <c r="A1165" s="10"/>
      <c r="B1165" s="10"/>
      <c r="C1165" s="10"/>
      <c r="D1165" s="10"/>
      <c r="E1165" s="10"/>
      <c r="F1165" s="10"/>
      <c r="G1165" s="10"/>
      <c r="H1165" s="10"/>
      <c r="I1165" s="10"/>
      <c r="J1165" s="10"/>
      <c r="K1165" s="10"/>
      <c r="L1165" s="10"/>
      <c r="M1165" s="10"/>
      <c r="P1165" s="10" t="e">
        <f>VLOOKUP(C1165,Table_view_sorted!A$2:A$215,1,FALSE)</f>
        <v>#N/A</v>
      </c>
      <c r="Q1165" t="e">
        <f>VLOOKUP(D1165,AVY_FACT!A$2:A$153,1,FALSE)</f>
        <v>#N/A</v>
      </c>
      <c r="R1165" t="str">
        <f>D1165&amp;"  "&amp;G1165&amp;","</f>
        <v xml:space="preserve">  ,</v>
      </c>
      <c r="T1165" s="10"/>
      <c r="U1165" s="10"/>
    </row>
    <row r="1166" spans="1:21">
      <c r="A1166" s="10"/>
      <c r="B1166" s="10"/>
      <c r="C1166" s="10"/>
      <c r="D1166" s="10"/>
      <c r="E1166" s="28"/>
      <c r="F1166" s="10"/>
      <c r="G1166" s="10"/>
      <c r="H1166" s="10"/>
      <c r="I1166" s="10"/>
      <c r="J1166" s="10"/>
      <c r="K1166" s="10"/>
      <c r="L1166" s="10"/>
      <c r="M1166" s="10"/>
    </row>
    <row r="1167" spans="1:21">
      <c r="A1167" s="10"/>
      <c r="B1167" s="10"/>
      <c r="C1167" s="10"/>
      <c r="D1167" s="10"/>
      <c r="E1167" s="28"/>
      <c r="F1167" s="10"/>
      <c r="G1167" s="10"/>
      <c r="H1167" s="10"/>
      <c r="I1167" s="10"/>
      <c r="J1167" s="10"/>
      <c r="K1167" s="10"/>
      <c r="L1167" s="10"/>
      <c r="M1167" s="10"/>
    </row>
    <row r="1168" spans="1:21">
      <c r="A1168" s="10"/>
      <c r="B1168" s="10"/>
      <c r="C1168" s="10"/>
      <c r="D1168" s="10"/>
      <c r="E1168" s="28"/>
      <c r="F1168" s="10"/>
      <c r="G1168" s="10"/>
      <c r="H1168" s="10"/>
      <c r="I1168" s="10"/>
      <c r="J1168" s="10"/>
      <c r="K1168" s="10"/>
      <c r="L1168" s="10"/>
      <c r="M1168" s="10"/>
    </row>
    <row r="1169" spans="1:21">
      <c r="A1169" s="10"/>
      <c r="B1169" s="10"/>
      <c r="C1169" s="10"/>
      <c r="D1169" s="10"/>
      <c r="E1169" s="28"/>
      <c r="F1169" s="10"/>
      <c r="G1169" s="10"/>
      <c r="H1169" s="10"/>
      <c r="I1169" s="10"/>
      <c r="J1169" s="10"/>
      <c r="K1169" s="10"/>
      <c r="L1169" s="10"/>
      <c r="M1169" s="10"/>
    </row>
    <row r="1170" spans="1:21">
      <c r="A1170" s="10"/>
      <c r="B1170" s="10"/>
      <c r="C1170" s="10"/>
      <c r="D1170" s="10"/>
      <c r="E1170" s="28"/>
      <c r="F1170" s="10"/>
      <c r="G1170" s="10"/>
      <c r="H1170" s="10"/>
      <c r="I1170" s="10"/>
      <c r="J1170" s="10"/>
      <c r="K1170" s="10"/>
      <c r="L1170" s="10"/>
      <c r="M1170" s="10"/>
    </row>
    <row r="1171" spans="1:21">
      <c r="A1171" s="10"/>
      <c r="B1171" s="10"/>
      <c r="C1171" s="10"/>
      <c r="D1171" s="10"/>
      <c r="E1171" s="28"/>
      <c r="F1171" s="10"/>
      <c r="G1171" s="10"/>
      <c r="H1171" s="10"/>
      <c r="I1171" s="10"/>
      <c r="J1171" s="10"/>
      <c r="K1171" s="10"/>
      <c r="L1171" s="10"/>
      <c r="M1171" s="10"/>
    </row>
    <row r="1172" spans="1:21">
      <c r="A1172" s="10"/>
      <c r="B1172" s="10"/>
      <c r="C1172" s="10"/>
      <c r="D1172" s="10"/>
      <c r="E1172" s="28"/>
      <c r="F1172" s="10"/>
      <c r="G1172" s="10"/>
      <c r="H1172" s="10"/>
      <c r="I1172" s="10"/>
      <c r="J1172" s="10"/>
      <c r="K1172" s="10"/>
      <c r="L1172" s="10"/>
      <c r="M1172" s="10"/>
      <c r="P1172" s="10" t="e">
        <f>VLOOKUP(C1172,Table_view_sorted!A$2:A$215,1,FALSE)</f>
        <v>#N/A</v>
      </c>
      <c r="Q1172" s="22" t="e">
        <f>VLOOKUP(D1172,AVY_FACT!A$2:A$153,1,FALSE)</f>
        <v>#N/A</v>
      </c>
      <c r="R1172" s="22" t="str">
        <f t="shared" ref="R1172:R1178" si="4">D1172&amp;"  "&amp;G1172&amp;","</f>
        <v xml:space="preserve">  ,</v>
      </c>
      <c r="S1172" s="22"/>
      <c r="T1172" s="21" t="s">
        <v>2460</v>
      </c>
      <c r="U1172" s="21" t="s">
        <v>1142</v>
      </c>
    </row>
    <row r="1173" spans="1:21">
      <c r="A1173" s="10"/>
      <c r="B1173" s="10"/>
      <c r="C1173" s="10"/>
      <c r="D1173" s="10"/>
      <c r="E1173" s="28"/>
      <c r="F1173" s="10"/>
      <c r="G1173" s="10"/>
      <c r="H1173" s="10"/>
      <c r="I1173" s="10"/>
      <c r="J1173" s="10"/>
      <c r="K1173" s="10"/>
      <c r="L1173" s="10"/>
      <c r="M1173" s="10"/>
      <c r="P1173" s="10" t="e">
        <f>VLOOKUP(C1173,Table_view_sorted!A$2:A$215,1,FALSE)</f>
        <v>#N/A</v>
      </c>
      <c r="Q1173" t="e">
        <f>VLOOKUP(D1173,AVY_FACT!A$2:A$153,1,FALSE)</f>
        <v>#N/A</v>
      </c>
      <c r="R1173" t="str">
        <f t="shared" si="4"/>
        <v xml:space="preserve">  ,</v>
      </c>
      <c r="T1173" s="10"/>
      <c r="U1173" s="10"/>
    </row>
    <row r="1174" spans="1:21">
      <c r="A1174" s="10"/>
      <c r="B1174" s="10"/>
      <c r="C1174" s="10"/>
      <c r="D1174" s="10"/>
      <c r="E1174" s="10"/>
      <c r="F1174" s="10"/>
      <c r="G1174" s="10"/>
      <c r="H1174" s="10"/>
      <c r="I1174" s="10"/>
      <c r="J1174" s="10"/>
      <c r="K1174" s="10"/>
      <c r="L1174" s="10"/>
      <c r="M1174" s="10"/>
      <c r="N1174" s="10"/>
      <c r="O1174" s="10"/>
      <c r="P1174" s="10" t="e">
        <f>VLOOKUP(C1174,Table_view_sorted!A$2:A$215,1,FALSE)</f>
        <v>#N/A</v>
      </c>
      <c r="Q1174" t="e">
        <f>VLOOKUP(D1174,AVY_FACT!A$2:A$153,1,FALSE)</f>
        <v>#N/A</v>
      </c>
      <c r="R1174" t="str">
        <f t="shared" si="4"/>
        <v xml:space="preserve">  ,</v>
      </c>
      <c r="T1174" s="10"/>
      <c r="U1174" s="10"/>
    </row>
    <row r="1175" spans="1:21">
      <c r="A1175" s="10"/>
      <c r="B1175" s="10"/>
      <c r="C1175" s="10"/>
      <c r="D1175" s="10"/>
      <c r="E1175" s="10"/>
      <c r="F1175" s="10"/>
      <c r="G1175" s="10"/>
      <c r="H1175" s="10"/>
      <c r="I1175" s="10"/>
      <c r="J1175" s="10"/>
      <c r="K1175" s="10"/>
      <c r="L1175" s="10"/>
      <c r="M1175" s="10"/>
      <c r="P1175" s="10" t="e">
        <f>VLOOKUP(C1175,Table_view_sorted!A$2:A$215,1,FALSE)</f>
        <v>#N/A</v>
      </c>
      <c r="Q1175" t="e">
        <f>VLOOKUP(D1175,AVY_FACT!A$2:A$153,1,FALSE)</f>
        <v>#N/A</v>
      </c>
      <c r="R1175" t="str">
        <f t="shared" si="4"/>
        <v xml:space="preserve">  ,</v>
      </c>
      <c r="T1175" s="23" t="s">
        <v>2460</v>
      </c>
      <c r="U1175" s="23" t="s">
        <v>1142</v>
      </c>
    </row>
    <row r="1176" spans="1:21">
      <c r="A1176" s="10"/>
      <c r="B1176" s="10"/>
      <c r="C1176" s="10"/>
      <c r="D1176" s="10"/>
      <c r="E1176" s="10"/>
      <c r="F1176" s="10"/>
      <c r="G1176" s="10"/>
      <c r="H1176" s="10"/>
      <c r="I1176" s="10"/>
      <c r="J1176" s="10"/>
      <c r="K1176" s="10"/>
      <c r="L1176" s="10"/>
      <c r="M1176" s="10"/>
      <c r="P1176" s="10" t="e">
        <f>VLOOKUP(C1176,Table_view_sorted!A$2:A$215,1,FALSE)</f>
        <v>#N/A</v>
      </c>
      <c r="Q1176" t="e">
        <f>VLOOKUP(D1176,AVY_FACT!A$2:A$153,1,FALSE)</f>
        <v>#N/A</v>
      </c>
      <c r="R1176" t="str">
        <f t="shared" si="4"/>
        <v xml:space="preserve">  ,</v>
      </c>
      <c r="T1176" s="10"/>
      <c r="U1176" s="10"/>
    </row>
    <row r="1177" spans="1:21">
      <c r="A1177" s="10"/>
      <c r="B1177" s="10"/>
      <c r="C1177" s="10"/>
      <c r="D1177" s="10"/>
      <c r="E1177" s="10"/>
      <c r="F1177" s="10"/>
      <c r="G1177" s="10"/>
      <c r="H1177" s="10"/>
      <c r="I1177" s="10"/>
      <c r="J1177" s="10"/>
      <c r="K1177" s="10"/>
      <c r="L1177" s="10"/>
      <c r="M1177" s="10"/>
      <c r="P1177" s="10" t="e">
        <f>VLOOKUP(C1177,Table_view_sorted!A$2:A$215,1,FALSE)</f>
        <v>#N/A</v>
      </c>
      <c r="Q1177" t="e">
        <f>VLOOKUP(D1177,AVY_FACT!A$2:A$153,1,FALSE)</f>
        <v>#N/A</v>
      </c>
      <c r="R1177" t="str">
        <f t="shared" si="4"/>
        <v xml:space="preserve">  ,</v>
      </c>
      <c r="T1177" s="10"/>
      <c r="U1177" s="10"/>
    </row>
    <row r="1178" spans="1:21">
      <c r="A1178" s="10"/>
      <c r="B1178" s="10"/>
      <c r="C1178" s="10"/>
      <c r="D1178" s="10"/>
      <c r="E1178" s="28"/>
      <c r="F1178" s="10"/>
      <c r="G1178" s="10"/>
      <c r="H1178" s="10"/>
      <c r="I1178" s="10"/>
      <c r="J1178" s="10"/>
      <c r="K1178" s="10"/>
      <c r="L1178" s="10"/>
      <c r="M1178" s="10"/>
      <c r="P1178" s="10" t="e">
        <f>VLOOKUP(C1178,Table_view_sorted!A$2:A$215,1,FALSE)</f>
        <v>#N/A</v>
      </c>
      <c r="Q1178" t="e">
        <f>VLOOKUP(D1178,AVY_FACT!A$2:A$153,1,FALSE)</f>
        <v>#N/A</v>
      </c>
      <c r="R1178" t="str">
        <f t="shared" si="4"/>
        <v xml:space="preserve">  ,</v>
      </c>
      <c r="T1178" s="10"/>
      <c r="U1178" s="10"/>
    </row>
    <row r="1179" spans="1:21">
      <c r="A1179" s="10"/>
      <c r="B1179" s="10"/>
      <c r="C1179" s="10"/>
      <c r="D1179" s="10"/>
      <c r="E1179" s="10"/>
      <c r="F1179" s="10"/>
      <c r="G1179" s="10"/>
      <c r="H1179" s="10"/>
      <c r="I1179" s="10"/>
      <c r="J1179" s="10"/>
      <c r="K1179" s="10"/>
      <c r="L1179" s="10"/>
      <c r="M1179" s="10"/>
    </row>
    <row r="1180" spans="1:21">
      <c r="A1180" s="10"/>
      <c r="B1180" s="10"/>
      <c r="C1180" s="10"/>
      <c r="D1180" s="10"/>
      <c r="E1180" s="10"/>
      <c r="F1180" s="10"/>
      <c r="G1180" s="10"/>
      <c r="H1180" s="10"/>
      <c r="I1180" s="10"/>
      <c r="J1180" s="10"/>
      <c r="K1180" s="10"/>
      <c r="L1180" s="10"/>
      <c r="M1180" s="10"/>
      <c r="P1180" s="10" t="e">
        <f>VLOOKUP(C1180,Table_view_sorted!A$2:A$215,1,FALSE)</f>
        <v>#N/A</v>
      </c>
      <c r="Q1180" t="e">
        <f>VLOOKUP(D1180,AVY_FACT!A$2:A$153,1,FALSE)</f>
        <v>#N/A</v>
      </c>
      <c r="R1180" t="str">
        <f>D1180&amp;"  "&amp;G1180&amp;","</f>
        <v xml:space="preserve">  ,</v>
      </c>
      <c r="T1180" s="10"/>
      <c r="U1180" s="10"/>
    </row>
    <row r="1181" spans="1:21">
      <c r="A1181" s="10"/>
      <c r="B1181" s="10"/>
      <c r="C1181" s="10"/>
      <c r="D1181" s="10"/>
      <c r="E1181" s="10"/>
      <c r="F1181" s="10"/>
      <c r="G1181" s="10"/>
      <c r="H1181" s="10"/>
      <c r="I1181" s="10"/>
      <c r="J1181" s="10"/>
      <c r="K1181" s="10"/>
      <c r="L1181" s="10"/>
      <c r="M1181" s="10"/>
      <c r="P1181" s="10" t="e">
        <f>VLOOKUP(C1181,Table_view_sorted!A$2:A$215,1,FALSE)</f>
        <v>#N/A</v>
      </c>
      <c r="Q1181" t="e">
        <f>VLOOKUP(D1181,AVY_FACT!A$2:A$153,1,FALSE)</f>
        <v>#N/A</v>
      </c>
      <c r="R1181" t="str">
        <f>D1181&amp;"  "&amp;G1181&amp;","</f>
        <v xml:space="preserve">  ,</v>
      </c>
      <c r="T1181" s="23" t="s">
        <v>2515</v>
      </c>
      <c r="U1181" s="23" t="s">
        <v>1142</v>
      </c>
    </row>
    <row r="1182" spans="1:21">
      <c r="A1182" s="10"/>
      <c r="B1182" s="10"/>
      <c r="C1182" s="10"/>
      <c r="D1182" s="10"/>
      <c r="E1182" s="10"/>
      <c r="F1182" s="10"/>
      <c r="G1182" s="10"/>
      <c r="H1182" s="10"/>
      <c r="I1182" s="10"/>
      <c r="J1182" s="10"/>
      <c r="K1182" s="10"/>
      <c r="L1182" s="10"/>
      <c r="M1182" s="10"/>
    </row>
    <row r="1183" spans="1:21">
      <c r="A1183" s="10"/>
      <c r="B1183" s="10"/>
      <c r="C1183" s="10"/>
      <c r="D1183" s="10"/>
      <c r="E1183" s="10"/>
      <c r="F1183" s="10"/>
      <c r="G1183" s="10"/>
      <c r="H1183" s="10"/>
      <c r="I1183" s="10"/>
      <c r="J1183" s="10"/>
      <c r="K1183" s="10"/>
      <c r="L1183" s="10"/>
      <c r="M1183" s="10"/>
    </row>
    <row r="1184" spans="1:21">
      <c r="A1184" s="10"/>
      <c r="B1184" s="10"/>
      <c r="C1184" s="10"/>
      <c r="D1184" s="10"/>
      <c r="E1184" s="10"/>
      <c r="F1184" s="10"/>
      <c r="G1184" s="10"/>
      <c r="H1184" s="10"/>
      <c r="I1184" s="10"/>
      <c r="J1184" s="10"/>
      <c r="K1184" s="10"/>
      <c r="L1184" s="10"/>
      <c r="M1184" s="10"/>
    </row>
    <row r="1185" spans="1:13">
      <c r="A1185" s="10"/>
      <c r="B1185" s="10"/>
      <c r="C1185" s="10"/>
      <c r="D1185" s="10"/>
      <c r="E1185" s="10"/>
      <c r="F1185" s="10"/>
      <c r="G1185" s="10"/>
      <c r="H1185" s="10"/>
      <c r="I1185" s="10"/>
      <c r="J1185" s="10"/>
      <c r="K1185" s="10"/>
      <c r="L1185" s="10"/>
      <c r="M1185" s="10"/>
    </row>
    <row r="1186" spans="1:13">
      <c r="A1186" s="10"/>
      <c r="B1186" s="10"/>
      <c r="C1186" s="10"/>
      <c r="D1186" s="10"/>
      <c r="E1186" s="10"/>
      <c r="F1186" s="10"/>
      <c r="G1186" s="10"/>
      <c r="H1186" s="10"/>
      <c r="I1186" s="10"/>
      <c r="J1186" s="10"/>
      <c r="K1186" s="10"/>
      <c r="L1186" s="10"/>
      <c r="M1186" s="10"/>
    </row>
    <row r="1187" spans="1:13">
      <c r="A1187" s="10"/>
      <c r="B1187" s="10"/>
      <c r="C1187" s="10"/>
      <c r="D1187" s="10"/>
      <c r="E1187" s="10"/>
      <c r="F1187" s="10"/>
      <c r="G1187" s="10"/>
      <c r="H1187" s="10"/>
      <c r="I1187" s="10"/>
      <c r="J1187" s="10"/>
      <c r="K1187" s="10"/>
      <c r="L1187" s="10"/>
      <c r="M1187" s="10"/>
    </row>
    <row r="1188" spans="1:13">
      <c r="A1188" s="10"/>
      <c r="B1188" s="10"/>
      <c r="C1188" s="10"/>
      <c r="D1188" s="10"/>
      <c r="E1188" s="10"/>
      <c r="F1188" s="10"/>
      <c r="G1188" s="10"/>
      <c r="H1188" s="10"/>
      <c r="I1188" s="10"/>
      <c r="J1188" s="10"/>
      <c r="K1188" s="10"/>
      <c r="L1188" s="10"/>
      <c r="M1188" s="10"/>
    </row>
    <row r="1189" spans="1:13">
      <c r="A1189" s="10"/>
      <c r="B1189" s="10"/>
      <c r="C1189" s="10"/>
      <c r="D1189" s="10"/>
      <c r="E1189" s="10"/>
      <c r="F1189" s="10"/>
      <c r="G1189" s="10"/>
      <c r="H1189" s="10"/>
      <c r="I1189" s="10"/>
      <c r="J1189" s="10"/>
      <c r="K1189" s="10"/>
      <c r="L1189" s="10"/>
      <c r="M1189" s="10"/>
    </row>
    <row r="1190" spans="1:13">
      <c r="A1190" s="10"/>
      <c r="B1190" s="10"/>
      <c r="C1190" s="10"/>
      <c r="D1190" s="10"/>
      <c r="E1190" s="10"/>
      <c r="F1190" s="10"/>
      <c r="G1190" s="10"/>
      <c r="H1190" s="10"/>
      <c r="I1190" s="10"/>
      <c r="J1190" s="10"/>
      <c r="K1190" s="10"/>
      <c r="L1190" s="10"/>
      <c r="M1190" s="10"/>
    </row>
    <row r="1191" spans="1:13">
      <c r="A1191" s="10"/>
      <c r="B1191" s="10"/>
      <c r="C1191" s="10"/>
      <c r="D1191" s="10"/>
      <c r="E1191" s="10"/>
      <c r="F1191" s="10"/>
      <c r="G1191" s="10"/>
      <c r="H1191" s="10"/>
      <c r="I1191" s="10"/>
      <c r="J1191" s="10"/>
      <c r="K1191" s="10"/>
      <c r="L1191" s="10"/>
      <c r="M1191" s="10"/>
    </row>
    <row r="1192" spans="1:13">
      <c r="A1192" s="10"/>
      <c r="B1192" s="10"/>
      <c r="C1192" s="10"/>
      <c r="D1192" s="10"/>
      <c r="E1192" s="10"/>
      <c r="F1192" s="10"/>
      <c r="G1192" s="10"/>
      <c r="H1192" s="10"/>
      <c r="I1192" s="10"/>
      <c r="J1192" s="10"/>
      <c r="K1192" s="10"/>
      <c r="L1192" s="10"/>
      <c r="M1192" s="10"/>
    </row>
    <row r="1193" spans="1:13">
      <c r="A1193" s="10"/>
      <c r="B1193" s="10"/>
      <c r="C1193" s="10"/>
      <c r="D1193" s="10"/>
      <c r="E1193" s="10"/>
      <c r="F1193" s="10"/>
      <c r="G1193" s="10"/>
      <c r="H1193" s="10"/>
      <c r="I1193" s="10"/>
      <c r="J1193" s="10"/>
      <c r="K1193" s="10"/>
      <c r="L1193" s="10"/>
      <c r="M1193" s="10"/>
    </row>
    <row r="1194" spans="1:13">
      <c r="A1194" s="10"/>
      <c r="B1194" s="10"/>
      <c r="C1194" s="10"/>
      <c r="D1194" s="10"/>
      <c r="E1194" s="10"/>
      <c r="F1194" s="10"/>
      <c r="G1194" s="10"/>
      <c r="H1194" s="10"/>
      <c r="I1194" s="10"/>
      <c r="J1194" s="10"/>
      <c r="K1194" s="10"/>
      <c r="L1194" s="10"/>
      <c r="M1194" s="10"/>
    </row>
    <row r="1195" spans="1:13">
      <c r="A1195" s="10"/>
      <c r="B1195" s="10"/>
      <c r="C1195" s="10"/>
      <c r="D1195" s="10"/>
      <c r="E1195" s="28"/>
      <c r="F1195" s="10"/>
      <c r="G1195" s="10"/>
      <c r="H1195" s="10"/>
      <c r="I1195" s="10"/>
      <c r="J1195" s="10"/>
      <c r="K1195" s="10"/>
      <c r="L1195" s="10"/>
      <c r="M1195" s="10"/>
    </row>
    <row r="1196" spans="1:13">
      <c r="A1196" s="10"/>
      <c r="B1196" s="10"/>
      <c r="C1196" s="10"/>
      <c r="D1196" s="10"/>
      <c r="E1196" s="28"/>
      <c r="F1196" s="10"/>
      <c r="G1196" s="10"/>
      <c r="H1196" s="10"/>
      <c r="I1196" s="10"/>
      <c r="J1196" s="10"/>
      <c r="K1196" s="10"/>
      <c r="L1196" s="10"/>
      <c r="M1196" s="10"/>
    </row>
    <row r="1197" spans="1:13">
      <c r="A1197" s="10"/>
      <c r="B1197" s="10"/>
      <c r="C1197" s="10"/>
      <c r="D1197" s="10"/>
      <c r="E1197" s="28"/>
      <c r="F1197" s="10"/>
      <c r="G1197" s="10"/>
      <c r="H1197" s="10"/>
      <c r="I1197" s="10"/>
      <c r="J1197" s="10"/>
      <c r="K1197" s="10"/>
      <c r="L1197" s="10"/>
      <c r="M1197" s="10"/>
    </row>
    <row r="1198" spans="1:13">
      <c r="A1198" s="10"/>
      <c r="B1198" s="10"/>
      <c r="C1198" s="10"/>
      <c r="D1198" s="10"/>
      <c r="E1198" s="28"/>
      <c r="F1198" s="10"/>
      <c r="G1198" s="10"/>
      <c r="H1198" s="10"/>
      <c r="I1198" s="10"/>
      <c r="J1198" s="10"/>
      <c r="K1198" s="10"/>
      <c r="L1198" s="10"/>
      <c r="M1198" s="10"/>
    </row>
    <row r="1199" spans="1:13">
      <c r="A1199" s="10"/>
      <c r="B1199" s="10"/>
      <c r="C1199" s="10"/>
      <c r="D1199" s="10"/>
      <c r="E1199" s="28"/>
      <c r="F1199" s="10"/>
      <c r="G1199" s="10"/>
      <c r="H1199" s="10"/>
      <c r="I1199" s="10"/>
      <c r="J1199" s="10"/>
      <c r="K1199" s="10"/>
      <c r="L1199" s="10"/>
      <c r="M1199" s="10"/>
    </row>
    <row r="1200" spans="1:13">
      <c r="A1200" s="10"/>
      <c r="B1200" s="10"/>
      <c r="C1200" s="10"/>
      <c r="D1200" s="10"/>
      <c r="E1200" s="28"/>
      <c r="F1200" s="10"/>
      <c r="G1200" s="10"/>
      <c r="H1200" s="10"/>
      <c r="I1200" s="10"/>
      <c r="J1200" s="10"/>
      <c r="K1200" s="10"/>
      <c r="L1200" s="10"/>
      <c r="M1200" s="10"/>
    </row>
    <row r="1201" spans="1:13">
      <c r="A1201" s="10"/>
      <c r="B1201" s="10"/>
      <c r="C1201" s="10"/>
      <c r="D1201" s="10"/>
      <c r="E1201" s="28"/>
      <c r="F1201" s="10"/>
      <c r="G1201" s="10"/>
      <c r="H1201" s="10"/>
      <c r="I1201" s="10"/>
      <c r="J1201" s="10"/>
      <c r="K1201" s="10"/>
      <c r="L1201" s="10"/>
      <c r="M1201" s="10"/>
    </row>
    <row r="1202" spans="1:13">
      <c r="A1202" s="10"/>
      <c r="B1202" s="10"/>
      <c r="C1202" s="10"/>
      <c r="D1202" s="10"/>
      <c r="E1202" s="28"/>
      <c r="F1202" s="10"/>
      <c r="G1202" s="10"/>
      <c r="H1202" s="10"/>
      <c r="I1202" s="10"/>
      <c r="J1202" s="10"/>
      <c r="K1202" s="10"/>
      <c r="L1202" s="10"/>
      <c r="M1202" s="10"/>
    </row>
    <row r="1203" spans="1:13">
      <c r="A1203" s="10"/>
      <c r="B1203" s="10"/>
      <c r="C1203" s="10"/>
      <c r="D1203" s="10"/>
      <c r="E1203" s="28"/>
      <c r="F1203" s="10"/>
      <c r="G1203" s="10"/>
      <c r="H1203" s="10"/>
      <c r="I1203" s="10"/>
      <c r="J1203" s="10"/>
      <c r="K1203" s="10"/>
      <c r="L1203" s="10"/>
      <c r="M1203" s="10"/>
    </row>
    <row r="1204" spans="1:13">
      <c r="A1204" s="10"/>
      <c r="B1204" s="10"/>
      <c r="C1204" s="10"/>
      <c r="D1204" s="10"/>
      <c r="E1204" s="28"/>
      <c r="F1204" s="10"/>
      <c r="G1204" s="10"/>
      <c r="H1204" s="10"/>
      <c r="I1204" s="10"/>
      <c r="J1204" s="10"/>
      <c r="K1204" s="10"/>
      <c r="L1204" s="10"/>
      <c r="M1204" s="10"/>
    </row>
    <row r="1205" spans="1:13">
      <c r="A1205" s="10"/>
      <c r="B1205" s="10"/>
      <c r="C1205" s="10"/>
      <c r="D1205" s="10"/>
      <c r="E1205" s="28"/>
      <c r="F1205" s="10"/>
      <c r="G1205" s="10"/>
      <c r="H1205" s="10"/>
      <c r="I1205" s="10"/>
      <c r="J1205" s="10"/>
      <c r="K1205" s="10"/>
      <c r="L1205" s="10"/>
      <c r="M1205" s="10"/>
    </row>
    <row r="1206" spans="1:13">
      <c r="A1206" s="10"/>
      <c r="B1206" s="10"/>
      <c r="C1206" s="10"/>
      <c r="D1206" s="10"/>
      <c r="E1206" s="28"/>
      <c r="F1206" s="10"/>
      <c r="G1206" s="10"/>
      <c r="H1206" s="10"/>
      <c r="I1206" s="10"/>
      <c r="J1206" s="10"/>
      <c r="K1206" s="10"/>
      <c r="L1206" s="10"/>
      <c r="M1206" s="10"/>
    </row>
    <row r="1207" spans="1:13">
      <c r="A1207" s="10"/>
      <c r="B1207" s="10"/>
      <c r="C1207" s="10"/>
      <c r="D1207" s="10"/>
      <c r="E1207" s="28"/>
      <c r="F1207" s="10"/>
      <c r="G1207" s="10"/>
      <c r="H1207" s="10"/>
      <c r="I1207" s="10"/>
      <c r="J1207" s="10"/>
      <c r="K1207" s="10"/>
      <c r="L1207" s="10"/>
      <c r="M1207" s="10"/>
    </row>
    <row r="1208" spans="1:13">
      <c r="A1208" s="10"/>
      <c r="B1208" s="10"/>
      <c r="C1208" s="10"/>
      <c r="D1208" s="10"/>
      <c r="E1208" s="28"/>
      <c r="F1208" s="10"/>
      <c r="G1208" s="10"/>
      <c r="H1208" s="10"/>
      <c r="I1208" s="10"/>
      <c r="J1208" s="10"/>
      <c r="K1208" s="10"/>
      <c r="L1208" s="10"/>
      <c r="M1208" s="10"/>
    </row>
    <row r="1209" spans="1:13">
      <c r="A1209" s="10"/>
      <c r="B1209" s="10"/>
      <c r="C1209" s="10"/>
      <c r="D1209" s="10"/>
      <c r="E1209" s="10"/>
      <c r="F1209" s="10"/>
      <c r="G1209" s="10"/>
      <c r="H1209" s="10"/>
      <c r="I1209" s="10"/>
      <c r="J1209" s="10"/>
      <c r="K1209" s="10"/>
      <c r="L1209" s="10"/>
      <c r="M1209" s="10"/>
    </row>
    <row r="1210" spans="1:13">
      <c r="A1210" s="10"/>
      <c r="B1210" s="10"/>
      <c r="C1210" s="10"/>
      <c r="D1210" s="10"/>
      <c r="E1210" s="10"/>
      <c r="F1210" s="10"/>
      <c r="G1210" s="10"/>
      <c r="H1210" s="10"/>
      <c r="I1210" s="10"/>
      <c r="J1210" s="10"/>
      <c r="K1210" s="10"/>
      <c r="L1210" s="10"/>
      <c r="M1210" s="10"/>
    </row>
    <row r="1211" spans="1:13">
      <c r="A1211" s="10"/>
      <c r="B1211" s="10"/>
      <c r="C1211" s="10"/>
      <c r="D1211" s="10"/>
      <c r="E1211" s="10"/>
      <c r="F1211" s="10"/>
      <c r="G1211" s="10"/>
      <c r="H1211" s="10"/>
      <c r="I1211" s="10"/>
      <c r="J1211" s="10"/>
      <c r="K1211" s="10"/>
      <c r="L1211" s="10"/>
      <c r="M1211" s="10"/>
    </row>
    <row r="1212" spans="1:13">
      <c r="A1212" s="10"/>
      <c r="B1212" s="10"/>
      <c r="C1212" s="10"/>
      <c r="D1212" s="10"/>
      <c r="E1212" s="10"/>
      <c r="F1212" s="10"/>
      <c r="G1212" s="10"/>
      <c r="H1212" s="10"/>
      <c r="I1212" s="10"/>
      <c r="J1212" s="10"/>
      <c r="K1212" s="10"/>
      <c r="L1212" s="10"/>
      <c r="M1212" s="10"/>
    </row>
    <row r="1213" spans="1:13">
      <c r="A1213" s="10"/>
      <c r="B1213" s="10"/>
      <c r="C1213" s="10"/>
      <c r="D1213" s="10"/>
      <c r="E1213" s="10"/>
      <c r="F1213" s="10"/>
      <c r="G1213" s="10"/>
      <c r="H1213" s="10"/>
      <c r="I1213" s="10"/>
      <c r="J1213" s="10"/>
      <c r="K1213" s="10"/>
      <c r="L1213" s="10"/>
      <c r="M1213" s="10"/>
    </row>
    <row r="1214" spans="1:13">
      <c r="A1214" s="10"/>
      <c r="B1214" s="10"/>
      <c r="C1214" s="10"/>
      <c r="D1214" s="10"/>
      <c r="E1214" s="10"/>
      <c r="F1214" s="10"/>
      <c r="G1214" s="10"/>
      <c r="H1214" s="10"/>
      <c r="I1214" s="10"/>
      <c r="J1214" s="10"/>
      <c r="K1214" s="10"/>
      <c r="L1214" s="10"/>
      <c r="M1214" s="10"/>
    </row>
    <row r="1215" spans="1:13">
      <c r="A1215" s="10"/>
      <c r="B1215" s="10"/>
      <c r="C1215" s="10"/>
      <c r="D1215" s="10"/>
      <c r="E1215" s="10"/>
      <c r="F1215" s="10"/>
      <c r="G1215" s="10"/>
      <c r="H1215" s="10"/>
      <c r="I1215" s="10"/>
      <c r="J1215" s="10"/>
      <c r="K1215" s="10"/>
      <c r="L1215" s="10"/>
      <c r="M1215" s="10"/>
    </row>
    <row r="1216" spans="1:13">
      <c r="A1216" s="10"/>
      <c r="B1216" s="10"/>
      <c r="C1216" s="10"/>
      <c r="D1216" s="10"/>
      <c r="E1216" s="10"/>
      <c r="F1216" s="10"/>
      <c r="G1216" s="10"/>
      <c r="H1216" s="10"/>
      <c r="I1216" s="10"/>
      <c r="J1216" s="10"/>
      <c r="K1216" s="10"/>
      <c r="L1216" s="10"/>
      <c r="M1216" s="10"/>
    </row>
    <row r="1217" spans="1:21">
      <c r="A1217" s="10"/>
      <c r="B1217" s="10"/>
      <c r="C1217" s="10"/>
      <c r="D1217" s="10"/>
      <c r="E1217" s="10"/>
      <c r="F1217" s="10"/>
      <c r="G1217" s="10"/>
      <c r="H1217" s="10"/>
      <c r="I1217" s="10"/>
      <c r="J1217" s="10"/>
      <c r="K1217" s="10"/>
      <c r="L1217" s="10"/>
      <c r="M1217" s="10"/>
    </row>
    <row r="1218" spans="1:21">
      <c r="A1218" s="10"/>
      <c r="B1218" s="10"/>
      <c r="C1218" s="10"/>
      <c r="D1218" s="10"/>
      <c r="E1218" s="10"/>
      <c r="F1218" s="10"/>
      <c r="G1218" s="10"/>
      <c r="H1218" s="10"/>
      <c r="I1218" s="10"/>
      <c r="J1218" s="10"/>
      <c r="K1218" s="10"/>
      <c r="L1218" s="10"/>
      <c r="M1218" s="10"/>
    </row>
    <row r="1219" spans="1:21">
      <c r="A1219" s="10"/>
      <c r="B1219" s="10"/>
      <c r="C1219" s="10"/>
      <c r="D1219" s="10"/>
      <c r="E1219" s="10"/>
      <c r="F1219" s="10"/>
      <c r="G1219" s="10"/>
      <c r="H1219" s="10"/>
      <c r="I1219" s="10"/>
      <c r="J1219" s="10"/>
      <c r="K1219" s="10"/>
      <c r="L1219" s="10"/>
      <c r="M1219" s="10"/>
    </row>
    <row r="1220" spans="1:21">
      <c r="A1220" s="10"/>
      <c r="B1220" s="10"/>
      <c r="C1220" s="10"/>
      <c r="D1220" s="10"/>
      <c r="E1220" s="10"/>
      <c r="F1220" s="10"/>
      <c r="G1220" s="10"/>
      <c r="H1220" s="10"/>
      <c r="I1220" s="10"/>
      <c r="J1220" s="10"/>
      <c r="K1220" s="10"/>
      <c r="L1220" s="10"/>
      <c r="M1220" s="10"/>
    </row>
    <row r="1221" spans="1:21">
      <c r="A1221" s="10"/>
      <c r="B1221" s="10"/>
      <c r="C1221" s="10"/>
      <c r="D1221" s="10"/>
      <c r="E1221" s="10"/>
      <c r="F1221" s="10"/>
      <c r="G1221" s="10"/>
      <c r="H1221" s="10"/>
      <c r="I1221" s="10"/>
      <c r="J1221" s="10"/>
      <c r="K1221" s="10"/>
      <c r="L1221" s="10"/>
      <c r="M1221" s="10"/>
    </row>
    <row r="1222" spans="1:21">
      <c r="A1222" s="10"/>
      <c r="B1222" s="10"/>
      <c r="C1222" s="10"/>
      <c r="D1222" s="10"/>
      <c r="E1222" s="10"/>
      <c r="F1222" s="10"/>
      <c r="G1222" s="10"/>
      <c r="H1222" s="10"/>
      <c r="I1222" s="10"/>
      <c r="J1222" s="10"/>
      <c r="K1222" s="10"/>
      <c r="L1222" s="10"/>
      <c r="M1222" s="10"/>
    </row>
    <row r="1223" spans="1:21">
      <c r="A1223" s="10"/>
      <c r="B1223" s="10"/>
      <c r="C1223" s="10"/>
      <c r="D1223" s="10"/>
      <c r="E1223" s="10"/>
      <c r="F1223" s="10"/>
      <c r="G1223" s="10"/>
      <c r="H1223" s="10"/>
      <c r="I1223" s="10"/>
      <c r="J1223" s="10"/>
      <c r="K1223" s="10"/>
      <c r="L1223" s="10"/>
      <c r="M1223" s="10"/>
    </row>
    <row r="1224" spans="1:21">
      <c r="A1224" s="10"/>
      <c r="B1224" s="10"/>
      <c r="C1224" s="10"/>
      <c r="D1224" s="10"/>
      <c r="E1224" s="10"/>
      <c r="F1224" s="10"/>
      <c r="G1224" s="10"/>
      <c r="H1224" s="10"/>
      <c r="I1224" s="10"/>
      <c r="J1224" s="10"/>
      <c r="K1224" s="10"/>
      <c r="L1224" s="10"/>
      <c r="M1224" s="10"/>
    </row>
    <row r="1225" spans="1:21">
      <c r="A1225" s="10"/>
      <c r="B1225" s="10"/>
      <c r="C1225" s="10"/>
      <c r="D1225" s="10"/>
      <c r="E1225" s="10"/>
      <c r="F1225" s="10"/>
      <c r="G1225" s="10"/>
      <c r="H1225" s="10"/>
      <c r="I1225" s="10"/>
      <c r="J1225" s="10"/>
      <c r="K1225" s="10"/>
      <c r="L1225" s="10"/>
      <c r="M1225" s="10"/>
      <c r="P1225" s="10" t="e">
        <f>VLOOKUP(C1225,Table_view_sorted!A$2:A$215,1,FALSE)</f>
        <v>#N/A</v>
      </c>
      <c r="Q1225" t="e">
        <f>VLOOKUP(D1225,AVY_FACT!A$2:A$153,1,FALSE)</f>
        <v>#N/A</v>
      </c>
      <c r="R1225" t="str">
        <f>D1225&amp;"  "&amp;G1225&amp;","</f>
        <v xml:space="preserve">  ,</v>
      </c>
      <c r="T1225" s="10"/>
      <c r="U1225" s="10"/>
    </row>
    <row r="1226" spans="1:21">
      <c r="A1226" s="10"/>
      <c r="B1226" s="10"/>
      <c r="C1226" s="10"/>
      <c r="D1226" s="10"/>
      <c r="E1226" s="10"/>
      <c r="F1226" s="10"/>
      <c r="G1226" s="10"/>
      <c r="H1226" s="10"/>
      <c r="I1226" s="10"/>
      <c r="J1226" s="10"/>
      <c r="K1226" s="10"/>
      <c r="L1226" s="10"/>
      <c r="M1226" s="10"/>
      <c r="P1226" s="10" t="e">
        <f>VLOOKUP(C1226,Table_view_sorted!A$2:A$215,1,FALSE)</f>
        <v>#N/A</v>
      </c>
      <c r="Q1226" t="e">
        <f>VLOOKUP(D1226,AVY_FACT!A$2:A$153,1,FALSE)</f>
        <v>#N/A</v>
      </c>
      <c r="R1226" t="str">
        <f>D1226&amp;"  "&amp;G1226&amp;","</f>
        <v xml:space="preserve">  ,</v>
      </c>
      <c r="T1226" s="10"/>
      <c r="U1226" s="10"/>
    </row>
    <row r="1227" spans="1:21">
      <c r="A1227" s="10"/>
      <c r="B1227" s="10"/>
      <c r="C1227" s="10"/>
      <c r="D1227" s="10"/>
      <c r="E1227" s="10"/>
      <c r="F1227" s="10"/>
      <c r="G1227" s="10"/>
      <c r="H1227" s="10"/>
      <c r="I1227" s="10"/>
      <c r="J1227" s="10"/>
      <c r="K1227" s="10"/>
      <c r="L1227" s="10"/>
      <c r="M1227" s="10"/>
      <c r="P1227" s="10" t="e">
        <f>VLOOKUP(C1227,Table_view_sorted!A$2:A$215,1,FALSE)</f>
        <v>#N/A</v>
      </c>
      <c r="Q1227" t="e">
        <f>VLOOKUP(D1227,AVY_FACT!A$2:A$153,1,FALSE)</f>
        <v>#N/A</v>
      </c>
      <c r="R1227" t="str">
        <f>D1227&amp;"  "&amp;G1227&amp;","</f>
        <v xml:space="preserve">  ,</v>
      </c>
      <c r="T1227" s="10"/>
      <c r="U1227" s="10"/>
    </row>
    <row r="1228" spans="1:21">
      <c r="A1228" s="10"/>
      <c r="B1228" s="10"/>
      <c r="C1228" s="10"/>
      <c r="D1228" s="10"/>
      <c r="E1228" s="28"/>
      <c r="F1228" s="10"/>
      <c r="G1228" s="10"/>
      <c r="H1228" s="10"/>
      <c r="I1228" s="10"/>
      <c r="J1228" s="10"/>
      <c r="K1228" s="10"/>
      <c r="L1228" s="10"/>
      <c r="M1228" s="10"/>
    </row>
    <row r="1229" spans="1:21">
      <c r="A1229" s="10"/>
      <c r="B1229" s="10"/>
      <c r="C1229" s="10"/>
      <c r="D1229" s="10"/>
      <c r="E1229" s="28"/>
      <c r="F1229" s="10"/>
      <c r="G1229" s="10"/>
      <c r="H1229" s="10"/>
      <c r="I1229" s="10"/>
      <c r="J1229" s="10"/>
      <c r="K1229" s="10"/>
      <c r="L1229" s="10"/>
      <c r="M1229" s="10"/>
      <c r="P1229" s="10" t="e">
        <f>VLOOKUP(C1229,Table_view_sorted!A$2:A$215,1,FALSE)</f>
        <v>#N/A</v>
      </c>
      <c r="Q1229" s="23" t="e">
        <f>VLOOKUP(D1229,AVY_FACT!A$2:A$153,1,FALSE)</f>
        <v>#N/A</v>
      </c>
      <c r="R1229" s="23" t="str">
        <f>D1229&amp;"  "&amp;G1229&amp;","</f>
        <v xml:space="preserve">  ,</v>
      </c>
      <c r="S1229" s="23"/>
      <c r="T1229" s="23" t="s">
        <v>2460</v>
      </c>
      <c r="U1229" s="23" t="s">
        <v>1142</v>
      </c>
    </row>
    <row r="1230" spans="1:21">
      <c r="A1230" s="10"/>
      <c r="B1230" s="10"/>
      <c r="C1230" s="10"/>
      <c r="D1230" s="10"/>
      <c r="E1230" s="28"/>
      <c r="F1230" s="10"/>
      <c r="G1230" s="10"/>
      <c r="H1230" s="10"/>
      <c r="I1230" s="10"/>
      <c r="J1230" s="10"/>
      <c r="K1230" s="10"/>
      <c r="L1230" s="10"/>
      <c r="M1230" s="10"/>
      <c r="N1230" s="10"/>
      <c r="O1230" s="10"/>
      <c r="P1230" s="10" t="e">
        <f>VLOOKUP(C1230,Table_view_sorted!A$2:A$215,1,FALSE)</f>
        <v>#N/A</v>
      </c>
      <c r="Q1230" s="22" t="e">
        <f>VLOOKUP(D1230,AVY_FACT!A$2:A$153,1,FALSE)</f>
        <v>#N/A</v>
      </c>
      <c r="R1230" s="22" t="str">
        <f>D1230&amp;"  "&amp;G1230&amp;","</f>
        <v xml:space="preserve">  ,</v>
      </c>
      <c r="S1230" s="22"/>
      <c r="T1230" s="21" t="s">
        <v>2460</v>
      </c>
      <c r="U1230" s="21" t="s">
        <v>1142</v>
      </c>
    </row>
    <row r="1231" spans="1:21">
      <c r="A1231" s="10"/>
      <c r="B1231" s="10"/>
      <c r="C1231" s="10"/>
      <c r="D1231" s="10"/>
      <c r="E1231" s="10"/>
      <c r="F1231" s="10"/>
      <c r="G1231" s="10"/>
      <c r="H1231" s="10"/>
      <c r="I1231" s="10"/>
      <c r="J1231" s="10"/>
      <c r="K1231" s="10"/>
      <c r="L1231" s="10"/>
      <c r="M1231" s="10"/>
      <c r="P1231" s="10" t="e">
        <f>VLOOKUP(C1231,Table_view_sorted!A$2:A$215,1,FALSE)</f>
        <v>#N/A</v>
      </c>
      <c r="Q1231" t="e">
        <f>VLOOKUP(D1231,AVY_FACT!A$2:A$153,1,FALSE)</f>
        <v>#N/A</v>
      </c>
      <c r="R1231" t="str">
        <f>D1231&amp;"  "&amp;G1231&amp;","</f>
        <v xml:space="preserve">  ,</v>
      </c>
      <c r="T1231" s="10"/>
      <c r="U1231" s="10"/>
    </row>
    <row r="1232" spans="1:21">
      <c r="A1232" s="10"/>
      <c r="B1232" s="10"/>
      <c r="C1232" s="10"/>
      <c r="D1232" s="10"/>
      <c r="E1232" s="10"/>
      <c r="F1232" s="10"/>
      <c r="G1232" s="10"/>
      <c r="H1232" s="10"/>
      <c r="I1232" s="10"/>
      <c r="J1232" s="10"/>
      <c r="K1232" s="10"/>
      <c r="L1232" s="10"/>
      <c r="M1232" s="10"/>
      <c r="N1232" s="10"/>
      <c r="O1232" s="10"/>
      <c r="P1232" s="10" t="e">
        <f>VLOOKUP(C1232,Table_view_sorted!A$2:A$215,1,FALSE)</f>
        <v>#N/A</v>
      </c>
      <c r="Q1232" t="e">
        <f>VLOOKUP(D1232,AVY_FACT!A$2:A$153,1,FALSE)</f>
        <v>#N/A</v>
      </c>
      <c r="R1232" t="str">
        <f>D1232&amp;"  "&amp;G1232&amp;","</f>
        <v xml:space="preserve">  ,</v>
      </c>
      <c r="T1232" s="10"/>
      <c r="U1232" s="10"/>
    </row>
    <row r="1233" spans="1:21">
      <c r="A1233" s="10"/>
      <c r="B1233" s="10"/>
      <c r="C1233" s="10"/>
      <c r="D1233" s="10"/>
      <c r="E1233" s="10"/>
      <c r="F1233" s="10"/>
      <c r="G1233" s="10"/>
      <c r="H1233" s="10"/>
      <c r="I1233" s="10"/>
      <c r="J1233" s="10"/>
      <c r="K1233" s="10"/>
      <c r="L1233" s="10"/>
      <c r="M1233" s="10"/>
    </row>
    <row r="1234" spans="1:21">
      <c r="A1234" s="10"/>
      <c r="B1234" s="10"/>
      <c r="C1234" s="10"/>
      <c r="D1234" s="10"/>
      <c r="E1234" s="10"/>
      <c r="F1234" s="10"/>
      <c r="G1234" s="10"/>
      <c r="H1234" s="10"/>
      <c r="I1234" s="10"/>
      <c r="J1234" s="10"/>
      <c r="K1234" s="10"/>
      <c r="L1234" s="10"/>
      <c r="M1234" s="10"/>
      <c r="P1234" s="10" t="e">
        <f>VLOOKUP(C1234,Table_view_sorted!A$2:A$215,1,FALSE)</f>
        <v>#N/A</v>
      </c>
      <c r="Q1234" t="e">
        <f>VLOOKUP(D1234,AVY_FACT!A$2:A$153,1,FALSE)</f>
        <v>#N/A</v>
      </c>
      <c r="R1234" t="str">
        <f>D1234&amp;"  "&amp;G1234&amp;","</f>
        <v xml:space="preserve">  ,</v>
      </c>
      <c r="T1234" s="10"/>
      <c r="U1234" s="10"/>
    </row>
    <row r="1235" spans="1:21">
      <c r="A1235" s="10"/>
      <c r="B1235" s="10"/>
      <c r="C1235" s="10"/>
      <c r="D1235" s="10"/>
      <c r="E1235" s="10"/>
      <c r="F1235" s="10"/>
      <c r="G1235" s="10"/>
      <c r="H1235" s="10"/>
      <c r="I1235" s="10"/>
      <c r="J1235" s="10"/>
      <c r="K1235" s="10"/>
      <c r="L1235" s="10"/>
      <c r="M1235" s="10"/>
      <c r="N1235" s="10"/>
      <c r="O1235" s="10"/>
      <c r="P1235" s="10" t="e">
        <f>VLOOKUP(C1235,Table_view_sorted!A$2:A$215,1,FALSE)</f>
        <v>#N/A</v>
      </c>
      <c r="Q1235" t="e">
        <f>VLOOKUP(D1235,AVY_FACT!A$2:A$153,1,FALSE)</f>
        <v>#N/A</v>
      </c>
      <c r="R1235" t="str">
        <f>D1235&amp;"  "&amp;G1235&amp;","</f>
        <v xml:space="preserve">  ,</v>
      </c>
      <c r="T1235" s="10"/>
      <c r="U1235" s="10"/>
    </row>
    <row r="1236" spans="1:21">
      <c r="A1236" s="10"/>
      <c r="B1236" s="10"/>
      <c r="C1236" s="10"/>
      <c r="D1236" s="10"/>
      <c r="E1236" s="10"/>
      <c r="F1236" s="10"/>
      <c r="G1236" s="10"/>
      <c r="H1236" s="10"/>
      <c r="I1236" s="10"/>
      <c r="J1236" s="10"/>
      <c r="K1236" s="10"/>
      <c r="L1236" s="10"/>
      <c r="M1236" s="10"/>
    </row>
    <row r="1237" spans="1:21">
      <c r="A1237" s="10"/>
      <c r="B1237" s="10"/>
      <c r="C1237" s="10"/>
      <c r="D1237" s="10"/>
      <c r="E1237" s="10"/>
      <c r="F1237" s="10"/>
      <c r="G1237" s="10"/>
      <c r="H1237" s="10"/>
      <c r="I1237" s="10"/>
      <c r="J1237" s="10"/>
      <c r="K1237" s="10"/>
      <c r="L1237" s="10"/>
      <c r="M1237" s="10"/>
    </row>
    <row r="1238" spans="1:21">
      <c r="A1238" s="10"/>
      <c r="B1238" s="10"/>
      <c r="C1238" s="10"/>
      <c r="D1238" s="10"/>
      <c r="E1238" s="10"/>
      <c r="F1238" s="10"/>
      <c r="G1238" s="10"/>
      <c r="H1238" s="10"/>
      <c r="I1238" s="10"/>
      <c r="J1238" s="10"/>
      <c r="K1238" s="10"/>
      <c r="L1238" s="10"/>
      <c r="M1238" s="10"/>
    </row>
    <row r="1239" spans="1:21" ht="41.4">
      <c r="A1239" s="10"/>
      <c r="B1239" s="10"/>
      <c r="C1239" s="10"/>
      <c r="D1239" s="10"/>
      <c r="E1239" s="10"/>
      <c r="F1239" s="10"/>
      <c r="G1239" s="10"/>
      <c r="H1239" s="10"/>
      <c r="I1239" s="10"/>
      <c r="J1239" s="10"/>
      <c r="K1239" s="10"/>
      <c r="L1239" s="10"/>
      <c r="M1239" s="10"/>
      <c r="N1239" s="10"/>
      <c r="O1239" s="10"/>
      <c r="P1239" s="10" t="e">
        <f>VLOOKUP(C1239,Table_view_sorted!A$2:A$215,1,FALSE)</f>
        <v>#N/A</v>
      </c>
      <c r="Q1239" t="e">
        <f>VLOOKUP(D1239,AVY_FACT!A$2:A$153,1,FALSE)</f>
        <v>#N/A</v>
      </c>
      <c r="R1239" t="str">
        <f>D1239&amp;"  "&amp;G1239&amp;","</f>
        <v xml:space="preserve">  ,</v>
      </c>
      <c r="T1239" s="25" t="s">
        <v>2539</v>
      </c>
      <c r="U1239" s="25" t="s">
        <v>1142</v>
      </c>
    </row>
    <row r="1240" spans="1:21">
      <c r="A1240" s="10"/>
      <c r="B1240" s="10"/>
      <c r="C1240" s="10"/>
      <c r="D1240" s="10"/>
      <c r="E1240" s="10"/>
      <c r="F1240" s="10"/>
      <c r="G1240" s="10"/>
      <c r="H1240" s="10"/>
      <c r="I1240" s="10"/>
      <c r="J1240" s="10"/>
      <c r="K1240" s="10"/>
      <c r="L1240" s="10"/>
      <c r="M1240" s="10"/>
    </row>
    <row r="1241" spans="1:21">
      <c r="A1241" s="10"/>
      <c r="B1241" s="10"/>
      <c r="C1241" s="10"/>
      <c r="D1241" s="10"/>
      <c r="E1241" s="28"/>
      <c r="F1241" s="10"/>
      <c r="G1241" s="10"/>
      <c r="H1241" s="10"/>
      <c r="I1241" s="10"/>
      <c r="J1241" s="10"/>
      <c r="K1241" s="10"/>
      <c r="L1241" s="10"/>
      <c r="M1241" s="10"/>
    </row>
    <row r="1242" spans="1:21">
      <c r="A1242" s="10"/>
      <c r="B1242" s="10"/>
      <c r="C1242" s="10"/>
      <c r="D1242" s="10"/>
      <c r="E1242" s="10"/>
      <c r="F1242" s="10"/>
      <c r="G1242" s="10"/>
      <c r="H1242" s="10"/>
      <c r="I1242" s="10"/>
      <c r="J1242" s="10"/>
      <c r="K1242" s="10"/>
      <c r="L1242" s="10"/>
      <c r="M1242" s="10"/>
    </row>
    <row r="1243" spans="1:21">
      <c r="A1243" s="10"/>
      <c r="B1243" s="10"/>
      <c r="C1243" s="10"/>
      <c r="D1243" s="10"/>
      <c r="E1243" s="28"/>
      <c r="F1243" s="10"/>
      <c r="G1243" s="10"/>
      <c r="H1243" s="10"/>
      <c r="I1243" s="10"/>
      <c r="J1243" s="10"/>
      <c r="K1243" s="10"/>
      <c r="L1243" s="10"/>
      <c r="M1243" s="10"/>
    </row>
    <row r="1244" spans="1:21">
      <c r="A1244" s="10"/>
      <c r="B1244" s="10"/>
      <c r="C1244" s="10"/>
      <c r="D1244" s="10"/>
      <c r="E1244" s="10"/>
      <c r="F1244" s="10"/>
      <c r="G1244" s="10"/>
      <c r="H1244" s="10"/>
      <c r="I1244" s="10"/>
      <c r="J1244" s="10"/>
      <c r="K1244" s="10"/>
      <c r="L1244" s="10"/>
      <c r="M1244" s="10"/>
    </row>
    <row r="1245" spans="1:21">
      <c r="A1245" s="10"/>
      <c r="B1245" s="10"/>
      <c r="C1245" s="10"/>
      <c r="D1245" s="10"/>
      <c r="E1245" s="10"/>
      <c r="F1245" s="10"/>
      <c r="G1245" s="10"/>
      <c r="H1245" s="10"/>
      <c r="I1245" s="10"/>
      <c r="J1245" s="10"/>
      <c r="K1245" s="10"/>
      <c r="L1245" s="10"/>
      <c r="M1245" s="10"/>
    </row>
    <row r="1246" spans="1:21">
      <c r="A1246" s="10"/>
      <c r="B1246" s="10"/>
      <c r="C1246" s="10"/>
      <c r="D1246" s="10"/>
      <c r="E1246" s="10"/>
      <c r="F1246" s="10"/>
      <c r="G1246" s="10"/>
      <c r="H1246" s="10"/>
      <c r="I1246" s="10"/>
      <c r="J1246" s="10"/>
      <c r="K1246" s="10"/>
      <c r="L1246" s="10"/>
      <c r="M1246" s="10"/>
    </row>
    <row r="1247" spans="1:21">
      <c r="A1247" s="10"/>
      <c r="B1247" s="10"/>
      <c r="C1247" s="10"/>
      <c r="D1247" s="10"/>
      <c r="E1247" s="10"/>
      <c r="F1247" s="10"/>
      <c r="G1247" s="10"/>
      <c r="H1247" s="10"/>
      <c r="I1247" s="10"/>
      <c r="J1247" s="10"/>
      <c r="K1247" s="10"/>
      <c r="L1247" s="10"/>
      <c r="M1247" s="10"/>
    </row>
    <row r="1248" spans="1:21">
      <c r="A1248" s="10"/>
      <c r="B1248" s="10"/>
      <c r="C1248" s="10"/>
      <c r="D1248" s="10"/>
      <c r="E1248" s="10"/>
      <c r="F1248" s="10"/>
      <c r="G1248" s="10"/>
      <c r="H1248" s="10"/>
      <c r="I1248" s="10"/>
      <c r="J1248" s="10"/>
      <c r="K1248" s="10"/>
      <c r="L1248" s="10"/>
      <c r="M1248" s="10"/>
    </row>
    <row r="1249" spans="1:13">
      <c r="A1249" s="10"/>
      <c r="B1249" s="10"/>
      <c r="C1249" s="10"/>
      <c r="D1249" s="10"/>
      <c r="E1249" s="10"/>
      <c r="F1249" s="10"/>
      <c r="G1249" s="10"/>
      <c r="H1249" s="10"/>
      <c r="I1249" s="10"/>
      <c r="J1249" s="10"/>
      <c r="K1249" s="10"/>
      <c r="L1249" s="10"/>
      <c r="M1249" s="10"/>
    </row>
    <row r="1250" spans="1:13">
      <c r="A1250" s="10"/>
      <c r="B1250" s="10"/>
      <c r="C1250" s="10"/>
      <c r="D1250" s="10"/>
      <c r="E1250" s="10"/>
      <c r="F1250" s="10"/>
      <c r="G1250" s="10"/>
      <c r="H1250" s="10"/>
      <c r="I1250" s="10"/>
      <c r="J1250" s="10"/>
      <c r="K1250" s="10"/>
      <c r="L1250" s="10"/>
      <c r="M1250" s="10"/>
    </row>
    <row r="1251" spans="1:13">
      <c r="A1251" s="10"/>
      <c r="B1251" s="10"/>
      <c r="C1251" s="10"/>
      <c r="D1251" s="10"/>
      <c r="E1251" s="10"/>
      <c r="F1251" s="10"/>
      <c r="G1251" s="10"/>
      <c r="H1251" s="10"/>
      <c r="I1251" s="10"/>
      <c r="J1251" s="10"/>
      <c r="K1251" s="10"/>
      <c r="L1251" s="10"/>
      <c r="M1251" s="10"/>
    </row>
    <row r="1252" spans="1:13">
      <c r="A1252" s="10"/>
      <c r="B1252" s="10"/>
      <c r="C1252" s="10"/>
      <c r="D1252" s="10"/>
      <c r="E1252" s="10"/>
      <c r="F1252" s="10"/>
      <c r="G1252" s="10"/>
      <c r="H1252" s="10"/>
      <c r="I1252" s="10"/>
      <c r="J1252" s="10"/>
      <c r="K1252" s="10"/>
      <c r="L1252" s="10"/>
      <c r="M1252" s="10"/>
    </row>
    <row r="1253" spans="1:13">
      <c r="A1253" s="10"/>
      <c r="B1253" s="10"/>
      <c r="C1253" s="10"/>
      <c r="D1253" s="10"/>
      <c r="E1253" s="28"/>
      <c r="F1253" s="10"/>
      <c r="G1253" s="10"/>
      <c r="H1253" s="10"/>
      <c r="I1253" s="10"/>
      <c r="J1253" s="10"/>
      <c r="K1253" s="10"/>
      <c r="L1253" s="10"/>
      <c r="M1253" s="10"/>
    </row>
    <row r="1254" spans="1:13">
      <c r="A1254" s="10"/>
      <c r="B1254" s="10"/>
      <c r="C1254" s="10"/>
      <c r="D1254" s="10"/>
      <c r="E1254" s="28"/>
      <c r="F1254" s="10"/>
      <c r="G1254" s="10"/>
      <c r="H1254" s="10"/>
      <c r="I1254" s="10"/>
      <c r="J1254" s="10"/>
      <c r="K1254" s="10"/>
      <c r="L1254" s="10"/>
      <c r="M1254" s="10"/>
    </row>
    <row r="1255" spans="1:13">
      <c r="A1255" s="10"/>
      <c r="B1255" s="10"/>
      <c r="C1255" s="10"/>
      <c r="D1255" s="10"/>
      <c r="E1255" s="28"/>
      <c r="F1255" s="10"/>
      <c r="G1255" s="10"/>
      <c r="H1255" s="10"/>
      <c r="I1255" s="10"/>
      <c r="J1255" s="10"/>
      <c r="K1255" s="10"/>
      <c r="L1255" s="10"/>
      <c r="M1255" s="10"/>
    </row>
    <row r="1256" spans="1:13">
      <c r="A1256" s="10"/>
      <c r="B1256" s="10"/>
      <c r="C1256" s="10"/>
      <c r="D1256" s="10"/>
      <c r="E1256" s="10"/>
      <c r="F1256" s="10"/>
      <c r="G1256" s="10"/>
      <c r="H1256" s="10"/>
      <c r="I1256" s="10"/>
      <c r="J1256" s="10"/>
      <c r="K1256" s="10"/>
      <c r="L1256" s="10"/>
      <c r="M1256" s="10"/>
    </row>
    <row r="1257" spans="1:13">
      <c r="A1257" s="10"/>
      <c r="B1257" s="10"/>
      <c r="C1257" s="10"/>
      <c r="D1257" s="10"/>
      <c r="E1257" s="10"/>
      <c r="F1257" s="10"/>
      <c r="G1257" s="10"/>
      <c r="H1257" s="10"/>
      <c r="I1257" s="10"/>
      <c r="J1257" s="10"/>
      <c r="K1257" s="10"/>
      <c r="L1257" s="10"/>
      <c r="M1257" s="10"/>
    </row>
    <row r="1258" spans="1:13">
      <c r="A1258" s="10"/>
      <c r="B1258" s="10"/>
      <c r="C1258" s="10"/>
      <c r="D1258" s="10"/>
      <c r="E1258" s="10"/>
      <c r="F1258" s="10"/>
      <c r="G1258" s="10"/>
      <c r="H1258" s="10"/>
      <c r="I1258" s="10"/>
      <c r="J1258" s="10"/>
      <c r="K1258" s="10"/>
      <c r="L1258" s="10"/>
      <c r="M1258" s="10"/>
    </row>
    <row r="1259" spans="1:13">
      <c r="A1259" s="10"/>
      <c r="B1259" s="10"/>
      <c r="C1259" s="10"/>
      <c r="D1259" s="10"/>
      <c r="E1259" s="10"/>
      <c r="F1259" s="10"/>
      <c r="G1259" s="10"/>
      <c r="H1259" s="10"/>
      <c r="I1259" s="10"/>
      <c r="J1259" s="10"/>
      <c r="K1259" s="10"/>
      <c r="L1259" s="10"/>
      <c r="M1259" s="10"/>
    </row>
    <row r="1260" spans="1:13">
      <c r="A1260" s="10"/>
      <c r="B1260" s="10"/>
      <c r="C1260" s="10"/>
      <c r="D1260" s="10"/>
      <c r="E1260" s="10"/>
      <c r="F1260" s="10"/>
      <c r="G1260" s="10"/>
      <c r="H1260" s="10"/>
      <c r="I1260" s="10"/>
      <c r="J1260" s="10"/>
      <c r="K1260" s="10"/>
      <c r="L1260" s="10"/>
      <c r="M1260" s="10"/>
    </row>
    <row r="1261" spans="1:13">
      <c r="A1261" s="10"/>
      <c r="B1261" s="10"/>
      <c r="C1261" s="10"/>
      <c r="D1261" s="10"/>
      <c r="E1261" s="10"/>
      <c r="F1261" s="10"/>
      <c r="G1261" s="10"/>
      <c r="H1261" s="10"/>
      <c r="I1261" s="10"/>
      <c r="J1261" s="10"/>
      <c r="K1261" s="10"/>
      <c r="L1261" s="10"/>
      <c r="M1261" s="10"/>
    </row>
    <row r="1262" spans="1:13">
      <c r="A1262" s="10"/>
      <c r="B1262" s="10"/>
      <c r="C1262" s="10"/>
      <c r="D1262" s="10"/>
      <c r="E1262" s="10"/>
      <c r="F1262" s="10"/>
      <c r="G1262" s="10"/>
      <c r="H1262" s="10"/>
      <c r="I1262" s="10"/>
      <c r="J1262" s="10"/>
      <c r="K1262" s="10"/>
      <c r="L1262" s="10"/>
      <c r="M1262" s="10"/>
    </row>
    <row r="1263" spans="1:13">
      <c r="A1263" s="10"/>
      <c r="B1263" s="10"/>
      <c r="C1263" s="10"/>
      <c r="D1263" s="10"/>
      <c r="E1263" s="10"/>
      <c r="F1263" s="10"/>
      <c r="G1263" s="10"/>
      <c r="H1263" s="10"/>
      <c r="I1263" s="10"/>
      <c r="J1263" s="10"/>
      <c r="K1263" s="10"/>
      <c r="L1263" s="10"/>
      <c r="M1263" s="10"/>
    </row>
    <row r="1264" spans="1:13">
      <c r="A1264" s="10"/>
      <c r="B1264" s="10"/>
      <c r="C1264" s="10"/>
      <c r="D1264" s="10"/>
      <c r="E1264" s="10"/>
      <c r="F1264" s="10"/>
      <c r="G1264" s="10"/>
      <c r="H1264" s="10"/>
      <c r="I1264" s="10"/>
      <c r="J1264" s="10"/>
      <c r="K1264" s="10"/>
      <c r="L1264" s="10"/>
      <c r="M1264" s="10"/>
    </row>
    <row r="1265" spans="1:13">
      <c r="A1265" s="10"/>
      <c r="B1265" s="10"/>
      <c r="C1265" s="10"/>
      <c r="D1265" s="10"/>
      <c r="E1265" s="10"/>
      <c r="F1265" s="10"/>
      <c r="G1265" s="10"/>
      <c r="H1265" s="10"/>
      <c r="I1265" s="10"/>
      <c r="J1265" s="10"/>
      <c r="K1265" s="10"/>
      <c r="L1265" s="10"/>
      <c r="M1265" s="10"/>
    </row>
    <row r="1266" spans="1:13">
      <c r="A1266" s="10"/>
      <c r="B1266" s="10"/>
      <c r="C1266" s="10"/>
      <c r="D1266" s="10"/>
      <c r="E1266" s="10"/>
      <c r="F1266" s="10"/>
      <c r="G1266" s="10"/>
      <c r="H1266" s="10"/>
      <c r="I1266" s="10"/>
      <c r="J1266" s="10"/>
      <c r="K1266" s="10"/>
      <c r="L1266" s="10"/>
      <c r="M1266" s="10"/>
    </row>
    <row r="1267" spans="1:13">
      <c r="A1267" s="10"/>
      <c r="B1267" s="10"/>
      <c r="C1267" s="10"/>
      <c r="D1267" s="10"/>
      <c r="E1267" s="10"/>
      <c r="F1267" s="10"/>
      <c r="G1267" s="10"/>
      <c r="H1267" s="10"/>
      <c r="I1267" s="10"/>
      <c r="J1267" s="10"/>
      <c r="K1267" s="10"/>
      <c r="L1267" s="10"/>
      <c r="M1267" s="10"/>
    </row>
    <row r="1268" spans="1:13">
      <c r="A1268" s="10"/>
      <c r="B1268" s="10"/>
      <c r="C1268" s="10"/>
      <c r="D1268" s="10"/>
      <c r="E1268" s="10"/>
      <c r="F1268" s="10"/>
      <c r="G1268" s="10"/>
      <c r="H1268" s="10"/>
      <c r="I1268" s="10"/>
      <c r="J1268" s="10"/>
      <c r="K1268" s="10"/>
      <c r="L1268" s="10"/>
      <c r="M1268" s="10"/>
    </row>
    <row r="1269" spans="1:13">
      <c r="A1269" s="10"/>
      <c r="B1269" s="10"/>
      <c r="C1269" s="10"/>
      <c r="D1269" s="10"/>
      <c r="E1269" s="10"/>
      <c r="F1269" s="10"/>
      <c r="G1269" s="10"/>
      <c r="H1269" s="10"/>
      <c r="I1269" s="10"/>
      <c r="J1269" s="10"/>
      <c r="K1269" s="10"/>
      <c r="L1269" s="10"/>
      <c r="M1269" s="10"/>
    </row>
    <row r="1270" spans="1:13">
      <c r="A1270" s="10"/>
      <c r="B1270" s="10"/>
      <c r="C1270" s="10"/>
      <c r="D1270" s="10"/>
      <c r="E1270" s="10"/>
      <c r="F1270" s="10"/>
      <c r="G1270" s="10"/>
      <c r="H1270" s="10"/>
      <c r="I1270" s="10"/>
      <c r="J1270" s="10"/>
      <c r="K1270" s="10"/>
      <c r="L1270" s="10"/>
      <c r="M1270" s="10"/>
    </row>
    <row r="1271" spans="1:13">
      <c r="A1271" s="10"/>
      <c r="B1271" s="10"/>
      <c r="C1271" s="10"/>
      <c r="D1271" s="10"/>
      <c r="E1271" s="28"/>
      <c r="F1271" s="10"/>
      <c r="G1271" s="10"/>
      <c r="H1271" s="10"/>
      <c r="I1271" s="10"/>
      <c r="J1271" s="10"/>
      <c r="K1271" s="10"/>
      <c r="L1271" s="10"/>
      <c r="M1271" s="10"/>
    </row>
    <row r="1272" spans="1:13">
      <c r="A1272" s="10"/>
      <c r="B1272" s="10"/>
      <c r="C1272" s="10"/>
      <c r="D1272" s="10"/>
      <c r="E1272" s="10"/>
      <c r="F1272" s="10"/>
      <c r="G1272" s="10"/>
      <c r="H1272" s="10"/>
      <c r="I1272" s="10"/>
      <c r="J1272" s="10"/>
      <c r="K1272" s="10"/>
      <c r="L1272" s="10"/>
      <c r="M1272" s="10"/>
    </row>
    <row r="1273" spans="1:13">
      <c r="A1273" s="10"/>
      <c r="B1273" s="10"/>
      <c r="C1273" s="10"/>
      <c r="D1273" s="10"/>
      <c r="E1273" s="10"/>
      <c r="F1273" s="10"/>
      <c r="G1273" s="10"/>
      <c r="H1273" s="10"/>
      <c r="I1273" s="10"/>
      <c r="J1273" s="10"/>
      <c r="K1273" s="10"/>
      <c r="L1273" s="10"/>
      <c r="M1273" s="10"/>
    </row>
    <row r="1274" spans="1:13">
      <c r="A1274" s="10"/>
      <c r="B1274" s="10"/>
      <c r="C1274" s="10"/>
      <c r="D1274" s="10"/>
      <c r="E1274" s="10"/>
      <c r="F1274" s="10"/>
      <c r="G1274" s="10"/>
      <c r="H1274" s="10"/>
      <c r="I1274" s="10"/>
      <c r="J1274" s="10"/>
      <c r="K1274" s="10"/>
      <c r="L1274" s="10"/>
      <c r="M1274" s="10"/>
    </row>
    <row r="1275" spans="1:13">
      <c r="A1275" s="10"/>
      <c r="B1275" s="10"/>
      <c r="C1275" s="10"/>
      <c r="D1275" s="10"/>
      <c r="E1275" s="10"/>
      <c r="F1275" s="10"/>
      <c r="G1275" s="10"/>
      <c r="H1275" s="10"/>
      <c r="I1275" s="10"/>
      <c r="J1275" s="10"/>
      <c r="K1275" s="10"/>
      <c r="L1275" s="10"/>
      <c r="M1275" s="10"/>
    </row>
    <row r="1276" spans="1:13">
      <c r="A1276" s="10"/>
      <c r="B1276" s="10"/>
      <c r="C1276" s="10"/>
      <c r="D1276" s="10"/>
      <c r="E1276" s="10"/>
      <c r="F1276" s="10"/>
      <c r="G1276" s="10"/>
      <c r="H1276" s="10"/>
      <c r="I1276" s="10"/>
      <c r="J1276" s="10"/>
      <c r="K1276" s="10"/>
      <c r="L1276" s="10"/>
      <c r="M1276" s="10"/>
    </row>
    <row r="1277" spans="1:13">
      <c r="A1277" s="10"/>
      <c r="B1277" s="10"/>
      <c r="C1277" s="10"/>
      <c r="D1277" s="10"/>
      <c r="E1277" s="10"/>
      <c r="F1277" s="10"/>
      <c r="G1277" s="10"/>
      <c r="H1277" s="10"/>
      <c r="I1277" s="10"/>
      <c r="J1277" s="10"/>
      <c r="K1277" s="10"/>
      <c r="L1277" s="10"/>
      <c r="M1277" s="10"/>
    </row>
    <row r="1278" spans="1:13">
      <c r="A1278" s="10"/>
      <c r="B1278" s="10"/>
      <c r="C1278" s="10"/>
      <c r="D1278" s="10"/>
      <c r="E1278" s="10"/>
      <c r="F1278" s="10"/>
      <c r="G1278" s="10"/>
      <c r="H1278" s="10"/>
      <c r="I1278" s="10"/>
      <c r="J1278" s="10"/>
      <c r="K1278" s="10"/>
      <c r="L1278" s="10"/>
      <c r="M1278" s="10"/>
    </row>
    <row r="1279" spans="1:13">
      <c r="A1279" s="10"/>
      <c r="B1279" s="10"/>
      <c r="C1279" s="10"/>
      <c r="D1279" s="10"/>
      <c r="E1279" s="10"/>
      <c r="F1279" s="10"/>
      <c r="G1279" s="10"/>
      <c r="H1279" s="10"/>
      <c r="I1279" s="10"/>
      <c r="J1279" s="10"/>
      <c r="K1279" s="10"/>
      <c r="L1279" s="10"/>
      <c r="M1279" s="10"/>
    </row>
    <row r="1280" spans="1:13">
      <c r="A1280" s="10"/>
      <c r="B1280" s="10"/>
      <c r="C1280" s="10"/>
      <c r="D1280" s="10"/>
      <c r="E1280" s="28"/>
      <c r="F1280" s="10"/>
      <c r="G1280" s="10"/>
      <c r="H1280" s="10"/>
      <c r="I1280" s="10"/>
      <c r="J1280" s="10"/>
      <c r="K1280" s="10"/>
      <c r="L1280" s="10"/>
      <c r="M1280" s="10"/>
    </row>
    <row r="1281" spans="1:13">
      <c r="A1281" s="10"/>
      <c r="B1281" s="10"/>
      <c r="C1281" s="10"/>
      <c r="D1281" s="10"/>
      <c r="E1281" s="10"/>
      <c r="F1281" s="10"/>
      <c r="G1281" s="10"/>
      <c r="H1281" s="10"/>
      <c r="I1281" s="10"/>
      <c r="J1281" s="10"/>
      <c r="K1281" s="10"/>
      <c r="L1281" s="10"/>
      <c r="M1281" s="10"/>
    </row>
    <row r="1282" spans="1:13">
      <c r="A1282" s="10"/>
      <c r="B1282" s="10"/>
      <c r="C1282" s="10"/>
      <c r="D1282" s="10"/>
      <c r="E1282" s="10"/>
      <c r="F1282" s="10"/>
      <c r="G1282" s="10"/>
      <c r="H1282" s="10"/>
      <c r="I1282" s="10"/>
      <c r="J1282" s="10"/>
      <c r="K1282" s="10"/>
      <c r="L1282" s="10"/>
      <c r="M1282" s="10"/>
    </row>
    <row r="1283" spans="1:13">
      <c r="A1283" s="10"/>
      <c r="B1283" s="10"/>
      <c r="C1283" s="10"/>
      <c r="D1283" s="10"/>
      <c r="E1283" s="10"/>
      <c r="F1283" s="10"/>
      <c r="G1283" s="10"/>
      <c r="H1283" s="10"/>
      <c r="I1283" s="10"/>
      <c r="J1283" s="10"/>
      <c r="K1283" s="10"/>
      <c r="L1283" s="10"/>
      <c r="M1283" s="10"/>
    </row>
    <row r="1284" spans="1:13">
      <c r="A1284" s="10"/>
      <c r="B1284" s="10"/>
      <c r="C1284" s="10"/>
      <c r="D1284" s="10"/>
      <c r="E1284" s="10"/>
      <c r="F1284" s="10"/>
      <c r="G1284" s="10"/>
      <c r="H1284" s="10"/>
      <c r="I1284" s="10"/>
      <c r="J1284" s="10"/>
      <c r="K1284" s="10"/>
      <c r="L1284" s="10"/>
      <c r="M1284" s="10"/>
    </row>
    <row r="1285" spans="1:13">
      <c r="A1285" s="10"/>
      <c r="B1285" s="10"/>
      <c r="C1285" s="10"/>
      <c r="D1285" s="10"/>
      <c r="E1285" s="10"/>
      <c r="F1285" s="10"/>
      <c r="G1285" s="10"/>
      <c r="H1285" s="10"/>
      <c r="I1285" s="10"/>
      <c r="J1285" s="10"/>
      <c r="K1285" s="10"/>
      <c r="L1285" s="10"/>
      <c r="M1285" s="10"/>
    </row>
    <row r="1286" spans="1:13">
      <c r="A1286" s="10"/>
      <c r="B1286" s="10"/>
      <c r="C1286" s="10"/>
      <c r="D1286" s="10"/>
      <c r="E1286" s="10"/>
      <c r="F1286" s="10"/>
      <c r="G1286" s="10"/>
      <c r="H1286" s="10"/>
      <c r="I1286" s="10"/>
      <c r="J1286" s="10"/>
      <c r="K1286" s="10"/>
      <c r="L1286" s="10"/>
      <c r="M1286" s="10"/>
    </row>
    <row r="1287" spans="1:13">
      <c r="A1287" s="10"/>
      <c r="B1287" s="10"/>
      <c r="C1287" s="10"/>
      <c r="D1287" s="10"/>
      <c r="E1287" s="10"/>
      <c r="F1287" s="10"/>
      <c r="G1287" s="10"/>
      <c r="H1287" s="10"/>
      <c r="I1287" s="10"/>
      <c r="J1287" s="10"/>
      <c r="K1287" s="10"/>
      <c r="L1287" s="10"/>
      <c r="M1287" s="10"/>
    </row>
    <row r="1288" spans="1:13">
      <c r="A1288" s="10"/>
      <c r="B1288" s="10"/>
      <c r="C1288" s="10"/>
      <c r="D1288" s="10"/>
      <c r="E1288" s="10"/>
      <c r="F1288" s="10"/>
      <c r="G1288" s="10"/>
      <c r="H1288" s="10"/>
      <c r="I1288" s="10"/>
      <c r="J1288" s="10"/>
      <c r="K1288" s="10"/>
      <c r="L1288" s="10"/>
      <c r="M1288" s="10"/>
    </row>
    <row r="1289" spans="1:13">
      <c r="A1289" s="10"/>
      <c r="B1289" s="10"/>
      <c r="C1289" s="10"/>
      <c r="D1289" s="10"/>
      <c r="E1289" s="10"/>
      <c r="F1289" s="10"/>
      <c r="G1289" s="10"/>
      <c r="H1289" s="10"/>
      <c r="I1289" s="10"/>
      <c r="J1289" s="10"/>
      <c r="K1289" s="10"/>
      <c r="L1289" s="10"/>
      <c r="M1289" s="10"/>
    </row>
    <row r="1290" spans="1:13">
      <c r="A1290" s="10"/>
      <c r="B1290" s="10"/>
      <c r="C1290" s="10"/>
      <c r="D1290" s="10"/>
      <c r="E1290" s="28"/>
      <c r="F1290" s="10"/>
      <c r="G1290" s="10"/>
      <c r="H1290" s="10"/>
      <c r="I1290" s="10"/>
      <c r="J1290" s="10"/>
      <c r="K1290" s="10"/>
      <c r="L1290" s="10"/>
      <c r="M1290" s="10"/>
    </row>
    <row r="1291" spans="1:13">
      <c r="A1291" s="10"/>
      <c r="B1291" s="10"/>
      <c r="C1291" s="10"/>
      <c r="D1291" s="10"/>
      <c r="E1291" s="10"/>
      <c r="F1291" s="10"/>
      <c r="G1291" s="10"/>
      <c r="H1291" s="10"/>
      <c r="I1291" s="10"/>
      <c r="J1291" s="10"/>
      <c r="K1291" s="10"/>
      <c r="L1291" s="10"/>
      <c r="M1291" s="10"/>
    </row>
    <row r="1292" spans="1:13">
      <c r="A1292" s="10"/>
      <c r="B1292" s="10"/>
      <c r="C1292" s="10"/>
      <c r="D1292" s="10"/>
      <c r="E1292" s="10"/>
      <c r="F1292" s="10"/>
      <c r="G1292" s="10"/>
      <c r="H1292" s="10"/>
      <c r="I1292" s="10"/>
      <c r="J1292" s="10"/>
      <c r="K1292" s="10"/>
      <c r="L1292" s="10"/>
      <c r="M1292" s="10"/>
    </row>
    <row r="1293" spans="1:13">
      <c r="A1293" s="10"/>
      <c r="B1293" s="10"/>
      <c r="C1293" s="10"/>
      <c r="D1293" s="10"/>
      <c r="E1293" s="10"/>
      <c r="F1293" s="10"/>
      <c r="G1293" s="10"/>
      <c r="H1293" s="10"/>
      <c r="I1293" s="10"/>
      <c r="J1293" s="10"/>
      <c r="K1293" s="10"/>
      <c r="L1293" s="10"/>
      <c r="M1293" s="10"/>
    </row>
    <row r="1294" spans="1:13">
      <c r="A1294" s="10"/>
      <c r="B1294" s="10"/>
      <c r="C1294" s="10"/>
      <c r="D1294" s="10"/>
      <c r="E1294" s="10"/>
      <c r="F1294" s="10"/>
      <c r="G1294" s="10"/>
      <c r="H1294" s="10"/>
      <c r="I1294" s="10"/>
      <c r="J1294" s="10"/>
      <c r="K1294" s="10"/>
      <c r="L1294" s="10"/>
      <c r="M1294" s="10"/>
    </row>
    <row r="1295" spans="1:13">
      <c r="A1295" s="10"/>
      <c r="B1295" s="10"/>
      <c r="C1295" s="10"/>
      <c r="D1295" s="10"/>
      <c r="E1295" s="10"/>
      <c r="F1295" s="10"/>
      <c r="G1295" s="10"/>
      <c r="H1295" s="10"/>
      <c r="I1295" s="10"/>
      <c r="J1295" s="10"/>
      <c r="K1295" s="10"/>
      <c r="L1295" s="10"/>
      <c r="M1295" s="10"/>
    </row>
    <row r="1296" spans="1:13">
      <c r="A1296" s="10"/>
      <c r="B1296" s="10"/>
      <c r="C1296" s="10"/>
      <c r="D1296" s="10"/>
      <c r="E1296" s="28"/>
      <c r="F1296" s="10"/>
      <c r="G1296" s="10"/>
      <c r="H1296" s="10"/>
      <c r="I1296" s="10"/>
      <c r="J1296" s="10"/>
      <c r="K1296" s="10"/>
      <c r="L1296" s="10"/>
      <c r="M1296" s="10"/>
    </row>
    <row r="1297" spans="1:21">
      <c r="A1297" s="10"/>
      <c r="B1297" s="10"/>
      <c r="C1297" s="10"/>
      <c r="D1297" s="10"/>
      <c r="E1297" s="28"/>
      <c r="F1297" s="10"/>
      <c r="G1297" s="10"/>
      <c r="H1297" s="10"/>
      <c r="I1297" s="10"/>
      <c r="J1297" s="10"/>
      <c r="K1297" s="10"/>
      <c r="L1297" s="10"/>
      <c r="M1297" s="10"/>
    </row>
    <row r="1298" spans="1:21">
      <c r="A1298" s="10"/>
      <c r="B1298" s="10"/>
      <c r="C1298" s="10"/>
      <c r="D1298" s="10"/>
      <c r="E1298" s="28"/>
      <c r="F1298" s="10"/>
      <c r="G1298" s="10"/>
      <c r="H1298" s="10"/>
      <c r="I1298" s="10"/>
      <c r="J1298" s="10"/>
      <c r="K1298" s="10"/>
      <c r="L1298" s="10"/>
      <c r="M1298" s="10"/>
    </row>
    <row r="1299" spans="1:21">
      <c r="A1299" s="10"/>
      <c r="B1299" s="10"/>
      <c r="C1299" s="10"/>
      <c r="D1299" s="10"/>
      <c r="E1299" s="10"/>
      <c r="F1299" s="10"/>
      <c r="G1299" s="10"/>
      <c r="H1299" s="10"/>
      <c r="I1299" s="10"/>
      <c r="J1299" s="10"/>
      <c r="K1299" s="10"/>
      <c r="L1299" s="10"/>
      <c r="M1299" s="10"/>
    </row>
    <row r="1300" spans="1:21">
      <c r="A1300" s="10"/>
      <c r="B1300" s="10"/>
      <c r="C1300" s="10"/>
      <c r="D1300" s="10"/>
      <c r="E1300" s="10"/>
      <c r="F1300" s="10"/>
      <c r="G1300" s="10"/>
      <c r="H1300" s="10"/>
      <c r="I1300" s="10"/>
      <c r="J1300" s="10"/>
      <c r="K1300" s="10"/>
      <c r="L1300" s="10"/>
      <c r="M1300" s="10"/>
    </row>
    <row r="1301" spans="1:21">
      <c r="A1301" s="10"/>
      <c r="B1301" s="10"/>
      <c r="C1301" s="10"/>
      <c r="D1301" s="10"/>
      <c r="E1301" s="10"/>
      <c r="F1301" s="10"/>
      <c r="G1301" s="10"/>
      <c r="H1301" s="10"/>
      <c r="I1301" s="10"/>
      <c r="J1301" s="10"/>
      <c r="K1301" s="10"/>
      <c r="L1301" s="10"/>
      <c r="M1301" s="10"/>
    </row>
    <row r="1302" spans="1:21">
      <c r="A1302" s="10"/>
      <c r="B1302" s="10"/>
      <c r="C1302" s="10"/>
      <c r="D1302" s="10"/>
      <c r="E1302" s="10"/>
      <c r="F1302" s="10"/>
      <c r="G1302" s="10"/>
      <c r="H1302" s="10"/>
      <c r="I1302" s="10"/>
      <c r="J1302" s="10"/>
      <c r="K1302" s="10"/>
      <c r="L1302" s="10"/>
      <c r="M1302" s="10"/>
    </row>
    <row r="1303" spans="1:21">
      <c r="A1303" s="10"/>
      <c r="B1303" s="10"/>
      <c r="C1303" s="10"/>
      <c r="D1303" s="10"/>
      <c r="E1303" s="10"/>
      <c r="F1303" s="10"/>
      <c r="G1303" s="10"/>
      <c r="H1303" s="10"/>
      <c r="I1303" s="10"/>
      <c r="J1303" s="10"/>
      <c r="K1303" s="10"/>
      <c r="L1303" s="10"/>
      <c r="M1303" s="10"/>
    </row>
    <row r="1304" spans="1:21">
      <c r="A1304" s="10"/>
      <c r="B1304" s="10"/>
      <c r="C1304" s="10"/>
      <c r="D1304" s="10"/>
      <c r="E1304" s="10"/>
      <c r="F1304" s="10"/>
      <c r="G1304" s="10"/>
      <c r="H1304" s="10"/>
      <c r="I1304" s="10"/>
      <c r="J1304" s="10"/>
      <c r="K1304" s="10"/>
      <c r="L1304" s="10"/>
      <c r="M1304" s="10"/>
    </row>
    <row r="1305" spans="1:21">
      <c r="A1305" s="10"/>
      <c r="B1305" s="10"/>
      <c r="C1305" s="10"/>
      <c r="D1305" s="10"/>
      <c r="E1305" s="10"/>
      <c r="F1305" s="10"/>
      <c r="G1305" s="10"/>
      <c r="H1305" s="10"/>
      <c r="I1305" s="10"/>
      <c r="J1305" s="10"/>
      <c r="K1305" s="10"/>
      <c r="L1305" s="10"/>
      <c r="M1305" s="10"/>
    </row>
    <row r="1306" spans="1:21">
      <c r="A1306" s="10"/>
      <c r="B1306" s="10"/>
      <c r="C1306" s="10"/>
      <c r="D1306" s="10"/>
      <c r="E1306" s="10"/>
      <c r="F1306" s="10"/>
      <c r="G1306" s="10"/>
      <c r="H1306" s="10"/>
      <c r="I1306" s="10"/>
      <c r="J1306" s="10"/>
      <c r="K1306" s="10"/>
      <c r="L1306" s="10"/>
      <c r="M1306" s="10"/>
    </row>
    <row r="1307" spans="1:21">
      <c r="A1307" s="10"/>
      <c r="B1307" s="10"/>
      <c r="C1307" s="10"/>
      <c r="D1307" s="10"/>
      <c r="E1307" s="10"/>
      <c r="F1307" s="10"/>
      <c r="G1307" s="10"/>
      <c r="H1307" s="10"/>
      <c r="I1307" s="10"/>
      <c r="J1307" s="10"/>
      <c r="K1307" s="10"/>
      <c r="L1307" s="10"/>
      <c r="M1307" s="10"/>
    </row>
    <row r="1308" spans="1:21">
      <c r="A1308" s="10"/>
      <c r="B1308" s="10"/>
      <c r="C1308" s="10"/>
      <c r="D1308" s="10"/>
      <c r="E1308" s="10"/>
      <c r="F1308" s="10"/>
      <c r="G1308" s="10"/>
      <c r="H1308" s="10"/>
      <c r="I1308" s="10"/>
      <c r="J1308" s="10"/>
      <c r="K1308" s="10"/>
      <c r="L1308" s="10"/>
      <c r="M1308" s="10"/>
    </row>
    <row r="1309" spans="1:21">
      <c r="A1309" s="10"/>
      <c r="B1309" s="10"/>
      <c r="C1309" s="10"/>
      <c r="D1309" s="10"/>
      <c r="E1309" s="10"/>
      <c r="F1309" s="10"/>
      <c r="G1309" s="10"/>
      <c r="H1309" s="10"/>
      <c r="I1309" s="10"/>
      <c r="J1309" s="10"/>
      <c r="K1309" s="10"/>
      <c r="L1309" s="10"/>
      <c r="M1309" s="10"/>
    </row>
    <row r="1310" spans="1:21">
      <c r="A1310" s="10"/>
      <c r="B1310" s="10"/>
      <c r="C1310" s="10"/>
      <c r="D1310" s="10"/>
      <c r="E1310" s="28"/>
      <c r="F1310" s="10"/>
      <c r="G1310" s="10"/>
      <c r="H1310" s="10"/>
      <c r="I1310" s="10"/>
      <c r="J1310" s="10"/>
      <c r="K1310" s="10"/>
      <c r="L1310" s="10"/>
      <c r="M1310" s="10"/>
    </row>
    <row r="1311" spans="1:21">
      <c r="A1311" s="10"/>
      <c r="B1311" s="10"/>
      <c r="C1311" s="10"/>
      <c r="D1311" s="10"/>
      <c r="E1311" s="28"/>
      <c r="F1311" s="10"/>
      <c r="G1311" s="10"/>
      <c r="H1311" s="10"/>
      <c r="I1311" s="10"/>
      <c r="J1311" s="10"/>
      <c r="K1311" s="10"/>
      <c r="L1311" s="10"/>
      <c r="M1311" s="10"/>
      <c r="P1311" s="10" t="e">
        <f>VLOOKUP(C1311,Table_view_sorted!A$2:A$215,1,FALSE)</f>
        <v>#N/A</v>
      </c>
      <c r="Q1311" t="e">
        <f>VLOOKUP(D1311,AVY_FACT!A$2:A$153,1,FALSE)</f>
        <v>#N/A</v>
      </c>
      <c r="R1311" t="str">
        <f>D1311&amp;"  "&amp;G1311&amp;","</f>
        <v xml:space="preserve">  ,</v>
      </c>
      <c r="T1311" s="10"/>
      <c r="U1311" s="10"/>
    </row>
    <row r="1312" spans="1:21">
      <c r="A1312" s="10"/>
      <c r="B1312" s="10"/>
      <c r="C1312" s="10"/>
      <c r="D1312" s="10"/>
      <c r="E1312" s="10"/>
      <c r="F1312" s="10"/>
      <c r="G1312" s="10"/>
      <c r="H1312" s="10"/>
      <c r="I1312" s="10"/>
      <c r="J1312" s="10"/>
      <c r="K1312" s="10"/>
      <c r="L1312" s="10"/>
      <c r="M1312" s="10"/>
      <c r="P1312" s="10" t="e">
        <f>VLOOKUP(C1312,Table_view_sorted!A$2:A$215,1,FALSE)</f>
        <v>#N/A</v>
      </c>
      <c r="Q1312" t="e">
        <f>VLOOKUP(D1312,AVY_FACT!A$2:A$153,1,FALSE)</f>
        <v>#N/A</v>
      </c>
      <c r="R1312" t="str">
        <f>D1312&amp;"  "&amp;G1312&amp;","</f>
        <v xml:space="preserve">  ,</v>
      </c>
      <c r="T1312" s="10"/>
      <c r="U1312" s="10"/>
    </row>
    <row r="1313" spans="1:21">
      <c r="A1313" s="10"/>
      <c r="B1313" s="10"/>
      <c r="C1313" s="10"/>
      <c r="D1313" s="10"/>
      <c r="E1313" s="10"/>
      <c r="F1313" s="10"/>
      <c r="G1313" s="10"/>
      <c r="H1313" s="10"/>
      <c r="I1313" s="10"/>
      <c r="J1313" s="10"/>
      <c r="K1313" s="10"/>
      <c r="L1313" s="10"/>
      <c r="M1313" s="10"/>
    </row>
    <row r="1314" spans="1:21">
      <c r="A1314" s="10"/>
      <c r="B1314" s="10"/>
      <c r="C1314" s="10"/>
      <c r="D1314" s="10"/>
      <c r="E1314" s="10"/>
      <c r="F1314" s="10"/>
      <c r="G1314" s="10"/>
      <c r="H1314" s="10"/>
      <c r="I1314" s="10"/>
      <c r="J1314" s="10"/>
      <c r="K1314" s="10"/>
      <c r="L1314" s="10"/>
      <c r="M1314" s="10"/>
    </row>
    <row r="1315" spans="1:21">
      <c r="A1315" s="10"/>
      <c r="B1315" s="10"/>
      <c r="C1315" s="10"/>
      <c r="D1315" s="10"/>
      <c r="E1315" s="28"/>
      <c r="F1315" s="10"/>
      <c r="G1315" s="10"/>
      <c r="H1315" s="10"/>
      <c r="I1315" s="10"/>
      <c r="J1315" s="10"/>
      <c r="K1315" s="10"/>
      <c r="L1315" s="10"/>
      <c r="M1315" s="10"/>
    </row>
    <row r="1316" spans="1:21">
      <c r="A1316" s="10"/>
      <c r="B1316" s="10"/>
      <c r="C1316" s="10"/>
      <c r="D1316" s="10"/>
      <c r="E1316" s="28"/>
      <c r="F1316" s="10"/>
      <c r="G1316" s="10"/>
      <c r="H1316" s="10"/>
      <c r="I1316" s="10"/>
      <c r="J1316" s="10"/>
      <c r="K1316" s="10"/>
      <c r="L1316" s="10"/>
      <c r="M1316" s="10"/>
      <c r="P1316" s="10" t="e">
        <f>VLOOKUP(C1316,Table_view_sorted!A$2:A$215,1,FALSE)</f>
        <v>#N/A</v>
      </c>
      <c r="Q1316" t="e">
        <f>VLOOKUP(D1316,AVY_FACT!A$2:A$153,1,FALSE)</f>
        <v>#N/A</v>
      </c>
      <c r="R1316" t="str">
        <f>D1316&amp;"  "&amp;G1316&amp;","</f>
        <v xml:space="preserve">  ,</v>
      </c>
      <c r="T1316" s="10"/>
      <c r="U1316" s="10"/>
    </row>
    <row r="1317" spans="1:21">
      <c r="A1317" s="10"/>
      <c r="B1317" s="10"/>
      <c r="C1317" s="10"/>
      <c r="D1317" s="10"/>
      <c r="E1317" s="10"/>
      <c r="F1317" s="10"/>
      <c r="G1317" s="10"/>
      <c r="H1317" s="10"/>
      <c r="I1317" s="10"/>
      <c r="J1317" s="10"/>
      <c r="K1317" s="10"/>
      <c r="L1317" s="10"/>
      <c r="M1317" s="10"/>
      <c r="P1317" s="10" t="e">
        <f>VLOOKUP(C1317,Table_view_sorted!A$2:A$215,1,FALSE)</f>
        <v>#N/A</v>
      </c>
      <c r="Q1317" t="e">
        <f>VLOOKUP(D1317,AVY_FACT!A$2:A$153,1,FALSE)</f>
        <v>#N/A</v>
      </c>
      <c r="R1317" t="str">
        <f>D1317&amp;"  "&amp;G1317&amp;","</f>
        <v xml:space="preserve">  ,</v>
      </c>
      <c r="T1317" s="10"/>
      <c r="U1317" s="10"/>
    </row>
    <row r="1318" spans="1:21">
      <c r="A1318" s="10"/>
      <c r="B1318" s="10"/>
      <c r="C1318" s="10"/>
      <c r="D1318" s="10"/>
      <c r="E1318" s="10"/>
      <c r="F1318" s="10"/>
      <c r="G1318" s="10"/>
      <c r="H1318" s="10"/>
      <c r="I1318" s="10"/>
      <c r="J1318" s="10"/>
      <c r="K1318" s="10"/>
      <c r="L1318" s="10"/>
      <c r="M1318" s="10"/>
      <c r="P1318" s="10" t="e">
        <f>VLOOKUP(C1318,Table_view_sorted!A$2:A$215,1,FALSE)</f>
        <v>#N/A</v>
      </c>
      <c r="Q1318" t="e">
        <f>VLOOKUP(D1318,AVY_FACT!A$2:A$153,1,FALSE)</f>
        <v>#N/A</v>
      </c>
      <c r="R1318" t="str">
        <f>D1318&amp;"  "&amp;G1318&amp;","</f>
        <v xml:space="preserve">  ,</v>
      </c>
      <c r="T1318" s="10"/>
      <c r="U1318" s="10"/>
    </row>
    <row r="1319" spans="1:21">
      <c r="A1319" s="10"/>
      <c r="B1319" s="10"/>
      <c r="C1319" s="10"/>
      <c r="D1319" s="10"/>
      <c r="E1319" s="10"/>
      <c r="F1319" s="10"/>
      <c r="G1319" s="10"/>
      <c r="H1319" s="10"/>
      <c r="I1319" s="10"/>
      <c r="J1319" s="10"/>
      <c r="K1319" s="10"/>
      <c r="L1319" s="10"/>
      <c r="M1319" s="10"/>
      <c r="P1319" s="10" t="e">
        <f>VLOOKUP(C1319,Table_view_sorted!A$2:A$215,1,FALSE)</f>
        <v>#N/A</v>
      </c>
      <c r="Q1319" t="e">
        <f>VLOOKUP(D1319,AVY_FACT!A$2:A$153,1,FALSE)</f>
        <v>#N/A</v>
      </c>
      <c r="R1319" t="str">
        <f>D1319&amp;"  "&amp;G1319&amp;","</f>
        <v xml:space="preserve">  ,</v>
      </c>
      <c r="T1319" s="23" t="s">
        <v>2460</v>
      </c>
      <c r="U1319" s="23" t="s">
        <v>1142</v>
      </c>
    </row>
    <row r="1320" spans="1:21">
      <c r="A1320" s="10"/>
      <c r="B1320" s="10"/>
      <c r="C1320" s="10"/>
      <c r="D1320" s="10"/>
      <c r="E1320" s="10"/>
      <c r="F1320" s="10"/>
      <c r="G1320" s="10"/>
      <c r="H1320" s="10"/>
      <c r="I1320" s="10"/>
      <c r="J1320" s="10"/>
      <c r="K1320" s="10"/>
      <c r="L1320" s="10"/>
      <c r="M1320" s="10"/>
    </row>
    <row r="1321" spans="1:21">
      <c r="A1321" s="10"/>
      <c r="B1321" s="10"/>
      <c r="C1321" s="10"/>
      <c r="D1321" s="10"/>
      <c r="E1321" s="10"/>
      <c r="F1321" s="10"/>
      <c r="G1321" s="10"/>
      <c r="H1321" s="10"/>
      <c r="I1321" s="10"/>
      <c r="J1321" s="10"/>
      <c r="K1321" s="10"/>
      <c r="L1321" s="10"/>
      <c r="M1321" s="10"/>
    </row>
    <row r="1322" spans="1:21">
      <c r="A1322" s="10"/>
      <c r="B1322" s="10"/>
      <c r="C1322" s="10"/>
      <c r="D1322" s="10"/>
      <c r="E1322" s="10"/>
      <c r="F1322" s="10"/>
      <c r="G1322" s="10"/>
      <c r="H1322" s="10"/>
      <c r="I1322" s="10"/>
      <c r="J1322" s="10"/>
      <c r="K1322" s="10"/>
      <c r="L1322" s="10"/>
      <c r="M1322" s="10"/>
    </row>
    <row r="1323" spans="1:21">
      <c r="A1323" s="10"/>
      <c r="B1323" s="10"/>
      <c r="C1323" s="10"/>
      <c r="D1323" s="10"/>
      <c r="E1323" s="10"/>
      <c r="F1323" s="10"/>
      <c r="G1323" s="10"/>
      <c r="H1323" s="10"/>
      <c r="I1323" s="10"/>
      <c r="J1323" s="10"/>
      <c r="K1323" s="10"/>
      <c r="L1323" s="10"/>
      <c r="M1323" s="10"/>
    </row>
    <row r="1324" spans="1:21">
      <c r="A1324" s="10"/>
      <c r="B1324" s="10"/>
      <c r="C1324" s="10"/>
      <c r="D1324" s="10"/>
      <c r="E1324" s="10"/>
      <c r="F1324" s="10"/>
      <c r="G1324" s="10"/>
      <c r="H1324" s="10"/>
      <c r="I1324" s="10"/>
      <c r="J1324" s="10"/>
      <c r="K1324" s="10"/>
      <c r="L1324" s="10"/>
      <c r="M1324" s="10"/>
    </row>
    <row r="1325" spans="1:21">
      <c r="A1325" s="10"/>
      <c r="B1325" s="10"/>
      <c r="C1325" s="10"/>
      <c r="D1325" s="10"/>
      <c r="E1325" s="10"/>
      <c r="F1325" s="10"/>
      <c r="G1325" s="10"/>
      <c r="H1325" s="10"/>
      <c r="I1325" s="10"/>
      <c r="J1325" s="10"/>
      <c r="K1325" s="10"/>
      <c r="L1325" s="10"/>
      <c r="M1325" s="10"/>
    </row>
    <row r="1326" spans="1:21">
      <c r="A1326" s="10"/>
      <c r="B1326" s="10"/>
      <c r="C1326" s="10"/>
      <c r="D1326" s="10"/>
      <c r="E1326" s="10"/>
      <c r="F1326" s="10"/>
      <c r="G1326" s="10"/>
      <c r="H1326" s="10"/>
      <c r="I1326" s="10"/>
      <c r="J1326" s="10"/>
      <c r="K1326" s="10"/>
      <c r="L1326" s="10"/>
      <c r="M1326" s="10"/>
    </row>
    <row r="1327" spans="1:21">
      <c r="A1327" s="10"/>
      <c r="B1327" s="10"/>
      <c r="C1327" s="10"/>
      <c r="D1327" s="10"/>
      <c r="E1327" s="10"/>
      <c r="F1327" s="10"/>
      <c r="G1327" s="10"/>
      <c r="H1327" s="10"/>
      <c r="I1327" s="10"/>
      <c r="J1327" s="10"/>
      <c r="K1327" s="10"/>
      <c r="L1327" s="10"/>
      <c r="M1327" s="10"/>
      <c r="P1327" s="10" t="e">
        <f>VLOOKUP(C1327,Table_view_sorted!A$2:A$215,1,FALSE)</f>
        <v>#N/A</v>
      </c>
      <c r="Q1327" t="e">
        <f>VLOOKUP(D1327,AVY_FACT!A$2:A$153,1,FALSE)</f>
        <v>#N/A</v>
      </c>
      <c r="R1327" t="str">
        <f t="shared" ref="R1327:R1332" si="5">D1327&amp;"  "&amp;G1327&amp;","</f>
        <v xml:space="preserve">  ,</v>
      </c>
      <c r="T1327" s="10"/>
      <c r="U1327" s="10"/>
    </row>
    <row r="1328" spans="1:21">
      <c r="A1328" s="10"/>
      <c r="B1328" s="10"/>
      <c r="C1328" s="10"/>
      <c r="D1328" s="10"/>
      <c r="E1328" s="10"/>
      <c r="F1328" s="10"/>
      <c r="G1328" s="10"/>
      <c r="H1328" s="10"/>
      <c r="I1328" s="10"/>
      <c r="J1328" s="10"/>
      <c r="K1328" s="10"/>
      <c r="L1328" s="10"/>
      <c r="M1328" s="10"/>
      <c r="P1328" s="10" t="e">
        <f>VLOOKUP(C1328,Table_view_sorted!A$2:A$215,1,FALSE)</f>
        <v>#N/A</v>
      </c>
      <c r="Q1328" s="22" t="e">
        <f>VLOOKUP(D1328,AVY_FACT!A$2:A$153,1,FALSE)</f>
        <v>#N/A</v>
      </c>
      <c r="R1328" s="22" t="str">
        <f t="shared" si="5"/>
        <v xml:space="preserve">  ,</v>
      </c>
      <c r="S1328" s="22"/>
      <c r="T1328" s="21" t="s">
        <v>2460</v>
      </c>
      <c r="U1328" s="21" t="s">
        <v>1142</v>
      </c>
    </row>
    <row r="1329" spans="1:21">
      <c r="A1329" s="10"/>
      <c r="B1329" s="10"/>
      <c r="C1329" s="10"/>
      <c r="D1329" s="10"/>
      <c r="E1329" s="10"/>
      <c r="F1329" s="10"/>
      <c r="G1329" s="10"/>
      <c r="H1329" s="10"/>
      <c r="I1329" s="10"/>
      <c r="J1329" s="10"/>
      <c r="K1329" s="10"/>
      <c r="L1329" s="10"/>
      <c r="M1329" s="10"/>
      <c r="P1329" s="10" t="e">
        <f>VLOOKUP(C1329,Table_view_sorted!A$2:A$215,1,FALSE)</f>
        <v>#N/A</v>
      </c>
      <c r="Q1329" t="e">
        <f>VLOOKUP(D1329,AVY_FACT!A$2:A$153,1,FALSE)</f>
        <v>#N/A</v>
      </c>
      <c r="R1329" t="str">
        <f t="shared" si="5"/>
        <v xml:space="preserve">  ,</v>
      </c>
      <c r="T1329" s="10"/>
      <c r="U1329" s="10"/>
    </row>
    <row r="1330" spans="1:21">
      <c r="A1330" s="10"/>
      <c r="B1330" s="10"/>
      <c r="C1330" s="10"/>
      <c r="D1330" s="10"/>
      <c r="E1330" s="10"/>
      <c r="F1330" s="10"/>
      <c r="G1330" s="10"/>
      <c r="H1330" s="10"/>
      <c r="I1330" s="10"/>
      <c r="J1330" s="10"/>
      <c r="K1330" s="10"/>
      <c r="L1330" s="10"/>
      <c r="M1330" s="10"/>
      <c r="P1330" s="10" t="e">
        <f>VLOOKUP(C1330,Table_view_sorted!A$2:A$215,1,FALSE)</f>
        <v>#N/A</v>
      </c>
      <c r="Q1330" t="e">
        <f>VLOOKUP(D1330,AVY_FACT!A$2:A$153,1,FALSE)</f>
        <v>#N/A</v>
      </c>
      <c r="R1330" t="str">
        <f t="shared" si="5"/>
        <v xml:space="preserve">  ,</v>
      </c>
      <c r="T1330" s="10" t="s">
        <v>2540</v>
      </c>
      <c r="U1330" s="10" t="s">
        <v>1142</v>
      </c>
    </row>
    <row r="1331" spans="1:21">
      <c r="A1331" s="10"/>
      <c r="B1331" s="10"/>
      <c r="C1331" s="10"/>
      <c r="D1331" s="10"/>
      <c r="E1331" s="10"/>
      <c r="F1331" s="10"/>
      <c r="G1331" s="10"/>
      <c r="H1331" s="10"/>
      <c r="I1331" s="10"/>
      <c r="J1331" s="10"/>
      <c r="K1331" s="10"/>
      <c r="L1331" s="10"/>
      <c r="M1331" s="10"/>
      <c r="P1331" s="10" t="e">
        <f>VLOOKUP(C1331,Table_view_sorted!A$2:A$215,1,FALSE)</f>
        <v>#N/A</v>
      </c>
      <c r="Q1331" t="e">
        <f>VLOOKUP(D1331,AVY_FACT!A$2:A$153,1,FALSE)</f>
        <v>#N/A</v>
      </c>
      <c r="R1331" t="str">
        <f t="shared" si="5"/>
        <v xml:space="preserve">  ,</v>
      </c>
      <c r="T1331" s="23" t="s">
        <v>2541</v>
      </c>
      <c r="U1331" s="23" t="s">
        <v>1142</v>
      </c>
    </row>
    <row r="1332" spans="1:21">
      <c r="A1332" s="10"/>
      <c r="B1332" s="10"/>
      <c r="C1332" s="10"/>
      <c r="D1332" s="10"/>
      <c r="E1332" s="10"/>
      <c r="F1332" s="10"/>
      <c r="G1332" s="10"/>
      <c r="H1332" s="10"/>
      <c r="I1332" s="10"/>
      <c r="J1332" s="10"/>
      <c r="K1332" s="10"/>
      <c r="L1332" s="10"/>
      <c r="M1332" s="10"/>
      <c r="P1332" s="10" t="e">
        <f>VLOOKUP(C1332,Table_view_sorted!A$2:A$215,1,FALSE)</f>
        <v>#N/A</v>
      </c>
      <c r="Q1332" t="e">
        <f>VLOOKUP(D1332,AVY_FACT!A$2:A$153,1,FALSE)</f>
        <v>#N/A</v>
      </c>
      <c r="R1332" t="str">
        <f t="shared" si="5"/>
        <v xml:space="preserve">  ,</v>
      </c>
      <c r="T1332" s="23" t="s">
        <v>2515</v>
      </c>
      <c r="U1332" s="23" t="s">
        <v>1142</v>
      </c>
    </row>
    <row r="1333" spans="1:21">
      <c r="A1333" s="10"/>
      <c r="B1333" s="10"/>
      <c r="C1333" s="10"/>
      <c r="D1333" s="10"/>
      <c r="E1333" s="10"/>
      <c r="F1333" s="10"/>
      <c r="G1333" s="10"/>
      <c r="H1333" s="10"/>
      <c r="I1333" s="10"/>
      <c r="J1333" s="10"/>
      <c r="K1333" s="10"/>
      <c r="L1333" s="10"/>
      <c r="M1333" s="10"/>
    </row>
    <row r="1334" spans="1:21">
      <c r="A1334" s="10"/>
      <c r="B1334" s="10"/>
      <c r="C1334" s="10"/>
      <c r="D1334" s="10"/>
      <c r="E1334" s="10"/>
      <c r="F1334" s="10"/>
      <c r="G1334" s="10"/>
      <c r="H1334" s="10"/>
      <c r="I1334" s="10"/>
      <c r="J1334" s="10"/>
      <c r="K1334" s="10"/>
      <c r="L1334" s="10"/>
      <c r="M1334" s="10"/>
    </row>
    <row r="1335" spans="1:21">
      <c r="A1335" s="10"/>
      <c r="B1335" s="10"/>
      <c r="C1335" s="10"/>
      <c r="D1335" s="10"/>
      <c r="E1335" s="10"/>
      <c r="F1335" s="10"/>
      <c r="G1335" s="10"/>
      <c r="H1335" s="10"/>
      <c r="I1335" s="10"/>
      <c r="J1335" s="10"/>
      <c r="K1335" s="10"/>
      <c r="L1335" s="10"/>
      <c r="M1335" s="10"/>
    </row>
  </sheetData>
  <autoFilter ref="A1:U1335" xr:uid="{60FAF89E-A1CB-4250-A584-3DF6C8A591AE}"/>
  <sortState xmlns:xlrd2="http://schemas.microsoft.com/office/spreadsheetml/2017/richdata2" ref="A2:J228">
    <sortCondition ref="C2:C228"/>
  </sortState>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9AE30-265B-4959-8B53-DD6C8CAD4F44}">
  <sheetPr filterMode="1"/>
  <dimension ref="A1:H153"/>
  <sheetViews>
    <sheetView workbookViewId="0">
      <selection activeCell="A51" sqref="A51"/>
    </sheetView>
  </sheetViews>
  <sheetFormatPr defaultRowHeight="14.4"/>
  <cols>
    <col min="1" max="1" width="49.109375" customWidth="1"/>
    <col min="2" max="2" width="23" customWidth="1"/>
    <col min="6" max="6" width="118.109375" customWidth="1"/>
    <col min="7" max="7" width="28.88671875" bestFit="1" customWidth="1"/>
  </cols>
  <sheetData>
    <row r="1" spans="1:8">
      <c r="A1" t="s">
        <v>2009</v>
      </c>
      <c r="B1" t="s">
        <v>2010</v>
      </c>
      <c r="C1" t="s">
        <v>2011</v>
      </c>
      <c r="D1" t="s">
        <v>2012</v>
      </c>
      <c r="E1" t="s">
        <v>2013</v>
      </c>
      <c r="F1" s="2" t="s">
        <v>2014</v>
      </c>
      <c r="G1" t="s">
        <v>2542</v>
      </c>
    </row>
    <row r="2" spans="1:8" hidden="1">
      <c r="A2" t="s">
        <v>360</v>
      </c>
      <c r="B2" t="s">
        <v>82</v>
      </c>
      <c r="C2" t="s">
        <v>63</v>
      </c>
      <c r="E2">
        <v>121</v>
      </c>
      <c r="F2" s="2"/>
      <c r="G2" t="str">
        <f>VLOOKUP(A2,Table_view_sorted!B$2:B$208,1,FALSE)</f>
        <v>ACG_TP_CD</v>
      </c>
    </row>
    <row r="3" spans="1:8" hidden="1">
      <c r="A3" t="s">
        <v>366</v>
      </c>
      <c r="B3" t="s">
        <v>101</v>
      </c>
      <c r="C3" t="s">
        <v>345</v>
      </c>
      <c r="E3">
        <v>4</v>
      </c>
      <c r="F3" s="2" t="s">
        <v>367</v>
      </c>
      <c r="G3" t="str">
        <f>VLOOKUP(A3,Table_view_sorted!B$2:B$208,1,FALSE)</f>
        <v>ACG_TP_DIM_ID</v>
      </c>
    </row>
    <row r="4" spans="1:8" hidden="1">
      <c r="A4" t="s">
        <v>369</v>
      </c>
      <c r="B4" t="s">
        <v>302</v>
      </c>
      <c r="C4" t="s">
        <v>63</v>
      </c>
      <c r="E4">
        <v>122</v>
      </c>
      <c r="F4" s="2"/>
      <c r="G4" t="str">
        <f>VLOOKUP(A4,Table_view_sorted!B$2:B$208,1,FALSE)</f>
        <v>ACG_TP_NM</v>
      </c>
    </row>
    <row r="5" spans="1:8" hidden="1">
      <c r="A5" t="s">
        <v>378</v>
      </c>
      <c r="B5" t="s">
        <v>1263</v>
      </c>
      <c r="C5" t="s">
        <v>345</v>
      </c>
      <c r="D5" t="s">
        <v>2543</v>
      </c>
      <c r="E5">
        <v>144</v>
      </c>
      <c r="F5" s="2"/>
      <c r="G5" t="str">
        <f>VLOOKUP(A5,Table_view_sorted!B$2:B$208,1,FALSE)</f>
        <v>ACTV_F</v>
      </c>
    </row>
    <row r="6" spans="1:8">
      <c r="A6" s="16" t="s">
        <v>383</v>
      </c>
      <c r="B6" t="s">
        <v>385</v>
      </c>
      <c r="C6" t="s">
        <v>63</v>
      </c>
      <c r="E6">
        <v>89</v>
      </c>
      <c r="F6" s="2" t="s">
        <v>382</v>
      </c>
      <c r="G6" t="str">
        <f>VLOOKUP(A6,Table_view_sorted!B$2:B$208,1,FALSE)</f>
        <v>AGRT_ORIG_FEES</v>
      </c>
      <c r="H6" t="s">
        <v>2544</v>
      </c>
    </row>
    <row r="7" spans="1:8">
      <c r="A7" s="16" t="s">
        <v>393</v>
      </c>
      <c r="B7" t="s">
        <v>385</v>
      </c>
      <c r="C7" t="s">
        <v>63</v>
      </c>
      <c r="E7">
        <v>90</v>
      </c>
      <c r="F7" s="2" t="s">
        <v>392</v>
      </c>
      <c r="G7" t="str">
        <f>VLOOKUP(A7,Table_view_sorted!B$2:B$208,1,FALSE)</f>
        <v>AGRT_STMT_FEES</v>
      </c>
      <c r="H7" t="s">
        <v>2545</v>
      </c>
    </row>
    <row r="8" spans="1:8" hidden="1">
      <c r="A8" t="s">
        <v>1120</v>
      </c>
      <c r="B8" t="s">
        <v>101</v>
      </c>
      <c r="C8" t="s">
        <v>345</v>
      </c>
      <c r="E8">
        <v>2</v>
      </c>
      <c r="F8" s="2" t="s">
        <v>2546</v>
      </c>
      <c r="G8" t="str">
        <f>VLOOKUP(A8,Table_view_sorted!B$2:B$208,1,FALSE)</f>
        <v>AR_DIM_ID</v>
      </c>
    </row>
    <row r="9" spans="1:8" hidden="1">
      <c r="A9" t="s">
        <v>397</v>
      </c>
      <c r="B9" t="s">
        <v>101</v>
      </c>
      <c r="C9" t="s">
        <v>63</v>
      </c>
      <c r="E9">
        <v>95</v>
      </c>
      <c r="F9" s="2"/>
      <c r="G9" t="str">
        <f>VLOOKUP(A9,Table_view_sorted!B$2:B$208,1,FALSE)</f>
        <v>AR_ID</v>
      </c>
    </row>
    <row r="10" spans="1:8" hidden="1">
      <c r="A10" t="s">
        <v>402</v>
      </c>
      <c r="B10" t="s">
        <v>157</v>
      </c>
      <c r="C10" t="s">
        <v>63</v>
      </c>
      <c r="E10">
        <v>141</v>
      </c>
      <c r="F10" s="2"/>
      <c r="G10" t="str">
        <f>VLOOKUP(A10,Table_view_sorted!B$2:B$208,1,FALSE)</f>
        <v>BATCH_DT</v>
      </c>
    </row>
    <row r="11" spans="1:8" hidden="1">
      <c r="A11" t="s">
        <v>408</v>
      </c>
      <c r="B11" t="s">
        <v>157</v>
      </c>
      <c r="C11" t="s">
        <v>63</v>
      </c>
      <c r="E11">
        <v>23</v>
      </c>
      <c r="F11" s="2" t="s">
        <v>410</v>
      </c>
      <c r="G11" t="str">
        <f>VLOOKUP(A11,Table_view_sorted!B$2:B$208,1,FALSE)</f>
        <v>BKG_DT</v>
      </c>
    </row>
    <row r="12" spans="1:8" ht="28.8" hidden="1">
      <c r="A12" t="s">
        <v>1118</v>
      </c>
      <c r="B12" t="s">
        <v>101</v>
      </c>
      <c r="C12" t="s">
        <v>345</v>
      </c>
      <c r="E12">
        <v>18</v>
      </c>
      <c r="F12" s="2" t="s">
        <v>2547</v>
      </c>
      <c r="G12" t="str">
        <f>VLOOKUP(A12,Table_view_sorted!B$2:B$208,1,FALSE)</f>
        <v>BKR_AR_DIM_ID</v>
      </c>
    </row>
    <row r="13" spans="1:8" hidden="1">
      <c r="A13" t="s">
        <v>417</v>
      </c>
      <c r="B13" t="s">
        <v>101</v>
      </c>
      <c r="C13" t="s">
        <v>63</v>
      </c>
      <c r="E13">
        <v>98</v>
      </c>
      <c r="F13" s="2"/>
      <c r="G13" t="str">
        <f>VLOOKUP(A13,Table_view_sorted!B$2:B$208,1,FALSE)</f>
        <v>BKR_AR_ID</v>
      </c>
    </row>
    <row r="14" spans="1:8" hidden="1">
      <c r="A14" t="s">
        <v>412</v>
      </c>
      <c r="B14" t="s">
        <v>139</v>
      </c>
      <c r="C14" t="s">
        <v>63</v>
      </c>
      <c r="E14">
        <v>105</v>
      </c>
      <c r="F14" s="2"/>
      <c r="G14" t="str">
        <f>VLOOKUP(A14,Table_view_sorted!B$2:B$208,1,FALSE)</f>
        <v>BR_CD</v>
      </c>
    </row>
    <row r="15" spans="1:8" hidden="1">
      <c r="A15" t="s">
        <v>425</v>
      </c>
      <c r="B15" t="s">
        <v>139</v>
      </c>
      <c r="C15" t="s">
        <v>63</v>
      </c>
      <c r="E15">
        <v>51</v>
      </c>
      <c r="F15" s="2" t="s">
        <v>429</v>
      </c>
      <c r="G15" t="str">
        <f>VLOOKUP(A15,Table_view_sorted!B$2:B$208,1,FALSE)</f>
        <v>BUY_SELL_IND</v>
      </c>
    </row>
    <row r="16" spans="1:8" hidden="1">
      <c r="A16" t="s">
        <v>462</v>
      </c>
      <c r="B16" t="s">
        <v>464</v>
      </c>
      <c r="C16" t="s">
        <v>63</v>
      </c>
      <c r="E16">
        <v>57</v>
      </c>
      <c r="F16" s="2" t="s">
        <v>2548</v>
      </c>
      <c r="G16" t="str">
        <f>VLOOKUP(A16,Table_view_sorted!B$2:B$208,1,FALSE)</f>
        <v>CASH_ALT_DSC_TRAILER_2</v>
      </c>
    </row>
    <row r="17" spans="1:7" ht="72" hidden="1">
      <c r="A17" t="s">
        <v>479</v>
      </c>
      <c r="B17" t="s">
        <v>139</v>
      </c>
      <c r="C17" t="s">
        <v>63</v>
      </c>
      <c r="E17">
        <v>80</v>
      </c>
      <c r="F17" s="2" t="s">
        <v>2549</v>
      </c>
      <c r="G17" t="str">
        <f>VLOOKUP(A17,Table_view_sorted!B$2:B$208,1,FALSE)</f>
        <v>CASH_APA_TP_CD</v>
      </c>
    </row>
    <row r="18" spans="1:7" ht="28.8" hidden="1">
      <c r="A18" t="s">
        <v>483</v>
      </c>
      <c r="B18" t="s">
        <v>485</v>
      </c>
      <c r="C18" t="s">
        <v>63</v>
      </c>
      <c r="E18">
        <v>82</v>
      </c>
      <c r="F18" s="2" t="s">
        <v>2550</v>
      </c>
      <c r="G18" t="str">
        <f>VLOOKUP(A18,Table_view_sorted!B$2:B$208,1,FALSE)</f>
        <v>CASH_APA_TP_DSC</v>
      </c>
    </row>
    <row r="19" spans="1:7" ht="28.8" hidden="1">
      <c r="A19" t="s">
        <v>494</v>
      </c>
      <c r="B19" t="s">
        <v>617</v>
      </c>
      <c r="C19" t="s">
        <v>63</v>
      </c>
      <c r="E19">
        <v>81</v>
      </c>
      <c r="F19" s="2" t="s">
        <v>2551</v>
      </c>
      <c r="G19" t="str">
        <f>VLOOKUP(A19,Table_view_sorted!B$2:B$208,1,FALSE)</f>
        <v>CASH_APA_TP_NM</v>
      </c>
    </row>
    <row r="20" spans="1:7" hidden="1">
      <c r="A20" t="s">
        <v>431</v>
      </c>
      <c r="B20" t="s">
        <v>139</v>
      </c>
      <c r="C20" t="s">
        <v>63</v>
      </c>
      <c r="E20">
        <v>86</v>
      </c>
      <c r="F20" s="2" t="s">
        <v>2552</v>
      </c>
      <c r="G20" t="str">
        <f>VLOOKUP(A20,Table_view_sorted!B$2:B$208,1,FALSE)</f>
        <v>CASH_AVY_CGY</v>
      </c>
    </row>
    <row r="21" spans="1:7" hidden="1">
      <c r="A21" t="s">
        <v>452</v>
      </c>
      <c r="B21" t="s">
        <v>90</v>
      </c>
      <c r="C21" t="s">
        <v>63</v>
      </c>
      <c r="E21">
        <v>87</v>
      </c>
      <c r="F21" s="2" t="s">
        <v>2553</v>
      </c>
      <c r="G21" t="str">
        <f>VLOOKUP(A21,Table_view_sorted!B$2:B$208,1,FALSE)</f>
        <v>CASH_AVY_TP</v>
      </c>
    </row>
    <row r="22" spans="1:7" hidden="1">
      <c r="A22" t="s">
        <v>498</v>
      </c>
      <c r="B22" t="s">
        <v>101</v>
      </c>
      <c r="C22" t="s">
        <v>63</v>
      </c>
      <c r="E22">
        <v>142</v>
      </c>
      <c r="F22" s="2"/>
      <c r="G22" t="str">
        <f>VLOOKUP(A22,Table_view_sorted!B$2:B$208,1,FALSE)</f>
        <v>CASH_CIRD_PD_ID</v>
      </c>
    </row>
    <row r="23" spans="1:7" ht="28.8" hidden="1">
      <c r="A23" t="s">
        <v>505</v>
      </c>
      <c r="B23" t="s">
        <v>82</v>
      </c>
      <c r="C23" t="s">
        <v>63</v>
      </c>
      <c r="E23">
        <v>45</v>
      </c>
      <c r="F23" s="2" t="s">
        <v>2554</v>
      </c>
      <c r="G23" t="str">
        <f>VLOOKUP(A23,Table_view_sorted!B$2:B$208,1,FALSE)</f>
        <v>CASH_DB_CR_CD</v>
      </c>
    </row>
    <row r="24" spans="1:7" hidden="1">
      <c r="A24" t="s">
        <v>509</v>
      </c>
      <c r="B24" t="s">
        <v>109</v>
      </c>
      <c r="C24" t="s">
        <v>63</v>
      </c>
      <c r="E24">
        <v>138</v>
      </c>
      <c r="F24" s="2"/>
      <c r="G24" t="str">
        <f>VLOOKUP(A24,Table_view_sorted!B$2:B$208,1,FALSE)</f>
        <v>CASH_DB_CR_NM</v>
      </c>
    </row>
    <row r="25" spans="1:7" hidden="1">
      <c r="A25" t="s">
        <v>513</v>
      </c>
      <c r="B25" t="s">
        <v>464</v>
      </c>
      <c r="C25" t="s">
        <v>63</v>
      </c>
      <c r="E25">
        <v>56</v>
      </c>
      <c r="F25" s="2" t="s">
        <v>2555</v>
      </c>
      <c r="G25" t="str">
        <f>VLOOKUP(A25,Table_view_sorted!B$2:B$208,1,FALSE)</f>
        <v>CASH_DSC_TRAILER_1</v>
      </c>
    </row>
    <row r="26" spans="1:7" hidden="1">
      <c r="A26" t="s">
        <v>546</v>
      </c>
      <c r="B26" t="s">
        <v>101</v>
      </c>
      <c r="C26" t="s">
        <v>345</v>
      </c>
      <c r="E26">
        <v>8</v>
      </c>
      <c r="F26" s="2" t="s">
        <v>2556</v>
      </c>
      <c r="G26" t="str">
        <f>VLOOKUP(A26,Table_view_sorted!B$2:B$208,1,FALSE)</f>
        <v>CASH_PD_DIM_ID</v>
      </c>
    </row>
    <row r="27" spans="1:7" hidden="1">
      <c r="A27" t="s">
        <v>541</v>
      </c>
      <c r="B27" t="s">
        <v>101</v>
      </c>
      <c r="C27" t="s">
        <v>63</v>
      </c>
      <c r="E27">
        <v>97</v>
      </c>
      <c r="F27" s="2"/>
      <c r="G27" t="str">
        <f>VLOOKUP(A27,Table_view_sorted!B$2:B$208,1,FALSE)</f>
        <v>CASH_PD_ID</v>
      </c>
    </row>
    <row r="28" spans="1:7" hidden="1">
      <c r="A28" t="s">
        <v>522</v>
      </c>
      <c r="B28" t="s">
        <v>427</v>
      </c>
      <c r="C28" t="s">
        <v>63</v>
      </c>
      <c r="E28">
        <v>123</v>
      </c>
      <c r="F28" s="2"/>
      <c r="G28" t="str">
        <f>VLOOKUP(A28,Table_view_sorted!B$2:B$208,1,FALSE)</f>
        <v>CASH_POS_TP_CD</v>
      </c>
    </row>
    <row r="29" spans="1:7" hidden="1">
      <c r="A29" t="s">
        <v>528</v>
      </c>
      <c r="B29" t="s">
        <v>101</v>
      </c>
      <c r="C29" t="s">
        <v>345</v>
      </c>
      <c r="E29">
        <v>5</v>
      </c>
      <c r="F29" s="2" t="s">
        <v>2557</v>
      </c>
      <c r="G29" t="str">
        <f>VLOOKUP(A29,Table_view_sorted!B$2:B$208,1,FALSE)</f>
        <v>CASH_POS_TP_DIM_ID</v>
      </c>
    </row>
    <row r="30" spans="1:7" hidden="1">
      <c r="A30" t="s">
        <v>531</v>
      </c>
      <c r="B30" t="s">
        <v>533</v>
      </c>
      <c r="C30" t="s">
        <v>63</v>
      </c>
      <c r="E30">
        <v>124</v>
      </c>
      <c r="F30" s="2"/>
      <c r="G30" t="str">
        <f>VLOOKUP(A30,Table_view_sorted!B$2:B$208,1,FALSE)</f>
        <v>CASH_POS_TP_NM</v>
      </c>
    </row>
    <row r="31" spans="1:7" ht="28.8" hidden="1">
      <c r="A31" t="s">
        <v>557</v>
      </c>
      <c r="B31" t="s">
        <v>385</v>
      </c>
      <c r="C31" t="s">
        <v>63</v>
      </c>
      <c r="E31">
        <v>42</v>
      </c>
      <c r="F31" s="2" t="s">
        <v>2214</v>
      </c>
      <c r="G31" t="str">
        <f>VLOOKUP(A31,Table_view_sorted!B$2:B$208,1,FALSE)</f>
        <v>CASH_SBC_AMT</v>
      </c>
    </row>
    <row r="32" spans="1:7" hidden="1">
      <c r="A32" t="s">
        <v>552</v>
      </c>
      <c r="B32" t="s">
        <v>385</v>
      </c>
      <c r="C32" t="s">
        <v>63</v>
      </c>
      <c r="E32">
        <v>58</v>
      </c>
      <c r="F32" s="2" t="s">
        <v>2558</v>
      </c>
      <c r="G32" t="str">
        <f>VLOOKUP(A32,Table_view_sorted!B$2:B$208,1,FALSE)</f>
        <v>CASH_SRC_SEQ_NUM</v>
      </c>
    </row>
    <row r="33" spans="1:8" hidden="1">
      <c r="A33" t="s">
        <v>565</v>
      </c>
      <c r="B33" t="s">
        <v>2084</v>
      </c>
      <c r="C33" t="s">
        <v>63</v>
      </c>
      <c r="E33">
        <v>35</v>
      </c>
      <c r="F33" s="2" t="s">
        <v>2559</v>
      </c>
      <c r="G33" t="str">
        <f>VLOOKUP(A33,Table_view_sorted!B$2:B$208,1,FALSE)</f>
        <v>CASH_TXN_AMT</v>
      </c>
    </row>
    <row r="34" spans="1:8" hidden="1">
      <c r="A34" t="s">
        <v>584</v>
      </c>
      <c r="B34" t="s">
        <v>268</v>
      </c>
      <c r="C34" t="s">
        <v>63</v>
      </c>
      <c r="E34">
        <v>112</v>
      </c>
      <c r="F34" s="2"/>
      <c r="G34" t="str">
        <f>VLOOKUP(A34,Table_view_sorted!B$2:B$208,1,FALSE)</f>
        <v>CCY_CD</v>
      </c>
    </row>
    <row r="35" spans="1:8" hidden="1">
      <c r="A35" t="s">
        <v>590</v>
      </c>
      <c r="B35" t="s">
        <v>101</v>
      </c>
      <c r="C35" t="s">
        <v>63</v>
      </c>
      <c r="E35">
        <v>111</v>
      </c>
      <c r="F35" s="2"/>
      <c r="G35" t="str">
        <f>VLOOKUP(A35,Table_view_sorted!B$2:B$208,1,FALSE)</f>
        <v>CCY_DIM_ID</v>
      </c>
    </row>
    <row r="36" spans="1:8" hidden="1">
      <c r="A36" t="s">
        <v>518</v>
      </c>
      <c r="B36" t="s">
        <v>519</v>
      </c>
      <c r="C36" t="s">
        <v>63</v>
      </c>
      <c r="E36">
        <v>52</v>
      </c>
      <c r="F36" s="2" t="s">
        <v>517</v>
      </c>
      <c r="G36" t="str">
        <f>VLOOKUP(A36,Table_view_sorted!B$2:B$208,1,FALSE)</f>
        <v>CF_GEN_F</v>
      </c>
    </row>
    <row r="37" spans="1:8" hidden="1">
      <c r="A37" t="s">
        <v>570</v>
      </c>
      <c r="B37" t="s">
        <v>464</v>
      </c>
      <c r="C37" t="s">
        <v>63</v>
      </c>
      <c r="E37">
        <v>150</v>
      </c>
      <c r="F37" s="2"/>
      <c r="G37" t="str">
        <f>VLOOKUP(A37,Table_view_sorted!B$2:B$208,1,FALSE)</f>
        <v>CLNT_FRIENDLY_DSC</v>
      </c>
    </row>
    <row r="38" spans="1:8" hidden="1">
      <c r="A38" t="s">
        <v>576</v>
      </c>
      <c r="B38" t="s">
        <v>157</v>
      </c>
      <c r="C38" t="s">
        <v>345</v>
      </c>
      <c r="E38">
        <v>91</v>
      </c>
      <c r="F38" s="2" t="s">
        <v>2560</v>
      </c>
      <c r="G38" t="str">
        <f>VLOOKUP(A38,Table_view_sorted!B$2:B$208,1,FALSE)</f>
        <v>CRT_DTM</v>
      </c>
    </row>
    <row r="39" spans="1:8" hidden="1">
      <c r="A39" t="s">
        <v>580</v>
      </c>
      <c r="B39" t="s">
        <v>120</v>
      </c>
      <c r="C39" t="s">
        <v>345</v>
      </c>
      <c r="E39">
        <v>92</v>
      </c>
      <c r="F39" s="2" t="s">
        <v>2561</v>
      </c>
      <c r="G39" t="str">
        <f>VLOOKUP(A39,Table_view_sorted!B$2:B$208,1,FALSE)</f>
        <v>CRT_USR_NM</v>
      </c>
    </row>
    <row r="40" spans="1:8" hidden="1">
      <c r="A40" t="s">
        <v>475</v>
      </c>
      <c r="B40" t="s">
        <v>101</v>
      </c>
      <c r="C40" t="s">
        <v>63</v>
      </c>
      <c r="E40">
        <v>32</v>
      </c>
      <c r="F40" s="2" t="s">
        <v>2562</v>
      </c>
      <c r="G40" t="str">
        <f>VLOOKUP(A40,Table_view_sorted!B$2:B$208,1,FALSE)</f>
        <v>CSH_APA_ID</v>
      </c>
    </row>
    <row r="41" spans="1:8" ht="72" hidden="1">
      <c r="A41" t="s">
        <v>490</v>
      </c>
      <c r="B41" t="s">
        <v>101</v>
      </c>
      <c r="C41" t="s">
        <v>63</v>
      </c>
      <c r="E41">
        <v>79</v>
      </c>
      <c r="F41" s="2" t="s">
        <v>2549</v>
      </c>
      <c r="G41" t="str">
        <f>VLOOKUP(A41,Table_view_sorted!B$2:B$208,1,FALSE)</f>
        <v>CSH_APA_TP_ID</v>
      </c>
    </row>
    <row r="42" spans="1:8" hidden="1">
      <c r="A42" t="s">
        <v>445</v>
      </c>
      <c r="B42" t="s">
        <v>101</v>
      </c>
      <c r="C42" t="s">
        <v>63</v>
      </c>
      <c r="E42">
        <v>88</v>
      </c>
      <c r="F42" s="2" t="s">
        <v>2563</v>
      </c>
      <c r="G42" t="str">
        <f>VLOOKUP(A42,Table_view_sorted!B$2:B$208,1,FALSE)</f>
        <v>CSH_AVY_CL_ID</v>
      </c>
    </row>
    <row r="43" spans="1:8" hidden="1">
      <c r="A43" t="s">
        <v>595</v>
      </c>
      <c r="B43" t="s">
        <v>139</v>
      </c>
      <c r="C43" t="s">
        <v>63</v>
      </c>
      <c r="E43">
        <v>116</v>
      </c>
      <c r="F43" s="2"/>
      <c r="G43" t="str">
        <f>VLOOKUP(A43,Table_view_sorted!B$2:B$208,1,FALSE)</f>
        <v>DOL_IND_CD</v>
      </c>
    </row>
    <row r="44" spans="1:8" hidden="1">
      <c r="A44" t="s">
        <v>601</v>
      </c>
      <c r="B44" t="s">
        <v>101</v>
      </c>
      <c r="C44" t="s">
        <v>63</v>
      </c>
      <c r="E44">
        <v>115</v>
      </c>
      <c r="F44" s="2"/>
      <c r="G44" t="str">
        <f>VLOOKUP(A44,Table_view_sorted!B$2:B$208,1,FALSE)</f>
        <v>DOL_IND_ID</v>
      </c>
    </row>
    <row r="45" spans="1:8" hidden="1">
      <c r="A45" t="s">
        <v>604</v>
      </c>
      <c r="B45" t="s">
        <v>109</v>
      </c>
      <c r="C45" t="s">
        <v>63</v>
      </c>
      <c r="E45">
        <v>117</v>
      </c>
      <c r="F45" s="2"/>
      <c r="G45" t="str">
        <f>VLOOKUP(A45,Table_view_sorted!B$2:B$208,1,FALSE)</f>
        <v>DOL_IND_NM</v>
      </c>
    </row>
    <row r="46" spans="1:8">
      <c r="A46" s="16" t="s">
        <v>1141</v>
      </c>
      <c r="B46" t="s">
        <v>101</v>
      </c>
      <c r="C46" t="s">
        <v>63</v>
      </c>
      <c r="E46">
        <v>100</v>
      </c>
      <c r="F46" s="2"/>
      <c r="G46" t="str">
        <f>VLOOKUP(A46,Table_view_sorted!B$2:B$208,1,FALSE)</f>
        <v>EOD_AR_DIM_ID</v>
      </c>
      <c r="H46" t="s">
        <v>2545</v>
      </c>
    </row>
    <row r="47" spans="1:8">
      <c r="A47" s="16" t="s">
        <v>1146</v>
      </c>
      <c r="B47" t="s">
        <v>101</v>
      </c>
      <c r="C47" t="s">
        <v>63</v>
      </c>
      <c r="E47">
        <v>104</v>
      </c>
      <c r="F47" s="2"/>
      <c r="G47" t="str">
        <f>VLOOKUP(A47,Table_view_sorted!B$2:B$208,1,FALSE)</f>
        <v>EOD_BKR_AR_DIM_ID</v>
      </c>
      <c r="H47" t="s">
        <v>2545</v>
      </c>
    </row>
    <row r="48" spans="1:8">
      <c r="A48" s="16" t="s">
        <v>1148</v>
      </c>
      <c r="B48" t="s">
        <v>101</v>
      </c>
      <c r="C48" t="s">
        <v>63</v>
      </c>
      <c r="E48">
        <v>103</v>
      </c>
      <c r="F48" s="2"/>
      <c r="G48" t="str">
        <f>VLOOKUP(A48,Table_view_sorted!B$2:B$208,1,FALSE)</f>
        <v>EOD_CASH_PD_DIM_ID</v>
      </c>
      <c r="H48" t="s">
        <v>2545</v>
      </c>
    </row>
    <row r="49" spans="1:8">
      <c r="A49" s="16" t="s">
        <v>1150</v>
      </c>
      <c r="B49" t="s">
        <v>101</v>
      </c>
      <c r="C49" t="s">
        <v>63</v>
      </c>
      <c r="E49">
        <v>101</v>
      </c>
      <c r="F49" s="2"/>
      <c r="G49" t="str">
        <f>VLOOKUP(A49,Table_view_sorted!B$2:B$208,1,FALSE)</f>
        <v>EOD_OFST_AR_DIM_ID</v>
      </c>
      <c r="H49" t="s">
        <v>2545</v>
      </c>
    </row>
    <row r="50" spans="1:8">
      <c r="A50" s="16" t="s">
        <v>1152</v>
      </c>
      <c r="B50" t="s">
        <v>101</v>
      </c>
      <c r="C50" t="s">
        <v>63</v>
      </c>
      <c r="E50">
        <v>102</v>
      </c>
      <c r="F50" s="2"/>
      <c r="G50" t="str">
        <f>VLOOKUP(A50,Table_view_sorted!B$2:B$208,1,FALSE)</f>
        <v>EOD_SEC_PD_DIM_ID</v>
      </c>
      <c r="H50" t="s">
        <v>2545</v>
      </c>
    </row>
    <row r="51" spans="1:8">
      <c r="A51" t="s">
        <v>2564</v>
      </c>
      <c r="B51" t="s">
        <v>624</v>
      </c>
      <c r="C51" t="s">
        <v>63</v>
      </c>
      <c r="E51">
        <v>25</v>
      </c>
      <c r="F51" s="2" t="s">
        <v>621</v>
      </c>
      <c r="G51" t="e">
        <f>VLOOKUP(A51,Table_view_sorted!B$2:B$208,1,FALSE)</f>
        <v>#N/A</v>
      </c>
      <c r="H51" t="s">
        <v>2565</v>
      </c>
    </row>
    <row r="52" spans="1:8" ht="28.8" hidden="1">
      <c r="A52" t="s">
        <v>627</v>
      </c>
      <c r="B52" t="s">
        <v>139</v>
      </c>
      <c r="C52" t="s">
        <v>63</v>
      </c>
      <c r="E52">
        <v>71</v>
      </c>
      <c r="F52" s="2" t="s">
        <v>2566</v>
      </c>
      <c r="G52" t="str">
        <f>VLOOKUP(A52,Table_view_sorted!B$2:B$208,1,FALSE)</f>
        <v>EXEC_SBTP_CD</v>
      </c>
    </row>
    <row r="53" spans="1:8" ht="28.8" hidden="1">
      <c r="A53" t="s">
        <v>632</v>
      </c>
      <c r="B53" t="s">
        <v>485</v>
      </c>
      <c r="C53" t="s">
        <v>63</v>
      </c>
      <c r="E53">
        <v>73</v>
      </c>
      <c r="F53" s="2" t="s">
        <v>2566</v>
      </c>
      <c r="G53" t="str">
        <f>VLOOKUP(A53,Table_view_sorted!B$2:B$208,1,FALSE)</f>
        <v>EXEC_SBTP_DSC</v>
      </c>
    </row>
    <row r="54" spans="1:8" ht="28.8" hidden="1">
      <c r="A54" t="s">
        <v>636</v>
      </c>
      <c r="B54" t="s">
        <v>101</v>
      </c>
      <c r="C54" t="s">
        <v>63</v>
      </c>
      <c r="E54">
        <v>74</v>
      </c>
      <c r="F54" s="2" t="s">
        <v>2566</v>
      </c>
      <c r="G54" t="str">
        <f>VLOOKUP(A54,Table_view_sorted!B$2:B$208,1,FALSE)</f>
        <v>EXEC_SBTP_ID</v>
      </c>
    </row>
    <row r="55" spans="1:8" ht="28.8" hidden="1">
      <c r="A55" t="s">
        <v>639</v>
      </c>
      <c r="B55" t="s">
        <v>109</v>
      </c>
      <c r="C55" t="s">
        <v>63</v>
      </c>
      <c r="E55">
        <v>72</v>
      </c>
      <c r="F55" s="2" t="s">
        <v>2566</v>
      </c>
      <c r="G55" t="str">
        <f>VLOOKUP(A55,Table_view_sorted!B$2:B$208,1,FALSE)</f>
        <v>EXEC_SBTP_NM</v>
      </c>
    </row>
    <row r="56" spans="1:8" ht="43.2" hidden="1">
      <c r="A56" t="s">
        <v>643</v>
      </c>
      <c r="B56" t="s">
        <v>139</v>
      </c>
      <c r="C56" t="s">
        <v>63</v>
      </c>
      <c r="E56">
        <v>68</v>
      </c>
      <c r="F56" s="2" t="s">
        <v>2567</v>
      </c>
      <c r="G56" t="str">
        <f>VLOOKUP(A56,Table_view_sorted!B$2:B$208,1,FALSE)</f>
        <v>EXEC_TP_CD</v>
      </c>
    </row>
    <row r="57" spans="1:8" ht="43.2" hidden="1">
      <c r="A57" t="s">
        <v>648</v>
      </c>
      <c r="B57" t="s">
        <v>485</v>
      </c>
      <c r="C57" t="s">
        <v>63</v>
      </c>
      <c r="E57">
        <v>70</v>
      </c>
      <c r="F57" s="2" t="s">
        <v>2567</v>
      </c>
      <c r="G57" t="str">
        <f>VLOOKUP(A57,Table_view_sorted!B$2:B$208,1,FALSE)</f>
        <v>EXEC_TP_DSC</v>
      </c>
    </row>
    <row r="58" spans="1:8" ht="86.4" hidden="1">
      <c r="A58" t="s">
        <v>652</v>
      </c>
      <c r="B58" t="s">
        <v>101</v>
      </c>
      <c r="C58" t="s">
        <v>63</v>
      </c>
      <c r="E58">
        <v>67</v>
      </c>
      <c r="F58" s="2" t="s">
        <v>2568</v>
      </c>
      <c r="G58" t="str">
        <f>VLOOKUP(A58,Table_view_sorted!B$2:B$208,1,FALSE)</f>
        <v>EXEC_TP_ID</v>
      </c>
    </row>
    <row r="59" spans="1:8" ht="43.2" hidden="1">
      <c r="A59" t="s">
        <v>655</v>
      </c>
      <c r="B59" t="s">
        <v>109</v>
      </c>
      <c r="C59" t="s">
        <v>63</v>
      </c>
      <c r="E59">
        <v>69</v>
      </c>
      <c r="F59" s="2" t="s">
        <v>2567</v>
      </c>
      <c r="G59" t="str">
        <f>VLOOKUP(A59,Table_view_sorted!B$2:B$208,1,FALSE)</f>
        <v>EXEC_TP_NM</v>
      </c>
    </row>
    <row r="60" spans="1:8" hidden="1">
      <c r="A60" t="s">
        <v>609</v>
      </c>
      <c r="B60" t="s">
        <v>302</v>
      </c>
      <c r="C60" t="s">
        <v>63</v>
      </c>
      <c r="E60">
        <v>119</v>
      </c>
      <c r="F60" s="2"/>
      <c r="G60" t="str">
        <f>VLOOKUP(A60,Table_view_sorted!B$2:B$208,1,FALSE)</f>
        <v>EXG_CD</v>
      </c>
    </row>
    <row r="61" spans="1:8" hidden="1">
      <c r="A61" t="s">
        <v>353</v>
      </c>
      <c r="B61" t="s">
        <v>101</v>
      </c>
      <c r="C61" t="s">
        <v>345</v>
      </c>
      <c r="E61">
        <v>1</v>
      </c>
      <c r="F61" s="2" t="s">
        <v>354</v>
      </c>
      <c r="G61" t="str">
        <f>VLOOKUP(A61,Table_view_sorted!B$2:B$208,1,FALSE)</f>
        <v>EXG_DIM_ID</v>
      </c>
    </row>
    <row r="62" spans="1:8" hidden="1">
      <c r="A62" t="s">
        <v>615</v>
      </c>
      <c r="B62" t="s">
        <v>617</v>
      </c>
      <c r="C62" t="s">
        <v>63</v>
      </c>
      <c r="E62">
        <v>120</v>
      </c>
      <c r="F62" s="2"/>
      <c r="G62" t="str">
        <f>VLOOKUP(A62,Table_view_sorted!B$2:B$208,1,FALSE)</f>
        <v>EXG_NM</v>
      </c>
    </row>
    <row r="63" spans="1:8" hidden="1">
      <c r="A63" t="s">
        <v>175</v>
      </c>
      <c r="B63" t="s">
        <v>139</v>
      </c>
      <c r="C63" t="s">
        <v>63</v>
      </c>
      <c r="E63">
        <v>106</v>
      </c>
      <c r="F63" s="2"/>
      <c r="G63" t="str">
        <f>VLOOKUP(A63,Table_view_sorted!B$2:B$208,1,FALSE)</f>
        <v>FA_NUM</v>
      </c>
    </row>
    <row r="64" spans="1:8" hidden="1">
      <c r="A64" t="s">
        <v>668</v>
      </c>
      <c r="B64" t="s">
        <v>101</v>
      </c>
      <c r="C64" t="s">
        <v>345</v>
      </c>
      <c r="E64">
        <v>9</v>
      </c>
      <c r="F64" s="2" t="s">
        <v>2569</v>
      </c>
      <c r="G64" t="str">
        <f>VLOOKUP(A64,Table_view_sorted!B$2:B$208,1,FALSE)</f>
        <v>LGCY_CNCL_CMPLN_RSN_DIM_ID</v>
      </c>
    </row>
    <row r="65" spans="1:7" hidden="1">
      <c r="A65" t="s">
        <v>662</v>
      </c>
      <c r="B65" t="s">
        <v>139</v>
      </c>
      <c r="C65" t="s">
        <v>63</v>
      </c>
      <c r="E65">
        <v>125</v>
      </c>
      <c r="F65" s="2"/>
      <c r="G65" t="str">
        <f>VLOOKUP(A65,Table_view_sorted!B$2:B$208,1,FALSE)</f>
        <v>LGCY_CNCL_CMPLN_RSN_TP_CD</v>
      </c>
    </row>
    <row r="66" spans="1:7" hidden="1">
      <c r="A66" t="s">
        <v>673</v>
      </c>
      <c r="B66" t="s">
        <v>109</v>
      </c>
      <c r="C66" t="s">
        <v>63</v>
      </c>
      <c r="E66">
        <v>126</v>
      </c>
      <c r="F66" s="2"/>
      <c r="G66" t="str">
        <f>VLOOKUP(A66,Table_view_sorted!B$2:B$208,1,FALSE)</f>
        <v>LGCY_CNCL_CMPLN_RSN_TP_NM</v>
      </c>
    </row>
    <row r="67" spans="1:7" hidden="1">
      <c r="A67" t="s">
        <v>686</v>
      </c>
      <c r="B67" t="s">
        <v>101</v>
      </c>
      <c r="C67" t="s">
        <v>345</v>
      </c>
      <c r="E67">
        <v>10</v>
      </c>
      <c r="F67" s="2" t="s">
        <v>2570</v>
      </c>
      <c r="G67" t="str">
        <f>VLOOKUP(A67,Table_view_sorted!B$2:B$208,1,FALSE)</f>
        <v>LGCY_CNCL_CMPLN_SRC_DIM_ID</v>
      </c>
    </row>
    <row r="68" spans="1:7" hidden="1">
      <c r="A68" t="s">
        <v>680</v>
      </c>
      <c r="B68" t="s">
        <v>139</v>
      </c>
      <c r="C68" t="s">
        <v>63</v>
      </c>
      <c r="E68">
        <v>127</v>
      </c>
      <c r="F68" s="2"/>
      <c r="G68" t="str">
        <f>VLOOKUP(A68,Table_view_sorted!B$2:B$208,1,FALSE)</f>
        <v>LGCY_CNCL_CMPLN_SRC_TP_CD</v>
      </c>
    </row>
    <row r="69" spans="1:7" hidden="1">
      <c r="A69" t="s">
        <v>691</v>
      </c>
      <c r="B69" t="s">
        <v>109</v>
      </c>
      <c r="C69" t="s">
        <v>63</v>
      </c>
      <c r="E69">
        <v>128</v>
      </c>
      <c r="F69" s="2"/>
      <c r="G69" t="str">
        <f>VLOOKUP(A69,Table_view_sorted!B$2:B$208,1,FALSE)</f>
        <v>LGCY_CNCL_CMPLN_SRC_TP_NM</v>
      </c>
    </row>
    <row r="70" spans="1:7" hidden="1">
      <c r="A70" t="s">
        <v>698</v>
      </c>
      <c r="B70" t="s">
        <v>139</v>
      </c>
      <c r="C70" t="s">
        <v>63</v>
      </c>
      <c r="E70">
        <v>129</v>
      </c>
      <c r="F70" s="2"/>
      <c r="G70" t="str">
        <f>VLOOKUP(A70,Table_view_sorted!B$2:B$208,1,FALSE)</f>
        <v>LGCY_MKT_TP_CD</v>
      </c>
    </row>
    <row r="71" spans="1:7" hidden="1">
      <c r="A71" t="s">
        <v>704</v>
      </c>
      <c r="B71" t="s">
        <v>101</v>
      </c>
      <c r="C71" t="s">
        <v>345</v>
      </c>
      <c r="E71">
        <v>11</v>
      </c>
      <c r="F71" s="2" t="s">
        <v>2571</v>
      </c>
      <c r="G71" t="str">
        <f>VLOOKUP(A71,Table_view_sorted!B$2:B$208,1,FALSE)</f>
        <v>LGCY_MKT_TP_DIM_ID</v>
      </c>
    </row>
    <row r="72" spans="1:7" hidden="1">
      <c r="A72" t="s">
        <v>707</v>
      </c>
      <c r="B72" t="s">
        <v>109</v>
      </c>
      <c r="C72" t="s">
        <v>63</v>
      </c>
      <c r="E72">
        <v>130</v>
      </c>
      <c r="F72" s="2"/>
      <c r="G72" t="str">
        <f>VLOOKUP(A72,Table_view_sorted!B$2:B$208,1,FALSE)</f>
        <v>LGCY_MKT_TP_NM</v>
      </c>
    </row>
    <row r="73" spans="1:7" hidden="1">
      <c r="A73" t="s">
        <v>714</v>
      </c>
      <c r="B73" t="s">
        <v>139</v>
      </c>
      <c r="C73" t="s">
        <v>63</v>
      </c>
      <c r="E73">
        <v>131</v>
      </c>
      <c r="G73" t="str">
        <f>VLOOKUP(A73,Table_view_sorted!B$2:B$208,1,FALSE)</f>
        <v>LGCY_TRD_CPCTY_TP_CD</v>
      </c>
    </row>
    <row r="74" spans="1:7" hidden="1">
      <c r="A74" t="s">
        <v>723</v>
      </c>
      <c r="B74" t="s">
        <v>101</v>
      </c>
      <c r="C74" t="s">
        <v>345</v>
      </c>
      <c r="E74">
        <v>12</v>
      </c>
      <c r="F74" t="s">
        <v>2572</v>
      </c>
      <c r="G74" t="str">
        <f>VLOOKUP(A74,Table_view_sorted!B$2:B$208,1,FALSE)</f>
        <v>LGCY_TRD_CPCTY_TP_DIM_ID</v>
      </c>
    </row>
    <row r="75" spans="1:7" hidden="1">
      <c r="A75" t="s">
        <v>729</v>
      </c>
      <c r="B75" t="s">
        <v>109</v>
      </c>
      <c r="C75" t="s">
        <v>63</v>
      </c>
      <c r="E75">
        <v>132</v>
      </c>
      <c r="G75" t="str">
        <f>VLOOKUP(A75,Table_view_sorted!B$2:B$208,1,FALSE)</f>
        <v>LGCY_TRD_CPCTY_TP_NM</v>
      </c>
    </row>
    <row r="76" spans="1:7" hidden="1">
      <c r="A76" t="s">
        <v>1124</v>
      </c>
      <c r="B76" t="s">
        <v>101</v>
      </c>
      <c r="C76" t="s">
        <v>345</v>
      </c>
      <c r="E76">
        <v>3</v>
      </c>
      <c r="F76" t="s">
        <v>2573</v>
      </c>
      <c r="G76" t="str">
        <f>VLOOKUP(A76,Table_view_sorted!B$2:B$208,1,FALSE)</f>
        <v>OFST_AR_DIM_ID</v>
      </c>
    </row>
    <row r="77" spans="1:7" hidden="1">
      <c r="A77" t="s">
        <v>737</v>
      </c>
      <c r="B77" t="s">
        <v>101</v>
      </c>
      <c r="C77" t="s">
        <v>63</v>
      </c>
      <c r="E77">
        <v>99</v>
      </c>
      <c r="G77" t="str">
        <f>VLOOKUP(A77,Table_view_sorted!B$2:B$208,1,FALSE)</f>
        <v>OFST_AR_ID</v>
      </c>
    </row>
    <row r="78" spans="1:7" hidden="1">
      <c r="A78" t="s">
        <v>746</v>
      </c>
      <c r="B78" t="s">
        <v>139</v>
      </c>
      <c r="C78" t="s">
        <v>63</v>
      </c>
      <c r="E78">
        <v>147</v>
      </c>
      <c r="G78" t="str">
        <f>VLOOKUP(A78,Table_view_sorted!B$2:B$208,1,FALSE)</f>
        <v>OMS_EXEC_TP_CD</v>
      </c>
    </row>
    <row r="79" spans="1:7" hidden="1">
      <c r="A79" t="s">
        <v>751</v>
      </c>
      <c r="B79" t="s">
        <v>485</v>
      </c>
      <c r="C79" t="s">
        <v>63</v>
      </c>
      <c r="E79">
        <v>149</v>
      </c>
      <c r="G79" t="str">
        <f>VLOOKUP(A79,Table_view_sorted!B$2:B$208,1,FALSE)</f>
        <v>OMS_EXEC_TP_DSC</v>
      </c>
    </row>
    <row r="80" spans="1:7" hidden="1">
      <c r="A80" t="s">
        <v>756</v>
      </c>
      <c r="B80" t="s">
        <v>101</v>
      </c>
      <c r="C80" t="s">
        <v>63</v>
      </c>
      <c r="E80">
        <v>146</v>
      </c>
      <c r="G80" t="str">
        <f>VLOOKUP(A80,Table_view_sorted!B$2:B$208,1,FALSE)</f>
        <v>OMS_EXEC_TP_ID</v>
      </c>
    </row>
    <row r="81" spans="1:8" hidden="1">
      <c r="A81" t="s">
        <v>759</v>
      </c>
      <c r="B81" t="s">
        <v>617</v>
      </c>
      <c r="C81" t="s">
        <v>63</v>
      </c>
      <c r="E81">
        <v>148</v>
      </c>
      <c r="G81" t="str">
        <f>VLOOKUP(A81,Table_view_sorted!B$2:B$208,1,FALSE)</f>
        <v>OMS_EXEC_TP_NM</v>
      </c>
    </row>
    <row r="82" spans="1:8" hidden="1">
      <c r="A82" t="s">
        <v>763</v>
      </c>
      <c r="B82" t="s">
        <v>139</v>
      </c>
      <c r="C82" t="s">
        <v>63</v>
      </c>
      <c r="E82">
        <v>118</v>
      </c>
      <c r="G82" t="str">
        <f>VLOOKUP(A82,Table_view_sorted!B$2:B$208,1,FALSE)</f>
        <v>OMS_ORDR_KEY</v>
      </c>
    </row>
    <row r="83" spans="1:8" hidden="1">
      <c r="A83" t="s">
        <v>741</v>
      </c>
      <c r="B83" t="s">
        <v>139</v>
      </c>
      <c r="C83" t="s">
        <v>63</v>
      </c>
      <c r="E83">
        <v>54</v>
      </c>
      <c r="F83" t="s">
        <v>743</v>
      </c>
      <c r="G83" t="str">
        <f>VLOOKUP(A83,Table_view_sorted!B$2:B$208,1,FALSE)</f>
        <v>OPT_CLSS_CD</v>
      </c>
    </row>
    <row r="84" spans="1:8" hidden="1">
      <c r="A84" t="s">
        <v>767</v>
      </c>
      <c r="B84" t="s">
        <v>157</v>
      </c>
      <c r="C84" t="s">
        <v>63</v>
      </c>
      <c r="E84">
        <v>24</v>
      </c>
      <c r="F84" t="s">
        <v>2574</v>
      </c>
      <c r="G84" t="str">
        <f>VLOOKUP(A84,Table_view_sorted!B$2:B$208,1,FALSE)</f>
        <v>ORIG_BKG_DT</v>
      </c>
    </row>
    <row r="85" spans="1:8" hidden="1">
      <c r="A85" t="s">
        <v>249</v>
      </c>
      <c r="B85" t="s">
        <v>139</v>
      </c>
      <c r="C85" t="s">
        <v>63</v>
      </c>
      <c r="E85">
        <v>152</v>
      </c>
      <c r="G85" t="str">
        <f>VLOOKUP(A85,Table_view_sorted!B$2:B$208,1,FALSE)</f>
        <v>ORIG_SRC_STM_CD</v>
      </c>
    </row>
    <row r="86" spans="1:8" hidden="1">
      <c r="A86" t="s">
        <v>1111</v>
      </c>
      <c r="B86" t="s">
        <v>101</v>
      </c>
      <c r="C86" t="s">
        <v>63</v>
      </c>
      <c r="E86">
        <v>151</v>
      </c>
      <c r="G86" t="str">
        <f>VLOOKUP(A86,Table_view_sorted!B$2:B$208,1,FALSE)</f>
        <v>ORIG_SRC_STM_ID</v>
      </c>
    </row>
    <row r="87" spans="1:8" hidden="1">
      <c r="A87" t="s">
        <v>775</v>
      </c>
      <c r="B87" t="s">
        <v>157</v>
      </c>
      <c r="C87" t="s">
        <v>63</v>
      </c>
      <c r="E87">
        <v>108</v>
      </c>
      <c r="G87" t="str">
        <f>VLOOKUP(A87,Table_view_sorted!B$2:B$208,1,FALSE)</f>
        <v>ORIG_TD</v>
      </c>
    </row>
    <row r="88" spans="1:8" hidden="1">
      <c r="A88" t="s">
        <v>771</v>
      </c>
      <c r="B88" t="s">
        <v>227</v>
      </c>
      <c r="C88" t="s">
        <v>63</v>
      </c>
      <c r="E88">
        <v>29</v>
      </c>
      <c r="F88" t="s">
        <v>773</v>
      </c>
      <c r="G88" t="str">
        <f>VLOOKUP(A88,Table_view_sorted!B$2:B$208,1,FALSE)</f>
        <v>ORIG_TRD_NUM</v>
      </c>
    </row>
    <row r="89" spans="1:8" hidden="1">
      <c r="A89" t="s">
        <v>779</v>
      </c>
      <c r="B89" t="s">
        <v>101</v>
      </c>
      <c r="C89" t="s">
        <v>345</v>
      </c>
      <c r="E89">
        <v>17</v>
      </c>
      <c r="F89" t="s">
        <v>2575</v>
      </c>
      <c r="G89" t="str">
        <f>VLOOKUP(A89,Table_view_sorted!B$2:B$208,1,FALSE)</f>
        <v>REL_TXN_SRC_STM_DIM_ID</v>
      </c>
    </row>
    <row r="90" spans="1:8">
      <c r="A90" s="17" t="s">
        <v>812</v>
      </c>
      <c r="B90" t="s">
        <v>385</v>
      </c>
      <c r="C90" t="s">
        <v>63</v>
      </c>
      <c r="E90">
        <v>38</v>
      </c>
      <c r="F90" t="s">
        <v>2576</v>
      </c>
      <c r="G90" t="e">
        <f>VLOOKUP(A90,Table_view_sorted!B$2:B$208,1,FALSE)</f>
        <v>#N/A</v>
      </c>
      <c r="H90" t="s">
        <v>2565</v>
      </c>
    </row>
    <row r="91" spans="1:8" hidden="1">
      <c r="A91" t="s">
        <v>823</v>
      </c>
      <c r="B91" t="s">
        <v>82</v>
      </c>
      <c r="C91" t="s">
        <v>63</v>
      </c>
      <c r="E91">
        <v>40</v>
      </c>
      <c r="F91" t="s">
        <v>2577</v>
      </c>
      <c r="G91" t="str">
        <f>VLOOKUP(A91,Table_view_sorted!B$2:B$208,1,FALSE)</f>
        <v>SALE_CHRG_RATE_TP_CD</v>
      </c>
    </row>
    <row r="92" spans="1:8" hidden="1">
      <c r="A92" t="s">
        <v>828</v>
      </c>
      <c r="B92" t="s">
        <v>101</v>
      </c>
      <c r="C92" t="s">
        <v>63</v>
      </c>
      <c r="E92">
        <v>39</v>
      </c>
      <c r="F92" t="s">
        <v>2578</v>
      </c>
      <c r="G92" t="str">
        <f>VLOOKUP(A92,Table_view_sorted!B$2:B$208,1,FALSE)</f>
        <v>SALE_CHRG_RATE_TP_ID</v>
      </c>
    </row>
    <row r="93" spans="1:8" hidden="1">
      <c r="A93" t="s">
        <v>832</v>
      </c>
      <c r="B93" t="s">
        <v>109</v>
      </c>
      <c r="C93" t="s">
        <v>63</v>
      </c>
      <c r="E93">
        <v>137</v>
      </c>
      <c r="G93" t="str">
        <f>VLOOKUP(A93,Table_view_sorted!B$2:B$208,1,FALSE)</f>
        <v>SALE_CHRG_RATE_TP_NM</v>
      </c>
    </row>
    <row r="94" spans="1:8" hidden="1">
      <c r="A94" s="17" t="s">
        <v>1015</v>
      </c>
      <c r="B94" t="s">
        <v>157</v>
      </c>
      <c r="C94" t="s">
        <v>63</v>
      </c>
      <c r="E94">
        <v>43</v>
      </c>
      <c r="F94" t="s">
        <v>2579</v>
      </c>
      <c r="G94" t="str">
        <f>VLOOKUP(A94,Table_view_sorted!B$2:B$208,1,FALSE)</f>
        <v>SBC_CCY_CALC_DT</v>
      </c>
    </row>
    <row r="95" spans="1:8" hidden="1">
      <c r="A95" t="s">
        <v>1020</v>
      </c>
      <c r="B95" t="s">
        <v>268</v>
      </c>
      <c r="C95" t="s">
        <v>63</v>
      </c>
      <c r="E95">
        <v>113</v>
      </c>
      <c r="G95" t="str">
        <f>VLOOKUP(A95,Table_view_sorted!B$2:B$208,1,FALSE)</f>
        <v>SBC_CCY_CD</v>
      </c>
    </row>
    <row r="96" spans="1:8" hidden="1">
      <c r="A96" t="s">
        <v>1025</v>
      </c>
      <c r="B96" t="s">
        <v>101</v>
      </c>
      <c r="C96" t="s">
        <v>345</v>
      </c>
      <c r="E96">
        <v>6</v>
      </c>
      <c r="F96" t="s">
        <v>2580</v>
      </c>
      <c r="G96" t="str">
        <f>VLOOKUP(A96,Table_view_sorted!B$2:B$208,1,FALSE)</f>
        <v>SBC_CCY_DIM_ID</v>
      </c>
    </row>
    <row r="97" spans="1:7" hidden="1">
      <c r="A97" t="s">
        <v>1029</v>
      </c>
      <c r="B97" t="s">
        <v>385</v>
      </c>
      <c r="C97" t="s">
        <v>63</v>
      </c>
      <c r="E97">
        <v>44</v>
      </c>
      <c r="F97" t="s">
        <v>2581</v>
      </c>
      <c r="G97" t="str">
        <f>VLOOKUP(A97,Table_view_sorted!B$2:B$208,1,FALSE)</f>
        <v>SBC_EXG_RATE</v>
      </c>
    </row>
    <row r="98" spans="1:7" hidden="1">
      <c r="A98" t="s">
        <v>871</v>
      </c>
      <c r="B98" t="s">
        <v>139</v>
      </c>
      <c r="C98" t="s">
        <v>63</v>
      </c>
      <c r="E98">
        <v>76</v>
      </c>
      <c r="F98" t="s">
        <v>2549</v>
      </c>
      <c r="G98" t="str">
        <f>VLOOKUP(A98,Table_view_sorted!B$2:B$208,1,FALSE)</f>
        <v>SCR_APA_TP_CD</v>
      </c>
    </row>
    <row r="99" spans="1:7" hidden="1">
      <c r="A99" t="s">
        <v>875</v>
      </c>
      <c r="B99" t="s">
        <v>485</v>
      </c>
      <c r="C99" t="s">
        <v>63</v>
      </c>
      <c r="E99">
        <v>78</v>
      </c>
      <c r="F99" t="s">
        <v>2582</v>
      </c>
      <c r="G99" t="str">
        <f>VLOOKUP(A99,Table_view_sorted!B$2:B$208,1,FALSE)</f>
        <v>SCR_APA_TP_DSC</v>
      </c>
    </row>
    <row r="100" spans="1:7" hidden="1">
      <c r="A100" t="s">
        <v>882</v>
      </c>
      <c r="B100" t="s">
        <v>617</v>
      </c>
      <c r="C100" t="s">
        <v>63</v>
      </c>
      <c r="E100">
        <v>77</v>
      </c>
      <c r="F100" t="s">
        <v>2583</v>
      </c>
      <c r="G100" t="str">
        <f>VLOOKUP(A100,Table_view_sorted!B$2:B$208,1,FALSE)</f>
        <v>SCR_APA_TP_NM</v>
      </c>
    </row>
    <row r="101" spans="1:7" hidden="1">
      <c r="A101" t="s">
        <v>836</v>
      </c>
      <c r="B101" t="s">
        <v>139</v>
      </c>
      <c r="C101" t="s">
        <v>63</v>
      </c>
      <c r="E101">
        <v>83</v>
      </c>
      <c r="F101" t="s">
        <v>2552</v>
      </c>
      <c r="G101" t="str">
        <f>VLOOKUP(A101,Table_view_sorted!B$2:B$208,1,FALSE)</f>
        <v>SCR_AVY_CGY</v>
      </c>
    </row>
    <row r="102" spans="1:7" hidden="1">
      <c r="A102" t="s">
        <v>849</v>
      </c>
      <c r="B102" t="s">
        <v>90</v>
      </c>
      <c r="C102" t="s">
        <v>63</v>
      </c>
      <c r="E102">
        <v>84</v>
      </c>
      <c r="F102" t="s">
        <v>2553</v>
      </c>
      <c r="G102" t="str">
        <f>VLOOKUP(A102,Table_view_sorted!B$2:B$208,1,FALSE)</f>
        <v>SCR_AVY_TP</v>
      </c>
    </row>
    <row r="103" spans="1:7" hidden="1">
      <c r="A103" t="s">
        <v>949</v>
      </c>
      <c r="B103" t="s">
        <v>157</v>
      </c>
      <c r="C103" t="s">
        <v>63</v>
      </c>
      <c r="E103">
        <v>22</v>
      </c>
      <c r="F103" t="s">
        <v>948</v>
      </c>
      <c r="G103" t="str">
        <f>VLOOKUP(A103,Table_view_sorted!B$2:B$208,1,FALSE)</f>
        <v>SD</v>
      </c>
    </row>
    <row r="104" spans="1:7" hidden="1">
      <c r="A104" t="s">
        <v>953</v>
      </c>
      <c r="B104" t="s">
        <v>101</v>
      </c>
      <c r="C104" t="s">
        <v>345</v>
      </c>
      <c r="E104">
        <v>21</v>
      </c>
      <c r="F104" t="s">
        <v>2584</v>
      </c>
      <c r="G104" t="str">
        <f>VLOOKUP(A104,Table_view_sorted!B$2:B$208,1,FALSE)</f>
        <v>SD_DIM_ID</v>
      </c>
    </row>
    <row r="105" spans="1:7" hidden="1">
      <c r="A105" t="s">
        <v>857</v>
      </c>
      <c r="B105" t="s">
        <v>464</v>
      </c>
      <c r="C105" t="s">
        <v>63</v>
      </c>
      <c r="E105">
        <v>50</v>
      </c>
      <c r="F105" t="s">
        <v>2548</v>
      </c>
      <c r="G105" t="str">
        <f>VLOOKUP(A105,Table_view_sorted!B$2:B$208,1,FALSE)</f>
        <v>SEC_ALT_DSC_TRAILER_2</v>
      </c>
    </row>
    <row r="106" spans="1:7" hidden="1">
      <c r="A106" t="s">
        <v>862</v>
      </c>
      <c r="B106" t="s">
        <v>139</v>
      </c>
      <c r="C106" t="s">
        <v>63</v>
      </c>
      <c r="E106">
        <v>48</v>
      </c>
      <c r="F106" t="s">
        <v>2585</v>
      </c>
      <c r="G106" t="str">
        <f>VLOOKUP(A106,Table_view_sorted!B$2:B$208,1,FALSE)</f>
        <v>SEC_APA_EXT_QUALFR</v>
      </c>
    </row>
    <row r="107" spans="1:7" hidden="1">
      <c r="A107" t="s">
        <v>867</v>
      </c>
      <c r="B107" t="s">
        <v>101</v>
      </c>
      <c r="C107" t="s">
        <v>63</v>
      </c>
      <c r="E107">
        <v>31</v>
      </c>
      <c r="F107" t="s">
        <v>2562</v>
      </c>
      <c r="G107" t="str">
        <f>VLOOKUP(A107,Table_view_sorted!B$2:B$208,1,FALSE)</f>
        <v>SEC_APA_ID</v>
      </c>
    </row>
    <row r="108" spans="1:7" hidden="1">
      <c r="A108" t="s">
        <v>879</v>
      </c>
      <c r="B108" t="s">
        <v>101</v>
      </c>
      <c r="C108" t="s">
        <v>63</v>
      </c>
      <c r="E108">
        <v>75</v>
      </c>
      <c r="F108" t="s">
        <v>2549</v>
      </c>
      <c r="G108" t="str">
        <f>VLOOKUP(A108,Table_view_sorted!B$2:B$208,1,FALSE)</f>
        <v>SEC_APA_TP_ID</v>
      </c>
    </row>
    <row r="109" spans="1:7" hidden="1">
      <c r="A109" t="s">
        <v>845</v>
      </c>
      <c r="B109" t="s">
        <v>101</v>
      </c>
      <c r="C109" t="s">
        <v>63</v>
      </c>
      <c r="E109">
        <v>85</v>
      </c>
      <c r="F109" t="s">
        <v>2563</v>
      </c>
      <c r="G109" t="str">
        <f>VLOOKUP(A109,Table_view_sorted!B$2:B$208,1,FALSE)</f>
        <v>SEC_AVY_CL_ID</v>
      </c>
    </row>
    <row r="110" spans="1:7" hidden="1">
      <c r="A110" t="s">
        <v>886</v>
      </c>
      <c r="B110" t="s">
        <v>101</v>
      </c>
      <c r="C110" t="s">
        <v>63</v>
      </c>
      <c r="E110">
        <v>143</v>
      </c>
      <c r="G110" t="str">
        <f>VLOOKUP(A110,Table_view_sorted!B$2:B$208,1,FALSE)</f>
        <v>SEC_CIRD_PD_ID</v>
      </c>
    </row>
    <row r="111" spans="1:7" hidden="1">
      <c r="A111" t="s">
        <v>892</v>
      </c>
      <c r="B111" t="s">
        <v>82</v>
      </c>
      <c r="C111" t="s">
        <v>63</v>
      </c>
      <c r="E111">
        <v>46</v>
      </c>
      <c r="F111" t="s">
        <v>2554</v>
      </c>
      <c r="G111" t="str">
        <f>VLOOKUP(A111,Table_view_sorted!B$2:B$208,1,FALSE)</f>
        <v>SEC_DB_CR_CD</v>
      </c>
    </row>
    <row r="112" spans="1:7" hidden="1">
      <c r="A112" t="s">
        <v>896</v>
      </c>
      <c r="B112" t="s">
        <v>109</v>
      </c>
      <c r="C112" t="s">
        <v>63</v>
      </c>
      <c r="E112">
        <v>139</v>
      </c>
      <c r="G112" t="str">
        <f>VLOOKUP(A112,Table_view_sorted!B$2:B$208,1,FALSE)</f>
        <v>SEC_DB_CR_NM</v>
      </c>
    </row>
    <row r="113" spans="1:7" hidden="1">
      <c r="A113" t="s">
        <v>900</v>
      </c>
      <c r="B113" t="s">
        <v>464</v>
      </c>
      <c r="C113" t="s">
        <v>63</v>
      </c>
      <c r="E113">
        <v>49</v>
      </c>
      <c r="F113" t="s">
        <v>2555</v>
      </c>
      <c r="G113" t="str">
        <f>VLOOKUP(A113,Table_view_sorted!B$2:B$208,1,FALSE)</f>
        <v>SEC_DSC_TRAILER_1</v>
      </c>
    </row>
    <row r="114" spans="1:7" hidden="1">
      <c r="A114" t="s">
        <v>904</v>
      </c>
      <c r="B114" t="s">
        <v>385</v>
      </c>
      <c r="C114" t="s">
        <v>63</v>
      </c>
      <c r="E114">
        <v>36</v>
      </c>
      <c r="F114" t="s">
        <v>2586</v>
      </c>
      <c r="G114" t="str">
        <f>VLOOKUP(A114,Table_view_sorted!B$2:B$208,1,FALSE)</f>
        <v>SEC_ORIG_QTY</v>
      </c>
    </row>
    <row r="115" spans="1:7" hidden="1">
      <c r="A115" t="s">
        <v>921</v>
      </c>
      <c r="B115" t="s">
        <v>101</v>
      </c>
      <c r="C115" t="s">
        <v>345</v>
      </c>
      <c r="E115">
        <v>7</v>
      </c>
      <c r="F115" t="s">
        <v>2556</v>
      </c>
      <c r="G115" t="str">
        <f>VLOOKUP(A115,Table_view_sorted!B$2:B$208,1,FALSE)</f>
        <v>SEC_PD_DIM_ID</v>
      </c>
    </row>
    <row r="116" spans="1:7" hidden="1">
      <c r="A116" t="s">
        <v>916</v>
      </c>
      <c r="B116" t="s">
        <v>101</v>
      </c>
      <c r="C116" t="s">
        <v>63</v>
      </c>
      <c r="E116">
        <v>96</v>
      </c>
      <c r="G116" t="str">
        <f>VLOOKUP(A116,Table_view_sorted!B$2:B$208,1,FALSE)</f>
        <v>SEC_PD_ID</v>
      </c>
    </row>
    <row r="117" spans="1:7" hidden="1">
      <c r="A117" t="s">
        <v>925</v>
      </c>
      <c r="B117" t="s">
        <v>2084</v>
      </c>
      <c r="C117" t="s">
        <v>63</v>
      </c>
      <c r="E117">
        <v>33</v>
      </c>
      <c r="F117" t="s">
        <v>929</v>
      </c>
      <c r="G117" t="str">
        <f>VLOOKUP(A117,Table_view_sorted!B$2:B$208,1,FALSE)</f>
        <v>SEC_PRC_IN_TXN_CCY</v>
      </c>
    </row>
    <row r="118" spans="1:7" hidden="1">
      <c r="A118" t="s">
        <v>941</v>
      </c>
      <c r="B118" t="s">
        <v>2084</v>
      </c>
      <c r="C118" t="s">
        <v>63</v>
      </c>
      <c r="E118">
        <v>41</v>
      </c>
      <c r="F118" t="s">
        <v>2214</v>
      </c>
      <c r="G118" t="str">
        <f>VLOOKUP(A118,Table_view_sorted!B$2:B$208,1,FALSE)</f>
        <v>SEC_SBC_AMT</v>
      </c>
    </row>
    <row r="119" spans="1:7" hidden="1">
      <c r="A119" t="s">
        <v>909</v>
      </c>
      <c r="B119" t="s">
        <v>139</v>
      </c>
      <c r="C119" t="s">
        <v>63</v>
      </c>
      <c r="E119">
        <v>55</v>
      </c>
      <c r="F119" t="s">
        <v>2587</v>
      </c>
      <c r="G119" t="str">
        <f>VLOOKUP(A119,Table_view_sorted!B$2:B$208,1,FALSE)</f>
        <v>SEC_SRC_CUSIP</v>
      </c>
    </row>
    <row r="120" spans="1:7" hidden="1">
      <c r="A120" t="s">
        <v>932</v>
      </c>
      <c r="B120" t="s">
        <v>385</v>
      </c>
      <c r="C120" t="s">
        <v>63</v>
      </c>
      <c r="E120">
        <v>37</v>
      </c>
      <c r="F120" t="s">
        <v>2588</v>
      </c>
      <c r="G120" t="str">
        <f>VLOOKUP(A120,Table_view_sorted!B$2:B$208,1,FALSE)</f>
        <v>SEC_SRC_PRC_IN_SBC</v>
      </c>
    </row>
    <row r="121" spans="1:7" hidden="1">
      <c r="A121" t="s">
        <v>937</v>
      </c>
      <c r="B121" t="s">
        <v>385</v>
      </c>
      <c r="C121" t="s">
        <v>63</v>
      </c>
      <c r="E121">
        <v>47</v>
      </c>
      <c r="F121" t="s">
        <v>2589</v>
      </c>
      <c r="G121" t="str">
        <f>VLOOKUP(A121,Table_view_sorted!B$2:B$208,1,FALSE)</f>
        <v>SEC_SRC_SEQ_NUM</v>
      </c>
    </row>
    <row r="122" spans="1:7" hidden="1">
      <c r="A122" t="s">
        <v>945</v>
      </c>
      <c r="B122" t="s">
        <v>2084</v>
      </c>
      <c r="C122" t="s">
        <v>63</v>
      </c>
      <c r="E122">
        <v>34</v>
      </c>
      <c r="F122" t="s">
        <v>2559</v>
      </c>
      <c r="G122" t="str">
        <f>VLOOKUP(A122,Table_view_sorted!B$2:B$208,1,FALSE)</f>
        <v>SEC_TXN_AMT</v>
      </c>
    </row>
    <row r="123" spans="1:7" hidden="1">
      <c r="A123" t="s">
        <v>1154</v>
      </c>
      <c r="B123" t="s">
        <v>101</v>
      </c>
      <c r="C123" t="s">
        <v>63</v>
      </c>
      <c r="E123">
        <v>93</v>
      </c>
      <c r="F123" t="s">
        <v>2309</v>
      </c>
      <c r="G123" t="str">
        <f>VLOOKUP(A123,Table_view_sorted!B$2:B$208,1,FALSE)</f>
        <v>SESS_NO</v>
      </c>
    </row>
    <row r="124" spans="1:7" hidden="1">
      <c r="A124" t="s">
        <v>957</v>
      </c>
      <c r="B124" t="s">
        <v>62</v>
      </c>
      <c r="C124" t="s">
        <v>63</v>
      </c>
      <c r="E124">
        <v>107</v>
      </c>
      <c r="G124" t="str">
        <f>VLOOKUP(A124,Table_view_sorted!B$2:B$208,1,FALSE)</f>
        <v>SRC_CRT_USRNM</v>
      </c>
    </row>
    <row r="125" spans="1:7" hidden="1">
      <c r="A125" t="s">
        <v>961</v>
      </c>
      <c r="B125" t="s">
        <v>157</v>
      </c>
      <c r="C125" t="s">
        <v>63</v>
      </c>
      <c r="E125">
        <v>114</v>
      </c>
      <c r="G125" t="str">
        <f>VLOOKUP(A125,Table_view_sorted!B$2:B$208,1,FALSE)</f>
        <v>SRC_EFF_DT</v>
      </c>
    </row>
    <row r="126" spans="1:7" hidden="1">
      <c r="A126" t="s">
        <v>966</v>
      </c>
      <c r="B126" t="s">
        <v>139</v>
      </c>
      <c r="C126" t="s">
        <v>63</v>
      </c>
      <c r="E126">
        <v>133</v>
      </c>
      <c r="G126" t="str">
        <f>VLOOKUP(A126,Table_view_sorted!B$2:B$208,1,FALSE)</f>
        <v>SRC_ENTR_CNL_TP_CD</v>
      </c>
    </row>
    <row r="127" spans="1:7" hidden="1">
      <c r="A127" t="s">
        <v>973</v>
      </c>
      <c r="B127" t="s">
        <v>101</v>
      </c>
      <c r="C127" t="s">
        <v>345</v>
      </c>
      <c r="E127">
        <v>14</v>
      </c>
      <c r="F127" t="s">
        <v>974</v>
      </c>
      <c r="G127" t="str">
        <f>VLOOKUP(A127,Table_view_sorted!B$2:B$208,1,FALSE)</f>
        <v>SRC_ENTR_CNL_TP_DIM_ID</v>
      </c>
    </row>
    <row r="128" spans="1:7" hidden="1">
      <c r="A128" t="s">
        <v>976</v>
      </c>
      <c r="B128" t="s">
        <v>109</v>
      </c>
      <c r="C128" t="s">
        <v>63</v>
      </c>
      <c r="E128">
        <v>134</v>
      </c>
      <c r="G128" t="str">
        <f>VLOOKUP(A128,Table_view_sorted!B$2:B$208,1,FALSE)</f>
        <v>SRC_ENTR_CNL_TP_NM</v>
      </c>
    </row>
    <row r="129" spans="1:8" hidden="1">
      <c r="A129" t="s">
        <v>983</v>
      </c>
      <c r="B129" t="s">
        <v>624</v>
      </c>
      <c r="C129" t="s">
        <v>63</v>
      </c>
      <c r="E129">
        <v>94</v>
      </c>
      <c r="F129" t="s">
        <v>985</v>
      </c>
      <c r="G129" t="str">
        <f>VLOOKUP(A129,Table_view_sorted!B$2:B$208,1,FALSE)</f>
        <v>SRC_ENTR_DTM</v>
      </c>
    </row>
    <row r="130" spans="1:8" hidden="1">
      <c r="A130" t="s">
        <v>995</v>
      </c>
      <c r="B130" t="s">
        <v>139</v>
      </c>
      <c r="C130" t="s">
        <v>63</v>
      </c>
      <c r="E130">
        <v>109</v>
      </c>
      <c r="G130" t="str">
        <f>VLOOKUP(A130,Table_view_sorted!B$2:B$208,1,FALSE)</f>
        <v>SRC_PCS_TP_CD</v>
      </c>
    </row>
    <row r="131" spans="1:8" hidden="1">
      <c r="A131" t="s">
        <v>987</v>
      </c>
      <c r="B131" t="s">
        <v>101</v>
      </c>
      <c r="C131" t="s">
        <v>345</v>
      </c>
      <c r="E131">
        <v>13</v>
      </c>
      <c r="F131" t="s">
        <v>2590</v>
      </c>
      <c r="G131" t="str">
        <f>VLOOKUP(A131,Table_view_sorted!B$2:B$208,1,FALSE)</f>
        <v>SRC_PCS_TP_DIM_ID</v>
      </c>
    </row>
    <row r="132" spans="1:8" hidden="1">
      <c r="A132" t="s">
        <v>999</v>
      </c>
      <c r="B132" t="s">
        <v>109</v>
      </c>
      <c r="C132" t="s">
        <v>63</v>
      </c>
      <c r="E132">
        <v>110</v>
      </c>
      <c r="G132" t="str">
        <f>VLOOKUP(A132,Table_view_sorted!B$2:B$208,1,FALSE)</f>
        <v>SRC_PCS_TP_NM</v>
      </c>
    </row>
    <row r="133" spans="1:8" hidden="1">
      <c r="A133" t="s">
        <v>792</v>
      </c>
      <c r="B133" t="s">
        <v>139</v>
      </c>
      <c r="C133" t="s">
        <v>63</v>
      </c>
      <c r="E133">
        <v>140</v>
      </c>
      <c r="G133" t="str">
        <f>VLOOKUP(A133,Table_view_sorted!B$2:B$208,1,FALSE)</f>
        <v>SRC_STM_CD</v>
      </c>
    </row>
    <row r="134" spans="1:8" hidden="1">
      <c r="A134" t="s">
        <v>1010</v>
      </c>
      <c r="B134" t="s">
        <v>101</v>
      </c>
      <c r="C134" t="s">
        <v>63</v>
      </c>
      <c r="E134">
        <v>145</v>
      </c>
      <c r="G134" t="str">
        <f>VLOOKUP(A134,Table_view_sorted!B$2:B$208,1,FALSE)</f>
        <v>SRC_TXN_CODE</v>
      </c>
    </row>
    <row r="135" spans="1:8" hidden="1">
      <c r="A135" t="s">
        <v>1041</v>
      </c>
      <c r="B135" t="s">
        <v>157</v>
      </c>
      <c r="C135" t="s">
        <v>63</v>
      </c>
      <c r="E135">
        <v>20</v>
      </c>
      <c r="F135" t="s">
        <v>1040</v>
      </c>
      <c r="G135" t="str">
        <f>VLOOKUP(A135,Table_view_sorted!B$2:B$208,1,FALSE)</f>
        <v>TD</v>
      </c>
    </row>
    <row r="136" spans="1:8" hidden="1">
      <c r="A136" t="s">
        <v>344</v>
      </c>
      <c r="B136" t="s">
        <v>101</v>
      </c>
      <c r="C136" t="s">
        <v>345</v>
      </c>
      <c r="E136">
        <v>19</v>
      </c>
      <c r="F136" t="s">
        <v>2584</v>
      </c>
      <c r="G136" t="str">
        <f>VLOOKUP(A136,Table_view_sorted!B$2:B$208,1,FALSE)</f>
        <v>TD_DIM_ID</v>
      </c>
    </row>
    <row r="137" spans="1:8" hidden="1">
      <c r="A137" t="s">
        <v>1045</v>
      </c>
      <c r="B137" t="s">
        <v>227</v>
      </c>
      <c r="C137" t="s">
        <v>63</v>
      </c>
      <c r="E137">
        <v>28</v>
      </c>
      <c r="F137" t="s">
        <v>1047</v>
      </c>
      <c r="G137" t="str">
        <f>VLOOKUP(A137,Table_view_sorted!B$2:B$208,1,FALSE)</f>
        <v>TRD_NUM</v>
      </c>
    </row>
    <row r="138" spans="1:8" hidden="1">
      <c r="A138" t="s">
        <v>1058</v>
      </c>
      <c r="B138" t="s">
        <v>139</v>
      </c>
      <c r="C138" t="s">
        <v>63</v>
      </c>
      <c r="E138">
        <v>135</v>
      </c>
      <c r="G138" t="str">
        <f>VLOOKUP(A138,Table_view_sorted!B$2:B$208,1,FALSE)</f>
        <v>TRD_SLCT_TP_CD</v>
      </c>
    </row>
    <row r="139" spans="1:8" hidden="1">
      <c r="A139" t="s">
        <v>1049</v>
      </c>
      <c r="B139" t="s">
        <v>101</v>
      </c>
      <c r="C139" t="s">
        <v>345</v>
      </c>
      <c r="E139">
        <v>15</v>
      </c>
      <c r="F139" t="s">
        <v>1050</v>
      </c>
      <c r="G139" t="str">
        <f>VLOOKUP(A139,Table_view_sorted!B$2:B$208,1,FALSE)</f>
        <v>TRD_SLCT_TP_DIM_ID</v>
      </c>
    </row>
    <row r="140" spans="1:8" hidden="1">
      <c r="A140" t="s">
        <v>1062</v>
      </c>
      <c r="B140" t="s">
        <v>109</v>
      </c>
      <c r="C140" t="s">
        <v>63</v>
      </c>
      <c r="E140">
        <v>136</v>
      </c>
      <c r="G140" t="str">
        <f>VLOOKUP(A140,Table_view_sorted!B$2:B$208,1,FALSE)</f>
        <v>TRD_SLCT_TP_NM</v>
      </c>
    </row>
    <row r="141" spans="1:8">
      <c r="A141" s="17" t="s">
        <v>1037</v>
      </c>
      <c r="B141" t="s">
        <v>101</v>
      </c>
      <c r="C141" t="s">
        <v>63</v>
      </c>
      <c r="E141">
        <v>27</v>
      </c>
      <c r="F141" t="s">
        <v>2591</v>
      </c>
      <c r="G141" t="e">
        <f>VLOOKUP(A141,Table_view_sorted!B$2:B$208,1,FALSE)</f>
        <v>#N/A</v>
      </c>
      <c r="H141" t="s">
        <v>2565</v>
      </c>
    </row>
    <row r="142" spans="1:8" hidden="1">
      <c r="A142" t="s">
        <v>1066</v>
      </c>
      <c r="B142" t="s">
        <v>519</v>
      </c>
      <c r="C142" t="s">
        <v>63</v>
      </c>
      <c r="E142">
        <v>53</v>
      </c>
      <c r="F142" t="s">
        <v>1065</v>
      </c>
      <c r="G142" t="str">
        <f>VLOOKUP(A142,Table_view_sorted!B$2:B$208,1,FALSE)</f>
        <v>TXN_CL_F</v>
      </c>
    </row>
    <row r="143" spans="1:8" hidden="1">
      <c r="A143" t="s">
        <v>1069</v>
      </c>
      <c r="B143" t="s">
        <v>101</v>
      </c>
      <c r="C143" t="s">
        <v>345</v>
      </c>
      <c r="E143">
        <v>26</v>
      </c>
      <c r="F143" t="s">
        <v>1071</v>
      </c>
      <c r="G143" t="str">
        <f>VLOOKUP(A143,Table_view_sorted!B$2:B$208,1,FALSE)</f>
        <v>TXN_ID</v>
      </c>
    </row>
    <row r="144" spans="1:8" hidden="1">
      <c r="A144" t="s">
        <v>1087</v>
      </c>
      <c r="B144" t="s">
        <v>101</v>
      </c>
      <c r="C144" t="s">
        <v>63</v>
      </c>
      <c r="E144">
        <v>63</v>
      </c>
      <c r="F144" t="s">
        <v>1088</v>
      </c>
      <c r="G144" t="e">
        <f>VLOOKUP(A144,Table_view_sorted!B$2:B$208,1,FALSE)</f>
        <v>#N/A</v>
      </c>
    </row>
    <row r="145" spans="1:7" hidden="1">
      <c r="A145" t="s">
        <v>1073</v>
      </c>
      <c r="B145" t="s">
        <v>109</v>
      </c>
      <c r="C145" t="s">
        <v>63</v>
      </c>
      <c r="E145">
        <v>30</v>
      </c>
      <c r="F145" t="s">
        <v>2592</v>
      </c>
      <c r="G145" t="str">
        <f>VLOOKUP(A145,Table_view_sorted!B$2:B$208,1,FALSE)</f>
        <v>TXN_SRC_KEY</v>
      </c>
    </row>
    <row r="146" spans="1:7" hidden="1">
      <c r="A146" t="s">
        <v>1007</v>
      </c>
      <c r="B146" t="s">
        <v>101</v>
      </c>
      <c r="C146" t="s">
        <v>345</v>
      </c>
      <c r="E146">
        <v>16</v>
      </c>
      <c r="F146" t="s">
        <v>2575</v>
      </c>
      <c r="G146" t="str">
        <f>VLOOKUP(A146,Table_view_sorted!B$2:B$208,1,FALSE)</f>
        <v>TXN_SRC_STM_DIM_ID</v>
      </c>
    </row>
    <row r="147" spans="1:7" hidden="1">
      <c r="A147" t="s">
        <v>1077</v>
      </c>
      <c r="B147" t="s">
        <v>139</v>
      </c>
      <c r="C147" t="s">
        <v>63</v>
      </c>
      <c r="E147">
        <v>65</v>
      </c>
      <c r="F147" t="s">
        <v>2593</v>
      </c>
      <c r="G147" t="e">
        <f>VLOOKUP(A147,Table_view_sorted!B$2:B$208,1,FALSE)</f>
        <v>#N/A</v>
      </c>
    </row>
    <row r="148" spans="1:7" hidden="1">
      <c r="A148" t="s">
        <v>1082</v>
      </c>
      <c r="B148" t="s">
        <v>485</v>
      </c>
      <c r="C148" t="s">
        <v>63</v>
      </c>
      <c r="E148">
        <v>66</v>
      </c>
      <c r="F148" t="s">
        <v>2594</v>
      </c>
      <c r="G148" t="e">
        <f>VLOOKUP(A148,Table_view_sorted!B$2:B$208,1,FALSE)</f>
        <v>#N/A</v>
      </c>
    </row>
    <row r="149" spans="1:7" hidden="1">
      <c r="A149" t="s">
        <v>1090</v>
      </c>
      <c r="B149" t="s">
        <v>109</v>
      </c>
      <c r="C149" t="s">
        <v>63</v>
      </c>
      <c r="E149">
        <v>64</v>
      </c>
      <c r="F149" t="s">
        <v>2594</v>
      </c>
      <c r="G149" t="e">
        <f>VLOOKUP(A149,Table_view_sorted!B$2:B$208,1,FALSE)</f>
        <v>#N/A</v>
      </c>
    </row>
    <row r="150" spans="1:7" hidden="1">
      <c r="A150" t="s">
        <v>1094</v>
      </c>
      <c r="B150" t="s">
        <v>139</v>
      </c>
      <c r="C150" t="s">
        <v>63</v>
      </c>
      <c r="E150">
        <v>60</v>
      </c>
      <c r="F150" t="s">
        <v>1096</v>
      </c>
      <c r="G150" t="e">
        <f>VLOOKUP(A150,Table_view_sorted!B$2:B$208,1,FALSE)</f>
        <v>#N/A</v>
      </c>
    </row>
    <row r="151" spans="1:7" hidden="1">
      <c r="A151" t="s">
        <v>1099</v>
      </c>
      <c r="B151" t="s">
        <v>485</v>
      </c>
      <c r="C151" t="s">
        <v>63</v>
      </c>
      <c r="E151">
        <v>62</v>
      </c>
      <c r="F151" t="s">
        <v>2595</v>
      </c>
      <c r="G151" t="e">
        <f>VLOOKUP(A151,Table_view_sorted!B$2:B$208,1,FALSE)</f>
        <v>#N/A</v>
      </c>
    </row>
    <row r="152" spans="1:7" hidden="1">
      <c r="A152" t="s">
        <v>1104</v>
      </c>
      <c r="B152" t="s">
        <v>101</v>
      </c>
      <c r="C152" t="s">
        <v>63</v>
      </c>
      <c r="E152">
        <v>59</v>
      </c>
      <c r="F152" t="s">
        <v>1096</v>
      </c>
      <c r="G152" t="e">
        <f>VLOOKUP(A152,Table_view_sorted!B$2:B$208,1,FALSE)</f>
        <v>#N/A</v>
      </c>
    </row>
    <row r="153" spans="1:7" hidden="1">
      <c r="A153" s="16" t="s">
        <v>1107</v>
      </c>
      <c r="B153" t="s">
        <v>109</v>
      </c>
      <c r="C153" t="s">
        <v>63</v>
      </c>
      <c r="E153">
        <v>61</v>
      </c>
      <c r="F153" t="s">
        <v>2595</v>
      </c>
      <c r="G153" t="e">
        <f>VLOOKUP(A153,Table_view_sorted!B$2:B$208,1,FALSE)</f>
        <v>#N/A</v>
      </c>
    </row>
  </sheetData>
  <autoFilter ref="A1:G153" xr:uid="{4C09AE30-265B-4959-8B53-DD6C8CAD4F44}">
    <filterColumn colId="6">
      <filters>
        <filter val="#N/A"/>
      </filters>
    </filterColumn>
  </autoFilter>
  <sortState xmlns:xlrd2="http://schemas.microsoft.com/office/spreadsheetml/2017/richdata2" ref="A2:G72">
    <sortCondition ref="A2:A72"/>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054F4-A2B3-4BD5-94DF-109EE1380769}">
  <sheetPr filterMode="1"/>
  <dimension ref="A1:AG216"/>
  <sheetViews>
    <sheetView workbookViewId="0">
      <pane ySplit="1" topLeftCell="A112" activePane="bottomLeft" state="frozen"/>
      <selection activeCell="T1" sqref="T1"/>
      <selection pane="bottomLeft" activeCell="B148" sqref="B148"/>
    </sheetView>
  </sheetViews>
  <sheetFormatPr defaultColWidth="8.88671875" defaultRowHeight="22.5" customHeight="1"/>
  <cols>
    <col min="1" max="1" width="52.6640625" style="32" bestFit="1" customWidth="1"/>
    <col min="2" max="2" width="28" style="32" customWidth="1"/>
    <col min="3" max="3" width="17.44140625" style="32" bestFit="1" customWidth="1"/>
    <col min="4" max="4" width="11.33203125" style="32" bestFit="1" customWidth="1"/>
    <col min="5" max="5" width="27.109375" style="32" hidden="1" customWidth="1"/>
    <col min="6" max="6" width="8.33203125" style="32" hidden="1" customWidth="1"/>
    <col min="7" max="7" width="31.44140625" style="32" customWidth="1"/>
    <col min="8" max="8" width="20.6640625" style="32" hidden="1" customWidth="1"/>
    <col min="9" max="9" width="15" style="32" hidden="1" customWidth="1"/>
    <col min="10" max="10" width="7.6640625" style="32" hidden="1" customWidth="1"/>
    <col min="11" max="11" width="15" style="32" hidden="1" customWidth="1"/>
    <col min="12" max="12" width="12.6640625" style="32" hidden="1" customWidth="1"/>
    <col min="13" max="13" width="23.5546875" style="32" hidden="1" customWidth="1"/>
    <col min="14" max="14" width="30.33203125" style="32" hidden="1" customWidth="1"/>
    <col min="15" max="15" width="32.109375" style="32" hidden="1" customWidth="1"/>
    <col min="16" max="16" width="5.33203125" style="32" hidden="1" customWidth="1"/>
    <col min="17" max="17" width="8.6640625" style="32" hidden="1" customWidth="1"/>
    <col min="18" max="18" width="18" style="32" hidden="1" customWidth="1"/>
    <col min="19" max="24" width="13.5546875" style="32" hidden="1" customWidth="1"/>
    <col min="25" max="29" width="13.5546875" style="32" customWidth="1"/>
    <col min="30" max="30" width="6.109375" style="32" bestFit="1" customWidth="1"/>
    <col min="31" max="31" width="8.6640625" style="32" bestFit="1" customWidth="1"/>
    <col min="32" max="32" width="62.88671875" style="32" customWidth="1"/>
    <col min="33" max="33" width="177.33203125" style="33" bestFit="1" customWidth="1"/>
    <col min="34" max="16384" width="8.88671875" style="32"/>
  </cols>
  <sheetData>
    <row r="1" spans="1:33" s="29" customFormat="1" ht="90.75" customHeight="1">
      <c r="A1" s="35" t="s">
        <v>25</v>
      </c>
      <c r="B1" s="35" t="s">
        <v>26</v>
      </c>
      <c r="C1" s="35" t="s">
        <v>28</v>
      </c>
      <c r="D1" s="35" t="s">
        <v>29</v>
      </c>
      <c r="E1" s="36" t="s">
        <v>30</v>
      </c>
      <c r="F1" s="35" t="s">
        <v>2596</v>
      </c>
      <c r="G1" s="35" t="s">
        <v>32</v>
      </c>
      <c r="H1" s="35" t="s">
        <v>33</v>
      </c>
      <c r="I1" s="35" t="s">
        <v>34</v>
      </c>
      <c r="J1" s="35" t="s">
        <v>35</v>
      </c>
      <c r="K1" s="35" t="s">
        <v>39</v>
      </c>
      <c r="L1" s="35" t="s">
        <v>40</v>
      </c>
      <c r="M1" s="72" t="s">
        <v>44</v>
      </c>
      <c r="N1" s="72" t="s">
        <v>45</v>
      </c>
      <c r="O1" s="72" t="s">
        <v>46</v>
      </c>
      <c r="P1" s="72" t="s">
        <v>47</v>
      </c>
      <c r="Q1" s="37" t="s">
        <v>49</v>
      </c>
      <c r="R1" s="38" t="s">
        <v>50</v>
      </c>
      <c r="S1" s="39" t="s">
        <v>51</v>
      </c>
      <c r="T1" s="40" t="s">
        <v>52</v>
      </c>
      <c r="U1" s="40" t="s">
        <v>53</v>
      </c>
      <c r="V1" s="41" t="s">
        <v>54</v>
      </c>
      <c r="W1" s="41" t="s">
        <v>55</v>
      </c>
      <c r="X1" s="42" t="s">
        <v>56</v>
      </c>
      <c r="Y1" s="84"/>
      <c r="Z1" s="84"/>
      <c r="AA1" s="84"/>
      <c r="AB1" s="84"/>
      <c r="AC1" s="84"/>
      <c r="AD1" s="29" t="s">
        <v>2597</v>
      </c>
      <c r="AE1" s="29" t="s">
        <v>2598</v>
      </c>
      <c r="AF1" s="30" t="s">
        <v>2441</v>
      </c>
      <c r="AG1" s="31" t="s">
        <v>2599</v>
      </c>
    </row>
    <row r="2" spans="1:33" ht="22.5" hidden="1" customHeight="1">
      <c r="A2" s="74" t="s">
        <v>232</v>
      </c>
      <c r="B2" s="18" t="s">
        <v>233</v>
      </c>
      <c r="C2" s="18" t="s">
        <v>82</v>
      </c>
      <c r="D2" s="18" t="s">
        <v>63</v>
      </c>
      <c r="E2" s="18" t="s">
        <v>83</v>
      </c>
      <c r="F2" s="45" t="s">
        <v>63</v>
      </c>
      <c r="G2" s="46" t="s">
        <v>234</v>
      </c>
      <c r="H2" s="18">
        <v>2</v>
      </c>
      <c r="I2" s="18" t="s">
        <v>67</v>
      </c>
      <c r="J2" s="18">
        <v>3</v>
      </c>
      <c r="K2" s="18" t="b">
        <f>VLOOKUP(A2,Model!C$2:D$208,2,FALSE)=B2</f>
        <v>1</v>
      </c>
      <c r="L2" s="18" t="b">
        <f>VLOOKUP(A2,Model!C$2:G$208,5,FALSE)=C2</f>
        <v>1</v>
      </c>
      <c r="M2" s="18" t="e">
        <f>VLOOKUP(Table1[[#This Row],[Physical Name of Attribute (Name of column in Table)
Supplied by DA Team]],Table!A$2:H$323,1,FALSE)=Table1[[#This Row],[Physical Name of Attribute (Name of column in Table)
Supplied by DA Team]]</f>
        <v>#VALUE!</v>
      </c>
      <c r="N2" s="18" t="e">
        <f>VLOOKUP(B2,Table!A$2:F$319,2,FALSE)=Table1[[#This Row],[Data type in Oracle
VARCHAR2(n), DATE, NUMBER(m,n), TIMETSTAMP(6)]]</f>
        <v>#VALUE!</v>
      </c>
      <c r="O2" s="18" t="e">
        <f>VLOOKUP(B2,Table!A$2:F$231,3,FALSE)=Table1[[#This Row],[Nullable in Table and in Oracle View
NULL, NOT NULL]]</f>
        <v>#VALUE!</v>
      </c>
      <c r="P2" s="18" t="e">
        <f>VLOOKUP(B2,Table!A$2:H$228,6,FALSE)=Table1[[#This Row],[Business Definition (To go into comments and into Meta Data Hub)]]</f>
        <v>#VALUE!</v>
      </c>
      <c r="Q2" s="18" t="s">
        <v>68</v>
      </c>
      <c r="R2" s="18" t="s">
        <v>221</v>
      </c>
      <c r="S2" s="18" t="s">
        <v>235</v>
      </c>
      <c r="T2" s="18"/>
      <c r="U2" s="18"/>
      <c r="V2" s="46" t="s">
        <v>236</v>
      </c>
      <c r="W2" s="46" t="s">
        <v>231</v>
      </c>
      <c r="X2" s="18"/>
      <c r="Y2" s="1" t="e">
        <f>VLOOKUP(A2,Model!A$2:J$210,2,FALSE)</f>
        <v>#N/A</v>
      </c>
      <c r="Z2" s="1"/>
      <c r="AA2" s="1"/>
      <c r="AB2" s="1"/>
      <c r="AC2" s="1"/>
      <c r="AD2" s="32" t="e">
        <f>VLOOKUP(B2,AVY_FACT!A$2:A$153,1,FALSE)=B2</f>
        <v>#N/A</v>
      </c>
      <c r="AE2" s="32" t="e">
        <f>VLOOKUP(B2,AVY_FACT!A$2:F$153,2,FALSE)=C2</f>
        <v>#N/A</v>
      </c>
      <c r="AF2" s="32" t="str">
        <f>B2&amp;"  "&amp;C2&amp;","</f>
        <v>ACAT_CNTRA_FIRM_CLRG_ID_TP_CD  VARCHAR2(1),</v>
      </c>
      <c r="AG2" s="33" t="str">
        <f t="shared" ref="AG2:AG33" si="0">"COMMENT ON COLUMN TRANSACTIONS_OWNER.AVY_FACT."&amp;B2&amp;" IS '"&amp;SUBSTITUTE(G2,"'","''")&amp;"';"</f>
        <v>COMMENT ON COLUMN TRANSACTIONS_OWNER.AVY_FACT.ACAT_CNTRA_FIRM_CLRG_ID_TP_CD IS 'ACAT Broker ID Type';</v>
      </c>
    </row>
    <row r="3" spans="1:33" ht="22.5" hidden="1" customHeight="1">
      <c r="A3" s="18" t="s">
        <v>2600</v>
      </c>
      <c r="B3" s="18" t="s">
        <v>209</v>
      </c>
      <c r="C3" s="18" t="s">
        <v>211</v>
      </c>
      <c r="D3" s="18" t="s">
        <v>63</v>
      </c>
      <c r="E3" s="18" t="s">
        <v>212</v>
      </c>
      <c r="F3" s="45" t="s">
        <v>63</v>
      </c>
      <c r="G3" s="46" t="s">
        <v>213</v>
      </c>
      <c r="H3" s="18" t="s">
        <v>214</v>
      </c>
      <c r="I3" s="18" t="s">
        <v>67</v>
      </c>
      <c r="J3" s="18">
        <v>3</v>
      </c>
      <c r="K3" s="18" t="b">
        <f>VLOOKUP(A3,Model!C$2:D$208,2,FALSE)=B3</f>
        <v>1</v>
      </c>
      <c r="L3" s="18" t="b">
        <f>VLOOKUP(A3,Model!C$2:G$208,5,FALSE)=C3</f>
        <v>1</v>
      </c>
      <c r="M3" s="18" t="e">
        <f>VLOOKUP(Table1[[#This Row],[Physical Name of Attribute (Name of column in Table)
Supplied by DA Team]],Table!A$2:H$323,1,FALSE)=Table1[[#This Row],[Physical Name of Attribute (Name of column in Table)
Supplied by DA Team]]</f>
        <v>#VALUE!</v>
      </c>
      <c r="N3" s="18" t="e">
        <f>VLOOKUP(B3,Table!A$2:F$319,2,FALSE)=Table1[[#This Row],[Data type in Oracle
VARCHAR2(n), DATE, NUMBER(m,n), TIMETSTAMP(6)]]</f>
        <v>#VALUE!</v>
      </c>
      <c r="O3" s="18" t="e">
        <f>VLOOKUP(B3,Table!A$2:F$231,3,FALSE)=Table1[[#This Row],[Nullable in Table and in Oracle View
NULL, NOT NULL]]</f>
        <v>#VALUE!</v>
      </c>
      <c r="P3" s="55" t="e">
        <f>VLOOKUP(B3,Table!A$2:H$228,6,FALSE)=Table1[[#This Row],[Business Definition (To go into comments and into Meta Data Hub)]]</f>
        <v>#VALUE!</v>
      </c>
      <c r="Q3" s="18" t="s">
        <v>68</v>
      </c>
      <c r="R3" s="47" t="s">
        <v>69</v>
      </c>
      <c r="S3" s="18" t="s">
        <v>215</v>
      </c>
      <c r="T3" s="18"/>
      <c r="U3" s="18"/>
      <c r="V3" s="46" t="s">
        <v>216</v>
      </c>
      <c r="W3" s="46"/>
      <c r="X3" s="18"/>
      <c r="Y3" s="1" t="e">
        <f>VLOOKUP(A3,Model!A$2:J$210,2,FALSE)</f>
        <v>#N/A</v>
      </c>
      <c r="Z3" s="1"/>
      <c r="AA3" s="1"/>
      <c r="AB3" s="1"/>
      <c r="AC3" s="1"/>
      <c r="AD3" s="32" t="e">
        <f>VLOOKUP(B3,AVY_FACT!A$2:A$153,1,FALSE)=B3</f>
        <v>#N/A</v>
      </c>
      <c r="AE3" s="32" t="e">
        <f>VLOOKUP(B3,AVY_FACT!A$2:F$153,2,FALSE)=C3</f>
        <v>#N/A</v>
      </c>
      <c r="AF3" s="32" t="str">
        <f t="shared" ref="AF3:AF16" si="1">K3&amp;"  "&amp;C3&amp;","</f>
        <v>TRUE  VARCHAR2(4),</v>
      </c>
      <c r="AG3" s="33" t="str">
        <f t="shared" si="0"/>
        <v>COMMENT ON COLUMN TRANSACTIONS_OWNER.AVY_FACT.ACAT_CNTRA_FIRM_CLRG_NUM IS 'This is the logical identifier for the entity/system (in this case ACAT) that is providing this transaction information or responsible for creation/maintenance of the information. In a case where the information is created and maintained.
Identifier of the system from which CDS database receives/obtains the underlying record. This identifier is specifc to ACAT Contra Firm clearing';</v>
      </c>
    </row>
    <row r="4" spans="1:33" ht="22.5" hidden="1" customHeight="1">
      <c r="A4" s="18" t="s">
        <v>217</v>
      </c>
      <c r="B4" s="18" t="s">
        <v>218</v>
      </c>
      <c r="C4" s="18" t="s">
        <v>62</v>
      </c>
      <c r="D4" s="18" t="s">
        <v>63</v>
      </c>
      <c r="E4" s="18" t="s">
        <v>64</v>
      </c>
      <c r="F4" s="45" t="s">
        <v>63</v>
      </c>
      <c r="G4" s="46" t="s">
        <v>220</v>
      </c>
      <c r="H4" s="48" t="s">
        <v>214</v>
      </c>
      <c r="I4" s="49" t="s">
        <v>67</v>
      </c>
      <c r="J4" s="18">
        <v>3</v>
      </c>
      <c r="K4" s="18" t="b">
        <f>VLOOKUP(A4,Model!C$2:D$208,2,FALSE)=B4</f>
        <v>1</v>
      </c>
      <c r="L4" s="18" t="b">
        <f>VLOOKUP(A4,Model!C$2:G$208,5,FALSE)=C4</f>
        <v>1</v>
      </c>
      <c r="M4" s="18" t="e">
        <f>VLOOKUP(Table1[[#This Row],[Physical Name of Attribute (Name of column in Table)
Supplied by DA Team]],Table!A$2:H$323,1,FALSE)=Table1[[#This Row],[Physical Name of Attribute (Name of column in Table)
Supplied by DA Team]]</f>
        <v>#VALUE!</v>
      </c>
      <c r="N4" s="18" t="e">
        <f>VLOOKUP(B4,Table!A$2:F$319,2,FALSE)=Table1[[#This Row],[Data type in Oracle
VARCHAR2(n), DATE, NUMBER(m,n), TIMETSTAMP(6)]]</f>
        <v>#VALUE!</v>
      </c>
      <c r="O4" s="18" t="e">
        <f>VLOOKUP(B4,Table!A$2:F$231,3,FALSE)=Table1[[#This Row],[Nullable in Table and in Oracle View
NULL, NOT NULL]]</f>
        <v>#VALUE!</v>
      </c>
      <c r="P4" s="18" t="e">
        <f>VLOOKUP(B4,Table!A$2:H$228,6,FALSE)=Table1[[#This Row],[Business Definition (To go into comments and into Meta Data Hub)]]</f>
        <v>#VALUE!</v>
      </c>
      <c r="Q4" s="18" t="s">
        <v>68</v>
      </c>
      <c r="R4" s="47" t="s">
        <v>221</v>
      </c>
      <c r="S4" s="18" t="s">
        <v>222</v>
      </c>
      <c r="T4" s="18"/>
      <c r="U4" s="18"/>
      <c r="V4" s="46" t="s">
        <v>2601</v>
      </c>
      <c r="W4" s="46" t="s">
        <v>231</v>
      </c>
      <c r="X4" s="18"/>
      <c r="Y4" s="1" t="e">
        <f>VLOOKUP(A4,Model!A$2:J$210,2,FALSE)</f>
        <v>#N/A</v>
      </c>
      <c r="Z4" s="1"/>
      <c r="AA4" s="1"/>
      <c r="AB4" s="1"/>
      <c r="AC4" s="1"/>
      <c r="AD4" s="32" t="e">
        <f>VLOOKUP(B4,AVY_FACT!A$2:A$153,1,FALSE)=B4</f>
        <v>#N/A</v>
      </c>
      <c r="AE4" s="32" t="e">
        <f>VLOOKUP(B4,AVY_FACT!A$2:F$153,2,FALSE)=C4</f>
        <v>#N/A</v>
      </c>
      <c r="AF4" s="32" t="str">
        <f t="shared" si="1"/>
        <v>TRUE  VARCHAR2(50),</v>
      </c>
      <c r="AG4" s="33" t="str">
        <f t="shared" si="0"/>
        <v>COMMENT ON COLUMN TRANSACTIONS_OWNER.AVY_FACT.ACAT_CNTRA_FIRM_NM IS 'ACAT Contra Firm Clearing Name';</v>
      </c>
    </row>
    <row r="5" spans="1:33" ht="22.5" hidden="1" customHeight="1">
      <c r="A5" s="50" t="s">
        <v>225</v>
      </c>
      <c r="B5" s="18" t="s">
        <v>226</v>
      </c>
      <c r="C5" s="18" t="s">
        <v>227</v>
      </c>
      <c r="D5" s="18" t="s">
        <v>63</v>
      </c>
      <c r="E5" s="18" t="s">
        <v>228</v>
      </c>
      <c r="F5" s="45" t="s">
        <v>63</v>
      </c>
      <c r="G5" s="46" t="s">
        <v>229</v>
      </c>
      <c r="H5" s="46" t="s">
        <v>214</v>
      </c>
      <c r="I5" s="18" t="s">
        <v>67</v>
      </c>
      <c r="J5" s="18">
        <v>3</v>
      </c>
      <c r="K5" s="18" t="b">
        <f>VLOOKUP(A5,Model!C$2:D$208,2,FALSE)=B5</f>
        <v>1</v>
      </c>
      <c r="L5" s="18" t="b">
        <f>VLOOKUP(A5,Model!C$2:G$208,5,FALSE)=C5</f>
        <v>1</v>
      </c>
      <c r="M5" s="18" t="e">
        <f>VLOOKUP(Table1[[#This Row],[Physical Name of Attribute (Name of column in Table)
Supplied by DA Team]],Table!A$2:H$323,1,FALSE)=Table1[[#This Row],[Physical Name of Attribute (Name of column in Table)
Supplied by DA Team]]</f>
        <v>#VALUE!</v>
      </c>
      <c r="N5" s="18" t="e">
        <f>VLOOKUP(B5,Table!A$2:F$319,2,FALSE)=Table1[[#This Row],[Data type in Oracle
VARCHAR2(n), DATE, NUMBER(m,n), TIMETSTAMP(6)]]</f>
        <v>#VALUE!</v>
      </c>
      <c r="O5" s="18" t="e">
        <f>VLOOKUP(B5,Table!A$2:F$231,3,FALSE)=Table1[[#This Row],[Nullable in Table and in Oracle View
NULL, NOT NULL]]</f>
        <v>#VALUE!</v>
      </c>
      <c r="P5" s="18" t="e">
        <f>VLOOKUP(B5,Table!A$2:H$228,6,FALSE)=Table1[[#This Row],[Business Definition (To go into comments and into Meta Data Hub)]]</f>
        <v>#VALUE!</v>
      </c>
      <c r="Q5" s="18" t="s">
        <v>68</v>
      </c>
      <c r="R5" s="47" t="s">
        <v>221</v>
      </c>
      <c r="S5" s="18" t="s">
        <v>230</v>
      </c>
      <c r="T5" s="18"/>
      <c r="U5" s="18"/>
      <c r="V5" s="46" t="s">
        <v>223</v>
      </c>
      <c r="W5" s="46" t="s">
        <v>231</v>
      </c>
      <c r="X5" s="18"/>
      <c r="Y5" s="1" t="e">
        <f>VLOOKUP(A5,Model!A$2:J$210,2,FALSE)</f>
        <v>#N/A</v>
      </c>
      <c r="Z5" s="1"/>
      <c r="AA5" s="1"/>
      <c r="AB5" s="1"/>
      <c r="AC5" s="1"/>
      <c r="AD5" s="32" t="e">
        <f>VLOOKUP(B5,AVY_FACT!A$2:A$153,1,FALSE)=B5</f>
        <v>#N/A</v>
      </c>
      <c r="AE5" s="32" t="e">
        <f>VLOOKUP(B5,AVY_FACT!A$2:F$153,2,FALSE)=C5</f>
        <v>#N/A</v>
      </c>
      <c r="AF5" s="32" t="str">
        <f t="shared" si="1"/>
        <v>TRUE  VARCHAR2(15),</v>
      </c>
      <c r="AG5" s="33" t="str">
        <f t="shared" si="0"/>
        <v>COMMENT ON COLUMN TRANSACTIONS_OWNER.AVY_FACT.ACAT_CNTRA_FIRM_SHRT_NM IS 'ACAT Contra Firm Clearing Short Name';</v>
      </c>
    </row>
    <row r="6" spans="1:33" ht="22.5" hidden="1" customHeight="1">
      <c r="A6" s="18" t="s">
        <v>359</v>
      </c>
      <c r="B6" s="18" t="s">
        <v>360</v>
      </c>
      <c r="C6" s="18" t="s">
        <v>82</v>
      </c>
      <c r="D6" s="18" t="s">
        <v>63</v>
      </c>
      <c r="E6" s="18" t="s">
        <v>83</v>
      </c>
      <c r="F6" s="45" t="s">
        <v>63</v>
      </c>
      <c r="G6" s="46" t="s">
        <v>362</v>
      </c>
      <c r="H6" s="18"/>
      <c r="I6" s="18" t="s">
        <v>347</v>
      </c>
      <c r="J6" s="18">
        <v>3</v>
      </c>
      <c r="K6" s="18" t="b">
        <f>VLOOKUP(A6,Model!C$2:D$208,2,FALSE)=B6</f>
        <v>1</v>
      </c>
      <c r="L6" s="18" t="b">
        <f>VLOOKUP(A6,Model!C$2:G$208,5,FALSE)=C6</f>
        <v>1</v>
      </c>
      <c r="M6" s="18" t="e">
        <f>VLOOKUP(Table1[[#This Row],[Physical Name of Attribute (Name of column in Table)
Supplied by DA Team]],Table!A$2:H$323,1,FALSE)=Table1[[#This Row],[Physical Name of Attribute (Name of column in Table)
Supplied by DA Team]]</f>
        <v>#VALUE!</v>
      </c>
      <c r="N6" s="18" t="e">
        <f>VLOOKUP(B6,Table!A$2:F$319,2,FALSE)=Table1[[#This Row],[Data type in Oracle
VARCHAR2(n), DATE, NUMBER(m,n), TIMETSTAMP(6)]]</f>
        <v>#VALUE!</v>
      </c>
      <c r="O6" s="18" t="e">
        <f>VLOOKUP(B6,Table!A$2:F$231,3,FALSE)=Table1[[#This Row],[Nullable in Table and in Oracle View
NULL, NOT NULL]]</f>
        <v>#VALUE!</v>
      </c>
      <c r="P6" s="55" t="e">
        <f>VLOOKUP(B6,Table!A$2:H$228,6,FALSE)=Table1[[#This Row],[Business Definition (To go into comments and into Meta Data Hub)]]</f>
        <v>#VALUE!</v>
      </c>
      <c r="Q6" s="18" t="s">
        <v>262</v>
      </c>
      <c r="R6" s="18" t="s">
        <v>363</v>
      </c>
      <c r="S6" s="18" t="s">
        <v>360</v>
      </c>
      <c r="T6" s="18"/>
      <c r="U6" s="18"/>
      <c r="V6" s="46" t="s">
        <v>364</v>
      </c>
      <c r="W6" s="46"/>
      <c r="X6" s="18"/>
      <c r="Y6" s="1" t="e">
        <f>VLOOKUP(A6,Model!A$2:J$210,2,FALSE)</f>
        <v>#N/A</v>
      </c>
      <c r="Z6" s="1"/>
      <c r="AA6" s="1"/>
      <c r="AB6" s="1"/>
      <c r="AC6" s="1"/>
      <c r="AD6" s="32" t="b">
        <f>VLOOKUP(B6,AVY_FACT!A$2:A$153,1,FALSE)=B6</f>
        <v>1</v>
      </c>
      <c r="AE6" s="32" t="b">
        <f>VLOOKUP(B6,AVY_FACT!A$2:F$153,2,FALSE)=C6</f>
        <v>1</v>
      </c>
      <c r="AF6" s="32" t="str">
        <f t="shared" si="1"/>
        <v>TRUE  VARCHAR2(1),</v>
      </c>
      <c r="AG6" s="33" t="str">
        <f t="shared" si="0"/>
        <v>COMMENT ON COLUMN TRANSACTIONS_OWNER.AVY_FACT.ACG_TP_CD IS 'Accounting type code from SIS (e.g., 1,2)';</v>
      </c>
    </row>
    <row r="7" spans="1:33" ht="22.5" customHeight="1">
      <c r="A7" s="56" t="s">
        <v>365</v>
      </c>
      <c r="B7" s="18" t="s">
        <v>366</v>
      </c>
      <c r="C7" s="18" t="s">
        <v>101</v>
      </c>
      <c r="D7" s="18" t="s">
        <v>345</v>
      </c>
      <c r="E7" s="18" t="s">
        <v>133</v>
      </c>
      <c r="F7" s="45" t="s">
        <v>63</v>
      </c>
      <c r="G7" s="46" t="s">
        <v>367</v>
      </c>
      <c r="H7" s="18"/>
      <c r="I7" s="18" t="s">
        <v>347</v>
      </c>
      <c r="J7" s="18">
        <v>3</v>
      </c>
      <c r="K7" s="18" t="b">
        <f>VLOOKUP(A7,Model!C$2:D$208,2,FALSE)=B7</f>
        <v>1</v>
      </c>
      <c r="L7" s="18" t="b">
        <f>VLOOKUP(A7,Model!C$2:G$208,5,FALSE)=C7</f>
        <v>1</v>
      </c>
      <c r="M7" s="18" t="e">
        <f>VLOOKUP(Table1[[#This Row],[Physical Name of Attribute (Name of column in Table)
Supplied by DA Team]],Table!A$2:H$323,1,FALSE)=Table1[[#This Row],[Physical Name of Attribute (Name of column in Table)
Supplied by DA Team]]</f>
        <v>#VALUE!</v>
      </c>
      <c r="N7" s="18" t="e">
        <f>VLOOKUP(B7,Table!A$2:F$319,2,FALSE)=Table1[[#This Row],[Data type in Oracle
VARCHAR2(n), DATE, NUMBER(m,n), TIMETSTAMP(6)]]</f>
        <v>#VALUE!</v>
      </c>
      <c r="O7" s="18" t="e">
        <f>VLOOKUP(B7,Table!A$2:F$231,3,FALSE)=Table1[[#This Row],[Nullable in Table and in Oracle View
NULL, NOT NULL]]</f>
        <v>#VALUE!</v>
      </c>
      <c r="P7" s="18" t="e">
        <f>VLOOKUP(B7,Table!A$2:H$228,6,FALSE)=Table1[[#This Row],[Business Definition (To go into comments and into Meta Data Hub)]]</f>
        <v>#VALUE!</v>
      </c>
      <c r="Q7" s="18" t="s">
        <v>262</v>
      </c>
      <c r="R7" s="18" t="s">
        <v>363</v>
      </c>
      <c r="S7" s="18" t="s">
        <v>366</v>
      </c>
      <c r="T7" s="18"/>
      <c r="U7" s="18"/>
      <c r="V7" s="46" t="s">
        <v>364</v>
      </c>
      <c r="W7" s="46"/>
      <c r="X7" s="18"/>
      <c r="Y7" s="1" t="e">
        <f>VLOOKUP(A7,Model!A$2:J$210,2,FALSE)</f>
        <v>#N/A</v>
      </c>
      <c r="Z7" s="1"/>
      <c r="AA7" s="1"/>
      <c r="AB7" s="1"/>
      <c r="AC7" s="1"/>
      <c r="AD7" s="32" t="b">
        <f>VLOOKUP(B7,AVY_FACT!A$2:A$153,1,FALSE)=B7</f>
        <v>1</v>
      </c>
      <c r="AE7" s="32" t="b">
        <f>VLOOKUP(B7,AVY_FACT!A$2:F$153,2,FALSE)=C7</f>
        <v>1</v>
      </c>
      <c r="AF7" s="32" t="str">
        <f t="shared" si="1"/>
        <v>TRUE  NUMBER(38,0),</v>
      </c>
      <c r="AG7" s="33" t="str">
        <f t="shared" si="0"/>
        <v>COMMENT ON COLUMN TRANSACTIONS_OWNER.AVY_FACT.ACG_TP_DIM_ID IS 'Surrogate key for SIS Accounting Dimension';</v>
      </c>
    </row>
    <row r="8" spans="1:33" ht="22.5" hidden="1" customHeight="1">
      <c r="A8" s="18" t="s">
        <v>2602</v>
      </c>
      <c r="B8" s="18" t="s">
        <v>373</v>
      </c>
      <c r="C8" s="18" t="s">
        <v>101</v>
      </c>
      <c r="D8" s="18" t="s">
        <v>63</v>
      </c>
      <c r="E8" s="18" t="s">
        <v>133</v>
      </c>
      <c r="F8" s="45" t="s">
        <v>63</v>
      </c>
      <c r="G8" s="46" t="s">
        <v>374</v>
      </c>
      <c r="H8" s="18"/>
      <c r="I8" s="18" t="s">
        <v>67</v>
      </c>
      <c r="J8" s="18">
        <v>3</v>
      </c>
      <c r="K8" s="18" t="b">
        <f>VLOOKUP(A8,Model!C$2:D$208,2,FALSE)=B8</f>
        <v>1</v>
      </c>
      <c r="L8" s="18" t="b">
        <f>VLOOKUP(A8,Model!C$2:G$208,5,FALSE)=C8</f>
        <v>1</v>
      </c>
      <c r="M8" s="18" t="e">
        <f>VLOOKUP(Table1[[#This Row],[Physical Name of Attribute (Name of column in Table)
Supplied by DA Team]],Table!A$2:H$323,1,FALSE)=Table1[[#This Row],[Physical Name of Attribute (Name of column in Table)
Supplied by DA Team]]</f>
        <v>#VALUE!</v>
      </c>
      <c r="N8" s="18" t="e">
        <f>VLOOKUP(B8,Table!A$2:F$319,2,FALSE)=Table1[[#This Row],[Data type in Oracle
VARCHAR2(n), DATE, NUMBER(m,n), TIMETSTAMP(6)]]</f>
        <v>#VALUE!</v>
      </c>
      <c r="O8" s="18" t="e">
        <f>VLOOKUP(B8,Table!A$2:F$231,3,FALSE)=Table1[[#This Row],[Nullable in Table and in Oracle View
NULL, NOT NULL]]</f>
        <v>#VALUE!</v>
      </c>
      <c r="P8" s="18" t="e">
        <f>VLOOKUP(B8,Table!A$2:H$228,6,FALSE)=Table1[[#This Row],[Business Definition (To go into comments and into Meta Data Hub)]]</f>
        <v>#VALUE!</v>
      </c>
      <c r="Q8" s="18" t="s">
        <v>68</v>
      </c>
      <c r="R8" s="18" t="s">
        <v>375</v>
      </c>
      <c r="S8" s="18" t="s">
        <v>373</v>
      </c>
      <c r="T8" s="18"/>
      <c r="U8" s="18"/>
      <c r="V8" s="46" t="s">
        <v>376</v>
      </c>
      <c r="W8" s="46"/>
      <c r="X8" s="18"/>
      <c r="Y8" s="1" t="e">
        <f>VLOOKUP(A8,Model!A$2:J$210,2,FALSE)</f>
        <v>#N/A</v>
      </c>
      <c r="Z8" s="1"/>
      <c r="AA8" s="1"/>
      <c r="AB8" s="1"/>
      <c r="AC8" s="1"/>
      <c r="AD8" s="32" t="e">
        <f>VLOOKUP(B8,AVY_FACT!A$2:A$153,1,FALSE)=B8</f>
        <v>#N/A</v>
      </c>
      <c r="AE8" s="32" t="e">
        <f>VLOOKUP(B8,AVY_FACT!A$2:F$153,2,FALSE)=C8</f>
        <v>#N/A</v>
      </c>
      <c r="AF8" s="32" t="str">
        <f t="shared" si="1"/>
        <v>TRUE  NUMBER(38,0),</v>
      </c>
      <c r="AG8" s="33" t="str">
        <f t="shared" si="0"/>
        <v>COMMENT ON COLUMN TRANSACTIONS_OWNER.AVY_FACT.ACG_TP_ID IS 'Numeric identifier of the accounting type ID (e.g., 1006, 1001)';</v>
      </c>
    </row>
    <row r="9" spans="1:33" s="34" customFormat="1" ht="22.5" hidden="1" customHeight="1">
      <c r="A9" s="18" t="s">
        <v>368</v>
      </c>
      <c r="B9" s="18" t="s">
        <v>369</v>
      </c>
      <c r="C9" s="18" t="s">
        <v>302</v>
      </c>
      <c r="D9" s="18" t="s">
        <v>63</v>
      </c>
      <c r="E9" s="18" t="s">
        <v>303</v>
      </c>
      <c r="F9" s="45" t="s">
        <v>63</v>
      </c>
      <c r="G9" s="46" t="s">
        <v>371</v>
      </c>
      <c r="H9" s="18"/>
      <c r="I9" s="18" t="s">
        <v>347</v>
      </c>
      <c r="J9" s="18">
        <v>3</v>
      </c>
      <c r="K9" s="18" t="b">
        <f>VLOOKUP(A9,Model!C$2:D$208,2,FALSE)=B9</f>
        <v>1</v>
      </c>
      <c r="L9" s="18" t="b">
        <f>VLOOKUP(A9,Model!C$2:G$208,5,FALSE)=C9</f>
        <v>1</v>
      </c>
      <c r="M9" s="18" t="e">
        <f>VLOOKUP(Table1[[#This Row],[Physical Name of Attribute (Name of column in Table)
Supplied by DA Team]],Table!A$2:H$323,1,FALSE)=Table1[[#This Row],[Physical Name of Attribute (Name of column in Table)
Supplied by DA Team]]</f>
        <v>#VALUE!</v>
      </c>
      <c r="N9" s="18" t="e">
        <f>VLOOKUP(B9,Table!A$2:F$319,2,FALSE)=Table1[[#This Row],[Data type in Oracle
VARCHAR2(n), DATE, NUMBER(m,n), TIMETSTAMP(6)]]</f>
        <v>#VALUE!</v>
      </c>
      <c r="O9" s="18" t="e">
        <f>VLOOKUP(B9,Table!A$2:F$231,3,FALSE)=Table1[[#This Row],[Nullable in Table and in Oracle View
NULL, NOT NULL]]</f>
        <v>#VALUE!</v>
      </c>
      <c r="P9" s="55" t="e">
        <f>VLOOKUP(B9,Table!A$2:H$228,6,FALSE)=Table1[[#This Row],[Business Definition (To go into comments and into Meta Data Hub)]]</f>
        <v>#VALUE!</v>
      </c>
      <c r="Q9" s="18" t="s">
        <v>262</v>
      </c>
      <c r="R9" s="18" t="s">
        <v>363</v>
      </c>
      <c r="S9" s="18" t="s">
        <v>369</v>
      </c>
      <c r="T9" s="18"/>
      <c r="U9" s="18"/>
      <c r="V9" s="46" t="s">
        <v>364</v>
      </c>
      <c r="W9" s="46"/>
      <c r="X9" s="18"/>
      <c r="Y9" s="1" t="e">
        <f>VLOOKUP(A9,Model!A$2:J$210,2,FALSE)</f>
        <v>#N/A</v>
      </c>
      <c r="Z9" s="1"/>
      <c r="AA9" s="1"/>
      <c r="AB9" s="1"/>
      <c r="AC9" s="1"/>
      <c r="AD9" s="32" t="b">
        <f>VLOOKUP(B9,AVY_FACT!A$2:A$153,1,FALSE)=B9</f>
        <v>1</v>
      </c>
      <c r="AE9" s="32" t="b">
        <f>VLOOKUP(B9,AVY_FACT!A$2:F$153,2,FALSE)=C9</f>
        <v>1</v>
      </c>
      <c r="AF9" s="32" t="str">
        <f t="shared" si="1"/>
        <v>TRUE  VARCHAR2(30),</v>
      </c>
      <c r="AG9" s="33" t="str">
        <f t="shared" si="0"/>
        <v>COMMENT ON COLUMN TRANSACTIONS_OWNER.AVY_FACT.ACG_TP_NM IS 'It is the Sub Account associated with the position identifying the regulatory needs of the position. (e.g., cash account,margin account)';</v>
      </c>
    </row>
    <row r="10" spans="1:33" ht="22.5" hidden="1" customHeight="1">
      <c r="A10" s="18" t="s">
        <v>377</v>
      </c>
      <c r="B10" s="18" t="s">
        <v>378</v>
      </c>
      <c r="C10" s="55" t="s">
        <v>82</v>
      </c>
      <c r="D10" s="18" t="s">
        <v>345</v>
      </c>
      <c r="E10" s="18" t="s">
        <v>83</v>
      </c>
      <c r="F10" s="45" t="s">
        <v>63</v>
      </c>
      <c r="G10" s="46" t="s">
        <v>380</v>
      </c>
      <c r="H10" s="18"/>
      <c r="I10" s="18" t="s">
        <v>381</v>
      </c>
      <c r="J10" s="18">
        <v>3</v>
      </c>
      <c r="K10" s="18" t="b">
        <f>VLOOKUP(A10,Model!C$2:D$208,2,FALSE)=B10</f>
        <v>1</v>
      </c>
      <c r="L10" s="18" t="b">
        <f>VLOOKUP(A10,Model!C$2:G$208,5,FALSE)=C10</f>
        <v>1</v>
      </c>
      <c r="M10" s="18" t="e">
        <f>VLOOKUP(Table1[[#This Row],[Physical Name of Attribute (Name of column in Table)
Supplied by DA Team]],Table!A$2:H$323,1,FALSE)=Table1[[#This Row],[Physical Name of Attribute (Name of column in Table)
Supplied by DA Team]]</f>
        <v>#VALUE!</v>
      </c>
      <c r="N10" s="18" t="e">
        <f>VLOOKUP(B10,Table!A$2:F$319,2,FALSE)=Table1[[#This Row],[Data type in Oracle
VARCHAR2(n), DATE, NUMBER(m,n), TIMETSTAMP(6)]]</f>
        <v>#VALUE!</v>
      </c>
      <c r="O10" s="18" t="e">
        <f>VLOOKUP(B10,Table!A$2:F$231,3,FALSE)=Table1[[#This Row],[Nullable in Table and in Oracle View
NULL, NOT NULL]]</f>
        <v>#VALUE!</v>
      </c>
      <c r="P10" s="55" t="e">
        <f>VLOOKUP(B10,Table!A$2:H$228,6,FALSE)=Table1[[#This Row],[Business Definition (To go into comments and into Meta Data Hub)]]</f>
        <v>#VALUE!</v>
      </c>
      <c r="Q10" s="18" t="s">
        <v>68</v>
      </c>
      <c r="R10" s="18" t="s">
        <v>69</v>
      </c>
      <c r="S10" s="18" t="s">
        <v>378</v>
      </c>
      <c r="T10" s="18"/>
      <c r="U10" s="18"/>
      <c r="V10" s="46"/>
      <c r="W10" s="46"/>
      <c r="X10" s="18"/>
      <c r="Y10" s="1" t="e">
        <f>VLOOKUP(A10,Model!A$2:J$210,2,FALSE)</f>
        <v>#N/A</v>
      </c>
      <c r="Z10" s="1"/>
      <c r="AA10" s="1"/>
      <c r="AB10" s="1"/>
      <c r="AC10" s="1"/>
      <c r="AD10" s="32" t="b">
        <f>VLOOKUP(B10,AVY_FACT!A$2:A$153,1,FALSE)=B10</f>
        <v>1</v>
      </c>
      <c r="AE10" s="32" t="b">
        <f>VLOOKUP(B10,AVY_FACT!A$2:F$153,2,FALSE)=C10</f>
        <v>0</v>
      </c>
      <c r="AF10" s="32" t="str">
        <f t="shared" si="1"/>
        <v>TRUE  VARCHAR2(1),</v>
      </c>
      <c r="AG10" s="33" t="str">
        <f t="shared" si="0"/>
        <v>COMMENT ON COLUMN TRANSACTIONS_OWNER.AVY_FACT.ACTV_F IS 'Indicates that the row is active';</v>
      </c>
    </row>
    <row r="11" spans="1:33" ht="22.5" customHeight="1">
      <c r="A11" s="55" t="s">
        <v>382</v>
      </c>
      <c r="B11" s="18" t="s">
        <v>383</v>
      </c>
      <c r="C11" s="18" t="s">
        <v>385</v>
      </c>
      <c r="D11" s="18" t="s">
        <v>63</v>
      </c>
      <c r="E11" s="18" t="s">
        <v>385</v>
      </c>
      <c r="F11" s="45" t="s">
        <v>63</v>
      </c>
      <c r="G11" s="57" t="s">
        <v>386</v>
      </c>
      <c r="H11" s="46"/>
      <c r="I11" s="46" t="s">
        <v>387</v>
      </c>
      <c r="J11" s="18">
        <v>3</v>
      </c>
      <c r="K11" s="18" t="b">
        <f>VLOOKUP(A11,Model!C$2:D$208,2,FALSE)=B11</f>
        <v>1</v>
      </c>
      <c r="L11" s="18" t="b">
        <f>VLOOKUP(A11,Model!C$2:G$208,5,FALSE)=C11</f>
        <v>0</v>
      </c>
      <c r="M11" s="18" t="e">
        <f>VLOOKUP(Table1[[#This Row],[Physical Name of Attribute (Name of column in Table)
Supplied by DA Team]],Table!A$2:H$323,1,FALSE)=Table1[[#This Row],[Physical Name of Attribute (Name of column in Table)
Supplied by DA Team]]</f>
        <v>#VALUE!</v>
      </c>
      <c r="N11" s="18" t="e">
        <f>VLOOKUP(B11,Table!A$2:F$319,2,FALSE)=Table1[[#This Row],[Data type in Oracle
VARCHAR2(n), DATE, NUMBER(m,n), TIMETSTAMP(6)]]</f>
        <v>#VALUE!</v>
      </c>
      <c r="O11" s="18" t="e">
        <f>VLOOKUP(B11,Table!A$2:F$231,3,FALSE)=Table1[[#This Row],[Nullable in Table and in Oracle View
NULL, NOT NULL]]</f>
        <v>#VALUE!</v>
      </c>
      <c r="P11" s="55" t="e">
        <f>VLOOKUP(B11,Table!A$2:H$228,6,FALSE)=Table1[[#This Row],[Business Definition (To go into comments and into Meta Data Hub)]]</f>
        <v>#VALUE!</v>
      </c>
      <c r="Q11" s="58" t="s">
        <v>68</v>
      </c>
      <c r="R11" s="58" t="s">
        <v>388</v>
      </c>
      <c r="S11" s="58" t="s">
        <v>389</v>
      </c>
      <c r="T11" s="58"/>
      <c r="U11" s="58"/>
      <c r="V11" s="59" t="s">
        <v>390</v>
      </c>
      <c r="W11" s="57" t="s">
        <v>391</v>
      </c>
      <c r="X11" s="18"/>
      <c r="Y11" s="1" t="e">
        <f>VLOOKUP(A11,Model!A$2:J$210,2,FALSE)</f>
        <v>#N/A</v>
      </c>
      <c r="Z11" s="1"/>
      <c r="AA11" s="1"/>
      <c r="AB11" s="1"/>
      <c r="AC11" s="1"/>
      <c r="AD11" s="32" t="b">
        <f>VLOOKUP(B11,AVY_FACT!A$2:A$153,1,FALSE)=B11</f>
        <v>1</v>
      </c>
      <c r="AE11" s="32" t="b">
        <f>VLOOKUP(B11,AVY_FACT!A$2:F$153,2,FALSE)=C11</f>
        <v>1</v>
      </c>
      <c r="AF11" s="32" t="str">
        <f t="shared" si="1"/>
        <v>TRUE  NUMBER,</v>
      </c>
      <c r="AG11" s="33" t="str">
        <f t="shared" si="0"/>
        <v>COMMENT ON COLUMN TRANSACTIONS_OWNER.AVY_FACT.AGRT_ORIG_FEES IS '**Deprecated field. Not supported anymore.**';</v>
      </c>
    </row>
    <row r="12" spans="1:33" ht="22.5" customHeight="1">
      <c r="A12" s="55" t="s">
        <v>392</v>
      </c>
      <c r="B12" s="18" t="s">
        <v>393</v>
      </c>
      <c r="C12" s="18" t="s">
        <v>385</v>
      </c>
      <c r="D12" s="18" t="s">
        <v>63</v>
      </c>
      <c r="E12" s="18" t="s">
        <v>385</v>
      </c>
      <c r="F12" s="45" t="s">
        <v>63</v>
      </c>
      <c r="G12" s="57" t="s">
        <v>386</v>
      </c>
      <c r="H12" s="18"/>
      <c r="I12" s="46" t="s">
        <v>387</v>
      </c>
      <c r="J12" s="18">
        <v>3</v>
      </c>
      <c r="K12" s="18" t="b">
        <f>VLOOKUP(A12,Model!C$2:D$208,2,FALSE)=B12</f>
        <v>1</v>
      </c>
      <c r="L12" s="18" t="b">
        <f>VLOOKUP(A12,Model!C$2:G$208,5,FALSE)=C12</f>
        <v>0</v>
      </c>
      <c r="M12" s="18" t="e">
        <f>VLOOKUP(Table1[[#This Row],[Physical Name of Attribute (Name of column in Table)
Supplied by DA Team]],Table!A$2:H$323,1,FALSE)=Table1[[#This Row],[Physical Name of Attribute (Name of column in Table)
Supplied by DA Team]]</f>
        <v>#VALUE!</v>
      </c>
      <c r="N12" s="18" t="e">
        <f>VLOOKUP(B12,Table!A$2:F$319,2,FALSE)=Table1[[#This Row],[Data type in Oracle
VARCHAR2(n), DATE, NUMBER(m,n), TIMETSTAMP(6)]]</f>
        <v>#VALUE!</v>
      </c>
      <c r="O12" s="18" t="e">
        <f>VLOOKUP(B12,Table!A$2:F$231,3,FALSE)=Table1[[#This Row],[Nullable in Table and in Oracle View
NULL, NOT NULL]]</f>
        <v>#VALUE!</v>
      </c>
      <c r="P12" s="55" t="e">
        <f>VLOOKUP(B12,Table!A$2:H$228,6,FALSE)=Table1[[#This Row],[Business Definition (To go into comments and into Meta Data Hub)]]</f>
        <v>#VALUE!</v>
      </c>
      <c r="Q12" s="58" t="s">
        <v>68</v>
      </c>
      <c r="R12" s="58" t="s">
        <v>388</v>
      </c>
      <c r="S12" s="58" t="s">
        <v>395</v>
      </c>
      <c r="T12" s="58"/>
      <c r="U12" s="58"/>
      <c r="V12" s="59" t="s">
        <v>390</v>
      </c>
      <c r="W12" s="57" t="s">
        <v>391</v>
      </c>
      <c r="X12" s="18"/>
      <c r="Y12" s="1" t="e">
        <f>VLOOKUP(A12,Model!A$2:J$210,2,FALSE)</f>
        <v>#N/A</v>
      </c>
      <c r="Z12" s="1"/>
      <c r="AA12" s="1"/>
      <c r="AB12" s="1"/>
      <c r="AC12" s="1"/>
      <c r="AD12" s="32" t="b">
        <f>VLOOKUP(B12,AVY_FACT!A$2:A$153,1,FALSE)=B12</f>
        <v>1</v>
      </c>
      <c r="AE12" s="32" t="b">
        <f>VLOOKUP(B12,AVY_FACT!A$2:F$153,2,FALSE)=C12</f>
        <v>1</v>
      </c>
      <c r="AF12" s="32" t="str">
        <f t="shared" si="1"/>
        <v>TRUE  NUMBER,</v>
      </c>
      <c r="AG12" s="33" t="str">
        <f t="shared" si="0"/>
        <v>COMMENT ON COLUMN TRANSACTIONS_OWNER.AVY_FACT.AGRT_STMT_FEES IS '**Deprecated field. Not supported anymore.**';</v>
      </c>
    </row>
    <row r="13" spans="1:33" ht="22.5" hidden="1" customHeight="1">
      <c r="A13" s="18" t="s">
        <v>2603</v>
      </c>
      <c r="B13" s="18" t="s">
        <v>1120</v>
      </c>
      <c r="C13" s="18" t="s">
        <v>101</v>
      </c>
      <c r="D13" s="18" t="s">
        <v>345</v>
      </c>
      <c r="E13" s="18" t="s">
        <v>133</v>
      </c>
      <c r="F13" s="45" t="s">
        <v>63</v>
      </c>
      <c r="G13" s="46" t="s">
        <v>1128</v>
      </c>
      <c r="H13" s="18"/>
      <c r="I13" s="18" t="s">
        <v>347</v>
      </c>
      <c r="J13" s="18">
        <v>3</v>
      </c>
      <c r="K13" s="18" t="b">
        <f>VLOOKUP(A13,Model!C$2:D$208,2,FALSE)=B13</f>
        <v>1</v>
      </c>
      <c r="L13" s="18" t="b">
        <f>VLOOKUP(A13,Model!C$2:G$208,5,FALSE)=C13</f>
        <v>1</v>
      </c>
      <c r="M13" s="18" t="b">
        <f>VLOOKUP(Table1[[#This Row],[Physical Name of Attribute (Name of column in Table)
Supplied by DA Team]],Table!A$2:H$323,1,FALSE)=Table1[[#This Row],[Physical Name of Attribute (Name of column in Table)
Supplied by DA Team]]</f>
        <v>1</v>
      </c>
      <c r="N13" s="18" t="b">
        <f>VLOOKUP(B13,Table!A$2:F$319,2,FALSE)=Table1[[#This Row],[Data type in Oracle
VARCHAR2(n), DATE, NUMBER(m,n), TIMETSTAMP(6)]]</f>
        <v>0</v>
      </c>
      <c r="O13" s="18" t="b">
        <f>VLOOKUP(B13,Table!A$2:F$231,3,FALSE)=Table1[[#This Row],[Nullable in Table and in Oracle View
NULL, NOT NULL]]</f>
        <v>0</v>
      </c>
      <c r="P13" s="55" t="b">
        <f>VLOOKUP(B13,Table!A$2:H$228,6,FALSE)=Table1[[#This Row],[Business Definition (To go into comments and into Meta Data Hub)]]</f>
        <v>0</v>
      </c>
      <c r="Q13" s="18" t="s">
        <v>173</v>
      </c>
      <c r="R13" s="18" t="s">
        <v>248</v>
      </c>
      <c r="S13" s="18" t="s">
        <v>1120</v>
      </c>
      <c r="T13" s="18"/>
      <c r="U13" s="18"/>
      <c r="V13" s="46" t="s">
        <v>306</v>
      </c>
      <c r="W13" s="46" t="s">
        <v>1129</v>
      </c>
      <c r="X13" s="18"/>
      <c r="Y13" s="1" t="e">
        <f>VLOOKUP(A13,Model!A$2:J$210,2,FALSE)</f>
        <v>#N/A</v>
      </c>
      <c r="Z13" s="1"/>
      <c r="AA13" s="1"/>
      <c r="AB13" s="1"/>
      <c r="AC13" s="1"/>
      <c r="AD13" s="32" t="b">
        <f>VLOOKUP(B13,AVY_FACT!A$2:A$153,1,FALSE)=B13</f>
        <v>1</v>
      </c>
      <c r="AE13" s="32" t="b">
        <f>VLOOKUP(B13,AVY_FACT!A$2:F$153,2,FALSE)=C13</f>
        <v>1</v>
      </c>
      <c r="AF13" s="32" t="str">
        <f t="shared" si="1"/>
        <v>TRUE  NUMBER(38,0),</v>
      </c>
      <c r="AG13" s="33" t="str">
        <f t="shared" si="0"/>
        <v>COMMENT ON COLUMN TRANSACTIONS_OWNER.AVY_FACT.AR_DIM_ID IS 'Surrogate Key for Arrangement Dimension corresponding to AR_ID';</v>
      </c>
    </row>
    <row r="14" spans="1:33" ht="22.5" hidden="1" customHeight="1">
      <c r="A14" s="18" t="s">
        <v>2604</v>
      </c>
      <c r="B14" s="18" t="s">
        <v>397</v>
      </c>
      <c r="C14" s="18" t="s">
        <v>101</v>
      </c>
      <c r="D14" s="18" t="s">
        <v>63</v>
      </c>
      <c r="E14" s="18" t="s">
        <v>133</v>
      </c>
      <c r="F14" s="45" t="s">
        <v>63</v>
      </c>
      <c r="G14" s="46" t="s">
        <v>399</v>
      </c>
      <c r="H14" s="18"/>
      <c r="I14" s="18" t="s">
        <v>347</v>
      </c>
      <c r="J14" s="18">
        <v>3</v>
      </c>
      <c r="K14" s="18" t="b">
        <f>VLOOKUP(A14,Model!C$2:D$208,2,FALSE)=B14</f>
        <v>1</v>
      </c>
      <c r="L14" s="18" t="b">
        <f>VLOOKUP(A14,Model!C$2:G$208,5,FALSE)=C14</f>
        <v>1</v>
      </c>
      <c r="M14" s="18" t="b">
        <f>VLOOKUP(Table1[[#This Row],[Physical Name of Attribute (Name of column in Table)
Supplied by DA Team]],Table!A$2:H$323,1,FALSE)=Table1[[#This Row],[Physical Name of Attribute (Name of column in Table)
Supplied by DA Team]]</f>
        <v>1</v>
      </c>
      <c r="N14" s="18" t="b">
        <f>VLOOKUP(B14,Table!A$2:F$319,2,FALSE)=Table1[[#This Row],[Data type in Oracle
VARCHAR2(n), DATE, NUMBER(m,n), TIMETSTAMP(6)]]</f>
        <v>0</v>
      </c>
      <c r="O14" s="18" t="b">
        <f>VLOOKUP(B14,Table!A$2:F$231,3,FALSE)=Table1[[#This Row],[Nullable in Table and in Oracle View
NULL, NOT NULL]]</f>
        <v>1</v>
      </c>
      <c r="P14" s="55" t="b">
        <f>VLOOKUP(B14,Table!A$2:H$228,6,FALSE)=Table1[[#This Row],[Business Definition (To go into comments and into Meta Data Hub)]]</f>
        <v>0</v>
      </c>
      <c r="Q14" s="18" t="s">
        <v>68</v>
      </c>
      <c r="R14" s="18" t="s">
        <v>69</v>
      </c>
      <c r="S14" s="18" t="s">
        <v>397</v>
      </c>
      <c r="T14" s="18"/>
      <c r="U14" s="18"/>
      <c r="V14" s="46"/>
      <c r="W14" s="46" t="s">
        <v>400</v>
      </c>
      <c r="X14" s="18"/>
      <c r="Y14" s="1" t="e">
        <f>VLOOKUP(A14,Model!A$2:J$210,2,FALSE)</f>
        <v>#N/A</v>
      </c>
      <c r="Z14" s="1"/>
      <c r="AA14" s="1"/>
      <c r="AB14" s="1"/>
      <c r="AC14" s="1"/>
      <c r="AD14" s="32" t="b">
        <f>VLOOKUP(B14,AVY_FACT!A$2:A$153,1,FALSE)=B14</f>
        <v>1</v>
      </c>
      <c r="AE14" s="32" t="b">
        <f>VLOOKUP(B14,AVY_FACT!A$2:F$153,2,FALSE)=C14</f>
        <v>1</v>
      </c>
      <c r="AF14" s="32" t="str">
        <f t="shared" si="1"/>
        <v>TRUE  NUMBER(38,0),</v>
      </c>
      <c r="AG14" s="33" t="str">
        <f t="shared" si="0"/>
        <v>COMMENT ON COLUMN TRANSACTIONS_OWNER.AVY_FACT.AR_ID IS 'Arrangement Id of the Arrangement this APA belongs to.';</v>
      </c>
    </row>
    <row r="15" spans="1:33" ht="22.5" hidden="1" customHeight="1">
      <c r="A15" s="18" t="s">
        <v>243</v>
      </c>
      <c r="B15" s="18" t="s">
        <v>244</v>
      </c>
      <c r="C15" s="18" t="s">
        <v>139</v>
      </c>
      <c r="D15" s="18" t="s">
        <v>63</v>
      </c>
      <c r="E15" s="18" t="s">
        <v>140</v>
      </c>
      <c r="F15" s="45" t="s">
        <v>63</v>
      </c>
      <c r="G15" s="46" t="s">
        <v>246</v>
      </c>
      <c r="H15" s="18" t="s">
        <v>247</v>
      </c>
      <c r="I15" s="18" t="s">
        <v>67</v>
      </c>
      <c r="J15" s="18">
        <v>3</v>
      </c>
      <c r="K15" s="18" t="b">
        <f>VLOOKUP(A15,Model!C$2:D$208,2,FALSE)=B15</f>
        <v>1</v>
      </c>
      <c r="L15" s="18" t="b">
        <f>VLOOKUP(A15,Model!C$2:G$208,5,FALSE)=C15</f>
        <v>1</v>
      </c>
      <c r="M15" s="18" t="b">
        <f>VLOOKUP(Table1[[#This Row],[Physical Name of Attribute (Name of column in Table)
Supplied by DA Team]],Table!A$2:H$323,1,FALSE)=Table1[[#This Row],[Physical Name of Attribute (Name of column in Table)
Supplied by DA Team]]</f>
        <v>1</v>
      </c>
      <c r="N15" s="18" t="b">
        <f>VLOOKUP(B15,Table!A$2:F$319,2,FALSE)=Table1[[#This Row],[Data type in Oracle
VARCHAR2(n), DATE, NUMBER(m,n), TIMETSTAMP(6)]]</f>
        <v>0</v>
      </c>
      <c r="O15" s="18" t="b">
        <f>VLOOKUP(B15,Table!A$2:F$231,3,FALSE)=Table1[[#This Row],[Nullable in Table and in Oracle View
NULL, NOT NULL]]</f>
        <v>1</v>
      </c>
      <c r="P15" s="18" t="b">
        <f>VLOOKUP(B15,Table!A$2:H$228,6,FALSE)=Table1[[#This Row],[Business Definition (To go into comments and into Meta Data Hub)]]</f>
        <v>0</v>
      </c>
      <c r="Q15" s="18" t="s">
        <v>173</v>
      </c>
      <c r="R15" s="18" t="s">
        <v>248</v>
      </c>
      <c r="S15" s="18" t="s">
        <v>249</v>
      </c>
      <c r="T15" s="18"/>
      <c r="U15" s="18"/>
      <c r="V15" s="46" t="s">
        <v>250</v>
      </c>
      <c r="W15" s="46" t="s">
        <v>251</v>
      </c>
      <c r="X15" s="18"/>
      <c r="Y15" s="1" t="e">
        <f>VLOOKUP(A15,Model!A$2:J$210,2,FALSE)</f>
        <v>#N/A</v>
      </c>
      <c r="Z15" s="1"/>
      <c r="AA15" s="1"/>
      <c r="AB15" s="1"/>
      <c r="AC15" s="1"/>
      <c r="AD15" s="32" t="e">
        <f>VLOOKUP(B15,AVY_FACT!A$2:A$153,1,FALSE)=B15</f>
        <v>#N/A</v>
      </c>
      <c r="AE15" s="32" t="e">
        <f>VLOOKUP(B15,AVY_FACT!A$2:F$153,2,FALSE)=C15</f>
        <v>#N/A</v>
      </c>
      <c r="AF15" s="32" t="str">
        <f t="shared" si="1"/>
        <v>TRUE  VARCHAR2(20),</v>
      </c>
      <c r="AG15" s="33" t="str">
        <f t="shared" si="0"/>
        <v>COMMENT ON COLUMN TRANSACTIONS_OWNER.AVY_FACT.AR_ORIG_SRC_STM_CD IS 'Code that represents the source system from which CDS database receives/obtains the underlying Arrangement from.';</v>
      </c>
    </row>
    <row r="16" spans="1:33" ht="22.5" hidden="1" customHeight="1">
      <c r="A16" s="55" t="s">
        <v>328</v>
      </c>
      <c r="B16" s="18" t="s">
        <v>329</v>
      </c>
      <c r="C16" s="18" t="s">
        <v>139</v>
      </c>
      <c r="D16" s="18" t="s">
        <v>63</v>
      </c>
      <c r="E16" s="18" t="s">
        <v>140</v>
      </c>
      <c r="F16" s="45" t="s">
        <v>63</v>
      </c>
      <c r="G16" s="46" t="s">
        <v>2282</v>
      </c>
      <c r="H16" s="18"/>
      <c r="I16" s="18" t="s">
        <v>67</v>
      </c>
      <c r="J16" s="18">
        <v>3</v>
      </c>
      <c r="K16" s="18" t="b">
        <f>VLOOKUP(A16,Model!C$2:D$208,2,FALSE)=B16</f>
        <v>1</v>
      </c>
      <c r="L16" s="18" t="b">
        <f>VLOOKUP(A16,Model!C$2:G$208,5,FALSE)=C16</f>
        <v>1</v>
      </c>
      <c r="M16" s="18" t="b">
        <f>VLOOKUP(Table1[[#This Row],[Physical Name of Attribute (Name of column in Table)
Supplied by DA Team]],Table!A$2:H$323,1,FALSE)=Table1[[#This Row],[Physical Name of Attribute (Name of column in Table)
Supplied by DA Team]]</f>
        <v>1</v>
      </c>
      <c r="N16" s="18" t="b">
        <f>VLOOKUP(B16,Table!A$2:F$319,2,FALSE)=Table1[[#This Row],[Data type in Oracle
VARCHAR2(n), DATE, NUMBER(m,n), TIMETSTAMP(6)]]</f>
        <v>0</v>
      </c>
      <c r="O16" s="18" t="b">
        <f>VLOOKUP(B16,Table!A$2:F$231,3,FALSE)=Table1[[#This Row],[Nullable in Table and in Oracle View
NULL, NOT NULL]]</f>
        <v>1</v>
      </c>
      <c r="P16" s="18" t="b">
        <f>VLOOKUP(B16,Table!A$2:H$228,6,FALSE)=Table1[[#This Row],[Business Definition (To go into comments and into Meta Data Hub)]]</f>
        <v>0</v>
      </c>
      <c r="Q16" s="18" t="s">
        <v>173</v>
      </c>
      <c r="R16" s="18" t="s">
        <v>248</v>
      </c>
      <c r="S16" s="18" t="s">
        <v>322</v>
      </c>
      <c r="T16" s="18"/>
      <c r="U16" s="18"/>
      <c r="V16" s="46" t="s">
        <v>306</v>
      </c>
      <c r="W16" s="46" t="s">
        <v>251</v>
      </c>
      <c r="X16" s="18"/>
      <c r="Y16" s="1" t="e">
        <f>VLOOKUP(A16,Model!A$2:J$210,2,FALSE)</f>
        <v>#N/A</v>
      </c>
      <c r="Z16" s="1"/>
      <c r="AA16" s="1"/>
      <c r="AB16" s="1"/>
      <c r="AC16" s="1"/>
      <c r="AD16" s="32" t="e">
        <f>VLOOKUP(B16,AVY_FACT!A$2:A$153,1,FALSE)=B16</f>
        <v>#N/A</v>
      </c>
      <c r="AE16" s="32" t="e">
        <f>VLOOKUP(B16,AVY_FACT!A$2:F$153,2,FALSE)=C16</f>
        <v>#N/A</v>
      </c>
      <c r="AF16" s="32" t="str">
        <f t="shared" si="1"/>
        <v>TRUE  VARCHAR2(20),</v>
      </c>
      <c r="AG16" s="33" t="str">
        <f t="shared" si="0"/>
        <v>COMMENT ON COLUMN TRANSACTIONS_OWNER.AVY_FACT.AR_SETL_TP_CD IS 'A code that identifies how an arrangement settles its security transactions. ';</v>
      </c>
    </row>
    <row r="17" spans="1:33" ht="22.5" hidden="1" customHeight="1">
      <c r="A17" s="55" t="s">
        <v>332</v>
      </c>
      <c r="B17" s="18" t="s">
        <v>333</v>
      </c>
      <c r="C17" s="18" t="s">
        <v>90</v>
      </c>
      <c r="D17" s="18" t="s">
        <v>63</v>
      </c>
      <c r="E17" s="18" t="s">
        <v>91</v>
      </c>
      <c r="F17" s="45" t="s">
        <v>63</v>
      </c>
      <c r="G17" s="46" t="s">
        <v>335</v>
      </c>
      <c r="H17" s="18"/>
      <c r="I17" s="18" t="s">
        <v>67</v>
      </c>
      <c r="J17" s="18">
        <v>3</v>
      </c>
      <c r="K17" s="18" t="b">
        <f>VLOOKUP(A17,Model!C$2:D$208,2,FALSE)=B17</f>
        <v>1</v>
      </c>
      <c r="L17" s="18" t="b">
        <f>VLOOKUP(A17,Model!C$2:G$208,5,FALSE)=C17</f>
        <v>1</v>
      </c>
      <c r="M17" s="18" t="b">
        <f>VLOOKUP(Table1[[#This Row],[Physical Name of Attribute (Name of column in Table)
Supplied by DA Team]],Table!A$2:H$323,1,FALSE)=Table1[[#This Row],[Physical Name of Attribute (Name of column in Table)
Supplied by DA Team]]</f>
        <v>1</v>
      </c>
      <c r="N17" s="18" t="b">
        <f>VLOOKUP(B17,Table!A$2:F$319,2,FALSE)=Table1[[#This Row],[Data type in Oracle
VARCHAR2(n), DATE, NUMBER(m,n), TIMETSTAMP(6)]]</f>
        <v>0</v>
      </c>
      <c r="O17" s="18" t="b">
        <f>VLOOKUP(B17,Table!A$2:F$231,3,FALSE)=Table1[[#This Row],[Nullable in Table and in Oracle View
NULL, NOT NULL]]</f>
        <v>1</v>
      </c>
      <c r="P17" s="18" t="b">
        <f>VLOOKUP(B17,Table!A$2:H$228,6,FALSE)=Table1[[#This Row],[Business Definition (To go into comments and into Meta Data Hub)]]</f>
        <v>0</v>
      </c>
      <c r="Q17" s="18" t="s">
        <v>173</v>
      </c>
      <c r="R17" s="18" t="s">
        <v>248</v>
      </c>
      <c r="S17" s="18" t="s">
        <v>327</v>
      </c>
      <c r="T17" s="18"/>
      <c r="U17" s="18"/>
      <c r="V17" s="83" t="s">
        <v>306</v>
      </c>
      <c r="W17" s="46" t="s">
        <v>251</v>
      </c>
      <c r="X17" s="18"/>
      <c r="Y17" s="1" t="e">
        <f>VLOOKUP(A17,Model!A$2:J$210,2,FALSE)</f>
        <v>#N/A</v>
      </c>
      <c r="Z17" s="1"/>
      <c r="AA17" s="1"/>
      <c r="AB17" s="1"/>
      <c r="AC17" s="1"/>
      <c r="AD17" s="32" t="e">
        <f>VLOOKUP(B17,AVY_FACT!A$2:A$153,1,FALSE)=B17</f>
        <v>#N/A</v>
      </c>
      <c r="AE17" s="32" t="e">
        <f>VLOOKUP(B17,AVY_FACT!A$2:F$153,2,FALSE)=C17</f>
        <v>#N/A</v>
      </c>
      <c r="AF17" s="32" t="str">
        <f>B17&amp;"  "&amp;C17&amp;","</f>
        <v>AR_SETL_TP_DSC  VARCHAR2(100),</v>
      </c>
      <c r="AG17" s="33" t="str">
        <f t="shared" si="0"/>
        <v>COMMENT ON COLUMN TRANSACTIONS_OWNER.AVY_FACT.AR_SETL_TP_DSC IS 'A description that identifies how an arrangement settles its security transactions.';</v>
      </c>
    </row>
    <row r="18" spans="1:33" ht="22.5" hidden="1" customHeight="1">
      <c r="A18" s="18" t="s">
        <v>401</v>
      </c>
      <c r="B18" s="18" t="s">
        <v>402</v>
      </c>
      <c r="C18" s="18" t="s">
        <v>157</v>
      </c>
      <c r="D18" s="18" t="s">
        <v>63</v>
      </c>
      <c r="E18" s="18" t="s">
        <v>158</v>
      </c>
      <c r="F18" s="45" t="s">
        <v>63</v>
      </c>
      <c r="G18" s="46" t="s">
        <v>2037</v>
      </c>
      <c r="H18" s="18"/>
      <c r="I18" s="18" t="s">
        <v>347</v>
      </c>
      <c r="J18" s="18">
        <v>3</v>
      </c>
      <c r="K18" s="18" t="b">
        <f>VLOOKUP(A18,Model!C$2:D$208,2,FALSE)=B18</f>
        <v>1</v>
      </c>
      <c r="L18" s="18" t="b">
        <f>VLOOKUP(A18,Model!C$2:G$208,5,FALSE)=C18</f>
        <v>1</v>
      </c>
      <c r="M18" s="18" t="b">
        <f>VLOOKUP(Table1[[#This Row],[Physical Name of Attribute (Name of column in Table)
Supplied by DA Team]],Table!A$2:H$323,1,FALSE)=Table1[[#This Row],[Physical Name of Attribute (Name of column in Table)
Supplied by DA Team]]</f>
        <v>1</v>
      </c>
      <c r="N18" s="18" t="b">
        <f>VLOOKUP(B18,Table!A$2:F$319,2,FALSE)=Table1[[#This Row],[Data type in Oracle
VARCHAR2(n), DATE, NUMBER(m,n), TIMETSTAMP(6)]]</f>
        <v>0</v>
      </c>
      <c r="O18" s="18" t="b">
        <f>VLOOKUP(B18,Table!A$2:F$231,3,FALSE)=Table1[[#This Row],[Nullable in Table and in Oracle View
NULL, NOT NULL]]</f>
        <v>1</v>
      </c>
      <c r="P18" s="55" t="b">
        <f>VLOOKUP(B18,Table!A$2:H$228,6,FALSE)=Table1[[#This Row],[Business Definition (To go into comments and into Meta Data Hub)]]</f>
        <v>0</v>
      </c>
      <c r="Q18" s="18" t="s">
        <v>68</v>
      </c>
      <c r="R18" s="18" t="s">
        <v>405</v>
      </c>
      <c r="S18" s="18" t="s">
        <v>402</v>
      </c>
      <c r="T18" s="18"/>
      <c r="U18" s="18"/>
      <c r="V18" s="82" t="s">
        <v>406</v>
      </c>
      <c r="W18" s="46"/>
      <c r="X18" s="18"/>
      <c r="Y18" s="1" t="e">
        <f>VLOOKUP(A18,Model!A$2:J$210,2,FALSE)</f>
        <v>#N/A</v>
      </c>
      <c r="Z18" s="1"/>
      <c r="AA18" s="1"/>
      <c r="AB18" s="1"/>
      <c r="AC18" s="1"/>
      <c r="AD18" s="32" t="b">
        <f>VLOOKUP(B18,AVY_FACT!A$2:A$153,1,FALSE)=B18</f>
        <v>1</v>
      </c>
      <c r="AE18" s="32" t="b">
        <f>VLOOKUP(B18,AVY_FACT!A$2:F$153,2,FALSE)=C18</f>
        <v>1</v>
      </c>
      <c r="AF18" s="32" t="str">
        <f>K18&amp;"  "&amp;C18&amp;","</f>
        <v>TRUE  DATE,</v>
      </c>
      <c r="AG18" s="33" t="str">
        <f t="shared" si="0"/>
        <v>COMMENT ON COLUMN TRANSACTIONS_OWNER.AVY_FACT.BATCH_DT IS 'Business Date for the Load run of the Activity Asset Packager row IBM Unique ID:BDW03041';</v>
      </c>
    </row>
    <row r="19" spans="1:33" ht="22.5" hidden="1" customHeight="1">
      <c r="A19" s="18" t="s">
        <v>407</v>
      </c>
      <c r="B19" s="18" t="s">
        <v>408</v>
      </c>
      <c r="C19" s="18" t="s">
        <v>157</v>
      </c>
      <c r="D19" s="18" t="s">
        <v>63</v>
      </c>
      <c r="E19" s="18" t="s">
        <v>158</v>
      </c>
      <c r="F19" s="45" t="s">
        <v>63</v>
      </c>
      <c r="G19" s="46" t="s">
        <v>410</v>
      </c>
      <c r="H19" s="18"/>
      <c r="I19" s="18" t="s">
        <v>347</v>
      </c>
      <c r="J19" s="18">
        <v>3</v>
      </c>
      <c r="K19" s="18" t="b">
        <f>VLOOKUP(A19,Model!C$2:D$208,2,FALSE)=B19</f>
        <v>1</v>
      </c>
      <c r="L19" s="18" t="b">
        <f>VLOOKUP(A19,Model!C$2:G$208,5,FALSE)=C19</f>
        <v>1</v>
      </c>
      <c r="M19" s="18" t="b">
        <f>VLOOKUP(Table1[[#This Row],[Physical Name of Attribute (Name of column in Table)
Supplied by DA Team]],Table!A$2:H$323,1,FALSE)=Table1[[#This Row],[Physical Name of Attribute (Name of column in Table)
Supplied by DA Team]]</f>
        <v>1</v>
      </c>
      <c r="N19" s="18" t="b">
        <f>VLOOKUP(B19,Table!A$2:F$319,2,FALSE)=Table1[[#This Row],[Data type in Oracle
VARCHAR2(n), DATE, NUMBER(m,n), TIMETSTAMP(6)]]</f>
        <v>0</v>
      </c>
      <c r="O19" s="18" t="b">
        <f>VLOOKUP(B19,Table!A$2:F$231,3,FALSE)=Table1[[#This Row],[Nullable in Table and in Oracle View
NULL, NOT NULL]]</f>
        <v>1</v>
      </c>
      <c r="P19" s="18" t="b">
        <f>VLOOKUP(B19,Table!A$2:H$228,6,FALSE)=Table1[[#This Row],[Business Definition (To go into comments and into Meta Data Hub)]]</f>
        <v>0</v>
      </c>
      <c r="Q19" s="18" t="s">
        <v>68</v>
      </c>
      <c r="R19" s="18" t="s">
        <v>69</v>
      </c>
      <c r="S19" s="18" t="s">
        <v>408</v>
      </c>
      <c r="T19" s="18"/>
      <c r="U19" s="18"/>
      <c r="V19" s="46"/>
      <c r="W19" s="46"/>
      <c r="X19" s="18"/>
      <c r="Y19" s="1" t="e">
        <f>VLOOKUP(A19,Model!A$2:J$210,2,FALSE)</f>
        <v>#N/A</v>
      </c>
      <c r="Z19" s="1"/>
      <c r="AA19" s="1"/>
      <c r="AB19" s="1"/>
      <c r="AC19" s="1"/>
      <c r="AD19" s="32" t="b">
        <f>VLOOKUP(B19,AVY_FACT!A$2:A$153,1,FALSE)=B19</f>
        <v>1</v>
      </c>
      <c r="AE19" s="32" t="b">
        <f>VLOOKUP(B19,AVY_FACT!A$2:F$153,2,FALSE)=C19</f>
        <v>1</v>
      </c>
      <c r="AF19" s="32" t="str">
        <f>K19&amp;"  "&amp;C19&amp;","</f>
        <v>TRUE  DATE,</v>
      </c>
      <c r="AG19" s="33" t="str">
        <f t="shared" si="0"/>
        <v>COMMENT ON COLUMN TRANSACTIONS_OWNER.AVY_FACT.BKG_DT IS 'System generated Date Time stamp when the record was created.  In SIS would be represented by Effective Date.';</v>
      </c>
    </row>
    <row r="20" spans="1:33" ht="22.5" hidden="1" customHeight="1">
      <c r="A20" s="18" t="s">
        <v>2605</v>
      </c>
      <c r="B20" s="18" t="s">
        <v>412</v>
      </c>
      <c r="C20" s="18" t="s">
        <v>139</v>
      </c>
      <c r="D20" s="18" t="s">
        <v>63</v>
      </c>
      <c r="E20" s="18" t="s">
        <v>140</v>
      </c>
      <c r="F20" s="45" t="s">
        <v>63</v>
      </c>
      <c r="G20" s="46" t="s">
        <v>414</v>
      </c>
      <c r="H20" s="18"/>
      <c r="I20" s="18" t="s">
        <v>347</v>
      </c>
      <c r="J20" s="18">
        <v>3</v>
      </c>
      <c r="K20" s="18" t="b">
        <f>VLOOKUP(A20,Model!C$2:D$208,2,FALSE)=B20</f>
        <v>1</v>
      </c>
      <c r="L20" s="18" t="b">
        <f>VLOOKUP(A20,Model!C$2:G$208,5,FALSE)=C20</f>
        <v>1</v>
      </c>
      <c r="M20" s="18" t="b">
        <f>VLOOKUP(Table1[[#This Row],[Physical Name of Attribute (Name of column in Table)
Supplied by DA Team]],Table!A$2:H$323,1,FALSE)=Table1[[#This Row],[Physical Name of Attribute (Name of column in Table)
Supplied by DA Team]]</f>
        <v>1</v>
      </c>
      <c r="N20" s="18" t="b">
        <f>VLOOKUP(B20,Table!A$2:F$319,2,FALSE)=Table1[[#This Row],[Data type in Oracle
VARCHAR2(n), DATE, NUMBER(m,n), TIMETSTAMP(6)]]</f>
        <v>0</v>
      </c>
      <c r="O20" s="18" t="b">
        <f>VLOOKUP(B20,Table!A$2:F$231,3,FALSE)=Table1[[#This Row],[Nullable in Table and in Oracle View
NULL, NOT NULL]]</f>
        <v>1</v>
      </c>
      <c r="P20" s="55" t="b">
        <f>VLOOKUP(B20,Table!A$2:H$228,6,FALSE)=Table1[[#This Row],[Business Definition (To go into comments and into Meta Data Hub)]]</f>
        <v>0</v>
      </c>
      <c r="Q20" s="18" t="s">
        <v>68</v>
      </c>
      <c r="R20" s="18" t="s">
        <v>69</v>
      </c>
      <c r="S20" s="18" t="s">
        <v>415</v>
      </c>
      <c r="T20" s="18"/>
      <c r="U20" s="18"/>
      <c r="V20" s="46"/>
      <c r="W20" s="46"/>
      <c r="X20" s="18"/>
      <c r="Y20" s="1" t="e">
        <f>VLOOKUP(A20,Model!A$2:J$210,2,FALSE)</f>
        <v>#N/A</v>
      </c>
      <c r="Z20" s="1"/>
      <c r="AA20" s="1"/>
      <c r="AB20" s="1"/>
      <c r="AC20" s="1"/>
      <c r="AD20" s="32" t="b">
        <f>VLOOKUP(B20,AVY_FACT!A$2:A$153,1,FALSE)=B20</f>
        <v>1</v>
      </c>
      <c r="AE20" s="32" t="b">
        <f>VLOOKUP(B20,AVY_FACT!A$2:F$153,2,FALSE)=C20</f>
        <v>1</v>
      </c>
      <c r="AF20" s="32" t="str">
        <f>K20&amp;"  "&amp;C20&amp;","</f>
        <v>TRUE  VARCHAR2(20),</v>
      </c>
      <c r="AG20" s="33" t="str">
        <f t="shared" si="0"/>
        <v>COMMENT ON COLUMN TRANSACTIONS_OWNER.AVY_FACT.BR_CD IS 'Entity Code of the Financial Advisor that is executing the trade.';</v>
      </c>
    </row>
    <row r="21" spans="1:33" ht="22.5" hidden="1" customHeight="1">
      <c r="A21" s="50" t="s">
        <v>1117</v>
      </c>
      <c r="B21" s="18" t="s">
        <v>1118</v>
      </c>
      <c r="C21" s="18" t="s">
        <v>101</v>
      </c>
      <c r="D21" s="18" t="s">
        <v>345</v>
      </c>
      <c r="E21" s="18" t="s">
        <v>133</v>
      </c>
      <c r="F21" s="45" t="s">
        <v>63</v>
      </c>
      <c r="G21" s="46" t="s">
        <v>1119</v>
      </c>
      <c r="H21" s="18"/>
      <c r="I21" s="18" t="s">
        <v>347</v>
      </c>
      <c r="J21" s="18">
        <v>3</v>
      </c>
      <c r="K21" s="18" t="b">
        <f>VLOOKUP(A21,Model!C$2:D$208,2,FALSE)=B21</f>
        <v>1</v>
      </c>
      <c r="L21" s="18" t="b">
        <f>VLOOKUP(A21,Model!C$2:G$208,5,FALSE)=C21</f>
        <v>1</v>
      </c>
      <c r="M21" s="18" t="b">
        <f>VLOOKUP(Table1[[#This Row],[Physical Name of Attribute (Name of column in Table)
Supplied by DA Team]],Table!A$2:H$323,1,FALSE)=Table1[[#This Row],[Physical Name of Attribute (Name of column in Table)
Supplied by DA Team]]</f>
        <v>1</v>
      </c>
      <c r="N21" s="18" t="b">
        <f>VLOOKUP(B21,Table!A$2:F$319,2,FALSE)=Table1[[#This Row],[Data type in Oracle
VARCHAR2(n), DATE, NUMBER(m,n), TIMETSTAMP(6)]]</f>
        <v>1</v>
      </c>
      <c r="O21" s="18" t="b">
        <f>VLOOKUP(B21,Table!A$2:F$231,3,FALSE)=Table1[[#This Row],[Nullable in Table and in Oracle View
NULL, NOT NULL]]</f>
        <v>0</v>
      </c>
      <c r="P21" s="55" t="b">
        <f>VLOOKUP(B21,Table!A$2:H$228,6,FALSE)=Table1[[#This Row],[Business Definition (To go into comments and into Meta Data Hub)]]</f>
        <v>0</v>
      </c>
      <c r="Q21" s="18" t="s">
        <v>173</v>
      </c>
      <c r="R21" s="18" t="s">
        <v>248</v>
      </c>
      <c r="S21" s="18" t="s">
        <v>1120</v>
      </c>
      <c r="T21" s="18"/>
      <c r="U21" s="18"/>
      <c r="V21" s="46" t="s">
        <v>1121</v>
      </c>
      <c r="W21" s="46" t="s">
        <v>1122</v>
      </c>
      <c r="X21" s="18"/>
      <c r="Y21" s="1" t="e">
        <f>VLOOKUP(A21,Model!A$2:J$210,2,FALSE)</f>
        <v>#N/A</v>
      </c>
      <c r="Z21" s="1"/>
      <c r="AA21" s="1"/>
      <c r="AB21" s="1"/>
      <c r="AC21" s="1"/>
      <c r="AD21" s="32" t="b">
        <f>VLOOKUP(B21,AVY_FACT!A$2:A$153,1,FALSE)=B21</f>
        <v>1</v>
      </c>
      <c r="AE21" s="32" t="b">
        <f>VLOOKUP(B21,AVY_FACT!A$2:F$153,2,FALSE)=C21</f>
        <v>1</v>
      </c>
      <c r="AF21" s="32" t="str">
        <f>K21&amp;"  "&amp;C21&amp;","</f>
        <v>TRUE  NUMBER(38,0),</v>
      </c>
      <c r="AG21" s="33" t="str">
        <f t="shared" si="0"/>
        <v>COMMENT ON COLUMN TRANSACTIONS_OWNER.AVY_FACT.BKR_AR_DIM_ID IS 'Surrogate Key for Brokerage Arrangement Dimension';</v>
      </c>
    </row>
    <row r="22" spans="1:33" ht="22.5" hidden="1" customHeight="1">
      <c r="A22" s="18" t="s">
        <v>416</v>
      </c>
      <c r="B22" s="18" t="s">
        <v>417</v>
      </c>
      <c r="C22" s="18" t="s">
        <v>101</v>
      </c>
      <c r="D22" s="18" t="s">
        <v>63</v>
      </c>
      <c r="E22" s="18" t="s">
        <v>133</v>
      </c>
      <c r="F22" s="45" t="s">
        <v>63</v>
      </c>
      <c r="G22" s="46" t="s">
        <v>419</v>
      </c>
      <c r="H22" s="18"/>
      <c r="I22" s="18" t="s">
        <v>347</v>
      </c>
      <c r="J22" s="18">
        <v>3</v>
      </c>
      <c r="K22" s="18" t="b">
        <f>VLOOKUP(A22,Model!C$2:D$208,2,FALSE)=B22</f>
        <v>1</v>
      </c>
      <c r="L22" s="18" t="b">
        <f>VLOOKUP(A22,Model!C$2:G$208,5,FALSE)=C22</f>
        <v>1</v>
      </c>
      <c r="M22" s="18" t="b">
        <f>VLOOKUP(Table1[[#This Row],[Physical Name of Attribute (Name of column in Table)
Supplied by DA Team]],Table!A$2:H$323,1,FALSE)=Table1[[#This Row],[Physical Name of Attribute (Name of column in Table)
Supplied by DA Team]]</f>
        <v>1</v>
      </c>
      <c r="N22" s="18" t="b">
        <f>VLOOKUP(B22,Table!A$2:F$319,2,FALSE)=Table1[[#This Row],[Data type in Oracle
VARCHAR2(n), DATE, NUMBER(m,n), TIMETSTAMP(6)]]</f>
        <v>0</v>
      </c>
      <c r="O22" s="18" t="b">
        <f>VLOOKUP(B22,Table!A$2:F$231,3,FALSE)=Table1[[#This Row],[Nullable in Table and in Oracle View
NULL, NOT NULL]]</f>
        <v>1</v>
      </c>
      <c r="P22" s="55" t="b">
        <f>VLOOKUP(B22,Table!A$2:H$228,6,FALSE)=Table1[[#This Row],[Business Definition (To go into comments and into Meta Data Hub)]]</f>
        <v>0</v>
      </c>
      <c r="Q22" s="18" t="s">
        <v>68</v>
      </c>
      <c r="R22" s="46" t="s">
        <v>420</v>
      </c>
      <c r="S22" s="46" t="s">
        <v>421</v>
      </c>
      <c r="T22" s="18"/>
      <c r="U22" s="18"/>
      <c r="V22" s="46" t="s">
        <v>422</v>
      </c>
      <c r="W22" s="46" t="s">
        <v>423</v>
      </c>
      <c r="X22" s="18"/>
      <c r="Y22" s="1" t="e">
        <f>VLOOKUP(A22,Model!A$2:J$210,2,FALSE)</f>
        <v>#N/A</v>
      </c>
      <c r="Z22" s="1"/>
      <c r="AA22" s="1"/>
      <c r="AB22" s="1"/>
      <c r="AC22" s="1"/>
      <c r="AD22" s="32" t="b">
        <f>VLOOKUP(B22,AVY_FACT!A$2:A$153,1,FALSE)=B22</f>
        <v>1</v>
      </c>
      <c r="AE22" s="32" t="b">
        <f>VLOOKUP(B22,AVY_FACT!A$2:F$153,2,FALSE)=C22</f>
        <v>1</v>
      </c>
      <c r="AF22" s="32" t="str">
        <f>K22&amp;"  "&amp;C22&amp;","</f>
        <v>TRUE  NUMBER(38,0),</v>
      </c>
      <c r="AG22" s="33" t="str">
        <f t="shared" si="0"/>
        <v>COMMENT ON COLUMN TRANSACTIONS_OWNER.AVY_FACT.BKR_AR_ID IS 'Brokerage arrangement associated with the Arrangement id. If the transaction is for a brokerage arrangement than both will have same value.';</v>
      </c>
    </row>
    <row r="23" spans="1:33" ht="22.5" hidden="1" customHeight="1">
      <c r="A23" s="1" t="s">
        <v>424</v>
      </c>
      <c r="B23" s="18" t="s">
        <v>425</v>
      </c>
      <c r="C23" s="55" t="s">
        <v>427</v>
      </c>
      <c r="D23" s="18" t="s">
        <v>63</v>
      </c>
      <c r="E23" s="18" t="s">
        <v>428</v>
      </c>
      <c r="F23" s="45" t="s">
        <v>63</v>
      </c>
      <c r="G23" s="46" t="s">
        <v>429</v>
      </c>
      <c r="H23" s="18"/>
      <c r="I23" s="18" t="s">
        <v>347</v>
      </c>
      <c r="J23" s="18">
        <v>3</v>
      </c>
      <c r="K23" s="18" t="b">
        <f>VLOOKUP(A23,Model!C$2:D$208,2,FALSE)=B23</f>
        <v>1</v>
      </c>
      <c r="L23" s="18" t="b">
        <f>VLOOKUP(A23,Model!C$2:G$208,5,FALSE)=C23</f>
        <v>1</v>
      </c>
      <c r="M23" s="18" t="b">
        <f>VLOOKUP(Table1[[#This Row],[Physical Name of Attribute (Name of column in Table)
Supplied by DA Team]],Table!A$2:H$323,1,FALSE)=Table1[[#This Row],[Physical Name of Attribute (Name of column in Table)
Supplied by DA Team]]</f>
        <v>1</v>
      </c>
      <c r="N23" s="18" t="b">
        <f>VLOOKUP(B23,Table!A$2:F$319,2,FALSE)=Table1[[#This Row],[Data type in Oracle
VARCHAR2(n), DATE, NUMBER(m,n), TIMETSTAMP(6)]]</f>
        <v>0</v>
      </c>
      <c r="O23" s="18" t="b">
        <f>VLOOKUP(B23,Table!A$2:F$231,3,FALSE)=Table1[[#This Row],[Nullable in Table and in Oracle View
NULL, NOT NULL]]</f>
        <v>1</v>
      </c>
      <c r="P23" s="18" t="b">
        <f>VLOOKUP(B23,Table!A$2:H$228,6,FALSE)=Table1[[#This Row],[Business Definition (To go into comments and into Meta Data Hub)]]</f>
        <v>0</v>
      </c>
      <c r="Q23" s="18" t="s">
        <v>68</v>
      </c>
      <c r="R23" s="18" t="s">
        <v>69</v>
      </c>
      <c r="S23" s="18" t="s">
        <v>425</v>
      </c>
      <c r="T23" s="18"/>
      <c r="U23" s="18"/>
      <c r="V23" s="46"/>
      <c r="W23" s="46" t="s">
        <v>105</v>
      </c>
      <c r="X23" s="18"/>
      <c r="Y23" s="1" t="e">
        <f>VLOOKUP(A23,Model!A$2:J$210,2,FALSE)</f>
        <v>#N/A</v>
      </c>
      <c r="Z23" s="1"/>
      <c r="AA23" s="1"/>
      <c r="AB23" s="1"/>
      <c r="AC23" s="1"/>
      <c r="AD23" s="32" t="b">
        <f>VLOOKUP(B23,AVY_FACT!A$2:A$153,1,FALSE)=B23</f>
        <v>1</v>
      </c>
      <c r="AE23" s="32" t="b">
        <f>VLOOKUP(B23,AVY_FACT!A$2:F$153,2,FALSE)=C23</f>
        <v>0</v>
      </c>
      <c r="AF23" s="32" t="str">
        <f>B23&amp;"  "&amp;C23&amp;","</f>
        <v>BUY_SELL_IND  VARCHAR2(10),</v>
      </c>
      <c r="AG23" s="33" t="str">
        <f t="shared" si="0"/>
        <v>COMMENT ON COLUMN TRANSACTIONS_OWNER.AVY_FACT.BUY_SELL_IND IS 'Indicator to determine whether the transaction is a sale or a purchase';</v>
      </c>
    </row>
    <row r="24" spans="1:33" ht="22.5" hidden="1" customHeight="1">
      <c r="A24" s="18" t="s">
        <v>430</v>
      </c>
      <c r="B24" s="18" t="s">
        <v>431</v>
      </c>
      <c r="C24" s="55" t="s">
        <v>433</v>
      </c>
      <c r="D24" s="18" t="s">
        <v>63</v>
      </c>
      <c r="E24" s="18" t="s">
        <v>434</v>
      </c>
      <c r="F24" s="45" t="s">
        <v>63</v>
      </c>
      <c r="G24" s="46" t="s">
        <v>435</v>
      </c>
      <c r="H24" s="18"/>
      <c r="I24" s="18" t="s">
        <v>381</v>
      </c>
      <c r="J24" s="18">
        <v>3</v>
      </c>
      <c r="K24" s="18" t="b">
        <f>VLOOKUP(A24,Model!C$2:D$208,2,FALSE)=B24</f>
        <v>1</v>
      </c>
      <c r="L24" s="18" t="b">
        <f>VLOOKUP(A24,Model!C$2:G$208,5,FALSE)=C24</f>
        <v>1</v>
      </c>
      <c r="M24" s="18" t="b">
        <f>VLOOKUP(Table1[[#This Row],[Physical Name of Attribute (Name of column in Table)
Supplied by DA Team]],Table!A$2:H$323,1,FALSE)=Table1[[#This Row],[Physical Name of Attribute (Name of column in Table)
Supplied by DA Team]]</f>
        <v>1</v>
      </c>
      <c r="N24" s="18" t="b">
        <f>VLOOKUP(B24,Table!A$2:F$319,2,FALSE)=Table1[[#This Row],[Data type in Oracle
VARCHAR2(n), DATE, NUMBER(m,n), TIMETSTAMP(6)]]</f>
        <v>0</v>
      </c>
      <c r="O24" s="18" t="b">
        <f>VLOOKUP(B24,Table!A$2:F$231,3,FALSE)=Table1[[#This Row],[Nullable in Table and in Oracle View
NULL, NOT NULL]]</f>
        <v>1</v>
      </c>
      <c r="P24" s="55" t="b">
        <f>VLOOKUP(B24,Table!A$2:H$228,6,FALSE)=Table1[[#This Row],[Business Definition (To go into comments and into Meta Data Hub)]]</f>
        <v>0</v>
      </c>
      <c r="Q24" s="18" t="s">
        <v>68</v>
      </c>
      <c r="R24" s="18" t="s">
        <v>436</v>
      </c>
      <c r="S24" s="18" t="s">
        <v>437</v>
      </c>
      <c r="T24" s="18"/>
      <c r="U24" s="18"/>
      <c r="V24" s="46" t="s">
        <v>438</v>
      </c>
      <c r="W24" s="46"/>
      <c r="X24" s="18"/>
      <c r="Y24" s="1" t="e">
        <f>VLOOKUP(A24,Model!A$2:J$210,2,FALSE)</f>
        <v>#N/A</v>
      </c>
      <c r="Z24" s="1"/>
      <c r="AA24" s="1"/>
      <c r="AB24" s="1"/>
      <c r="AC24" s="1"/>
      <c r="AD24" s="32" t="s">
        <v>2606</v>
      </c>
      <c r="AE24" s="32" t="s">
        <v>2606</v>
      </c>
      <c r="AF24" s="32" t="str">
        <f>B24&amp;"  "&amp;C24&amp;","</f>
        <v>CASH_AVY_CGY  VARCHAR2(25),</v>
      </c>
      <c r="AG24" s="33" t="str">
        <f t="shared" si="0"/>
        <v>COMMENT ON COLUMN TRANSACTIONS_OWNER.AVY_FACT.CASH_AVY_CGY IS 'Represents the specific Category of activity such as a ''Purchase'' or ''Income''. Further refinement of the categories are captured under Activity Type.
This field will be populated only if the transaction has a Cash leg.';</v>
      </c>
    </row>
    <row r="25" spans="1:33" ht="22.5" hidden="1" customHeight="1">
      <c r="A25" s="18" t="s">
        <v>2607</v>
      </c>
      <c r="B25" s="18" t="s">
        <v>445</v>
      </c>
      <c r="C25" s="76" t="s">
        <v>101</v>
      </c>
      <c r="D25" s="18" t="s">
        <v>63</v>
      </c>
      <c r="E25" s="76" t="s">
        <v>133</v>
      </c>
      <c r="F25" s="45" t="s">
        <v>63</v>
      </c>
      <c r="G25" s="46" t="s">
        <v>447</v>
      </c>
      <c r="H25" s="18"/>
      <c r="I25" s="18" t="s">
        <v>347</v>
      </c>
      <c r="J25" s="18">
        <v>3</v>
      </c>
      <c r="K25" s="18" t="b">
        <f>VLOOKUP(A25,Model!C$2:D$208,2,FALSE)=B25</f>
        <v>1</v>
      </c>
      <c r="L25" s="18" t="b">
        <f>VLOOKUP(A25,Model!C$2:G$208,5,FALSE)=C25</f>
        <v>1</v>
      </c>
      <c r="M25" s="18" t="b">
        <f>VLOOKUP(Table1[[#This Row],[Physical Name of Attribute (Name of column in Table)
Supplied by DA Team]],Table!A$2:H$323,1,FALSE)=Table1[[#This Row],[Physical Name of Attribute (Name of column in Table)
Supplied by DA Team]]</f>
        <v>1</v>
      </c>
      <c r="N25" s="18" t="b">
        <f>VLOOKUP(B25,Table!A$2:F$319,2,FALSE)=Table1[[#This Row],[Data type in Oracle
VARCHAR2(n), DATE, NUMBER(m,n), TIMETSTAMP(6)]]</f>
        <v>0</v>
      </c>
      <c r="O25" s="18" t="b">
        <f>VLOOKUP(B25,Table!A$2:F$231,3,FALSE)=Table1[[#This Row],[Nullable in Table and in Oracle View
NULL, NOT NULL]]</f>
        <v>1</v>
      </c>
      <c r="P25" s="55" t="b">
        <f>VLOOKUP(B25,Table!A$2:H$228,6,FALSE)=Table1[[#This Row],[Business Definition (To go into comments and into Meta Data Hub)]]</f>
        <v>0</v>
      </c>
      <c r="Q25" s="18" t="s">
        <v>68</v>
      </c>
      <c r="R25" s="18" t="s">
        <v>448</v>
      </c>
      <c r="S25" s="18" t="s">
        <v>449</v>
      </c>
      <c r="T25" s="18"/>
      <c r="U25" s="18"/>
      <c r="V25" s="46" t="s">
        <v>450</v>
      </c>
      <c r="W25" s="46"/>
      <c r="X25" s="18"/>
      <c r="Y25" s="1" t="e">
        <f>VLOOKUP(A25,Model!A$2:J$210,2,FALSE)</f>
        <v>#N/A</v>
      </c>
      <c r="Z25" s="1"/>
      <c r="AA25" s="1"/>
      <c r="AB25" s="1"/>
      <c r="AC25" s="1"/>
      <c r="AD25" s="32" t="b">
        <f>VLOOKUP(B25,AVY_FACT!A$2:A$153,1,FALSE)=B25</f>
        <v>1</v>
      </c>
      <c r="AE25" s="32" t="b">
        <f>VLOOKUP(B25,AVY_FACT!A$2:F$153,2,FALSE)=C25</f>
        <v>1</v>
      </c>
      <c r="AF25" s="32" t="str">
        <f t="shared" ref="AF25:AF34" si="2">K25&amp;"  "&amp;C25&amp;","</f>
        <v>TRUE  NUMBER(38,0),</v>
      </c>
      <c r="AG25" s="33" t="str">
        <f t="shared" si="0"/>
        <v>COMMENT ON COLUMN TRANSACTIONS_OWNER.AVY_FACT.CSH_AVY_CL_ID IS 'CDS assigned identifier for the activity class.
This field will be populated only if the transaction has a Cash leg.';</v>
      </c>
    </row>
    <row r="26" spans="1:33" ht="22.5" hidden="1" customHeight="1">
      <c r="A26" s="18" t="s">
        <v>451</v>
      </c>
      <c r="B26" s="18" t="s">
        <v>452</v>
      </c>
      <c r="C26" s="18" t="s">
        <v>90</v>
      </c>
      <c r="D26" s="18" t="s">
        <v>63</v>
      </c>
      <c r="E26" s="18" t="s">
        <v>91</v>
      </c>
      <c r="F26" s="45" t="s">
        <v>63</v>
      </c>
      <c r="G26" s="46" t="s">
        <v>454</v>
      </c>
      <c r="H26" s="18"/>
      <c r="I26" s="18" t="s">
        <v>347</v>
      </c>
      <c r="J26" s="18">
        <v>3</v>
      </c>
      <c r="K26" s="18" t="b">
        <f>VLOOKUP(A26,Model!C$2:D$208,2,FALSE)=B26</f>
        <v>1</v>
      </c>
      <c r="L26" s="18" t="b">
        <f>VLOOKUP(A26,Model!C$2:G$208,5,FALSE)=C26</f>
        <v>1</v>
      </c>
      <c r="M26" s="18" t="b">
        <f>VLOOKUP(Table1[[#This Row],[Physical Name of Attribute (Name of column in Table)
Supplied by DA Team]],Table!A$2:H$323,1,FALSE)=Table1[[#This Row],[Physical Name of Attribute (Name of column in Table)
Supplied by DA Team]]</f>
        <v>1</v>
      </c>
      <c r="N26" s="18" t="b">
        <f>VLOOKUP(B26,Table!A$2:F$319,2,FALSE)=Table1[[#This Row],[Data type in Oracle
VARCHAR2(n), DATE, NUMBER(m,n), TIMETSTAMP(6)]]</f>
        <v>0</v>
      </c>
      <c r="O26" s="18" t="b">
        <f>VLOOKUP(B26,Table!A$2:F$231,3,FALSE)=Table1[[#This Row],[Nullable in Table and in Oracle View
NULL, NOT NULL]]</f>
        <v>1</v>
      </c>
      <c r="P26" s="55" t="b">
        <f>VLOOKUP(B26,Table!A$2:H$228,6,FALSE)=Table1[[#This Row],[Business Definition (To go into comments and into Meta Data Hub)]]</f>
        <v>0</v>
      </c>
      <c r="Q26" s="18" t="s">
        <v>68</v>
      </c>
      <c r="R26" s="18" t="s">
        <v>436</v>
      </c>
      <c r="S26" s="18" t="s">
        <v>455</v>
      </c>
      <c r="T26" s="18"/>
      <c r="U26" s="18"/>
      <c r="V26" s="46" t="s">
        <v>438</v>
      </c>
      <c r="W26" s="46"/>
      <c r="X26" s="18"/>
      <c r="Y26" s="1" t="e">
        <f>VLOOKUP(A26,Model!A$2:J$210,2,FALSE)</f>
        <v>#N/A</v>
      </c>
      <c r="Z26" s="1"/>
      <c r="AA26" s="1"/>
      <c r="AB26" s="1"/>
      <c r="AC26" s="1"/>
      <c r="AD26" s="32" t="b">
        <f>VLOOKUP(B26,AVY_FACT!A$2:A$153,1,FALSE)=B26</f>
        <v>1</v>
      </c>
      <c r="AE26" s="32" t="b">
        <f>VLOOKUP(B26,AVY_FACT!A$2:F$153,2,FALSE)=C26</f>
        <v>1</v>
      </c>
      <c r="AF26" s="32" t="str">
        <f t="shared" si="2"/>
        <v>TRUE  VARCHAR2(100),</v>
      </c>
      <c r="AG26" s="33" t="str">
        <f t="shared" si="0"/>
        <v>COMMENT ON COLUMN TRANSACTIONS_OWNER.AVY_FACT.CASH_AVY_TP IS 'Represents a more refined view of the Activity Category.
This field will be populated only if the transaction has a Cash leg.';</v>
      </c>
    </row>
    <row r="27" spans="1:33" ht="22.5" hidden="1" customHeight="1">
      <c r="A27" s="18" t="s">
        <v>461</v>
      </c>
      <c r="B27" s="18" t="s">
        <v>462</v>
      </c>
      <c r="C27" s="18" t="s">
        <v>464</v>
      </c>
      <c r="D27" s="18" t="s">
        <v>63</v>
      </c>
      <c r="E27" s="18" t="s">
        <v>465</v>
      </c>
      <c r="F27" s="45" t="s">
        <v>63</v>
      </c>
      <c r="G27" s="46" t="s">
        <v>466</v>
      </c>
      <c r="H27" s="18"/>
      <c r="I27" s="18" t="s">
        <v>347</v>
      </c>
      <c r="J27" s="18">
        <v>3</v>
      </c>
      <c r="K27" s="18" t="b">
        <f>VLOOKUP(A27,Model!C$2:D$208,2,FALSE)=B27</f>
        <v>1</v>
      </c>
      <c r="L27" s="18" t="b">
        <f>VLOOKUP(A27,Model!C$2:G$208,5,FALSE)=C27</f>
        <v>1</v>
      </c>
      <c r="M27" s="18" t="b">
        <f>VLOOKUP(Table1[[#This Row],[Physical Name of Attribute (Name of column in Table)
Supplied by DA Team]],Table!A$2:H$323,1,FALSE)=Table1[[#This Row],[Physical Name of Attribute (Name of column in Table)
Supplied by DA Team]]</f>
        <v>1</v>
      </c>
      <c r="N27" s="18" t="b">
        <f>VLOOKUP(B27,Table!A$2:F$319,2,FALSE)=Table1[[#This Row],[Data type in Oracle
VARCHAR2(n), DATE, NUMBER(m,n), TIMETSTAMP(6)]]</f>
        <v>0</v>
      </c>
      <c r="O27" s="18" t="b">
        <f>VLOOKUP(B27,Table!A$2:F$231,3,FALSE)=Table1[[#This Row],[Nullable in Table and in Oracle View
NULL, NOT NULL]]</f>
        <v>1</v>
      </c>
      <c r="P27" s="55" t="b">
        <f>VLOOKUP(B27,Table!A$2:H$228,6,FALSE)=Table1[[#This Row],[Business Definition (To go into comments and into Meta Data Hub)]]</f>
        <v>0</v>
      </c>
      <c r="Q27" s="18" t="s">
        <v>68</v>
      </c>
      <c r="R27" s="18" t="s">
        <v>375</v>
      </c>
      <c r="S27" s="18" t="s">
        <v>467</v>
      </c>
      <c r="T27" s="18"/>
      <c r="U27" s="18"/>
      <c r="V27" s="46" t="s">
        <v>468</v>
      </c>
      <c r="W27" s="46"/>
      <c r="X27" s="18"/>
      <c r="Y27" s="1" t="e">
        <f>VLOOKUP(A27,Model!A$2:J$210,2,FALSE)</f>
        <v>#N/A</v>
      </c>
      <c r="Z27" s="1"/>
      <c r="AA27" s="1"/>
      <c r="AB27" s="1"/>
      <c r="AC27" s="1"/>
      <c r="AD27" s="32" t="b">
        <f>VLOOKUP(B27,AVY_FACT!A$2:A$153,1,FALSE)=B27</f>
        <v>1</v>
      </c>
      <c r="AE27" s="32" t="b">
        <f>VLOOKUP(B27,AVY_FACT!A$2:F$153,2,FALSE)=C27</f>
        <v>1</v>
      </c>
      <c r="AF27" s="32" t="str">
        <f t="shared" si="2"/>
        <v>TRUE  VARCHAR2(256),</v>
      </c>
      <c r="AG27" s="33" t="str">
        <f t="shared" si="0"/>
        <v>COMMENT ON COLUMN TRANSACTIONS_OWNER.AVY_FACT.CASH_ALT_DSC_TRAILER_2 IS 'Second line of unformatted, monolingual narrative booking information. SIS trailer field 2. 
This field will be populated only if the transaction has a Cash leg.';</v>
      </c>
    </row>
    <row r="28" spans="1:33" ht="22.5" hidden="1" customHeight="1">
      <c r="A28" s="55" t="s">
        <v>469</v>
      </c>
      <c r="B28" s="18" t="s">
        <v>470</v>
      </c>
      <c r="C28" s="18" t="s">
        <v>62</v>
      </c>
      <c r="D28" s="18" t="s">
        <v>63</v>
      </c>
      <c r="E28" s="18" t="s">
        <v>64</v>
      </c>
      <c r="F28" s="45" t="s">
        <v>63</v>
      </c>
      <c r="G28" s="46" t="s">
        <v>472</v>
      </c>
      <c r="H28" s="18"/>
      <c r="I28" s="18" t="s">
        <v>67</v>
      </c>
      <c r="J28" s="18">
        <v>3</v>
      </c>
      <c r="K28" s="18" t="b">
        <f>VLOOKUP(A28,Model!C$2:D$208,2,FALSE)=B28</f>
        <v>1</v>
      </c>
      <c r="L28" s="18" t="b">
        <f>VLOOKUP(A28,Model!C$2:G$208,5,FALSE)=C28</f>
        <v>1</v>
      </c>
      <c r="M28" s="18" t="b">
        <f>VLOOKUP(Table1[[#This Row],[Physical Name of Attribute (Name of column in Table)
Supplied by DA Team]],Table!A$2:H$323,1,FALSE)=Table1[[#This Row],[Physical Name of Attribute (Name of column in Table)
Supplied by DA Team]]</f>
        <v>1</v>
      </c>
      <c r="N28" s="18" t="b">
        <f>VLOOKUP(B28,Table!A$2:F$319,2,FALSE)=Table1[[#This Row],[Data type in Oracle
VARCHAR2(n), DATE, NUMBER(m,n), TIMETSTAMP(6)]]</f>
        <v>0</v>
      </c>
      <c r="O28" s="18" t="b">
        <f>VLOOKUP(B28,Table!A$2:F$231,3,FALSE)=Table1[[#This Row],[Nullable in Table and in Oracle View
NULL, NOT NULL]]</f>
        <v>1</v>
      </c>
      <c r="P28" s="55" t="b">
        <f>VLOOKUP(B28,Table!A$2:H$228,6,FALSE)=Table1[[#This Row],[Business Definition (To go into comments and into Meta Data Hub)]]</f>
        <v>0</v>
      </c>
      <c r="Q28" s="18" t="s">
        <v>68</v>
      </c>
      <c r="R28" s="18" t="s">
        <v>375</v>
      </c>
      <c r="S28" s="18" t="s">
        <v>473</v>
      </c>
      <c r="T28" s="18"/>
      <c r="U28" s="18"/>
      <c r="V28" s="46" t="s">
        <v>468</v>
      </c>
      <c r="W28" s="46"/>
      <c r="X28" s="18"/>
      <c r="Y28" s="1" t="e">
        <f>VLOOKUP(A28,Model!A$2:J$210,2,FALSE)</f>
        <v>#N/A</v>
      </c>
      <c r="Z28" s="1"/>
      <c r="AA28" s="1"/>
      <c r="AB28" s="1"/>
      <c r="AC28" s="1"/>
      <c r="AD28" s="32" t="e">
        <f>VLOOKUP(B28,AVY_FACT!A$2:A$153,1,FALSE)=B28</f>
        <v>#N/A</v>
      </c>
      <c r="AE28" s="32" t="e">
        <f>VLOOKUP(B28,AVY_FACT!A$2:F$153,2,FALSE)=C28</f>
        <v>#N/A</v>
      </c>
      <c r="AF28" s="32" t="str">
        <f t="shared" si="2"/>
        <v>TRUE  VARCHAR2(50),</v>
      </c>
      <c r="AG28" s="33" t="str">
        <f t="shared" si="0"/>
        <v>COMMENT ON COLUMN TRANSACTIONS_OWNER.AVY_FACT.CASH_APA_EXT_QUALFR IS 'Qualifier code from the external source system.
This field will be populated only if the transaction has a Cash leg.';</v>
      </c>
    </row>
    <row r="29" spans="1:33" ht="22.5" hidden="1" customHeight="1">
      <c r="A29" s="18" t="s">
        <v>2608</v>
      </c>
      <c r="B29" s="18" t="s">
        <v>475</v>
      </c>
      <c r="C29" s="18" t="s">
        <v>101</v>
      </c>
      <c r="D29" s="18" t="s">
        <v>63</v>
      </c>
      <c r="E29" s="18" t="s">
        <v>133</v>
      </c>
      <c r="F29" s="45" t="s">
        <v>63</v>
      </c>
      <c r="G29" s="46" t="s">
        <v>476</v>
      </c>
      <c r="H29" s="18"/>
      <c r="I29" s="18" t="s">
        <v>347</v>
      </c>
      <c r="J29" s="18">
        <v>3</v>
      </c>
      <c r="K29" s="18" t="b">
        <f>VLOOKUP(A29,Model!C$2:D$208,2,FALSE)=B29</f>
        <v>1</v>
      </c>
      <c r="L29" s="18" t="b">
        <f>VLOOKUP(A29,Model!C$2:G$208,5,FALSE)=C29</f>
        <v>1</v>
      </c>
      <c r="M29" s="18" t="b">
        <f>VLOOKUP(Table1[[#This Row],[Physical Name of Attribute (Name of column in Table)
Supplied by DA Team]],Table!A$2:H$323,1,FALSE)=Table1[[#This Row],[Physical Name of Attribute (Name of column in Table)
Supplied by DA Team]]</f>
        <v>1</v>
      </c>
      <c r="N29" s="18" t="b">
        <f>VLOOKUP(B29,Table!A$2:F$319,2,FALSE)=Table1[[#This Row],[Data type in Oracle
VARCHAR2(n), DATE, NUMBER(m,n), TIMETSTAMP(6)]]</f>
        <v>0</v>
      </c>
      <c r="O29" s="18" t="b">
        <f>VLOOKUP(B29,Table!A$2:F$231,3,FALSE)=Table1[[#This Row],[Nullable in Table and in Oracle View
NULL, NOT NULL]]</f>
        <v>1</v>
      </c>
      <c r="P29" s="55" t="b">
        <f>VLOOKUP(B29,Table!A$2:H$228,6,FALSE)=Table1[[#This Row],[Business Definition (To go into comments and into Meta Data Hub)]]</f>
        <v>0</v>
      </c>
      <c r="Q29" s="18" t="s">
        <v>68</v>
      </c>
      <c r="R29" s="18" t="s">
        <v>375</v>
      </c>
      <c r="S29" s="18" t="s">
        <v>477</v>
      </c>
      <c r="T29" s="18"/>
      <c r="U29" s="18"/>
      <c r="V29" s="46" t="s">
        <v>468</v>
      </c>
      <c r="W29" s="46"/>
      <c r="X29" s="18"/>
      <c r="Y29" s="1" t="e">
        <f>VLOOKUP(A29,Model!A$2:J$210,2,FALSE)</f>
        <v>#N/A</v>
      </c>
      <c r="Z29" s="1"/>
      <c r="AA29" s="1"/>
      <c r="AB29" s="1"/>
      <c r="AC29" s="1"/>
      <c r="AD29" s="32" t="b">
        <f>VLOOKUP(B29,AVY_FACT!A$2:A$153,1,FALSE)=B29</f>
        <v>1</v>
      </c>
      <c r="AE29" s="32" t="b">
        <f>VLOOKUP(B29,AVY_FACT!A$2:F$153,2,FALSE)=C29</f>
        <v>1</v>
      </c>
      <c r="AF29" s="32" t="str">
        <f t="shared" si="2"/>
        <v>TRUE  NUMBER(38,0),</v>
      </c>
      <c r="AG29" s="33" t="str">
        <f t="shared" si="0"/>
        <v>COMMENT ON COLUMN TRANSACTIONS_OWNER.AVY_FACT.CSH_APA_ID IS 'APA_ID from CCAL APA table. It is recorded here for the purpose of maintaining a link with the source. 
This field will be populated only if the transaction has a Cash leg.';</v>
      </c>
    </row>
    <row r="30" spans="1:33" ht="22.5" hidden="1" customHeight="1">
      <c r="A30" s="18" t="s">
        <v>2609</v>
      </c>
      <c r="B30" s="18" t="s">
        <v>479</v>
      </c>
      <c r="C30" s="18" t="s">
        <v>139</v>
      </c>
      <c r="D30" s="18" t="s">
        <v>63</v>
      </c>
      <c r="E30" s="18" t="s">
        <v>140</v>
      </c>
      <c r="F30" s="45" t="s">
        <v>63</v>
      </c>
      <c r="G30" s="46" t="s">
        <v>481</v>
      </c>
      <c r="H30" s="18"/>
      <c r="I30" s="18" t="s">
        <v>347</v>
      </c>
      <c r="J30" s="18">
        <v>3</v>
      </c>
      <c r="K30" s="18" t="b">
        <f>VLOOKUP(A30,Model!C$2:D$208,2,FALSE)=B30</f>
        <v>1</v>
      </c>
      <c r="L30" s="18" t="b">
        <f>VLOOKUP(A30,Model!C$2:G$208,5,FALSE)=C30</f>
        <v>1</v>
      </c>
      <c r="M30" s="18" t="b">
        <f>VLOOKUP(Table1[[#This Row],[Physical Name of Attribute (Name of column in Table)
Supplied by DA Team]],Table!A$2:H$323,1,FALSE)=Table1[[#This Row],[Physical Name of Attribute (Name of column in Table)
Supplied by DA Team]]</f>
        <v>1</v>
      </c>
      <c r="N30" s="18" t="b">
        <f>VLOOKUP(B30,Table!A$2:F$319,2,FALSE)=Table1[[#This Row],[Data type in Oracle
VARCHAR2(n), DATE, NUMBER(m,n), TIMETSTAMP(6)]]</f>
        <v>0</v>
      </c>
      <c r="O30" s="18" t="b">
        <f>VLOOKUP(B30,Table!A$2:F$231,3,FALSE)=Table1[[#This Row],[Nullable in Table and in Oracle View
NULL, NOT NULL]]</f>
        <v>1</v>
      </c>
      <c r="P30" s="55" t="b">
        <f>VLOOKUP(B30,Table!A$2:H$228,6,FALSE)=Table1[[#This Row],[Business Definition (To go into comments and into Meta Data Hub)]]</f>
        <v>0</v>
      </c>
      <c r="Q30" s="18" t="s">
        <v>68</v>
      </c>
      <c r="R30" s="18" t="s">
        <v>113</v>
      </c>
      <c r="S30" s="18" t="s">
        <v>143</v>
      </c>
      <c r="T30" s="18"/>
      <c r="U30" s="18"/>
      <c r="V30" s="46" t="s">
        <v>468</v>
      </c>
      <c r="W30" s="46"/>
      <c r="X30" s="18"/>
      <c r="Y30" s="1" t="e">
        <f>VLOOKUP(A30,Model!A$2:J$210,2,FALSE)</f>
        <v>#N/A</v>
      </c>
      <c r="Z30" s="1"/>
      <c r="AA30" s="1"/>
      <c r="AB30" s="1"/>
      <c r="AC30" s="1"/>
      <c r="AD30" s="32" t="b">
        <f>VLOOKUP(B30,AVY_FACT!A$2:A$153,1,FALSE)=B30</f>
        <v>1</v>
      </c>
      <c r="AE30" s="32" t="b">
        <f>VLOOKUP(B30,AVY_FACT!A$2:F$153,2,FALSE)=C30</f>
        <v>1</v>
      </c>
      <c r="AF30" s="32" t="str">
        <f t="shared" si="2"/>
        <v>TRUE  VARCHAR2(20),</v>
      </c>
      <c r="AG30" s="33" t="str">
        <f t="shared" si="0"/>
        <v>COMMENT ON COLUMN TRANSACTIONS_OWNER.AVY_FACT.CASH_APA_TP_CD IS 'Code associated with Asset Package Type Id.
This field will be populated only if the transaction has a Cash leg.';</v>
      </c>
    </row>
    <row r="31" spans="1:33" ht="22.5" hidden="1" customHeight="1">
      <c r="A31" s="18" t="s">
        <v>2610</v>
      </c>
      <c r="B31" s="18" t="s">
        <v>483</v>
      </c>
      <c r="C31" s="18" t="s">
        <v>485</v>
      </c>
      <c r="D31" s="18" t="s">
        <v>63</v>
      </c>
      <c r="E31" s="18" t="s">
        <v>486</v>
      </c>
      <c r="F31" s="45" t="s">
        <v>63</v>
      </c>
      <c r="G31" s="46" t="s">
        <v>487</v>
      </c>
      <c r="H31" s="18"/>
      <c r="I31" s="18" t="s">
        <v>347</v>
      </c>
      <c r="J31" s="18">
        <v>3</v>
      </c>
      <c r="K31" s="18" t="b">
        <f>VLOOKUP(A31,Model!C$2:D$208,2,FALSE)=B31</f>
        <v>1</v>
      </c>
      <c r="L31" s="18" t="b">
        <f>VLOOKUP(A31,Model!C$2:G$208,5,FALSE)=C31</f>
        <v>1</v>
      </c>
      <c r="M31" s="18" t="b">
        <f>VLOOKUP(Table1[[#This Row],[Physical Name of Attribute (Name of column in Table)
Supplied by DA Team]],Table!A$2:H$323,1,FALSE)=Table1[[#This Row],[Physical Name of Attribute (Name of column in Table)
Supplied by DA Team]]</f>
        <v>1</v>
      </c>
      <c r="N31" s="18" t="b">
        <f>VLOOKUP(B31,Table!A$2:F$319,2,FALSE)=Table1[[#This Row],[Data type in Oracle
VARCHAR2(n), DATE, NUMBER(m,n), TIMETSTAMP(6)]]</f>
        <v>0</v>
      </c>
      <c r="O31" s="18" t="b">
        <f>VLOOKUP(B31,Table!A$2:F$231,3,FALSE)=Table1[[#This Row],[Nullable in Table and in Oracle View
NULL, NOT NULL]]</f>
        <v>1</v>
      </c>
      <c r="P31" s="55" t="b">
        <f>VLOOKUP(B31,Table!A$2:H$228,6,FALSE)=Table1[[#This Row],[Business Definition (To go into comments and into Meta Data Hub)]]</f>
        <v>0</v>
      </c>
      <c r="Q31" s="18" t="s">
        <v>68</v>
      </c>
      <c r="R31" s="18" t="s">
        <v>113</v>
      </c>
      <c r="S31" s="18" t="s">
        <v>488</v>
      </c>
      <c r="T31" s="18"/>
      <c r="U31" s="18"/>
      <c r="V31" s="46" t="s">
        <v>468</v>
      </c>
      <c r="W31" s="46"/>
      <c r="X31" s="18"/>
      <c r="Y31" s="1" t="e">
        <f>VLOOKUP(A31,Model!A$2:J$210,2,FALSE)</f>
        <v>#N/A</v>
      </c>
      <c r="Z31" s="1"/>
      <c r="AA31" s="1"/>
      <c r="AB31" s="1"/>
      <c r="AC31" s="1"/>
      <c r="AD31" s="32" t="b">
        <f>VLOOKUP(B31,AVY_FACT!A$2:A$153,1,FALSE)=B31</f>
        <v>1</v>
      </c>
      <c r="AE31" s="32" t="b">
        <f>VLOOKUP(B31,AVY_FACT!A$2:F$153,2,FALSE)=C31</f>
        <v>1</v>
      </c>
      <c r="AF31" s="32" t="str">
        <f t="shared" si="2"/>
        <v>TRUE  VARCHAR2(1000),</v>
      </c>
      <c r="AG31" s="33" t="str">
        <f t="shared" si="0"/>
        <v>COMMENT ON COLUMN TRANSACTIONS_OWNER.AVY_FACT.CASH_APA_TP_DSC IS 'Description associated with Asset Package Type Id.
This field will be populated only if the transaction has a Cash leg.';</v>
      </c>
    </row>
    <row r="32" spans="1:33" ht="22.5" hidden="1" customHeight="1">
      <c r="A32" s="18" t="s">
        <v>2611</v>
      </c>
      <c r="B32" s="18" t="s">
        <v>490</v>
      </c>
      <c r="C32" s="18" t="s">
        <v>101</v>
      </c>
      <c r="D32" s="18" t="s">
        <v>63</v>
      </c>
      <c r="E32" s="18" t="s">
        <v>133</v>
      </c>
      <c r="F32" s="45" t="s">
        <v>63</v>
      </c>
      <c r="G32" s="46" t="s">
        <v>491</v>
      </c>
      <c r="H32" s="18"/>
      <c r="I32" s="18" t="s">
        <v>347</v>
      </c>
      <c r="J32" s="18">
        <v>3</v>
      </c>
      <c r="K32" s="18" t="b">
        <f>VLOOKUP(A32,Model!C$2:D$208,2,FALSE)=B32</f>
        <v>1</v>
      </c>
      <c r="L32" s="18" t="b">
        <f>VLOOKUP(A32,Model!C$2:G$208,5,FALSE)=C32</f>
        <v>1</v>
      </c>
      <c r="M32" s="18" t="b">
        <f>VLOOKUP(Table1[[#This Row],[Physical Name of Attribute (Name of column in Table)
Supplied by DA Team]],Table!A$2:H$323,1,FALSE)=Table1[[#This Row],[Physical Name of Attribute (Name of column in Table)
Supplied by DA Team]]</f>
        <v>1</v>
      </c>
      <c r="N32" s="18" t="b">
        <f>VLOOKUP(B32,Table!A$2:F$319,2,FALSE)=Table1[[#This Row],[Data type in Oracle
VARCHAR2(n), DATE, NUMBER(m,n), TIMETSTAMP(6)]]</f>
        <v>0</v>
      </c>
      <c r="O32" s="18" t="b">
        <f>VLOOKUP(B32,Table!A$2:F$231,3,FALSE)=Table1[[#This Row],[Nullable in Table and in Oracle View
NULL, NOT NULL]]</f>
        <v>1</v>
      </c>
      <c r="P32" s="55" t="b">
        <f>VLOOKUP(B32,Table!A$2:H$228,6,FALSE)=Table1[[#This Row],[Business Definition (To go into comments and into Meta Data Hub)]]</f>
        <v>0</v>
      </c>
      <c r="Q32" s="18" t="s">
        <v>68</v>
      </c>
      <c r="R32" s="18" t="s">
        <v>375</v>
      </c>
      <c r="S32" s="18" t="s">
        <v>492</v>
      </c>
      <c r="T32" s="18"/>
      <c r="U32" s="18"/>
      <c r="V32" s="46" t="s">
        <v>468</v>
      </c>
      <c r="W32" s="46"/>
      <c r="X32" s="18"/>
      <c r="Y32" s="1" t="e">
        <f>VLOOKUP(A32,Model!A$2:J$210,2,FALSE)</f>
        <v>#N/A</v>
      </c>
      <c r="Z32" s="1"/>
      <c r="AA32" s="1"/>
      <c r="AB32" s="1"/>
      <c r="AC32" s="1"/>
      <c r="AD32" s="32" t="b">
        <f>VLOOKUP(B32,AVY_FACT!A$2:A$153,1,FALSE)=B32</f>
        <v>1</v>
      </c>
      <c r="AE32" s="32" t="b">
        <f>VLOOKUP(B32,AVY_FACT!A$2:F$153,2,FALSE)=C32</f>
        <v>1</v>
      </c>
      <c r="AF32" s="32" t="str">
        <f t="shared" si="2"/>
        <v>TRUE  NUMBER(38,0),</v>
      </c>
      <c r="AG32" s="33" t="str">
        <f t="shared" si="0"/>
        <v>COMMENT ON COLUMN TRANSACTIONS_OWNER.AVY_FACT.CSH_APA_TP_ID IS 'Asset Pacakge type Id from CCAL core.
This field will be populated only if the transaction has a Cash leg.';</v>
      </c>
    </row>
    <row r="33" spans="1:33" ht="22.5" hidden="1" customHeight="1">
      <c r="A33" s="18" t="s">
        <v>493</v>
      </c>
      <c r="B33" s="18" t="s">
        <v>494</v>
      </c>
      <c r="C33" s="55" t="s">
        <v>109</v>
      </c>
      <c r="D33" s="18" t="s">
        <v>63</v>
      </c>
      <c r="E33" s="18" t="s">
        <v>110</v>
      </c>
      <c r="F33" s="45" t="s">
        <v>63</v>
      </c>
      <c r="G33" s="46" t="s">
        <v>496</v>
      </c>
      <c r="H33" s="18"/>
      <c r="I33" s="18" t="s">
        <v>381</v>
      </c>
      <c r="J33" s="18">
        <v>3</v>
      </c>
      <c r="K33" s="18" t="b">
        <f>VLOOKUP(A33,Model!C$2:D$208,2,FALSE)=B33</f>
        <v>1</v>
      </c>
      <c r="L33" s="18" t="b">
        <f>VLOOKUP(A33,Model!C$2:G$208,5,FALSE)=C33</f>
        <v>1</v>
      </c>
      <c r="M33" s="18" t="b">
        <f>VLOOKUP(Table1[[#This Row],[Physical Name of Attribute (Name of column in Table)
Supplied by DA Team]],Table!A$2:H$323,1,FALSE)=Table1[[#This Row],[Physical Name of Attribute (Name of column in Table)
Supplied by DA Team]]</f>
        <v>1</v>
      </c>
      <c r="N33" s="18" t="b">
        <f>VLOOKUP(B33,Table!A$2:F$319,2,FALSE)=Table1[[#This Row],[Data type in Oracle
VARCHAR2(n), DATE, NUMBER(m,n), TIMETSTAMP(6)]]</f>
        <v>0</v>
      </c>
      <c r="O33" s="18" t="b">
        <f>VLOOKUP(B33,Table!A$2:F$231,3,FALSE)=Table1[[#This Row],[Nullable in Table and in Oracle View
NULL, NOT NULL]]</f>
        <v>1</v>
      </c>
      <c r="P33" s="55" t="b">
        <f>VLOOKUP(B33,Table!A$2:H$228,6,FALSE)=Table1[[#This Row],[Business Definition (To go into comments and into Meta Data Hub)]]</f>
        <v>0</v>
      </c>
      <c r="Q33" s="18" t="s">
        <v>68</v>
      </c>
      <c r="R33" s="18" t="s">
        <v>113</v>
      </c>
      <c r="S33" s="18" t="s">
        <v>114</v>
      </c>
      <c r="T33" s="18"/>
      <c r="U33" s="18"/>
      <c r="V33" s="46" t="s">
        <v>468</v>
      </c>
      <c r="W33" s="46" t="s">
        <v>105</v>
      </c>
      <c r="X33" s="18"/>
      <c r="Y33" s="1" t="e">
        <f>VLOOKUP(A33,Model!A$2:J$210,2,FALSE)</f>
        <v>#N/A</v>
      </c>
      <c r="Z33" s="1"/>
      <c r="AA33" s="1"/>
      <c r="AB33" s="1"/>
      <c r="AC33" s="1"/>
      <c r="AD33" s="32" t="b">
        <f>VLOOKUP(B33,AVY_FACT!A$2:A$153,1,FALSE)=B33</f>
        <v>1</v>
      </c>
      <c r="AE33" s="32" t="b">
        <f>VLOOKUP(B33,AVY_FACT!A$2:F$153,2,FALSE)=C33</f>
        <v>0</v>
      </c>
      <c r="AF33" s="32" t="str">
        <f t="shared" si="2"/>
        <v>TRUE  VARCHAR2(200),</v>
      </c>
      <c r="AG33" s="33" t="str">
        <f t="shared" si="0"/>
        <v>COMMENT ON COLUMN TRANSACTIONS_OWNER.AVY_FACT.CASH_APA_TP_NM IS 'Name of Asset Package Type Id.
This field will be populated only if the transaction has a Cash leg.';</v>
      </c>
    </row>
    <row r="34" spans="1:33" ht="22.5" hidden="1" customHeight="1">
      <c r="A34" s="18" t="s">
        <v>2612</v>
      </c>
      <c r="B34" s="18" t="s">
        <v>498</v>
      </c>
      <c r="C34" s="18" t="s">
        <v>101</v>
      </c>
      <c r="D34" s="18" t="s">
        <v>63</v>
      </c>
      <c r="E34" s="18" t="s">
        <v>133</v>
      </c>
      <c r="F34" s="45" t="s">
        <v>63</v>
      </c>
      <c r="G34" s="46" t="s">
        <v>500</v>
      </c>
      <c r="H34" s="18"/>
      <c r="I34" s="18" t="s">
        <v>347</v>
      </c>
      <c r="J34" s="18">
        <v>3</v>
      </c>
      <c r="K34" s="18" t="b">
        <f>VLOOKUP(A34,Model!C$2:D$208,2,FALSE)=B34</f>
        <v>1</v>
      </c>
      <c r="L34" s="18" t="b">
        <f>VLOOKUP(A34,Model!C$2:G$208,5,FALSE)=C34</f>
        <v>1</v>
      </c>
      <c r="M34" s="18" t="b">
        <f>VLOOKUP(Table1[[#This Row],[Physical Name of Attribute (Name of column in Table)
Supplied by DA Team]],Table!A$2:H$323,1,FALSE)=Table1[[#This Row],[Physical Name of Attribute (Name of column in Table)
Supplied by DA Team]]</f>
        <v>1</v>
      </c>
      <c r="N34" s="18" t="b">
        <f>VLOOKUP(B34,Table!A$2:F$319,2,FALSE)=Table1[[#This Row],[Data type in Oracle
VARCHAR2(n), DATE, NUMBER(m,n), TIMETSTAMP(6)]]</f>
        <v>0</v>
      </c>
      <c r="O34" s="18" t="b">
        <f>VLOOKUP(B34,Table!A$2:F$231,3,FALSE)=Table1[[#This Row],[Nullable in Table and in Oracle View
NULL, NOT NULL]]</f>
        <v>1</v>
      </c>
      <c r="P34" s="55" t="b">
        <f>VLOOKUP(B34,Table!A$2:H$228,6,FALSE)=Table1[[#This Row],[Business Definition (To go into comments and into Meta Data Hub)]]</f>
        <v>0</v>
      </c>
      <c r="Q34" s="18" t="s">
        <v>68</v>
      </c>
      <c r="R34" s="18" t="s">
        <v>501</v>
      </c>
      <c r="S34" s="18" t="s">
        <v>502</v>
      </c>
      <c r="T34" s="18"/>
      <c r="U34" s="18"/>
      <c r="V34" s="46" t="s">
        <v>503</v>
      </c>
      <c r="W34" s="46"/>
      <c r="X34" s="18"/>
      <c r="Y34" s="1" t="e">
        <f>VLOOKUP(A34,Model!A$2:J$210,2,FALSE)</f>
        <v>#N/A</v>
      </c>
      <c r="Z34" s="1"/>
      <c r="AA34" s="1"/>
      <c r="AB34" s="1"/>
      <c r="AC34" s="1"/>
      <c r="AD34" s="32" t="b">
        <f>VLOOKUP(B34,AVY_FACT!A$2:A$153,1,FALSE)=B34</f>
        <v>1</v>
      </c>
      <c r="AE34" s="32" t="b">
        <f>VLOOKUP(B34,AVY_FACT!A$2:F$153,2,FALSE)=C34</f>
        <v>1</v>
      </c>
      <c r="AF34" s="32" t="str">
        <f t="shared" si="2"/>
        <v>TRUE  NUMBER(38,0),</v>
      </c>
      <c r="AG34" s="33" t="str">
        <f t="shared" ref="AG34:AG58" si="3">"COMMENT ON COLUMN TRANSACTIONS_OWNER.AVY_FACT."&amp;B34&amp;" IS '"&amp;SUBSTITUTE(G34,"'","''")&amp;"';"</f>
        <v>COMMENT ON COLUMN TRANSACTIONS_OWNER.AVY_FACT.CASH_CIRD_PD_ID IS 'CIRD identifier for product.
This field will be populated only if the transaction has a Cash leg.';</v>
      </c>
    </row>
    <row r="35" spans="1:33" ht="22.5" hidden="1" customHeight="1">
      <c r="A35" s="18" t="s">
        <v>2613</v>
      </c>
      <c r="B35" s="18" t="s">
        <v>505</v>
      </c>
      <c r="C35" s="55" t="s">
        <v>139</v>
      </c>
      <c r="D35" s="18" t="s">
        <v>63</v>
      </c>
      <c r="E35" s="18" t="s">
        <v>140</v>
      </c>
      <c r="F35" s="45" t="s">
        <v>63</v>
      </c>
      <c r="G35" s="46" t="s">
        <v>506</v>
      </c>
      <c r="H35" s="18"/>
      <c r="I35" s="18" t="s">
        <v>381</v>
      </c>
      <c r="J35" s="18">
        <v>3</v>
      </c>
      <c r="K35" s="18" t="b">
        <f>VLOOKUP(A35,Model!C$2:D$208,2,FALSE)=B35</f>
        <v>1</v>
      </c>
      <c r="L35" s="18" t="b">
        <f>VLOOKUP(A35,Model!C$2:G$208,5,FALSE)=C35</f>
        <v>1</v>
      </c>
      <c r="M35" s="18" t="b">
        <f>VLOOKUP(Table1[[#This Row],[Physical Name of Attribute (Name of column in Table)
Supplied by DA Team]],Table!A$2:H$323,1,FALSE)=Table1[[#This Row],[Physical Name of Attribute (Name of column in Table)
Supplied by DA Team]]</f>
        <v>1</v>
      </c>
      <c r="N35" s="18" t="b">
        <f>VLOOKUP(B35,Table!A$2:F$319,2,FALSE)=Table1[[#This Row],[Data type in Oracle
VARCHAR2(n), DATE, NUMBER(m,n), TIMETSTAMP(6)]]</f>
        <v>0</v>
      </c>
      <c r="O35" s="18" t="b">
        <f>VLOOKUP(B35,Table!A$2:F$231,3,FALSE)=Table1[[#This Row],[Nullable in Table and in Oracle View
NULL, NOT NULL]]</f>
        <v>1</v>
      </c>
      <c r="P35" s="55" t="b">
        <f>VLOOKUP(B35,Table!A$2:H$228,6,FALSE)=Table1[[#This Row],[Business Definition (To go into comments and into Meta Data Hub)]]</f>
        <v>0</v>
      </c>
      <c r="Q35" s="18" t="s">
        <v>68</v>
      </c>
      <c r="R35" s="18" t="s">
        <v>113</v>
      </c>
      <c r="S35" s="18" t="s">
        <v>143</v>
      </c>
      <c r="T35" s="18"/>
      <c r="U35" s="18"/>
      <c r="V35" s="46" t="s">
        <v>507</v>
      </c>
      <c r="W35" s="46"/>
      <c r="X35" s="18"/>
      <c r="Y35" s="1" t="e">
        <f>VLOOKUP(A35,Model!A$2:J$210,2,FALSE)</f>
        <v>#N/A</v>
      </c>
      <c r="Z35" s="1"/>
      <c r="AA35" s="1"/>
      <c r="AB35" s="1"/>
      <c r="AC35" s="1"/>
      <c r="AD35" s="32" t="b">
        <f>VLOOKUP(B35,AVY_FACT!A$2:A$153,1,FALSE)=B35</f>
        <v>1</v>
      </c>
      <c r="AE35" s="32" t="b">
        <f>VLOOKUP(B35,AVY_FACT!A$2:F$153,2,FALSE)=C35</f>
        <v>0</v>
      </c>
      <c r="AF35" s="32" t="str">
        <f>B35&amp;"  "&amp;C35&amp;","</f>
        <v>CASH_DB_CR_CD  VARCHAR2(20),</v>
      </c>
      <c r="AG35" s="33" t="str">
        <f t="shared" si="3"/>
        <v>COMMENT ON COLUMN TRANSACTIONS_OWNER.AVY_FACT.CASH_DB_CR_CD IS 'A code representing Debit / Credit (e.g. D / C)
This field will be populated only if the transaction has a Cash leg.';</v>
      </c>
    </row>
    <row r="36" spans="1:33" ht="22.5" hidden="1" customHeight="1">
      <c r="A36" s="18" t="s">
        <v>2614</v>
      </c>
      <c r="B36" s="18" t="s">
        <v>509</v>
      </c>
      <c r="C36" s="55" t="s">
        <v>90</v>
      </c>
      <c r="D36" s="18" t="s">
        <v>63</v>
      </c>
      <c r="E36" s="18" t="s">
        <v>91</v>
      </c>
      <c r="F36" s="45" t="s">
        <v>63</v>
      </c>
      <c r="G36" s="46" t="s">
        <v>511</v>
      </c>
      <c r="H36" s="18"/>
      <c r="I36" s="18" t="s">
        <v>381</v>
      </c>
      <c r="J36" s="18">
        <v>3</v>
      </c>
      <c r="K36" s="18" t="b">
        <f>VLOOKUP(A36,Model!C$2:D$208,2,FALSE)=B36</f>
        <v>1</v>
      </c>
      <c r="L36" s="18" t="b">
        <f>VLOOKUP(A36,Model!C$2:G$208,5,FALSE)=C36</f>
        <v>1</v>
      </c>
      <c r="M36" s="18" t="b">
        <f>VLOOKUP(Table1[[#This Row],[Physical Name of Attribute (Name of column in Table)
Supplied by DA Team]],Table!A$2:H$323,1,FALSE)=Table1[[#This Row],[Physical Name of Attribute (Name of column in Table)
Supplied by DA Team]]</f>
        <v>1</v>
      </c>
      <c r="N36" s="18" t="b">
        <f>VLOOKUP(B36,Table!A$2:F$319,2,FALSE)=Table1[[#This Row],[Data type in Oracle
VARCHAR2(n), DATE, NUMBER(m,n), TIMETSTAMP(6)]]</f>
        <v>0</v>
      </c>
      <c r="O36" s="18" t="b">
        <f>VLOOKUP(B36,Table!A$2:F$231,3,FALSE)=Table1[[#This Row],[Nullable in Table and in Oracle View
NULL, NOT NULL]]</f>
        <v>1</v>
      </c>
      <c r="P36" s="55" t="b">
        <f>VLOOKUP(B36,Table!A$2:H$228,6,FALSE)=Table1[[#This Row],[Business Definition (To go into comments and into Meta Data Hub)]]</f>
        <v>0</v>
      </c>
      <c r="Q36" s="18" t="s">
        <v>68</v>
      </c>
      <c r="R36" s="18" t="s">
        <v>113</v>
      </c>
      <c r="S36" s="18" t="s">
        <v>114</v>
      </c>
      <c r="T36" s="18"/>
      <c r="U36" s="18"/>
      <c r="V36" s="46" t="s">
        <v>507</v>
      </c>
      <c r="W36" s="46"/>
      <c r="X36" s="18"/>
      <c r="Y36" s="1" t="e">
        <f>VLOOKUP(A36,Model!A$2:J$210,2,FALSE)</f>
        <v>#N/A</v>
      </c>
      <c r="Z36" s="1"/>
      <c r="AA36" s="1"/>
      <c r="AB36" s="1"/>
      <c r="AC36" s="1"/>
      <c r="AD36" s="32" t="b">
        <f>VLOOKUP(B36,AVY_FACT!A$2:A$153,1,FALSE)=B36</f>
        <v>1</v>
      </c>
      <c r="AE36" s="32" t="b">
        <f>VLOOKUP(B36,AVY_FACT!A$2:F$153,2,FALSE)=C36</f>
        <v>0</v>
      </c>
      <c r="AF36" s="32" t="str">
        <f>B36&amp;"  "&amp;C36&amp;","</f>
        <v>CASH_DB_CR_NM  VARCHAR2(100),</v>
      </c>
      <c r="AG36" s="33" t="str">
        <f t="shared" si="3"/>
        <v>COMMENT ON COLUMN TRANSACTIONS_OWNER.AVY_FACT.CASH_DB_CR_NM IS 'A Name representing Debit / Credit (e.g. Debit / Credit)
This field will be populated only if the transaction has a Cash leg.';</v>
      </c>
    </row>
    <row r="37" spans="1:33" ht="22.5" hidden="1" customHeight="1">
      <c r="A37" s="18" t="s">
        <v>512</v>
      </c>
      <c r="B37" s="18" t="s">
        <v>513</v>
      </c>
      <c r="C37" s="18" t="s">
        <v>464</v>
      </c>
      <c r="D37" s="18" t="s">
        <v>63</v>
      </c>
      <c r="E37" s="18" t="s">
        <v>465</v>
      </c>
      <c r="F37" s="45" t="s">
        <v>63</v>
      </c>
      <c r="G37" s="46" t="s">
        <v>515</v>
      </c>
      <c r="H37" s="18"/>
      <c r="I37" s="18" t="s">
        <v>347</v>
      </c>
      <c r="J37" s="18">
        <v>3</v>
      </c>
      <c r="K37" s="18" t="b">
        <f>VLOOKUP(A37,Model!C$2:D$208,2,FALSE)=B37</f>
        <v>1</v>
      </c>
      <c r="L37" s="18" t="b">
        <f>VLOOKUP(A37,Model!C$2:G$208,5,FALSE)=C37</f>
        <v>1</v>
      </c>
      <c r="M37" s="18" t="b">
        <f>VLOOKUP(Table1[[#This Row],[Physical Name of Attribute (Name of column in Table)
Supplied by DA Team]],Table!A$2:H$323,1,FALSE)=Table1[[#This Row],[Physical Name of Attribute (Name of column in Table)
Supplied by DA Team]]</f>
        <v>1</v>
      </c>
      <c r="N37" s="18" t="b">
        <f>VLOOKUP(B37,Table!A$2:F$319,2,FALSE)=Table1[[#This Row],[Data type in Oracle
VARCHAR2(n), DATE, NUMBER(m,n), TIMETSTAMP(6)]]</f>
        <v>0</v>
      </c>
      <c r="O37" s="18" t="b">
        <f>VLOOKUP(B37,Table!A$2:F$231,3,FALSE)=Table1[[#This Row],[Nullable in Table and in Oracle View
NULL, NOT NULL]]</f>
        <v>1</v>
      </c>
      <c r="P37" s="55" t="b">
        <f>VLOOKUP(B37,Table!A$2:H$228,6,FALSE)=Table1[[#This Row],[Business Definition (To go into comments and into Meta Data Hub)]]</f>
        <v>0</v>
      </c>
      <c r="Q37" s="18" t="s">
        <v>68</v>
      </c>
      <c r="R37" s="18" t="s">
        <v>375</v>
      </c>
      <c r="S37" s="18" t="s">
        <v>516</v>
      </c>
      <c r="T37" s="18"/>
      <c r="U37" s="18"/>
      <c r="V37" s="46" t="s">
        <v>468</v>
      </c>
      <c r="W37" s="46"/>
      <c r="X37" s="18"/>
      <c r="Y37" s="1" t="e">
        <f>VLOOKUP(A37,Model!A$2:J$210,2,FALSE)</f>
        <v>#N/A</v>
      </c>
      <c r="Z37" s="1"/>
      <c r="AA37" s="1"/>
      <c r="AB37" s="1"/>
      <c r="AC37" s="1"/>
      <c r="AD37" s="32" t="b">
        <f>VLOOKUP(B37,AVY_FACT!A$2:A$153,1,FALSE)=B37</f>
        <v>1</v>
      </c>
      <c r="AE37" s="32" t="b">
        <f>VLOOKUP(B37,AVY_FACT!A$2:F$153,2,FALSE)=C37</f>
        <v>1</v>
      </c>
      <c r="AF37" s="32" t="str">
        <f>B37&amp;"  "&amp;C37&amp;","</f>
        <v>CASH_DSC_TRAILER_1  VARCHAR2(256),</v>
      </c>
      <c r="AG37" s="33" t="str">
        <f t="shared" si="3"/>
        <v>COMMENT ON COLUMN TRANSACTIONS_OWNER.AVY_FACT.CASH_DSC_TRAILER_1 IS 'First line of unformatted, monolingual narrative booking information. SIS Trailer field 1.
This field will be populated only if the transaction has a Cash leg.';</v>
      </c>
    </row>
    <row r="38" spans="1:33" ht="22.5" hidden="1" customHeight="1">
      <c r="A38" s="18" t="s">
        <v>2615</v>
      </c>
      <c r="B38" s="18" t="s">
        <v>518</v>
      </c>
      <c r="C38" s="18" t="s">
        <v>519</v>
      </c>
      <c r="D38" s="18" t="s">
        <v>63</v>
      </c>
      <c r="E38" s="18" t="s">
        <v>520</v>
      </c>
      <c r="F38" s="45" t="s">
        <v>63</v>
      </c>
      <c r="G38" s="46" t="s">
        <v>517</v>
      </c>
      <c r="H38" s="18"/>
      <c r="I38" s="18" t="s">
        <v>347</v>
      </c>
      <c r="J38" s="18">
        <v>3</v>
      </c>
      <c r="K38" s="18" t="b">
        <f>VLOOKUP(A38,Model!C$2:D$208,2,FALSE)=B38</f>
        <v>1</v>
      </c>
      <c r="L38" s="18" t="b">
        <f>VLOOKUP(A38,Model!C$2:G$208,5,FALSE)=C38</f>
        <v>1</v>
      </c>
      <c r="M38" s="18" t="b">
        <f>VLOOKUP(Table1[[#This Row],[Physical Name of Attribute (Name of column in Table)
Supplied by DA Team]],Table!A$2:H$323,1,FALSE)=Table1[[#This Row],[Physical Name of Attribute (Name of column in Table)
Supplied by DA Team]]</f>
        <v>1</v>
      </c>
      <c r="N38" s="18" t="b">
        <f>VLOOKUP(B38,Table!A$2:F$319,2,FALSE)=Table1[[#This Row],[Data type in Oracle
VARCHAR2(n), DATE, NUMBER(m,n), TIMETSTAMP(6)]]</f>
        <v>0</v>
      </c>
      <c r="O38" s="18" t="b">
        <f>VLOOKUP(B38,Table!A$2:F$231,3,FALSE)=Table1[[#This Row],[Nullable in Table and in Oracle View
NULL, NOT NULL]]</f>
        <v>1</v>
      </c>
      <c r="P38" s="18" t="b">
        <f>VLOOKUP(B38,Table!A$2:H$228,6,FALSE)=Table1[[#This Row],[Business Definition (To go into comments and into Meta Data Hub)]]</f>
        <v>0</v>
      </c>
      <c r="Q38" s="18" t="s">
        <v>68</v>
      </c>
      <c r="R38" s="18" t="s">
        <v>69</v>
      </c>
      <c r="S38" s="18" t="s">
        <v>518</v>
      </c>
      <c r="T38" s="18"/>
      <c r="U38" s="18"/>
      <c r="V38" s="46"/>
      <c r="W38" s="46"/>
      <c r="X38" s="18"/>
      <c r="Y38" s="1" t="e">
        <f>VLOOKUP(A38,Model!A$2:J$210,2,FALSE)</f>
        <v>#N/A</v>
      </c>
      <c r="Z38" s="1"/>
      <c r="AA38" s="1"/>
      <c r="AB38" s="1"/>
      <c r="AC38" s="1"/>
      <c r="AD38" s="32" t="b">
        <f>VLOOKUP(B38,AVY_FACT!A$2:A$153,1,FALSE)=B38</f>
        <v>1</v>
      </c>
      <c r="AE38" s="32" t="b">
        <f>VLOOKUP(B38,AVY_FACT!A$2:F$153,2,FALSE)=C38</f>
        <v>1</v>
      </c>
      <c r="AF38" s="32" t="str">
        <f>B38&amp;"  "&amp;C38&amp;","</f>
        <v>CF_GEN_F  VARCHAR2(2),</v>
      </c>
      <c r="AG38" s="33" t="str">
        <f t="shared" si="3"/>
        <v>COMMENT ON COLUMN TRANSACTIONS_OWNER.AVY_FACT.CF_GEN_F IS 'Cash Flow Generation Flag';</v>
      </c>
    </row>
    <row r="39" spans="1:33" ht="22.5" hidden="1" customHeight="1">
      <c r="A39" s="50" t="s">
        <v>545</v>
      </c>
      <c r="B39" s="18" t="s">
        <v>546</v>
      </c>
      <c r="C39" s="18" t="s">
        <v>101</v>
      </c>
      <c r="D39" s="18" t="s">
        <v>345</v>
      </c>
      <c r="E39" s="18" t="s">
        <v>133</v>
      </c>
      <c r="F39" s="45" t="s">
        <v>63</v>
      </c>
      <c r="G39" s="46" t="s">
        <v>547</v>
      </c>
      <c r="H39" s="18"/>
      <c r="I39" s="18" t="s">
        <v>347</v>
      </c>
      <c r="J39" s="18">
        <v>3</v>
      </c>
      <c r="K39" s="18" t="b">
        <f>VLOOKUP(A39,Model!C$2:D$208,2,FALSE)=B39</f>
        <v>1</v>
      </c>
      <c r="L39" s="18" t="b">
        <f>VLOOKUP(A39,Model!C$2:G$208,5,FALSE)=C39</f>
        <v>1</v>
      </c>
      <c r="M39" s="18" t="b">
        <f>VLOOKUP(Table1[[#This Row],[Physical Name of Attribute (Name of column in Table)
Supplied by DA Team]],Table!A$2:H$323,1,FALSE)=Table1[[#This Row],[Physical Name of Attribute (Name of column in Table)
Supplied by DA Team]]</f>
        <v>1</v>
      </c>
      <c r="N39" s="18" t="b">
        <f>VLOOKUP(B39,Table!A$2:F$319,2,FALSE)=Table1[[#This Row],[Data type in Oracle
VARCHAR2(n), DATE, NUMBER(m,n), TIMETSTAMP(6)]]</f>
        <v>0</v>
      </c>
      <c r="O39" s="18" t="b">
        <f>VLOOKUP(B39,Table!A$2:F$231,3,FALSE)=Table1[[#This Row],[Nullable in Table and in Oracle View
NULL, NOT NULL]]</f>
        <v>0</v>
      </c>
      <c r="P39" s="55" t="b">
        <f>VLOOKUP(B39,Table!A$2:H$228,6,FALSE)=Table1[[#This Row],[Business Definition (To go into comments and into Meta Data Hub)]]</f>
        <v>0</v>
      </c>
      <c r="Q39" s="18" t="s">
        <v>355</v>
      </c>
      <c r="R39" s="18" t="s">
        <v>548</v>
      </c>
      <c r="S39" s="18" t="s">
        <v>549</v>
      </c>
      <c r="T39" s="18"/>
      <c r="U39" s="18"/>
      <c r="V39" s="46" t="s">
        <v>550</v>
      </c>
      <c r="W39" s="46" t="s">
        <v>313</v>
      </c>
      <c r="X39" s="18"/>
      <c r="Y39" s="1" t="e">
        <f>VLOOKUP(A39,Model!A$2:J$210,2,FALSE)</f>
        <v>#N/A</v>
      </c>
      <c r="Z39" s="1"/>
      <c r="AA39" s="1"/>
      <c r="AB39" s="1"/>
      <c r="AC39" s="1"/>
      <c r="AD39" s="32" t="b">
        <f>VLOOKUP(B39,AVY_FACT!A$2:A$153,1,FALSE)=B39</f>
        <v>1</v>
      </c>
      <c r="AE39" s="32" t="b">
        <f>VLOOKUP(B39,AVY_FACT!A$2:F$153,2,FALSE)=C39</f>
        <v>1</v>
      </c>
      <c r="AF39" s="32" t="str">
        <f>"ALTER TABLE TRANSACTIONS_OWNER.AVY_FACT RENAME COLUMN "&amp;O39&amp;" TO "&amp;K39&amp;";"</f>
        <v>ALTER TABLE TRANSACTIONS_OWNER.AVY_FACT RENAME COLUMN FALSE TO TRUE;</v>
      </c>
      <c r="AG39" s="33" t="str">
        <f t="shared" si="3"/>
        <v>COMMENT ON COLUMN TRANSACTIONS_OWNER.AVY_FACT.CASH_PD_DIM_ID IS 'Surrogate key for Instrument Product Dim.
This field will be populated only if the transaction has a Cash leg.';</v>
      </c>
    </row>
    <row r="40" spans="1:33" ht="22.5" hidden="1" customHeight="1">
      <c r="A40" s="18" t="s">
        <v>2616</v>
      </c>
      <c r="B40" s="18" t="s">
        <v>522</v>
      </c>
      <c r="C40" s="18" t="s">
        <v>427</v>
      </c>
      <c r="D40" s="18" t="s">
        <v>63</v>
      </c>
      <c r="E40" s="18" t="s">
        <v>428</v>
      </c>
      <c r="F40" s="45" t="s">
        <v>63</v>
      </c>
      <c r="G40" s="46" t="s">
        <v>524</v>
      </c>
      <c r="H40" s="18"/>
      <c r="I40" s="18" t="s">
        <v>347</v>
      </c>
      <c r="J40" s="18">
        <v>3</v>
      </c>
      <c r="K40" s="18" t="b">
        <f>VLOOKUP(A40,Model!C$2:D$208,2,FALSE)=B40</f>
        <v>1</v>
      </c>
      <c r="L40" s="18" t="b">
        <f>VLOOKUP(A40,Model!C$2:G$208,5,FALSE)=C40</f>
        <v>1</v>
      </c>
      <c r="M40" s="18" t="b">
        <f>VLOOKUP(Table1[[#This Row],[Physical Name of Attribute (Name of column in Table)
Supplied by DA Team]],Table!A$2:H$323,1,FALSE)=Table1[[#This Row],[Physical Name of Attribute (Name of column in Table)
Supplied by DA Team]]</f>
        <v>1</v>
      </c>
      <c r="N40" s="18" t="b">
        <f>VLOOKUP(B40,Table!A$2:F$319,2,FALSE)=Table1[[#This Row],[Data type in Oracle
VARCHAR2(n), DATE, NUMBER(m,n), TIMETSTAMP(6)]]</f>
        <v>0</v>
      </c>
      <c r="O40" s="18" t="b">
        <f>VLOOKUP(B40,Table!A$2:F$231,3,FALSE)=Table1[[#This Row],[Nullable in Table and in Oracle View
NULL, NOT NULL]]</f>
        <v>1</v>
      </c>
      <c r="P40" s="55" t="b">
        <f>VLOOKUP(B40,Table!A$2:H$228,6,FALSE)=Table1[[#This Row],[Business Definition (To go into comments and into Meta Data Hub)]]</f>
        <v>0</v>
      </c>
      <c r="Q40" s="18" t="s">
        <v>262</v>
      </c>
      <c r="R40" s="18" t="s">
        <v>525</v>
      </c>
      <c r="S40" s="18" t="s">
        <v>522</v>
      </c>
      <c r="T40" s="18"/>
      <c r="U40" s="18"/>
      <c r="V40" s="46" t="s">
        <v>526</v>
      </c>
      <c r="W40" s="46"/>
      <c r="X40" s="18"/>
      <c r="Y40" s="1" t="e">
        <f>VLOOKUP(A40,Model!A$2:J$210,2,FALSE)</f>
        <v>#N/A</v>
      </c>
      <c r="Z40" s="1"/>
      <c r="AA40" s="1"/>
      <c r="AB40" s="1"/>
      <c r="AC40" s="1"/>
      <c r="AD40" s="32" t="b">
        <f>VLOOKUP(B40,AVY_FACT!A$2:A$153,1,FALSE)=B40</f>
        <v>1</v>
      </c>
      <c r="AE40" s="32" t="b">
        <f>VLOOKUP(B40,AVY_FACT!A$2:F$153,2,FALSE)=C40</f>
        <v>1</v>
      </c>
      <c r="AF40" s="32" t="str">
        <f>B40&amp;"  "&amp;C40&amp;","</f>
        <v>CASH_POS_TP_CD  VARCHAR2(10),</v>
      </c>
      <c r="AG40" s="33" t="str">
        <f t="shared" si="3"/>
        <v>COMMENT ON COLUMN TRANSACTIONS_OWNER.AVY_FACT.CASH_POS_TP_CD IS 'Coded name for the Cash Postion Type e.g., rjtgs2i, rtc';</v>
      </c>
    </row>
    <row r="41" spans="1:33" ht="22.5" customHeight="1">
      <c r="A41" s="56" t="s">
        <v>527</v>
      </c>
      <c r="B41" s="18" t="s">
        <v>528</v>
      </c>
      <c r="C41" s="18" t="s">
        <v>101</v>
      </c>
      <c r="D41" s="18" t="s">
        <v>345</v>
      </c>
      <c r="E41" s="18" t="s">
        <v>133</v>
      </c>
      <c r="F41" s="45" t="s">
        <v>63</v>
      </c>
      <c r="G41" s="46" t="s">
        <v>529</v>
      </c>
      <c r="H41" s="18"/>
      <c r="I41" s="18" t="s">
        <v>347</v>
      </c>
      <c r="J41" s="18">
        <v>3</v>
      </c>
      <c r="K41" s="18" t="b">
        <f>VLOOKUP(A41,Model!C$2:D$208,2,FALSE)=B41</f>
        <v>1</v>
      </c>
      <c r="L41" s="18" t="b">
        <f>VLOOKUP(A41,Model!C$2:G$208,5,FALSE)=C41</f>
        <v>1</v>
      </c>
      <c r="M41" s="18" t="b">
        <f>VLOOKUP(Table1[[#This Row],[Physical Name of Attribute (Name of column in Table)
Supplied by DA Team]],Table!A$2:H$323,1,FALSE)=Table1[[#This Row],[Physical Name of Attribute (Name of column in Table)
Supplied by DA Team]]</f>
        <v>1</v>
      </c>
      <c r="N41" s="18" t="b">
        <f>VLOOKUP(B41,Table!A$2:F$319,2,FALSE)=Table1[[#This Row],[Data type in Oracle
VARCHAR2(n), DATE, NUMBER(m,n), TIMETSTAMP(6)]]</f>
        <v>1</v>
      </c>
      <c r="O41" s="18" t="b">
        <f>VLOOKUP(B41,Table!A$2:F$231,3,FALSE)=Table1[[#This Row],[Nullable in Table and in Oracle View
NULL, NOT NULL]]</f>
        <v>0</v>
      </c>
      <c r="P41" s="55" t="b">
        <f>VLOOKUP(B41,Table!A$2:H$228,6,FALSE)=Table1[[#This Row],[Business Definition (To go into comments and into Meta Data Hub)]]</f>
        <v>0</v>
      </c>
      <c r="Q41" s="18" t="s">
        <v>262</v>
      </c>
      <c r="R41" s="18" t="s">
        <v>525</v>
      </c>
      <c r="S41" s="18" t="s">
        <v>528</v>
      </c>
      <c r="T41" s="18"/>
      <c r="U41" s="18"/>
      <c r="V41" s="46" t="s">
        <v>526</v>
      </c>
      <c r="W41" s="46"/>
      <c r="X41" s="18"/>
      <c r="Y41" s="1" t="e">
        <f>VLOOKUP(A41,Model!A$2:J$210,2,FALSE)</f>
        <v>#N/A</v>
      </c>
      <c r="Z41" s="1"/>
      <c r="AA41" s="1"/>
      <c r="AB41" s="1"/>
      <c r="AC41" s="1"/>
      <c r="AD41" s="32" t="b">
        <f>VLOOKUP(B41,AVY_FACT!A$2:A$153,1,FALSE)=B41</f>
        <v>1</v>
      </c>
      <c r="AE41" s="32" t="b">
        <f>VLOOKUP(B41,AVY_FACT!A$2:F$153,2,FALSE)=C41</f>
        <v>1</v>
      </c>
      <c r="AF41" s="32" t="str">
        <f>K41&amp;"  "&amp;C41&amp;","</f>
        <v>TRUE  NUMBER(38,0),</v>
      </c>
      <c r="AG41" s="33" t="str">
        <f t="shared" si="3"/>
        <v>COMMENT ON COLUMN TRANSACTIONS_OWNER.AVY_FACT.CASH_POS_TP_DIM_ID IS 'Surrogate Key for Cash Position Type';</v>
      </c>
    </row>
    <row r="42" spans="1:33" ht="22.5" hidden="1" customHeight="1">
      <c r="A42" s="18" t="s">
        <v>2617</v>
      </c>
      <c r="B42" s="18" t="s">
        <v>537</v>
      </c>
      <c r="C42" s="18" t="s">
        <v>101</v>
      </c>
      <c r="D42" s="18" t="s">
        <v>63</v>
      </c>
      <c r="E42" s="18" t="s">
        <v>133</v>
      </c>
      <c r="F42" s="45" t="s">
        <v>63</v>
      </c>
      <c r="G42" s="46" t="s">
        <v>538</v>
      </c>
      <c r="H42" s="18"/>
      <c r="I42" s="18" t="s">
        <v>67</v>
      </c>
      <c r="J42" s="18">
        <v>3</v>
      </c>
      <c r="K42" s="18" t="b">
        <f>VLOOKUP(A42,Model!C$2:D$208,2,FALSE)=B42</f>
        <v>1</v>
      </c>
      <c r="L42" s="18" t="b">
        <f>VLOOKUP(A42,Model!C$2:G$208,5,FALSE)=C42</f>
        <v>1</v>
      </c>
      <c r="M42" s="18" t="b">
        <f>VLOOKUP(Table1[[#This Row],[Physical Name of Attribute (Name of column in Table)
Supplied by DA Team]],Table!A$2:H$323,1,FALSE)=Table1[[#This Row],[Physical Name of Attribute (Name of column in Table)
Supplied by DA Team]]</f>
        <v>1</v>
      </c>
      <c r="N42" s="18" t="b">
        <f>VLOOKUP(B42,Table!A$2:F$319,2,FALSE)=Table1[[#This Row],[Data type in Oracle
VARCHAR2(n), DATE, NUMBER(m,n), TIMETSTAMP(6)]]</f>
        <v>1</v>
      </c>
      <c r="O42" s="18" t="b">
        <f>VLOOKUP(B42,Table!A$2:F$231,3,FALSE)=Table1[[#This Row],[Nullable in Table and in Oracle View
NULL, NOT NULL]]</f>
        <v>1</v>
      </c>
      <c r="P42" s="18" t="b">
        <f>VLOOKUP(B42,Table!A$2:H$228,6,FALSE)=Table1[[#This Row],[Business Definition (To go into comments and into Meta Data Hub)]]</f>
        <v>0</v>
      </c>
      <c r="Q42" s="18" t="s">
        <v>68</v>
      </c>
      <c r="R42" s="18" t="s">
        <v>375</v>
      </c>
      <c r="S42" s="18" t="s">
        <v>537</v>
      </c>
      <c r="T42" s="18"/>
      <c r="U42" s="18"/>
      <c r="V42" s="46" t="s">
        <v>539</v>
      </c>
      <c r="W42" s="46"/>
      <c r="X42" s="18"/>
      <c r="Y42" s="1" t="e">
        <f>VLOOKUP(A42,Model!A$2:J$210,2,FALSE)</f>
        <v>#N/A</v>
      </c>
      <c r="Z42" s="1"/>
      <c r="AA42" s="1"/>
      <c r="AB42" s="1"/>
      <c r="AC42" s="1"/>
      <c r="AD42" s="32" t="e">
        <f>VLOOKUP(B42,AVY_FACT!A$2:A$153,1,FALSE)=B42</f>
        <v>#N/A</v>
      </c>
      <c r="AE42" s="32" t="e">
        <f>VLOOKUP(B42,AVY_FACT!A$2:F$153,2,FALSE)=C42</f>
        <v>#N/A</v>
      </c>
      <c r="AF42" s="32" t="str">
        <f>B42&amp;"  "&amp;C42&amp;","</f>
        <v>CASH_POS_TP_ID  NUMBER(38,0),</v>
      </c>
      <c r="AG42" s="33" t="str">
        <f t="shared" si="3"/>
        <v>COMMENT ON COLUMN TRANSACTIONS_OWNER.AVY_FACT.CASH_POS_TP_ID IS 'An Id representing Cash position type';</v>
      </c>
    </row>
    <row r="43" spans="1:33" ht="22.5" hidden="1" customHeight="1">
      <c r="A43" s="18" t="s">
        <v>2618</v>
      </c>
      <c r="B43" s="18" t="s">
        <v>531</v>
      </c>
      <c r="C43" s="18" t="s">
        <v>533</v>
      </c>
      <c r="D43" s="18" t="s">
        <v>63</v>
      </c>
      <c r="E43" s="18" t="s">
        <v>534</v>
      </c>
      <c r="F43" s="45" t="s">
        <v>63</v>
      </c>
      <c r="G43" s="46" t="s">
        <v>535</v>
      </c>
      <c r="H43" s="18"/>
      <c r="I43" s="18" t="s">
        <v>347</v>
      </c>
      <c r="J43" s="18">
        <v>3</v>
      </c>
      <c r="K43" s="18" t="b">
        <f>VLOOKUP(A43,Model!C$2:D$208,2,FALSE)=B43</f>
        <v>1</v>
      </c>
      <c r="L43" s="18" t="b">
        <f>VLOOKUP(A43,Model!C$2:G$208,5,FALSE)=C43</f>
        <v>1</v>
      </c>
      <c r="M43" s="18" t="b">
        <f>VLOOKUP(Table1[[#This Row],[Physical Name of Attribute (Name of column in Table)
Supplied by DA Team]],Table!A$2:H$323,1,FALSE)=Table1[[#This Row],[Physical Name of Attribute (Name of column in Table)
Supplied by DA Team]]</f>
        <v>1</v>
      </c>
      <c r="N43" s="18" t="b">
        <f>VLOOKUP(B43,Table!A$2:F$319,2,FALSE)=Table1[[#This Row],[Data type in Oracle
VARCHAR2(n), DATE, NUMBER(m,n), TIMETSTAMP(6)]]</f>
        <v>0</v>
      </c>
      <c r="O43" s="18" t="b">
        <f>VLOOKUP(B43,Table!A$2:F$231,3,FALSE)=Table1[[#This Row],[Nullable in Table and in Oracle View
NULL, NOT NULL]]</f>
        <v>1</v>
      </c>
      <c r="P43" s="55" t="b">
        <f>VLOOKUP(B43,Table!A$2:H$228,6,FALSE)=Table1[[#This Row],[Business Definition (To go into comments and into Meta Data Hub)]]</f>
        <v>0</v>
      </c>
      <c r="Q43" s="18" t="s">
        <v>262</v>
      </c>
      <c r="R43" s="18" t="s">
        <v>525</v>
      </c>
      <c r="S43" s="18" t="s">
        <v>531</v>
      </c>
      <c r="T43" s="18"/>
      <c r="U43" s="18"/>
      <c r="V43" s="46" t="s">
        <v>526</v>
      </c>
      <c r="W43" s="46"/>
      <c r="X43" s="18"/>
      <c r="Y43" s="1" t="e">
        <f>VLOOKUP(A43,Model!A$2:J$210,2,FALSE)</f>
        <v>#N/A</v>
      </c>
      <c r="Z43" s="1"/>
      <c r="AA43" s="1"/>
      <c r="AB43" s="1"/>
      <c r="AC43" s="1"/>
      <c r="AD43" s="32" t="b">
        <f>VLOOKUP(B43,AVY_FACT!A$2:A$153,1,FALSE)=B43</f>
        <v>1</v>
      </c>
      <c r="AE43" s="32" t="b">
        <f>VLOOKUP(B43,AVY_FACT!A$2:F$153,2,FALSE)=C43</f>
        <v>1</v>
      </c>
      <c r="AF43" s="32" t="str">
        <f>K43&amp;"  "&amp;C43&amp;","</f>
        <v>TRUE  VARCHAR2(75),</v>
      </c>
      <c r="AG43" s="33" t="str">
        <f t="shared" si="3"/>
        <v>COMMENT ON COLUMN TRANSACTIONS_OWNER.AVY_FACT.CASH_POS_TP_NM IS 'Identifying how the cash position is treated at the end of the day for purposes of cash segregation and sweeps. e.g., Goldman Sachs Federal Fund - Income, Real Time Cash';</v>
      </c>
    </row>
    <row r="44" spans="1:33" ht="22.5" customHeight="1">
      <c r="A44" s="61" t="s">
        <v>2619</v>
      </c>
      <c r="B44" s="18" t="s">
        <v>541</v>
      </c>
      <c r="C44" s="18" t="s">
        <v>101</v>
      </c>
      <c r="D44" s="18" t="s">
        <v>63</v>
      </c>
      <c r="E44" s="18" t="s">
        <v>133</v>
      </c>
      <c r="F44" s="45" t="s">
        <v>63</v>
      </c>
      <c r="G44" s="46" t="s">
        <v>543</v>
      </c>
      <c r="H44" s="18"/>
      <c r="I44" s="18" t="s">
        <v>347</v>
      </c>
      <c r="J44" s="18">
        <v>3</v>
      </c>
      <c r="K44" s="18" t="e">
        <f>VLOOKUP(A44,Model!C$2:D$208,2,FALSE)=B44</f>
        <v>#N/A</v>
      </c>
      <c r="L44" s="18" t="e">
        <f>VLOOKUP(A44,Model!C$2:G$208,5,FALSE)=C44</f>
        <v>#N/A</v>
      </c>
      <c r="M44" s="18" t="b">
        <f>VLOOKUP(Table1[[#This Row],[Physical Name of Attribute (Name of column in Table)
Supplied by DA Team]],Table!A$2:H$323,1,FALSE)=Table1[[#This Row],[Physical Name of Attribute (Name of column in Table)
Supplied by DA Team]]</f>
        <v>1</v>
      </c>
      <c r="N44" s="18" t="b">
        <f>VLOOKUP(B44,Table!A$2:F$319,2,FALSE)=Table1[[#This Row],[Data type in Oracle
VARCHAR2(n), DATE, NUMBER(m,n), TIMETSTAMP(6)]]</f>
        <v>0</v>
      </c>
      <c r="O44" s="18" t="b">
        <f>VLOOKUP(B44,Table!A$2:F$231,3,FALSE)=Table1[[#This Row],[Nullable in Table and in Oracle View
NULL, NOT NULL]]</f>
        <v>1</v>
      </c>
      <c r="P44" s="55" t="b">
        <f>VLOOKUP(B44,Table!A$2:H$228,6,FALSE)=Table1[[#This Row],[Business Definition (To go into comments and into Meta Data Hub)]]</f>
        <v>0</v>
      </c>
      <c r="Q44" s="18" t="s">
        <v>68</v>
      </c>
      <c r="R44" s="18" t="s">
        <v>375</v>
      </c>
      <c r="S44" s="18" t="s">
        <v>544</v>
      </c>
      <c r="T44" s="18"/>
      <c r="U44" s="18"/>
      <c r="V44" s="46" t="s">
        <v>468</v>
      </c>
      <c r="W44" s="46"/>
      <c r="X44" s="18"/>
      <c r="Y44" s="1" t="e">
        <f>VLOOKUP(A44,Model!A$2:J$210,2,FALSE)</f>
        <v>#N/A</v>
      </c>
      <c r="Z44" s="1"/>
      <c r="AA44" s="1"/>
      <c r="AB44" s="1"/>
      <c r="AC44" s="1"/>
      <c r="AD44" s="32" t="b">
        <f>VLOOKUP(B44,AVY_FACT!A$2:A$153,1,FALSE)=B44</f>
        <v>1</v>
      </c>
      <c r="AE44" s="32" t="b">
        <f>VLOOKUP(B44,AVY_FACT!A$2:F$153,2,FALSE)=C44</f>
        <v>1</v>
      </c>
      <c r="AF44" s="32" t="e">
        <f>K44&amp;"  "&amp;C44&amp;","</f>
        <v>#N/A</v>
      </c>
      <c r="AG44" s="33" t="str">
        <f t="shared" si="3"/>
        <v>COMMENT ON COLUMN TRANSACTIONS_OWNER.AVY_FACT.CASH_PD_ID IS 'Product Identifier from Cash Asset package';</v>
      </c>
    </row>
    <row r="45" spans="1:33" ht="22.5" hidden="1" customHeight="1">
      <c r="A45" s="55" t="s">
        <v>439</v>
      </c>
      <c r="B45" s="18" t="s">
        <v>440</v>
      </c>
      <c r="C45" s="18" t="s">
        <v>433</v>
      </c>
      <c r="D45" s="18" t="s">
        <v>63</v>
      </c>
      <c r="E45" s="18" t="s">
        <v>434</v>
      </c>
      <c r="F45" s="45" t="s">
        <v>63</v>
      </c>
      <c r="G45" s="46" t="s">
        <v>442</v>
      </c>
      <c r="H45" s="18"/>
      <c r="I45" s="18" t="s">
        <v>67</v>
      </c>
      <c r="J45" s="18">
        <v>3</v>
      </c>
      <c r="K45" s="18" t="b">
        <f>VLOOKUP(A45,Model!C$2:D$208,2,FALSE)=B45</f>
        <v>1</v>
      </c>
      <c r="L45" s="18" t="b">
        <f>VLOOKUP(A45,Model!C$2:G$208,5,FALSE)=C45</f>
        <v>1</v>
      </c>
      <c r="M45" s="18" t="b">
        <f>VLOOKUP(Table1[[#This Row],[Physical Name of Attribute (Name of column in Table)
Supplied by DA Team]],Table!A$2:H$323,1,FALSE)=Table1[[#This Row],[Physical Name of Attribute (Name of column in Table)
Supplied by DA Team]]</f>
        <v>1</v>
      </c>
      <c r="N45" s="18" t="b">
        <f>VLOOKUP(B45,Table!A$2:F$319,2,FALSE)=Table1[[#This Row],[Data type in Oracle
VARCHAR2(n), DATE, NUMBER(m,n), TIMETSTAMP(6)]]</f>
        <v>0</v>
      </c>
      <c r="O45" s="18" t="b">
        <f>VLOOKUP(B45,Table!A$2:F$231,3,FALSE)=Table1[[#This Row],[Nullable in Table and in Oracle View
NULL, NOT NULL]]</f>
        <v>1</v>
      </c>
      <c r="P45" s="55" t="b">
        <f>VLOOKUP(B45,Table!A$2:H$228,6,FALSE)=Table1[[#This Row],[Business Definition (To go into comments and into Meta Data Hub)]]</f>
        <v>0</v>
      </c>
      <c r="Q45" s="18" t="s">
        <v>68</v>
      </c>
      <c r="R45" s="18" t="s">
        <v>436</v>
      </c>
      <c r="S45" s="18" t="s">
        <v>443</v>
      </c>
      <c r="T45" s="18"/>
      <c r="U45" s="18"/>
      <c r="V45" s="46" t="s">
        <v>438</v>
      </c>
      <c r="W45" s="46"/>
      <c r="X45" s="18"/>
      <c r="Y45" s="1" t="e">
        <f>VLOOKUP(A45,Model!A$2:J$210,2,FALSE)</f>
        <v>#N/A</v>
      </c>
      <c r="Z45" s="1"/>
      <c r="AA45" s="1"/>
      <c r="AB45" s="1"/>
      <c r="AC45" s="1"/>
      <c r="AD45" s="32" t="e">
        <f>VLOOKUP(B45,AVY_FACT!A$2:A$153,1,FALSE)=B45</f>
        <v>#N/A</v>
      </c>
      <c r="AE45" s="32" t="e">
        <f>VLOOKUP(B45,AVY_FACT!A$2:F$153,2,FALSE)=C45</f>
        <v>#N/A</v>
      </c>
      <c r="AF45" s="32" t="str">
        <f>K45&amp;"  "&amp;C45&amp;","</f>
        <v>TRUE  VARCHAR2(25),</v>
      </c>
      <c r="AG45" s="33" t="str">
        <f t="shared" si="3"/>
        <v>COMMENT ON COLUMN TRANSACTIONS_OWNER.AVY_FACT.CASH_SIMP_DSPL_AVY_CGY IS 'Simplified Display activity category shown to advisor in applications like client center.
This field will be populated only if the transaction has a Cash leg.';</v>
      </c>
    </row>
    <row r="46" spans="1:33" ht="22.5" hidden="1" customHeight="1">
      <c r="A46" s="55" t="s">
        <v>456</v>
      </c>
      <c r="B46" s="18" t="s">
        <v>457</v>
      </c>
      <c r="C46" s="18" t="s">
        <v>90</v>
      </c>
      <c r="D46" s="18" t="s">
        <v>63</v>
      </c>
      <c r="E46" s="18" t="s">
        <v>91</v>
      </c>
      <c r="F46" s="45" t="s">
        <v>63</v>
      </c>
      <c r="G46" s="46" t="s">
        <v>459</v>
      </c>
      <c r="H46" s="18"/>
      <c r="I46" s="18" t="s">
        <v>67</v>
      </c>
      <c r="J46" s="18">
        <v>3</v>
      </c>
      <c r="K46" s="18" t="b">
        <f>VLOOKUP(A46,Model!C$2:D$208,2,FALSE)=B46</f>
        <v>1</v>
      </c>
      <c r="L46" s="18" t="b">
        <f>VLOOKUP(A46,Model!C$2:G$208,5,FALSE)=C46</f>
        <v>1</v>
      </c>
      <c r="M46" s="18" t="b">
        <f>VLOOKUP(Table1[[#This Row],[Physical Name of Attribute (Name of column in Table)
Supplied by DA Team]],Table!A$2:H$323,1,FALSE)=Table1[[#This Row],[Physical Name of Attribute (Name of column in Table)
Supplied by DA Team]]</f>
        <v>1</v>
      </c>
      <c r="N46" s="18" t="b">
        <f>VLOOKUP(B46,Table!A$2:F$319,2,FALSE)=Table1[[#This Row],[Data type in Oracle
VARCHAR2(n), DATE, NUMBER(m,n), TIMETSTAMP(6)]]</f>
        <v>0</v>
      </c>
      <c r="O46" s="18" t="b">
        <f>VLOOKUP(B46,Table!A$2:F$231,3,FALSE)=Table1[[#This Row],[Nullable in Table and in Oracle View
NULL, NOT NULL]]</f>
        <v>1</v>
      </c>
      <c r="P46" s="55" t="b">
        <f>VLOOKUP(B46,Table!A$2:H$228,6,FALSE)=Table1[[#This Row],[Business Definition (To go into comments and into Meta Data Hub)]]</f>
        <v>0</v>
      </c>
      <c r="Q46" s="18" t="s">
        <v>68</v>
      </c>
      <c r="R46" s="18" t="s">
        <v>436</v>
      </c>
      <c r="S46" s="18" t="s">
        <v>460</v>
      </c>
      <c r="T46" s="18"/>
      <c r="U46" s="18"/>
      <c r="V46" s="46" t="s">
        <v>438</v>
      </c>
      <c r="W46" s="46"/>
      <c r="X46" s="18"/>
      <c r="Y46" s="1" t="e">
        <f>VLOOKUP(A46,Model!A$2:J$210,2,FALSE)</f>
        <v>#N/A</v>
      </c>
      <c r="Z46" s="1"/>
      <c r="AA46" s="1"/>
      <c r="AB46" s="1"/>
      <c r="AC46" s="1"/>
      <c r="AD46" s="32" t="e">
        <f>VLOOKUP(B46,AVY_FACT!A$2:A$153,1,FALSE)=B46</f>
        <v>#N/A</v>
      </c>
      <c r="AE46" s="32" t="e">
        <f>VLOOKUP(B46,AVY_FACT!A$2:F$153,2,FALSE)=C46</f>
        <v>#N/A</v>
      </c>
      <c r="AF46" s="32" t="str">
        <f>K46&amp;"  "&amp;C46&amp;","</f>
        <v>TRUE  VARCHAR2(100),</v>
      </c>
      <c r="AG46" s="33" t="str">
        <f t="shared" si="3"/>
        <v>COMMENT ON COLUMN TRANSACTIONS_OWNER.AVY_FACT.CASH_SIMP_DSPL_AVY_TP IS 'Simplified Display activity type shown to advisor in applications like client center.
This field will be populated only if the transaction has a Cash leg.';</v>
      </c>
    </row>
    <row r="47" spans="1:33" ht="22.5" hidden="1" customHeight="1">
      <c r="A47" s="18" t="s">
        <v>551</v>
      </c>
      <c r="B47" s="18" t="s">
        <v>552</v>
      </c>
      <c r="C47" s="55" t="s">
        <v>101</v>
      </c>
      <c r="D47" s="18" t="s">
        <v>63</v>
      </c>
      <c r="E47" s="18" t="s">
        <v>133</v>
      </c>
      <c r="F47" s="45" t="s">
        <v>63</v>
      </c>
      <c r="G47" s="46" t="s">
        <v>554</v>
      </c>
      <c r="H47" s="18"/>
      <c r="I47" s="18" t="s">
        <v>381</v>
      </c>
      <c r="J47" s="18">
        <v>3</v>
      </c>
      <c r="K47" s="18" t="b">
        <f>VLOOKUP(A47,Model!C$2:D$208,2,FALSE)=B47</f>
        <v>1</v>
      </c>
      <c r="L47" s="18" t="b">
        <f>VLOOKUP(A47,Model!C$2:G$208,5,FALSE)=C47</f>
        <v>1</v>
      </c>
      <c r="M47" s="18" t="b">
        <f>VLOOKUP(Table1[[#This Row],[Physical Name of Attribute (Name of column in Table)
Supplied by DA Team]],Table!A$2:H$323,1,FALSE)=Table1[[#This Row],[Physical Name of Attribute (Name of column in Table)
Supplied by DA Team]]</f>
        <v>1</v>
      </c>
      <c r="N47" s="18" t="b">
        <f>VLOOKUP(B47,Table!A$2:F$319,2,FALSE)=Table1[[#This Row],[Data type in Oracle
VARCHAR2(n), DATE, NUMBER(m,n), TIMETSTAMP(6)]]</f>
        <v>0</v>
      </c>
      <c r="O47" s="18" t="b">
        <f>VLOOKUP(B47,Table!A$2:F$231,3,FALSE)=Table1[[#This Row],[Nullable in Table and in Oracle View
NULL, NOT NULL]]</f>
        <v>1</v>
      </c>
      <c r="P47" s="55" t="b">
        <f>VLOOKUP(B47,Table!A$2:H$228,6,FALSE)=Table1[[#This Row],[Business Definition (To go into comments and into Meta Data Hub)]]</f>
        <v>0</v>
      </c>
      <c r="Q47" s="18" t="s">
        <v>68</v>
      </c>
      <c r="R47" s="18" t="s">
        <v>375</v>
      </c>
      <c r="S47" s="18" t="s">
        <v>555</v>
      </c>
      <c r="T47" s="18"/>
      <c r="U47" s="18"/>
      <c r="V47" s="46" t="s">
        <v>468</v>
      </c>
      <c r="W47" s="46"/>
      <c r="X47" s="18"/>
      <c r="Y47" s="1" t="e">
        <f>VLOOKUP(A47,Model!A$2:J$210,2,FALSE)</f>
        <v>#N/A</v>
      </c>
      <c r="Z47" s="1"/>
      <c r="AA47" s="1"/>
      <c r="AB47" s="1"/>
      <c r="AC47" s="1"/>
      <c r="AD47" s="32" t="b">
        <f>VLOOKUP(B47,AVY_FACT!A$2:A$153,1,FALSE)=B47</f>
        <v>1</v>
      </c>
      <c r="AE47" s="32" t="b">
        <f>VLOOKUP(B47,AVY_FACT!A$2:F$153,2,FALSE)=C47</f>
        <v>0</v>
      </c>
      <c r="AF47" s="32" t="str">
        <f>K47&amp;"  "&amp;C47&amp;","</f>
        <v>TRUE  NUMBER(38,0),</v>
      </c>
      <c r="AG47" s="33" t="str">
        <f t="shared" si="3"/>
        <v>COMMENT ON COLUMN TRANSACTIONS_OWNER.AVY_FACT.CASH_SRC_SEQ_NUM IS 'Sequence Number assigned by source system.
This field will be populated only if the transaction has a Cash leg.';</v>
      </c>
    </row>
    <row r="48" spans="1:33" ht="22.5" customHeight="1">
      <c r="A48" s="61" t="s">
        <v>556</v>
      </c>
      <c r="B48" s="18" t="s">
        <v>557</v>
      </c>
      <c r="C48" s="55" t="s">
        <v>559</v>
      </c>
      <c r="D48" s="18" t="s">
        <v>63</v>
      </c>
      <c r="E48" s="18" t="s">
        <v>560</v>
      </c>
      <c r="F48" s="45" t="s">
        <v>63</v>
      </c>
      <c r="G48" s="46" t="s">
        <v>561</v>
      </c>
      <c r="H48" s="18"/>
      <c r="I48" s="18" t="s">
        <v>381</v>
      </c>
      <c r="J48" s="18">
        <v>3</v>
      </c>
      <c r="K48" s="18" t="b">
        <f>VLOOKUP(A48,Model!C$2:D$208,2,FALSE)=B48</f>
        <v>1</v>
      </c>
      <c r="L48" s="18" t="b">
        <f>VLOOKUP(A48,Model!C$2:G$208,5,FALSE)=C48</f>
        <v>1</v>
      </c>
      <c r="M48" s="18" t="b">
        <f>VLOOKUP(Table1[[#This Row],[Physical Name of Attribute (Name of column in Table)
Supplied by DA Team]],Table!A$2:H$323,1,FALSE)=Table1[[#This Row],[Physical Name of Attribute (Name of column in Table)
Supplied by DA Team]]</f>
        <v>1</v>
      </c>
      <c r="N48" s="18" t="b">
        <f>VLOOKUP(B48,Table!A$2:F$319,2,FALSE)=Table1[[#This Row],[Data type in Oracle
VARCHAR2(n), DATE, NUMBER(m,n), TIMETSTAMP(6)]]</f>
        <v>0</v>
      </c>
      <c r="O48" s="18" t="b">
        <f>VLOOKUP(B48,Table!A$2:F$231,3,FALSE)=Table1[[#This Row],[Nullable in Table and in Oracle View
NULL, NOT NULL]]</f>
        <v>1</v>
      </c>
      <c r="P48" s="55" t="b">
        <f>VLOOKUP(B48,Table!A$2:H$228,6,FALSE)=Table1[[#This Row],[Business Definition (To go into comments and into Meta Data Hub)]]</f>
        <v>0</v>
      </c>
      <c r="Q48" s="18" t="s">
        <v>68</v>
      </c>
      <c r="R48" s="18" t="s">
        <v>375</v>
      </c>
      <c r="S48" s="18" t="s">
        <v>562</v>
      </c>
      <c r="T48" s="18"/>
      <c r="U48" s="18"/>
      <c r="V48" s="46" t="s">
        <v>468</v>
      </c>
      <c r="W48" s="46"/>
      <c r="X48" s="18"/>
      <c r="Y48" s="1" t="e">
        <f>VLOOKUP(A48,Model!A$2:J$210,2,FALSE)</f>
        <v>#N/A</v>
      </c>
      <c r="Z48" s="1"/>
      <c r="AA48" s="1"/>
      <c r="AB48" s="1"/>
      <c r="AC48" s="1"/>
      <c r="AD48" s="32" t="b">
        <f>VLOOKUP(B48,AVY_FACT!A$2:A$153,1,FALSE)=B48</f>
        <v>1</v>
      </c>
      <c r="AE48" s="32" t="b">
        <f>VLOOKUP(B48,AVY_FACT!A$2:F$153,2,FALSE)=C48</f>
        <v>0</v>
      </c>
      <c r="AF48" s="32" t="str">
        <f>B48&amp;"  "&amp;C48&amp;","</f>
        <v>CASH_SBC_AMT  NUMBER(38,6),</v>
      </c>
      <c r="AG48" s="33" t="str">
        <f t="shared" si="3"/>
        <v>COMMENT ON COLUMN TRANSACTIONS_OWNER.AVY_FACT.CASH_SBC_AMT IS 'Transaction Amount expressed in System Base Currency.
This field will be populated only if the transaction has a Cash leg.';</v>
      </c>
    </row>
    <row r="49" spans="1:33" ht="22.5" hidden="1" customHeight="1">
      <c r="A49" s="18" t="s">
        <v>564</v>
      </c>
      <c r="B49" s="18" t="s">
        <v>565</v>
      </c>
      <c r="C49" s="55" t="s">
        <v>559</v>
      </c>
      <c r="D49" s="18" t="s">
        <v>63</v>
      </c>
      <c r="E49" s="18" t="s">
        <v>560</v>
      </c>
      <c r="F49" s="45" t="s">
        <v>63</v>
      </c>
      <c r="G49" s="46" t="s">
        <v>567</v>
      </c>
      <c r="H49" s="18"/>
      <c r="I49" s="18" t="s">
        <v>381</v>
      </c>
      <c r="J49" s="18">
        <v>3</v>
      </c>
      <c r="K49" s="18" t="b">
        <f>VLOOKUP(A49,Model!C$2:D$208,2,FALSE)=B49</f>
        <v>1</v>
      </c>
      <c r="L49" s="18" t="b">
        <f>VLOOKUP(A49,Model!C$2:G$208,5,FALSE)=C49</f>
        <v>1</v>
      </c>
      <c r="M49" s="18" t="b">
        <f>VLOOKUP(Table1[[#This Row],[Physical Name of Attribute (Name of column in Table)
Supplied by DA Team]],Table!A$2:H$323,1,FALSE)=Table1[[#This Row],[Physical Name of Attribute (Name of column in Table)
Supplied by DA Team]]</f>
        <v>1</v>
      </c>
      <c r="N49" s="18" t="b">
        <f>VLOOKUP(B49,Table!A$2:F$319,2,FALSE)=Table1[[#This Row],[Data type in Oracle
VARCHAR2(n), DATE, NUMBER(m,n), TIMETSTAMP(6)]]</f>
        <v>0</v>
      </c>
      <c r="O49" s="18" t="b">
        <f>VLOOKUP(B49,Table!A$2:F$231,3,FALSE)=Table1[[#This Row],[Nullable in Table and in Oracle View
NULL, NOT NULL]]</f>
        <v>1</v>
      </c>
      <c r="P49" s="55" t="b">
        <f>VLOOKUP(B49,Table!A$2:H$228,6,FALSE)=Table1[[#This Row],[Business Definition (To go into comments and into Meta Data Hub)]]</f>
        <v>0</v>
      </c>
      <c r="Q49" s="18" t="s">
        <v>68</v>
      </c>
      <c r="R49" s="18" t="s">
        <v>375</v>
      </c>
      <c r="S49" s="18" t="s">
        <v>568</v>
      </c>
      <c r="T49" s="18"/>
      <c r="U49" s="18"/>
      <c r="V49" s="46" t="s">
        <v>468</v>
      </c>
      <c r="W49" s="46"/>
      <c r="X49" s="18"/>
      <c r="Y49" s="1" t="e">
        <f>VLOOKUP(A49,Model!A$2:J$210,2,FALSE)</f>
        <v>#N/A</v>
      </c>
      <c r="Z49" s="1"/>
      <c r="AA49" s="1"/>
      <c r="AB49" s="1"/>
      <c r="AC49" s="1"/>
      <c r="AD49" s="32" t="b">
        <f>VLOOKUP(B49,AVY_FACT!A$2:A$153,1,FALSE)=B49</f>
        <v>1</v>
      </c>
      <c r="AE49" s="32" t="b">
        <f>VLOOKUP(B49,AVY_FACT!A$2:F$153,2,FALSE)=C49</f>
        <v>0</v>
      </c>
      <c r="AF49" s="32" t="str">
        <f>K49&amp;"  "&amp;C49&amp;","</f>
        <v>TRUE  NUMBER(38,6),</v>
      </c>
      <c r="AG49" s="33" t="str">
        <f t="shared" si="3"/>
        <v>COMMENT ON COLUMN TRANSACTIONS_OWNER.AVY_FACT.CASH_TXN_AMT IS 'Transaction amount applicable to the Asset package in transaction currency.
This field will be populated only if the transaction has a Cash leg.';</v>
      </c>
    </row>
    <row r="50" spans="1:33" ht="22.5" hidden="1" customHeight="1">
      <c r="A50" s="18" t="s">
        <v>569</v>
      </c>
      <c r="B50" s="18" t="s">
        <v>570</v>
      </c>
      <c r="C50" s="18" t="s">
        <v>464</v>
      </c>
      <c r="D50" s="18" t="s">
        <v>63</v>
      </c>
      <c r="E50" s="18" t="s">
        <v>465</v>
      </c>
      <c r="F50" s="45" t="s">
        <v>63</v>
      </c>
      <c r="G50" s="46" t="s">
        <v>572</v>
      </c>
      <c r="H50" s="18"/>
      <c r="I50" s="18" t="s">
        <v>347</v>
      </c>
      <c r="J50" s="18">
        <v>3</v>
      </c>
      <c r="K50" s="18" t="b">
        <f>VLOOKUP(A50,Model!C$2:D$208,2,FALSE)=B50</f>
        <v>1</v>
      </c>
      <c r="L50" s="18" t="b">
        <f>VLOOKUP(A50,Model!C$2:G$208,5,FALSE)=C50</f>
        <v>1</v>
      </c>
      <c r="M50" s="18" t="b">
        <f>VLOOKUP(Table1[[#This Row],[Physical Name of Attribute (Name of column in Table)
Supplied by DA Team]],Table!A$2:H$323,1,FALSE)=Table1[[#This Row],[Physical Name of Attribute (Name of column in Table)
Supplied by DA Team]]</f>
        <v>1</v>
      </c>
      <c r="N50" s="18" t="b">
        <f>VLOOKUP(B50,Table!A$2:F$319,2,FALSE)=Table1[[#This Row],[Data type in Oracle
VARCHAR2(n), DATE, NUMBER(m,n), TIMETSTAMP(6)]]</f>
        <v>0</v>
      </c>
      <c r="O50" s="18" t="b">
        <f>VLOOKUP(B50,Table!A$2:F$231,3,FALSE)=Table1[[#This Row],[Nullable in Table and in Oracle View
NULL, NOT NULL]]</f>
        <v>1</v>
      </c>
      <c r="P50" s="55" t="b">
        <f>VLOOKUP(B50,Table!A$2:H$228,6,FALSE)=Table1[[#This Row],[Business Definition (To go into comments and into Meta Data Hub)]]</f>
        <v>0</v>
      </c>
      <c r="Q50" s="18" t="s">
        <v>68</v>
      </c>
      <c r="R50" s="18" t="s">
        <v>375</v>
      </c>
      <c r="S50" s="18" t="s">
        <v>573</v>
      </c>
      <c r="T50" s="18"/>
      <c r="U50" s="18"/>
      <c r="V50" s="46" t="s">
        <v>574</v>
      </c>
      <c r="W50" s="46"/>
      <c r="X50" s="18"/>
      <c r="Y50" s="1" t="e">
        <f>VLOOKUP(A50,Model!A$2:J$210,2,FALSE)</f>
        <v>#N/A</v>
      </c>
      <c r="Z50" s="1"/>
      <c r="AA50" s="1"/>
      <c r="AB50" s="1"/>
      <c r="AC50" s="1"/>
      <c r="AD50" s="32" t="b">
        <f>VLOOKUP(B50,AVY_FACT!A$2:A$153,1,FALSE)=B50</f>
        <v>1</v>
      </c>
      <c r="AE50" s="32" t="b">
        <f>VLOOKUP(B50,AVY_FACT!A$2:F$153,2,FALSE)=C50</f>
        <v>1</v>
      </c>
      <c r="AF50" s="32" t="str">
        <f>K50&amp;"  "&amp;C50&amp;","</f>
        <v>TRUE  VARCHAR2(256),</v>
      </c>
      <c r="AG50" s="33" t="str">
        <f t="shared" si="3"/>
        <v>COMMENT ON COLUMN TRANSACTIONS_OWNER.AVY_FACT.CLNT_FRIENDLY_DSC IS 'Client friendly description of the Asset package.';</v>
      </c>
    </row>
    <row r="51" spans="1:33" ht="22.5" hidden="1" customHeight="1">
      <c r="A51" s="18" t="s">
        <v>575</v>
      </c>
      <c r="B51" s="18" t="s">
        <v>576</v>
      </c>
      <c r="C51" s="18" t="s">
        <v>157</v>
      </c>
      <c r="D51" s="18" t="s">
        <v>345</v>
      </c>
      <c r="E51" s="18" t="s">
        <v>158</v>
      </c>
      <c r="F51" s="45" t="s">
        <v>63</v>
      </c>
      <c r="G51" s="46" t="s">
        <v>578</v>
      </c>
      <c r="H51" s="18"/>
      <c r="I51" s="18" t="s">
        <v>347</v>
      </c>
      <c r="J51" s="18">
        <v>3</v>
      </c>
      <c r="K51" s="18" t="b">
        <f>VLOOKUP(A51,Model!C$2:D$208,2,FALSE)=B51</f>
        <v>1</v>
      </c>
      <c r="L51" s="18" t="b">
        <f>VLOOKUP(A51,Model!C$2:G$208,5,FALSE)=C51</f>
        <v>1</v>
      </c>
      <c r="M51" s="18" t="b">
        <f>VLOOKUP(Table1[[#This Row],[Physical Name of Attribute (Name of column in Table)
Supplied by DA Team]],Table!A$2:H$323,1,FALSE)=Table1[[#This Row],[Physical Name of Attribute (Name of column in Table)
Supplied by DA Team]]</f>
        <v>1</v>
      </c>
      <c r="N51" s="18" t="b">
        <f>VLOOKUP(B51,Table!A$2:F$319,2,FALSE)=Table1[[#This Row],[Data type in Oracle
VARCHAR2(n), DATE, NUMBER(m,n), TIMETSTAMP(6)]]</f>
        <v>0</v>
      </c>
      <c r="O51" s="18" t="b">
        <f>VLOOKUP(B51,Table!A$2:F$231,3,FALSE)=Table1[[#This Row],[Nullable in Table and in Oracle View
NULL, NOT NULL]]</f>
        <v>0</v>
      </c>
      <c r="P51" s="55" t="b">
        <f>VLOOKUP(B51,Table!A$2:H$228,6,FALSE)=Table1[[#This Row],[Business Definition (To go into comments and into Meta Data Hub)]]</f>
        <v>0</v>
      </c>
      <c r="Q51" s="18" t="s">
        <v>68</v>
      </c>
      <c r="R51" s="18" t="s">
        <v>69</v>
      </c>
      <c r="S51" s="18" t="s">
        <v>576</v>
      </c>
      <c r="T51" s="18"/>
      <c r="U51" s="18"/>
      <c r="V51" s="46"/>
      <c r="W51" s="46"/>
      <c r="X51" s="18"/>
      <c r="Y51" s="1" t="e">
        <f>VLOOKUP(A51,Model!A$2:J$210,2,FALSE)</f>
        <v>#N/A</v>
      </c>
      <c r="Z51" s="1"/>
      <c r="AA51" s="1"/>
      <c r="AB51" s="1"/>
      <c r="AC51" s="1"/>
      <c r="AD51" s="32" t="b">
        <f>VLOOKUP(B51,AVY_FACT!A$2:A$153,1,FALSE)=B51</f>
        <v>1</v>
      </c>
      <c r="AE51" s="32" t="b">
        <f>VLOOKUP(B51,AVY_FACT!A$2:F$153,2,FALSE)=C51</f>
        <v>1</v>
      </c>
      <c r="AF51" s="32" t="str">
        <f>K51&amp;"  "&amp;C51&amp;","</f>
        <v>TRUE  DATE,</v>
      </c>
      <c r="AG51" s="33" t="str">
        <f t="shared" si="3"/>
        <v>COMMENT ON COLUMN TRANSACTIONS_OWNER.AVY_FACT.CRT_DTM IS 'The exact date when a record was first created.';</v>
      </c>
    </row>
    <row r="52" spans="1:33" ht="22.5" hidden="1" customHeight="1">
      <c r="A52" s="18" t="s">
        <v>579</v>
      </c>
      <c r="B52" s="18" t="s">
        <v>580</v>
      </c>
      <c r="C52" s="55" t="s">
        <v>464</v>
      </c>
      <c r="D52" s="18" t="s">
        <v>345</v>
      </c>
      <c r="E52" s="18" t="s">
        <v>465</v>
      </c>
      <c r="F52" s="45" t="s">
        <v>63</v>
      </c>
      <c r="G52" s="46" t="s">
        <v>582</v>
      </c>
      <c r="H52" s="18"/>
      <c r="I52" s="18" t="s">
        <v>381</v>
      </c>
      <c r="J52" s="18">
        <v>3</v>
      </c>
      <c r="K52" s="18" t="b">
        <f>VLOOKUP(A52,Model!C$2:D$208,2,FALSE)=B52</f>
        <v>1</v>
      </c>
      <c r="L52" s="18" t="b">
        <f>VLOOKUP(A52,Model!C$2:G$208,5,FALSE)=C52</f>
        <v>1</v>
      </c>
      <c r="M52" s="18" t="b">
        <f>VLOOKUP(Table1[[#This Row],[Physical Name of Attribute (Name of column in Table)
Supplied by DA Team]],Table!A$2:H$323,1,FALSE)=Table1[[#This Row],[Physical Name of Attribute (Name of column in Table)
Supplied by DA Team]]</f>
        <v>1</v>
      </c>
      <c r="N52" s="18" t="b">
        <f>VLOOKUP(B52,Table!A$2:F$319,2,FALSE)=Table1[[#This Row],[Data type in Oracle
VARCHAR2(n), DATE, NUMBER(m,n), TIMETSTAMP(6)]]</f>
        <v>0</v>
      </c>
      <c r="O52" s="18" t="b">
        <f>VLOOKUP(B52,Table!A$2:F$231,3,FALSE)=Table1[[#This Row],[Nullable in Table and in Oracle View
NULL, NOT NULL]]</f>
        <v>0</v>
      </c>
      <c r="P52" s="55" t="b">
        <f>VLOOKUP(B52,Table!A$2:H$228,6,FALSE)=Table1[[#This Row],[Business Definition (To go into comments and into Meta Data Hub)]]</f>
        <v>0</v>
      </c>
      <c r="Q52" s="18" t="s">
        <v>68</v>
      </c>
      <c r="R52" s="18" t="s">
        <v>69</v>
      </c>
      <c r="S52" s="18" t="s">
        <v>580</v>
      </c>
      <c r="T52" s="18"/>
      <c r="U52" s="18"/>
      <c r="V52" s="46"/>
      <c r="W52" s="46"/>
      <c r="X52" s="18"/>
      <c r="Y52" s="1" t="e">
        <f>VLOOKUP(A52,Model!A$2:J$210,2,FALSE)</f>
        <v>#N/A</v>
      </c>
      <c r="Z52" s="1"/>
      <c r="AA52" s="1"/>
      <c r="AB52" s="1"/>
      <c r="AC52" s="1"/>
      <c r="AD52" s="32" t="b">
        <f>VLOOKUP(B52,AVY_FACT!A$2:A$153,1,FALSE)=B52</f>
        <v>1</v>
      </c>
      <c r="AE52" s="32" t="b">
        <f>VLOOKUP(B52,AVY_FACT!A$2:F$153,2,FALSE)=C52</f>
        <v>0</v>
      </c>
      <c r="AF52" s="32" t="str">
        <f>B52&amp;"  "&amp;C52&amp;","</f>
        <v>CRT_USR_NM  VARCHAR2(256),</v>
      </c>
      <c r="AG52" s="33" t="str">
        <f t="shared" si="3"/>
        <v>COMMENT ON COLUMN TRANSACTIONS_OWNER.AVY_FACT.CRT_USR_NM IS 'The name that represents the user who created an occurrence of a record.';</v>
      </c>
    </row>
    <row r="53" spans="1:33" ht="22.5" hidden="1" customHeight="1">
      <c r="A53" s="18" t="s">
        <v>2620</v>
      </c>
      <c r="B53" s="18" t="s">
        <v>584</v>
      </c>
      <c r="C53" s="18" t="s">
        <v>268</v>
      </c>
      <c r="D53" s="18" t="s">
        <v>63</v>
      </c>
      <c r="E53" s="18" t="s">
        <v>269</v>
      </c>
      <c r="F53" s="45" t="s">
        <v>63</v>
      </c>
      <c r="G53" s="46" t="s">
        <v>586</v>
      </c>
      <c r="H53" s="18"/>
      <c r="I53" s="18" t="s">
        <v>347</v>
      </c>
      <c r="J53" s="18">
        <v>3</v>
      </c>
      <c r="K53" s="18" t="b">
        <f>VLOOKUP(A53,Model!C$2:D$208,2,FALSE)=B53</f>
        <v>1</v>
      </c>
      <c r="L53" s="18" t="b">
        <f>VLOOKUP(A53,Model!C$2:G$208,5,FALSE)=C53</f>
        <v>1</v>
      </c>
      <c r="M53" s="18" t="b">
        <f>VLOOKUP(Table1[[#This Row],[Physical Name of Attribute (Name of column in Table)
Supplied by DA Team]],Table!A$2:H$323,1,FALSE)=Table1[[#This Row],[Physical Name of Attribute (Name of column in Table)
Supplied by DA Team]]</f>
        <v>1</v>
      </c>
      <c r="N53" s="18" t="b">
        <f>VLOOKUP(B53,Table!A$2:F$319,2,FALSE)=Table1[[#This Row],[Data type in Oracle
VARCHAR2(n), DATE, NUMBER(m,n), TIMETSTAMP(6)]]</f>
        <v>0</v>
      </c>
      <c r="O53" s="18" t="b">
        <f>VLOOKUP(B53,Table!A$2:F$231,3,FALSE)=Table1[[#This Row],[Nullable in Table and in Oracle View
NULL, NOT NULL]]</f>
        <v>0</v>
      </c>
      <c r="P53" s="55" t="b">
        <f>VLOOKUP(B53,Table!A$2:H$228,6,FALSE)=Table1[[#This Row],[Business Definition (To go into comments and into Meta Data Hub)]]</f>
        <v>0</v>
      </c>
      <c r="Q53" s="18" t="s">
        <v>355</v>
      </c>
      <c r="R53" s="18" t="s">
        <v>592</v>
      </c>
      <c r="S53" s="18" t="s">
        <v>584</v>
      </c>
      <c r="T53" s="18"/>
      <c r="U53" s="18"/>
      <c r="V53" s="46" t="s">
        <v>593</v>
      </c>
      <c r="W53" s="46"/>
      <c r="X53" s="18"/>
      <c r="Y53" s="1" t="e">
        <f>VLOOKUP(A53,Model!A$2:J$210,2,FALSE)</f>
        <v>#N/A</v>
      </c>
      <c r="Z53" s="1"/>
      <c r="AA53" s="1"/>
      <c r="AB53" s="1"/>
      <c r="AC53" s="1"/>
      <c r="AD53" s="32" t="b">
        <f>VLOOKUP(B53,AVY_FACT!A$2:A$153,1,FALSE)=B53</f>
        <v>1</v>
      </c>
      <c r="AE53" s="32" t="b">
        <f>VLOOKUP(B53,AVY_FACT!A$2:F$153,2,FALSE)=C53</f>
        <v>1</v>
      </c>
      <c r="AF53" s="32" t="str">
        <f>K53&amp;"  "&amp;C53&amp;","</f>
        <v>TRUE  VARCHAR2(3),</v>
      </c>
      <c r="AG53" s="33" t="str">
        <f t="shared" si="3"/>
        <v>COMMENT ON COLUMN TRANSACTIONS_OWNER.AVY_FACT.CCY_CD IS 'ISO Currency Code for transaction amount';</v>
      </c>
    </row>
    <row r="54" spans="1:33" ht="22.5" hidden="1" customHeight="1">
      <c r="A54" s="18" t="s">
        <v>2621</v>
      </c>
      <c r="B54" s="18" t="s">
        <v>590</v>
      </c>
      <c r="C54" s="18" t="s">
        <v>101</v>
      </c>
      <c r="D54" s="18" t="s">
        <v>63</v>
      </c>
      <c r="E54" s="18" t="s">
        <v>133</v>
      </c>
      <c r="F54" s="45" t="s">
        <v>63</v>
      </c>
      <c r="G54" s="46" t="s">
        <v>591</v>
      </c>
      <c r="H54" s="18"/>
      <c r="I54" s="18" t="s">
        <v>347</v>
      </c>
      <c r="J54" s="18">
        <v>3</v>
      </c>
      <c r="K54" s="18" t="b">
        <f>VLOOKUP(A54,Model!C$2:D$208,2,FALSE)=B54</f>
        <v>1</v>
      </c>
      <c r="L54" s="18" t="b">
        <f>VLOOKUP(A54,Model!C$2:G$208,5,FALSE)=C54</f>
        <v>1</v>
      </c>
      <c r="M54" s="18" t="b">
        <f>VLOOKUP(Table1[[#This Row],[Physical Name of Attribute (Name of column in Table)
Supplied by DA Team]],Table!A$2:H$323,1,FALSE)=Table1[[#This Row],[Physical Name of Attribute (Name of column in Table)
Supplied by DA Team]]</f>
        <v>1</v>
      </c>
      <c r="N54" s="18" t="b">
        <f>VLOOKUP(B54,Table!A$2:F$319,2,FALSE)=Table1[[#This Row],[Data type in Oracle
VARCHAR2(n), DATE, NUMBER(m,n), TIMETSTAMP(6)]]</f>
        <v>1</v>
      </c>
      <c r="O54" s="18" t="b">
        <f>VLOOKUP(B54,Table!A$2:F$231,3,FALSE)=Table1[[#This Row],[Nullable in Table and in Oracle View
NULL, NOT NULL]]</f>
        <v>0</v>
      </c>
      <c r="P54" s="55" t="b">
        <f>VLOOKUP(B54,Table!A$2:H$228,6,FALSE)=Table1[[#This Row],[Business Definition (To go into comments and into Meta Data Hub)]]</f>
        <v>0</v>
      </c>
      <c r="Q54" s="18" t="s">
        <v>355</v>
      </c>
      <c r="R54" s="18" t="s">
        <v>592</v>
      </c>
      <c r="S54" s="18" t="s">
        <v>590</v>
      </c>
      <c r="T54" s="18"/>
      <c r="U54" s="18"/>
      <c r="V54" s="46" t="s">
        <v>593</v>
      </c>
      <c r="W54" s="46"/>
      <c r="X54" s="18"/>
      <c r="Y54" s="1" t="e">
        <f>VLOOKUP(A54,Model!A$2:J$210,2,FALSE)</f>
        <v>#N/A</v>
      </c>
      <c r="Z54" s="1"/>
      <c r="AA54" s="1"/>
      <c r="AB54" s="1"/>
      <c r="AC54" s="1"/>
      <c r="AD54" s="32" t="b">
        <f>VLOOKUP(B54,AVY_FACT!A$2:A$153,1,FALSE)=B54</f>
        <v>1</v>
      </c>
      <c r="AE54" s="32" t="b">
        <f>VLOOKUP(B54,AVY_FACT!A$2:F$153,2,FALSE)=C54</f>
        <v>1</v>
      </c>
      <c r="AF54" s="32" t="str">
        <f>K54&amp;"  "&amp;C54&amp;","</f>
        <v>TRUE  NUMBER(38,0),</v>
      </c>
      <c r="AG54" s="33" t="str">
        <f t="shared" si="3"/>
        <v>COMMENT ON COLUMN TRANSACTIONS_OWNER.AVY_FACT.CCY_DIM_ID IS 'Surrogate key for Currency dimension based on Currency Code.';</v>
      </c>
    </row>
    <row r="55" spans="1:33" ht="22.5" customHeight="1">
      <c r="A55" s="61" t="s">
        <v>594</v>
      </c>
      <c r="B55" s="18" t="s">
        <v>595</v>
      </c>
      <c r="C55" s="18" t="s">
        <v>139</v>
      </c>
      <c r="D55" s="18" t="s">
        <v>63</v>
      </c>
      <c r="E55" s="18" t="s">
        <v>140</v>
      </c>
      <c r="F55" s="45" t="s">
        <v>63</v>
      </c>
      <c r="G55" s="46" t="s">
        <v>597</v>
      </c>
      <c r="H55" s="18"/>
      <c r="I55" s="18" t="s">
        <v>347</v>
      </c>
      <c r="J55" s="18">
        <v>3</v>
      </c>
      <c r="K55" s="18" t="b">
        <f>VLOOKUP(A55,Model!C$2:D$208,2,FALSE)=B55</f>
        <v>1</v>
      </c>
      <c r="L55" s="18" t="b">
        <f>VLOOKUP(A55,Model!C$2:G$208,5,FALSE)=C55</f>
        <v>1</v>
      </c>
      <c r="M55" s="18" t="b">
        <f>VLOOKUP(Table1[[#This Row],[Physical Name of Attribute (Name of column in Table)
Supplied by DA Team]],Table!A$2:H$323,1,FALSE)=Table1[[#This Row],[Physical Name of Attribute (Name of column in Table)
Supplied by DA Team]]</f>
        <v>1</v>
      </c>
      <c r="N55" s="18" t="b">
        <f>VLOOKUP(B55,Table!A$2:F$319,2,FALSE)=Table1[[#This Row],[Data type in Oracle
VARCHAR2(n), DATE, NUMBER(m,n), TIMETSTAMP(6)]]</f>
        <v>0</v>
      </c>
      <c r="O55" s="18" t="b">
        <f>VLOOKUP(B55,Table!A$2:F$231,3,FALSE)=Table1[[#This Row],[Nullable in Table and in Oracle View
NULL, NOT NULL]]</f>
        <v>1</v>
      </c>
      <c r="P55" s="55" t="b">
        <f>VLOOKUP(B55,Table!A$2:H$228,6,FALSE)=Table1[[#This Row],[Business Definition (To go into comments and into Meta Data Hub)]]</f>
        <v>0</v>
      </c>
      <c r="Q55" s="18" t="s">
        <v>68</v>
      </c>
      <c r="R55" s="18" t="s">
        <v>113</v>
      </c>
      <c r="S55" s="18" t="s">
        <v>143</v>
      </c>
      <c r="T55" s="18"/>
      <c r="U55" s="18"/>
      <c r="V55" s="46" t="s">
        <v>598</v>
      </c>
      <c r="W55" s="46" t="s">
        <v>599</v>
      </c>
      <c r="X55" s="18"/>
      <c r="Y55" s="1" t="e">
        <f>VLOOKUP(A55,Model!A$2:J$210,2,FALSE)</f>
        <v>#N/A</v>
      </c>
      <c r="Z55" s="1"/>
      <c r="AA55" s="1"/>
      <c r="AB55" s="1"/>
      <c r="AC55" s="1"/>
      <c r="AD55" s="32" t="b">
        <f>VLOOKUP(B55,AVY_FACT!A$2:A$153,1,FALSE)=B55</f>
        <v>1</v>
      </c>
      <c r="AE55" s="32" t="b">
        <f>VLOOKUP(B55,AVY_FACT!A$2:F$153,2,FALSE)=C55</f>
        <v>1</v>
      </c>
      <c r="AF55" s="32" t="str">
        <f>K55&amp;"  "&amp;C55&amp;","</f>
        <v>TRUE  VARCHAR2(20),</v>
      </c>
      <c r="AG55" s="33" t="str">
        <f t="shared" si="3"/>
        <v>COMMENT ON COLUMN TRANSACTIONS_OWNER.AVY_FACT.DOL_IND_CD IS 'A code that identifies whether or not an account is deemed eligible in accordance with the DOL fiduciary rule.';</v>
      </c>
    </row>
    <row r="56" spans="1:33" ht="22.5" customHeight="1">
      <c r="A56" s="61" t="s">
        <v>600</v>
      </c>
      <c r="B56" s="18" t="s">
        <v>601</v>
      </c>
      <c r="C56" s="18" t="s">
        <v>101</v>
      </c>
      <c r="D56" s="18" t="s">
        <v>63</v>
      </c>
      <c r="E56" s="18" t="s">
        <v>133</v>
      </c>
      <c r="F56" s="45" t="s">
        <v>63</v>
      </c>
      <c r="G56" s="46" t="s">
        <v>602</v>
      </c>
      <c r="H56" s="18"/>
      <c r="I56" s="18" t="s">
        <v>347</v>
      </c>
      <c r="J56" s="18">
        <v>3</v>
      </c>
      <c r="K56" s="18" t="b">
        <f>VLOOKUP(A56,Model!C$2:D$208,2,FALSE)=B56</f>
        <v>1</v>
      </c>
      <c r="L56" s="18" t="b">
        <f>VLOOKUP(A56,Model!C$2:G$208,5,FALSE)=C56</f>
        <v>1</v>
      </c>
      <c r="M56" s="18" t="b">
        <f>VLOOKUP(Table1[[#This Row],[Physical Name of Attribute (Name of column in Table)
Supplied by DA Team]],Table!A$2:H$323,1,FALSE)=Table1[[#This Row],[Physical Name of Attribute (Name of column in Table)
Supplied by DA Team]]</f>
        <v>1</v>
      </c>
      <c r="N56" s="18" t="b">
        <f>VLOOKUP(B56,Table!A$2:F$319,2,FALSE)=Table1[[#This Row],[Data type in Oracle
VARCHAR2(n), DATE, NUMBER(m,n), TIMETSTAMP(6)]]</f>
        <v>1</v>
      </c>
      <c r="O56" s="18" t="b">
        <f>VLOOKUP(B56,Table!A$2:F$231,3,FALSE)=Table1[[#This Row],[Nullable in Table and in Oracle View
NULL, NOT NULL]]</f>
        <v>0</v>
      </c>
      <c r="P56" s="55" t="b">
        <f>VLOOKUP(B56,Table!A$2:H$228,6,FALSE)=Table1[[#This Row],[Business Definition (To go into comments and into Meta Data Hub)]]</f>
        <v>0</v>
      </c>
      <c r="Q56" s="18" t="s">
        <v>68</v>
      </c>
      <c r="R56" s="18" t="s">
        <v>69</v>
      </c>
      <c r="S56" s="18" t="s">
        <v>601</v>
      </c>
      <c r="T56" s="18"/>
      <c r="U56" s="18"/>
      <c r="V56" s="46"/>
      <c r="W56" s="46"/>
      <c r="X56" s="18"/>
      <c r="Y56" s="1" t="e">
        <f>VLOOKUP(A56,Model!A$2:J$210,2,FALSE)</f>
        <v>#N/A</v>
      </c>
      <c r="Z56" s="1"/>
      <c r="AA56" s="1"/>
      <c r="AB56" s="1"/>
      <c r="AC56" s="1"/>
      <c r="AD56" s="32" t="b">
        <f>VLOOKUP(B56,AVY_FACT!A$2:A$153,1,FALSE)=B56</f>
        <v>1</v>
      </c>
      <c r="AE56" s="32" t="b">
        <f>VLOOKUP(B56,AVY_FACT!A$2:F$153,2,FALSE)=C56</f>
        <v>1</v>
      </c>
      <c r="AF56" s="32" t="str">
        <f>B56&amp;"  "&amp;C56&amp;","</f>
        <v>DOL_IND_ID  NUMBER(38,0),</v>
      </c>
      <c r="AG56" s="33" t="str">
        <f t="shared" si="3"/>
        <v>COMMENT ON COLUMN TRANSACTIONS_OWNER.AVY_FACT.DOL_IND_ID IS 'Identifier of whether or not an account is deemed eligible in accordance with the DOL fiduciary rule.';</v>
      </c>
    </row>
    <row r="57" spans="1:33" ht="22.5" customHeight="1">
      <c r="A57" s="61" t="s">
        <v>603</v>
      </c>
      <c r="B57" s="18" t="s">
        <v>604</v>
      </c>
      <c r="C57" s="18" t="s">
        <v>109</v>
      </c>
      <c r="D57" s="18" t="s">
        <v>63</v>
      </c>
      <c r="E57" s="18" t="s">
        <v>110</v>
      </c>
      <c r="F57" s="45" t="s">
        <v>63</v>
      </c>
      <c r="G57" s="46" t="s">
        <v>606</v>
      </c>
      <c r="H57" s="18"/>
      <c r="I57" s="18" t="s">
        <v>347</v>
      </c>
      <c r="J57" s="18">
        <v>3</v>
      </c>
      <c r="K57" s="18" t="b">
        <f>VLOOKUP(A57,Model!C$2:D$208,2,FALSE)=B57</f>
        <v>1</v>
      </c>
      <c r="L57" s="18" t="b">
        <f>VLOOKUP(A57,Model!C$2:G$208,5,FALSE)=C57</f>
        <v>1</v>
      </c>
      <c r="M57" s="18" t="b">
        <f>VLOOKUP(Table1[[#This Row],[Physical Name of Attribute (Name of column in Table)
Supplied by DA Team]],Table!A$2:H$323,1,FALSE)=Table1[[#This Row],[Physical Name of Attribute (Name of column in Table)
Supplied by DA Team]]</f>
        <v>1</v>
      </c>
      <c r="N57" s="18" t="b">
        <f>VLOOKUP(B57,Table!A$2:F$319,2,FALSE)=Table1[[#This Row],[Data type in Oracle
VARCHAR2(n), DATE, NUMBER(m,n), TIMETSTAMP(6)]]</f>
        <v>0</v>
      </c>
      <c r="O57" s="18" t="b">
        <f>VLOOKUP(B57,Table!A$2:F$231,3,FALSE)=Table1[[#This Row],[Nullable in Table and in Oracle View
NULL, NOT NULL]]</f>
        <v>1</v>
      </c>
      <c r="P57" s="55" t="b">
        <f>VLOOKUP(B57,Table!A$2:H$228,6,FALSE)=Table1[[#This Row],[Business Definition (To go into comments and into Meta Data Hub)]]</f>
        <v>0</v>
      </c>
      <c r="Q57" s="18" t="s">
        <v>68</v>
      </c>
      <c r="R57" s="18" t="s">
        <v>113</v>
      </c>
      <c r="S57" s="18" t="s">
        <v>114</v>
      </c>
      <c r="T57" s="18"/>
      <c r="U57" s="18"/>
      <c r="V57" s="46" t="s">
        <v>598</v>
      </c>
      <c r="W57" s="46" t="s">
        <v>607</v>
      </c>
      <c r="X57" s="18"/>
      <c r="Y57" s="1" t="e">
        <f>VLOOKUP(A57,Model!A$2:J$210,2,FALSE)</f>
        <v>#N/A</v>
      </c>
      <c r="Z57" s="1"/>
      <c r="AA57" s="1"/>
      <c r="AB57" s="1"/>
      <c r="AC57" s="1"/>
      <c r="AD57" s="32" t="b">
        <f>VLOOKUP(B57,AVY_FACT!A$2:A$153,1,FALSE)=B57</f>
        <v>1</v>
      </c>
      <c r="AE57" s="32" t="b">
        <f>VLOOKUP(B57,AVY_FACT!A$2:F$153,2,FALSE)=C57</f>
        <v>1</v>
      </c>
      <c r="AF57" s="32" t="str">
        <f>K57&amp;"  "&amp;C57&amp;","</f>
        <v>TRUE  VARCHAR2(200),</v>
      </c>
      <c r="AG57" s="33" t="str">
        <f t="shared" si="3"/>
        <v>COMMENT ON COLUMN TRANSACTIONS_OWNER.AVY_FACT.DOL_IND_NM IS 'Name that identifies whether or not an account is deemed eligible in accordance with the DOL fiduciary rule.';</v>
      </c>
    </row>
    <row r="58" spans="1:33" ht="22.5" hidden="1" customHeight="1">
      <c r="A58" s="18" t="s">
        <v>154</v>
      </c>
      <c r="B58" s="18" t="s">
        <v>155</v>
      </c>
      <c r="C58" s="18" t="s">
        <v>157</v>
      </c>
      <c r="D58" s="18" t="s">
        <v>63</v>
      </c>
      <c r="E58" s="18" t="s">
        <v>158</v>
      </c>
      <c r="F58" s="45" t="s">
        <v>63</v>
      </c>
      <c r="G58" s="12" t="s">
        <v>159</v>
      </c>
      <c r="H58" s="18">
        <v>42398</v>
      </c>
      <c r="I58" s="18" t="s">
        <v>67</v>
      </c>
      <c r="J58" s="18">
        <v>3</v>
      </c>
      <c r="K58" s="18" t="b">
        <f>VLOOKUP(A58,Model!C$2:D$208,2,FALSE)=B58</f>
        <v>1</v>
      </c>
      <c r="L58" s="18" t="b">
        <f>VLOOKUP(A58,Model!C$2:G$208,5,FALSE)=C58</f>
        <v>1</v>
      </c>
      <c r="M58" s="18" t="b">
        <f>VLOOKUP(Table1[[#This Row],[Physical Name of Attribute (Name of column in Table)
Supplied by DA Team]],Table!A$2:H$323,1,FALSE)=Table1[[#This Row],[Physical Name of Attribute (Name of column in Table)
Supplied by DA Team]]</f>
        <v>1</v>
      </c>
      <c r="N58" s="18" t="b">
        <f>VLOOKUP(B58,Table!A$2:F$319,2,FALSE)=Table1[[#This Row],[Data type in Oracle
VARCHAR2(n), DATE, NUMBER(m,n), TIMETSTAMP(6)]]</f>
        <v>0</v>
      </c>
      <c r="O58" s="18" t="b">
        <f>VLOOKUP(B58,Table!A$2:F$231,3,FALSE)=Table1[[#This Row],[Nullable in Table and in Oracle View
NULL, NOT NULL]]</f>
        <v>1</v>
      </c>
      <c r="P58" s="18" t="b">
        <f>VLOOKUP(B58,Table!A$2:H$228,6,FALSE)=Table1[[#This Row],[Business Definition (To go into comments and into Meta Data Hub)]]</f>
        <v>0</v>
      </c>
      <c r="Q58" s="18" t="s">
        <v>68</v>
      </c>
      <c r="R58" s="18" t="s">
        <v>69</v>
      </c>
      <c r="S58" s="18" t="s">
        <v>155</v>
      </c>
      <c r="T58" s="18"/>
      <c r="U58" s="18"/>
      <c r="V58" s="46"/>
      <c r="W58" s="46"/>
      <c r="X58" s="18"/>
      <c r="Y58" s="1" t="e">
        <f>VLOOKUP(A58,Model!A$2:J$210,2,FALSE)</f>
        <v>#N/A</v>
      </c>
      <c r="Z58" s="1"/>
      <c r="AA58" s="1"/>
      <c r="AB58" s="1"/>
      <c r="AC58" s="1"/>
      <c r="AD58" s="32" t="e">
        <f>VLOOKUP(B58,AVY_FACT!A$2:A$153,1,FALSE)=B58</f>
        <v>#N/A</v>
      </c>
      <c r="AE58" s="32" t="e">
        <f>VLOOKUP(B58,AVY_FACT!A$2:F$153,2,FALSE)=C58</f>
        <v>#N/A</v>
      </c>
      <c r="AF58" s="32" t="str">
        <f>B58&amp;"  "&amp;C58&amp;","</f>
        <v>DVDN_RCRD_DT  DATE,</v>
      </c>
      <c r="AG58" s="33" t="str">
        <f t="shared" si="3"/>
        <v>COMMENT ON COLUMN TRANSACTIONS_OWNER.AVY_FACT.DVDN_RCRD_DT IS 'The cut-off date that an organization is expected to use to determine which shareholders are eligible to receive a dividend or income distribution.';</v>
      </c>
    </row>
    <row r="59" spans="1:33" ht="22.5" customHeight="1">
      <c r="A59" s="69" t="s">
        <v>1140</v>
      </c>
      <c r="B59" s="58" t="s">
        <v>1141</v>
      </c>
      <c r="C59" s="77" t="s">
        <v>101</v>
      </c>
      <c r="D59" s="58" t="s">
        <v>63</v>
      </c>
      <c r="E59" s="77" t="s">
        <v>133</v>
      </c>
      <c r="F59" s="70" t="s">
        <v>63</v>
      </c>
      <c r="G59" s="59"/>
      <c r="H59" s="58"/>
      <c r="I59" s="58" t="s">
        <v>1142</v>
      </c>
      <c r="J59" s="58">
        <v>3</v>
      </c>
      <c r="K59" s="58" t="e">
        <f>VLOOKUP(A59,Model!C$2:D$208,2,FALSE)=B59</f>
        <v>#N/A</v>
      </c>
      <c r="L59" s="58" t="e">
        <f>VLOOKUP(A59,Model!C$2:G$208,5,FALSE)=C59</f>
        <v>#N/A</v>
      </c>
      <c r="M59" s="58" t="b">
        <f>VLOOKUP(Table1[[#This Row],[Physical Name of Attribute (Name of column in Table)
Supplied by DA Team]],Table!A$2:H$323,1,FALSE)=Table1[[#This Row],[Physical Name of Attribute (Name of column in Table)
Supplied by DA Team]]</f>
        <v>1</v>
      </c>
      <c r="N59" s="58" t="e">
        <f>VLOOKUP(B59,Table!A$2:F$319,2,FALSE)=Table1[[#This Row],[Data type in Oracle
VARCHAR2(n), DATE, NUMBER(m,n), TIMETSTAMP(6)]]</f>
        <v>#N/A</v>
      </c>
      <c r="O59" s="58" t="e">
        <f>VLOOKUP(B59,Table!A$2:F$231,3,FALSE)=Table1[[#This Row],[Nullable in Table and in Oracle View
NULL, NOT NULL]]</f>
        <v>#N/A</v>
      </c>
      <c r="P59" s="58" t="e">
        <f>VLOOKUP(B59,Table!A$2:H$228,6,FALSE)=Table1[[#This Row],[Business Definition (To go into comments and into Meta Data Hub)]]</f>
        <v>#N/A</v>
      </c>
      <c r="Q59" s="58"/>
      <c r="R59" s="58"/>
      <c r="S59" s="58"/>
      <c r="T59" s="58"/>
      <c r="U59" s="58"/>
      <c r="V59" s="46"/>
      <c r="W59" s="46" t="s">
        <v>1143</v>
      </c>
      <c r="X59" s="18"/>
      <c r="Y59" s="85" t="e">
        <f>VLOOKUP(A59,Model!A$2:J$210,2,FALSE)</f>
        <v>#N/A</v>
      </c>
      <c r="Z59" s="1"/>
      <c r="AA59" s="1"/>
      <c r="AB59" s="1"/>
      <c r="AC59" s="1"/>
    </row>
    <row r="60" spans="1:33" ht="22.5" customHeight="1">
      <c r="A60" s="69" t="s">
        <v>1145</v>
      </c>
      <c r="B60" s="58" t="s">
        <v>1146</v>
      </c>
      <c r="C60" s="58" t="s">
        <v>101</v>
      </c>
      <c r="D60" s="58" t="s">
        <v>63</v>
      </c>
      <c r="E60" s="58" t="s">
        <v>133</v>
      </c>
      <c r="F60" s="70" t="s">
        <v>63</v>
      </c>
      <c r="G60" s="59"/>
      <c r="H60" s="58"/>
      <c r="I60" s="58" t="s">
        <v>1142</v>
      </c>
      <c r="J60" s="58">
        <v>3</v>
      </c>
      <c r="K60" s="58" t="e">
        <f>VLOOKUP(A60,Model!C$2:D$208,2,FALSE)=B60</f>
        <v>#N/A</v>
      </c>
      <c r="L60" s="58" t="e">
        <f>VLOOKUP(A60,Model!C$2:G$208,5,FALSE)=C60</f>
        <v>#N/A</v>
      </c>
      <c r="M60" s="58" t="b">
        <f>VLOOKUP(Table1[[#This Row],[Physical Name of Attribute (Name of column in Table)
Supplied by DA Team]],Table!A$2:H$323,1,FALSE)=Table1[[#This Row],[Physical Name of Attribute (Name of column in Table)
Supplied by DA Team]]</f>
        <v>1</v>
      </c>
      <c r="N60" s="58" t="e">
        <f>VLOOKUP(B60,Table!A$2:F$319,2,FALSE)=Table1[[#This Row],[Data type in Oracle
VARCHAR2(n), DATE, NUMBER(m,n), TIMETSTAMP(6)]]</f>
        <v>#N/A</v>
      </c>
      <c r="O60" s="58" t="e">
        <f>VLOOKUP(B60,Table!A$2:F$231,3,FALSE)=Table1[[#This Row],[Nullable in Table and in Oracle View
NULL, NOT NULL]]</f>
        <v>#N/A</v>
      </c>
      <c r="P60" s="58" t="e">
        <f>VLOOKUP(B60,Table!A$2:H$228,6,FALSE)=Table1[[#This Row],[Business Definition (To go into comments and into Meta Data Hub)]]</f>
        <v>#N/A</v>
      </c>
      <c r="Q60" s="58"/>
      <c r="R60" s="58"/>
      <c r="S60" s="58"/>
      <c r="T60" s="58"/>
      <c r="U60" s="58"/>
      <c r="V60" s="46"/>
      <c r="W60" s="46" t="s">
        <v>1143</v>
      </c>
      <c r="X60" s="18"/>
      <c r="Y60" s="85" t="e">
        <f>VLOOKUP(A60,Model!A$2:J$210,2,FALSE)</f>
        <v>#N/A</v>
      </c>
      <c r="Z60" s="1"/>
      <c r="AA60" s="1"/>
      <c r="AB60" s="1"/>
      <c r="AC60" s="1"/>
    </row>
    <row r="61" spans="1:33" ht="22.5" customHeight="1">
      <c r="A61" s="69" t="s">
        <v>1147</v>
      </c>
      <c r="B61" s="58" t="s">
        <v>1148</v>
      </c>
      <c r="C61" s="58" t="s">
        <v>101</v>
      </c>
      <c r="D61" s="58" t="s">
        <v>63</v>
      </c>
      <c r="E61" s="58" t="s">
        <v>133</v>
      </c>
      <c r="F61" s="70" t="s">
        <v>63</v>
      </c>
      <c r="G61" s="81"/>
      <c r="H61" s="58"/>
      <c r="I61" s="58" t="s">
        <v>1142</v>
      </c>
      <c r="J61" s="58">
        <v>3</v>
      </c>
      <c r="K61" s="58" t="e">
        <f>VLOOKUP(A61,Model!C$2:D$208,2,FALSE)=B61</f>
        <v>#N/A</v>
      </c>
      <c r="L61" s="58" t="e">
        <f>VLOOKUP(A61,Model!C$2:G$208,5,FALSE)=C61</f>
        <v>#N/A</v>
      </c>
      <c r="M61" s="58" t="b">
        <f>VLOOKUP(Table1[[#This Row],[Physical Name of Attribute (Name of column in Table)
Supplied by DA Team]],Table!A$2:H$323,1,FALSE)=Table1[[#This Row],[Physical Name of Attribute (Name of column in Table)
Supplied by DA Team]]</f>
        <v>1</v>
      </c>
      <c r="N61" s="58" t="e">
        <f>VLOOKUP(B61,Table!A$2:F$319,2,FALSE)=Table1[[#This Row],[Data type in Oracle
VARCHAR2(n), DATE, NUMBER(m,n), TIMETSTAMP(6)]]</f>
        <v>#N/A</v>
      </c>
      <c r="O61" s="58" t="e">
        <f>VLOOKUP(B61,Table!A$2:F$231,3,FALSE)=Table1[[#This Row],[Nullable in Table and in Oracle View
NULL, NOT NULL]]</f>
        <v>#N/A</v>
      </c>
      <c r="P61" s="58" t="e">
        <f>VLOOKUP(B61,Table!A$2:H$228,6,FALSE)=Table1[[#This Row],[Business Definition (To go into comments and into Meta Data Hub)]]</f>
        <v>#N/A</v>
      </c>
      <c r="Q61" s="58"/>
      <c r="R61" s="58"/>
      <c r="S61" s="58"/>
      <c r="T61" s="58"/>
      <c r="U61" s="58"/>
      <c r="V61" s="46"/>
      <c r="W61" s="46" t="s">
        <v>1143</v>
      </c>
      <c r="X61" s="18"/>
      <c r="Y61" s="85" t="e">
        <f>VLOOKUP(A61,Model!A$2:J$210,2,FALSE)</f>
        <v>#N/A</v>
      </c>
      <c r="Z61" s="1"/>
      <c r="AA61" s="1"/>
      <c r="AB61" s="1"/>
      <c r="AC61" s="1"/>
    </row>
    <row r="62" spans="1:33" ht="22.5" customHeight="1">
      <c r="A62" s="69" t="s">
        <v>1149</v>
      </c>
      <c r="B62" s="58" t="s">
        <v>1150</v>
      </c>
      <c r="C62" s="58" t="s">
        <v>101</v>
      </c>
      <c r="D62" s="58" t="s">
        <v>63</v>
      </c>
      <c r="E62" s="58" t="s">
        <v>133</v>
      </c>
      <c r="F62" s="70" t="s">
        <v>63</v>
      </c>
      <c r="G62" s="59"/>
      <c r="H62" s="58"/>
      <c r="I62" s="58" t="s">
        <v>1142</v>
      </c>
      <c r="J62" s="58">
        <v>3</v>
      </c>
      <c r="K62" s="58" t="e">
        <f>VLOOKUP(A62,Model!C$2:D$208,2,FALSE)=B62</f>
        <v>#N/A</v>
      </c>
      <c r="L62" s="58" t="e">
        <f>VLOOKUP(A62,Model!C$2:G$208,5,FALSE)=C62</f>
        <v>#N/A</v>
      </c>
      <c r="M62" s="58" t="b">
        <f>VLOOKUP(Table1[[#This Row],[Physical Name of Attribute (Name of column in Table)
Supplied by DA Team]],Table!A$2:H$323,1,FALSE)=Table1[[#This Row],[Physical Name of Attribute (Name of column in Table)
Supplied by DA Team]]</f>
        <v>1</v>
      </c>
      <c r="N62" s="58" t="e">
        <f>VLOOKUP(B62,Table!A$2:F$319,2,FALSE)=Table1[[#This Row],[Data type in Oracle
VARCHAR2(n), DATE, NUMBER(m,n), TIMETSTAMP(6)]]</f>
        <v>#N/A</v>
      </c>
      <c r="O62" s="58" t="e">
        <f>VLOOKUP(B62,Table!A$2:F$231,3,FALSE)=Table1[[#This Row],[Nullable in Table and in Oracle View
NULL, NOT NULL]]</f>
        <v>#N/A</v>
      </c>
      <c r="P62" s="58" t="e">
        <f>VLOOKUP(B62,Table!A$2:H$228,6,FALSE)=Table1[[#This Row],[Business Definition (To go into comments and into Meta Data Hub)]]</f>
        <v>#N/A</v>
      </c>
      <c r="Q62" s="58"/>
      <c r="R62" s="58"/>
      <c r="S62" s="58"/>
      <c r="T62" s="58"/>
      <c r="U62" s="58"/>
      <c r="V62" s="46"/>
      <c r="W62" s="46" t="s">
        <v>1143</v>
      </c>
      <c r="X62" s="18"/>
      <c r="Y62" s="85" t="e">
        <f>VLOOKUP(A62,Model!A$2:J$210,2,FALSE)</f>
        <v>#N/A</v>
      </c>
      <c r="Z62" s="1"/>
      <c r="AA62" s="1"/>
      <c r="AB62" s="1"/>
      <c r="AC62" s="1"/>
    </row>
    <row r="63" spans="1:33" ht="22.5" customHeight="1">
      <c r="A63" s="69" t="s">
        <v>1151</v>
      </c>
      <c r="B63" s="58" t="s">
        <v>1152</v>
      </c>
      <c r="C63" s="58" t="s">
        <v>101</v>
      </c>
      <c r="D63" s="58" t="s">
        <v>63</v>
      </c>
      <c r="E63" s="58" t="s">
        <v>133</v>
      </c>
      <c r="F63" s="70" t="s">
        <v>63</v>
      </c>
      <c r="G63" s="59"/>
      <c r="H63" s="58"/>
      <c r="I63" s="58" t="s">
        <v>1142</v>
      </c>
      <c r="J63" s="58">
        <v>3</v>
      </c>
      <c r="K63" s="58" t="e">
        <f>VLOOKUP(A63,Model!C$2:D$208,2,FALSE)=B63</f>
        <v>#N/A</v>
      </c>
      <c r="L63" s="58" t="e">
        <f>VLOOKUP(A63,Model!C$2:G$208,5,FALSE)=C63</f>
        <v>#N/A</v>
      </c>
      <c r="M63" s="58" t="b">
        <f>VLOOKUP(Table1[[#This Row],[Physical Name of Attribute (Name of column in Table)
Supplied by DA Team]],Table!A$2:H$323,1,FALSE)=Table1[[#This Row],[Physical Name of Attribute (Name of column in Table)
Supplied by DA Team]]</f>
        <v>1</v>
      </c>
      <c r="N63" s="58" t="e">
        <f>VLOOKUP(B63,Table!A$2:F$319,2,FALSE)=Table1[[#This Row],[Data type in Oracle
VARCHAR2(n), DATE, NUMBER(m,n), TIMETSTAMP(6)]]</f>
        <v>#N/A</v>
      </c>
      <c r="O63" s="58" t="e">
        <f>VLOOKUP(B63,Table!A$2:F$231,3,FALSE)=Table1[[#This Row],[Nullable in Table and in Oracle View
NULL, NOT NULL]]</f>
        <v>#N/A</v>
      </c>
      <c r="P63" s="58" t="e">
        <f>VLOOKUP(B63,Table!A$2:H$228,6,FALSE)=Table1[[#This Row],[Business Definition (To go into comments and into Meta Data Hub)]]</f>
        <v>#N/A</v>
      </c>
      <c r="Q63" s="58"/>
      <c r="R63" s="58"/>
      <c r="S63" s="58"/>
      <c r="T63" s="58"/>
      <c r="U63" s="58"/>
      <c r="V63" s="46"/>
      <c r="W63" s="46" t="s">
        <v>1143</v>
      </c>
      <c r="X63" s="18"/>
      <c r="Y63" s="85" t="e">
        <f>VLOOKUP(A63,Model!A$2:J$210,2,FALSE)</f>
        <v>#N/A</v>
      </c>
      <c r="Z63" s="1"/>
      <c r="AA63" s="1"/>
      <c r="AB63" s="1"/>
      <c r="AC63" s="1"/>
    </row>
    <row r="64" spans="1:33" ht="22.5" hidden="1" customHeight="1">
      <c r="A64" s="18" t="s">
        <v>2622</v>
      </c>
      <c r="B64" s="18" t="s">
        <v>609</v>
      </c>
      <c r="C64" s="18" t="s">
        <v>302</v>
      </c>
      <c r="D64" s="18" t="s">
        <v>63</v>
      </c>
      <c r="E64" s="18" t="s">
        <v>303</v>
      </c>
      <c r="F64" s="45" t="s">
        <v>63</v>
      </c>
      <c r="G64" s="46" t="s">
        <v>611</v>
      </c>
      <c r="H64" s="18"/>
      <c r="I64" s="18" t="s">
        <v>347</v>
      </c>
      <c r="J64" s="18">
        <v>3</v>
      </c>
      <c r="K64" s="18" t="b">
        <f>VLOOKUP(A64,Model!C$2:D$208,2,FALSE)=B64</f>
        <v>1</v>
      </c>
      <c r="L64" s="18" t="b">
        <f>VLOOKUP(A64,Model!C$2:G$208,5,FALSE)=C64</f>
        <v>1</v>
      </c>
      <c r="M64" s="18" t="b">
        <f>VLOOKUP(Table1[[#This Row],[Physical Name of Attribute (Name of column in Table)
Supplied by DA Team]],Table!A$2:H$323,1,FALSE)=Table1[[#This Row],[Physical Name of Attribute (Name of column in Table)
Supplied by DA Team]]</f>
        <v>1</v>
      </c>
      <c r="N64" s="18" t="b">
        <f>VLOOKUP(B64,Table!A$2:F$319,2,FALSE)=Table1[[#This Row],[Data type in Oracle
VARCHAR2(n), DATE, NUMBER(m,n), TIMETSTAMP(6)]]</f>
        <v>0</v>
      </c>
      <c r="O64" s="18" t="b">
        <f>VLOOKUP(B64,Table!A$2:F$231,3,FALSE)=Table1[[#This Row],[Nullable in Table and in Oracle View
NULL, NOT NULL]]</f>
        <v>1</v>
      </c>
      <c r="P64" s="55" t="b">
        <f>VLOOKUP(B64,Table!A$2:H$228,6,FALSE)=Table1[[#This Row],[Business Definition (To go into comments and into Meta Data Hub)]]</f>
        <v>0</v>
      </c>
      <c r="Q64" s="18" t="s">
        <v>68</v>
      </c>
      <c r="R64" s="18" t="s">
        <v>69</v>
      </c>
      <c r="S64" s="18" t="s">
        <v>612</v>
      </c>
      <c r="T64" s="18"/>
      <c r="U64" s="18"/>
      <c r="V64" s="46"/>
      <c r="W64" s="46" t="s">
        <v>613</v>
      </c>
      <c r="X64" s="18"/>
      <c r="Y64" s="1" t="e">
        <f>VLOOKUP(A64,Model!A$2:J$210,2,FALSE)</f>
        <v>#N/A</v>
      </c>
      <c r="Z64" s="1"/>
      <c r="AA64" s="1"/>
      <c r="AB64" s="1"/>
      <c r="AC64" s="1"/>
      <c r="AD64" s="32" t="b">
        <f>VLOOKUP(B64,AVY_FACT!A$2:A$153,1,FALSE)=B64</f>
        <v>1</v>
      </c>
      <c r="AE64" s="32" t="b">
        <f>VLOOKUP(B64,AVY_FACT!A$2:F$153,2,FALSE)=C64</f>
        <v>1</v>
      </c>
      <c r="AF64" s="32" t="str">
        <f>B64&amp;"  "&amp;C64&amp;","</f>
        <v>EXG_CD  VARCHAR2(30),</v>
      </c>
      <c r="AG64" s="33" t="str">
        <f t="shared" ref="AG64:AG78" si="4">"COMMENT ON COLUMN TRANSACTIONS_OWNER.AVY_FACT."&amp;B64&amp;" IS '"&amp;SUBSTITUTE(G64,"'","''")&amp;"';"</f>
        <v>COMMENT ON COLUMN TRANSACTIONS_OWNER.AVY_FACT.EXG_CD IS 'Code to indicate an exchange where a given trade was executed.  CIRD uses the MIC code where available/provided.';</v>
      </c>
    </row>
    <row r="65" spans="1:33" ht="22.5" customHeight="1">
      <c r="A65" s="56" t="s">
        <v>352</v>
      </c>
      <c r="B65" s="18" t="s">
        <v>353</v>
      </c>
      <c r="C65" s="18" t="s">
        <v>101</v>
      </c>
      <c r="D65" s="18" t="s">
        <v>345</v>
      </c>
      <c r="E65" s="18" t="s">
        <v>133</v>
      </c>
      <c r="F65" s="45" t="s">
        <v>63</v>
      </c>
      <c r="G65" s="46" t="s">
        <v>354</v>
      </c>
      <c r="H65" s="18"/>
      <c r="I65" s="18" t="s">
        <v>347</v>
      </c>
      <c r="J65" s="18">
        <v>3</v>
      </c>
      <c r="K65" s="18" t="b">
        <f>VLOOKUP(A65,Model!C$2:D$208,2,FALSE)=B65</f>
        <v>1</v>
      </c>
      <c r="L65" s="18" t="b">
        <f>VLOOKUP(A65,Model!C$2:G$208,5,FALSE)=C65</f>
        <v>1</v>
      </c>
      <c r="M65" s="18" t="b">
        <f>VLOOKUP(Table1[[#This Row],[Physical Name of Attribute (Name of column in Table)
Supplied by DA Team]],Table!A$2:H$323,1,FALSE)=Table1[[#This Row],[Physical Name of Attribute (Name of column in Table)
Supplied by DA Team]]</f>
        <v>1</v>
      </c>
      <c r="N65" s="18" t="b">
        <f>VLOOKUP(B65,Table!A$2:F$319,2,FALSE)=Table1[[#This Row],[Data type in Oracle
VARCHAR2(n), DATE, NUMBER(m,n), TIMETSTAMP(6)]]</f>
        <v>0</v>
      </c>
      <c r="O65" s="18" t="b">
        <f>VLOOKUP(B65,Table!A$2:F$231,3,FALSE)=Table1[[#This Row],[Nullable in Table and in Oracle View
NULL, NOT NULL]]</f>
        <v>0</v>
      </c>
      <c r="P65" s="18" t="b">
        <f>VLOOKUP(B65,Table!A$2:H$228,6,FALSE)=Table1[[#This Row],[Business Definition (To go into comments and into Meta Data Hub)]]</f>
        <v>0</v>
      </c>
      <c r="Q65" s="18" t="s">
        <v>355</v>
      </c>
      <c r="R65" s="18" t="s">
        <v>356</v>
      </c>
      <c r="S65" s="18" t="s">
        <v>353</v>
      </c>
      <c r="T65" s="18"/>
      <c r="U65" s="18"/>
      <c r="V65" s="46" t="s">
        <v>357</v>
      </c>
      <c r="W65" s="46" t="s">
        <v>358</v>
      </c>
      <c r="X65" s="18"/>
      <c r="Y65" s="1" t="e">
        <f>VLOOKUP(A65,Model!A$2:J$210,2,FALSE)</f>
        <v>#N/A</v>
      </c>
      <c r="Z65" s="1"/>
      <c r="AA65" s="1"/>
      <c r="AB65" s="1"/>
      <c r="AC65" s="1"/>
      <c r="AD65" s="32" t="b">
        <f>VLOOKUP(B65,AVY_FACT!A$2:A$153,1,FALSE)=B65</f>
        <v>1</v>
      </c>
      <c r="AE65" s="32" t="b">
        <f>VLOOKUP(B65,AVY_FACT!A$2:F$153,2,FALSE)=C65</f>
        <v>1</v>
      </c>
      <c r="AF65" s="32" t="str">
        <f>K65&amp;"  "&amp;C65&amp;","</f>
        <v>TRUE  NUMBER(38,0),</v>
      </c>
      <c r="AG65" s="33" t="str">
        <f t="shared" si="4"/>
        <v>COMMENT ON COLUMN TRANSACTIONS_OWNER.AVY_FACT.EXG_DIM_ID IS 'Surrogate key for Exchange Dim - The exchange that the transaction was conducted on';</v>
      </c>
    </row>
    <row r="66" spans="1:33" ht="22.5" hidden="1" customHeight="1">
      <c r="A66" s="18" t="s">
        <v>2623</v>
      </c>
      <c r="B66" s="18" t="s">
        <v>615</v>
      </c>
      <c r="C66" s="18" t="s">
        <v>617</v>
      </c>
      <c r="D66" s="18" t="s">
        <v>63</v>
      </c>
      <c r="E66" s="18" t="s">
        <v>618</v>
      </c>
      <c r="F66" s="45" t="s">
        <v>63</v>
      </c>
      <c r="G66" s="46" t="s">
        <v>619</v>
      </c>
      <c r="H66" s="18"/>
      <c r="I66" s="18" t="s">
        <v>347</v>
      </c>
      <c r="J66" s="18">
        <v>3</v>
      </c>
      <c r="K66" s="18" t="b">
        <f>VLOOKUP(A66,Model!C$2:D$208,2,FALSE)=B66</f>
        <v>1</v>
      </c>
      <c r="L66" s="18" t="b">
        <f>VLOOKUP(A66,Model!C$2:G$208,5,FALSE)=C66</f>
        <v>1</v>
      </c>
      <c r="M66" s="18" t="b">
        <f>VLOOKUP(Table1[[#This Row],[Physical Name of Attribute (Name of column in Table)
Supplied by DA Team]],Table!A$2:H$323,1,FALSE)=Table1[[#This Row],[Physical Name of Attribute (Name of column in Table)
Supplied by DA Team]]</f>
        <v>1</v>
      </c>
      <c r="N66" s="18" t="b">
        <f>VLOOKUP(B66,Table!A$2:F$319,2,FALSE)=Table1[[#This Row],[Data type in Oracle
VARCHAR2(n), DATE, NUMBER(m,n), TIMETSTAMP(6)]]</f>
        <v>0</v>
      </c>
      <c r="O66" s="18" t="b">
        <f>VLOOKUP(B66,Table!A$2:F$231,3,FALSE)=Table1[[#This Row],[Nullable in Table and in Oracle View
NULL, NOT NULL]]</f>
        <v>1</v>
      </c>
      <c r="P66" s="55" t="b">
        <f>VLOOKUP(B66,Table!A$2:H$228,6,FALSE)=Table1[[#This Row],[Business Definition (To go into comments and into Meta Data Hub)]]</f>
        <v>0</v>
      </c>
      <c r="Q66" s="18" t="s">
        <v>355</v>
      </c>
      <c r="R66" s="18" t="s">
        <v>356</v>
      </c>
      <c r="S66" s="18" t="s">
        <v>615</v>
      </c>
      <c r="T66" s="18"/>
      <c r="U66" s="18"/>
      <c r="V66" s="46" t="s">
        <v>357</v>
      </c>
      <c r="W66" s="46" t="s">
        <v>620</v>
      </c>
      <c r="X66" s="18"/>
      <c r="Y66" s="1" t="e">
        <f>VLOOKUP(A66,Model!A$2:J$210,2,FALSE)</f>
        <v>#N/A</v>
      </c>
      <c r="Z66" s="1"/>
      <c r="AA66" s="1"/>
      <c r="AB66" s="1"/>
      <c r="AC66" s="1"/>
      <c r="AD66" s="32" t="b">
        <f>VLOOKUP(B66,AVY_FACT!A$2:A$153,1,FALSE)=B66</f>
        <v>1</v>
      </c>
      <c r="AE66" s="32" t="b">
        <f>VLOOKUP(B66,AVY_FACT!A$2:F$153,2,FALSE)=C66</f>
        <v>1</v>
      </c>
      <c r="AF66" s="32" t="str">
        <f>B66&amp;"  "&amp;C66&amp;","</f>
        <v>EXG_NM  VARCHAR2(500),</v>
      </c>
      <c r="AG66" s="33" t="str">
        <f t="shared" si="4"/>
        <v>COMMENT ON COLUMN TRANSACTIONS_OWNER.AVY_FACT.EXG_NM IS 'Name that represents an exchange where a given trade was executed.  CIRD uses the MIC code where available/provided.';</v>
      </c>
    </row>
    <row r="67" spans="1:33" ht="22.5" customHeight="1">
      <c r="A67" s="56" t="s">
        <v>621</v>
      </c>
      <c r="B67" s="18" t="s">
        <v>622</v>
      </c>
      <c r="C67" s="18" t="s">
        <v>624</v>
      </c>
      <c r="D67" s="18" t="s">
        <v>63</v>
      </c>
      <c r="E67" s="18" t="s">
        <v>624</v>
      </c>
      <c r="F67" s="45" t="s">
        <v>63</v>
      </c>
      <c r="G67" s="46" t="s">
        <v>625</v>
      </c>
      <c r="H67" s="18"/>
      <c r="I67" s="18" t="s">
        <v>381</v>
      </c>
      <c r="J67" s="18">
        <v>3</v>
      </c>
      <c r="K67" s="18" t="b">
        <f>VLOOKUP(A67,Model!C$2:D$208,2,FALSE)=B67</f>
        <v>1</v>
      </c>
      <c r="L67" s="18" t="b">
        <f>VLOOKUP(A67,Model!C$2:G$208,5,FALSE)=C67</f>
        <v>1</v>
      </c>
      <c r="M67" s="18" t="b">
        <f>VLOOKUP(Table1[[#This Row],[Physical Name of Attribute (Name of column in Table)
Supplied by DA Team]],Table!A$2:H$323,1,FALSE)=Table1[[#This Row],[Physical Name of Attribute (Name of column in Table)
Supplied by DA Team]]</f>
        <v>1</v>
      </c>
      <c r="N67" s="18" t="b">
        <f>VLOOKUP(B67,Table!A$2:F$319,2,FALSE)=Table1[[#This Row],[Data type in Oracle
VARCHAR2(n), DATE, NUMBER(m,n), TIMETSTAMP(6)]]</f>
        <v>0</v>
      </c>
      <c r="O67" s="18" t="b">
        <f>VLOOKUP(B67,Table!A$2:F$231,3,FALSE)=Table1[[#This Row],[Nullable in Table and in Oracle View
NULL, NOT NULL]]</f>
        <v>1</v>
      </c>
      <c r="P67" s="55" t="b">
        <f>VLOOKUP(B67,Table!A$2:H$228,6,FALSE)=Table1[[#This Row],[Business Definition (To go into comments and into Meta Data Hub)]]</f>
        <v>0</v>
      </c>
      <c r="Q67" s="18" t="s">
        <v>68</v>
      </c>
      <c r="R67" s="18" t="s">
        <v>69</v>
      </c>
      <c r="S67" s="18" t="s">
        <v>622</v>
      </c>
      <c r="T67" s="18"/>
      <c r="U67" s="18"/>
      <c r="V67" s="46"/>
      <c r="W67" s="46"/>
      <c r="X67" s="18"/>
      <c r="Y67" s="1" t="e">
        <f>VLOOKUP(A67,Model!A$2:J$210,2,FALSE)</f>
        <v>#N/A</v>
      </c>
      <c r="Z67" s="1"/>
      <c r="AA67" s="1"/>
      <c r="AB67" s="1"/>
      <c r="AC67" s="1"/>
      <c r="AD67" s="32" t="e">
        <f>VLOOKUP(B67,AVY_FACT!A$2:A$153,1,FALSE)=B67</f>
        <v>#N/A</v>
      </c>
      <c r="AE67" s="32" t="e">
        <f>VLOOKUP(B67,AVY_FACT!A$2:F$153,2,FALSE)=C67</f>
        <v>#N/A</v>
      </c>
      <c r="AF67" s="32" t="str">
        <f>K67&amp;"  "&amp;C67&amp;","</f>
        <v>TRUE  TIMESTAMP(6),</v>
      </c>
      <c r="AG67" s="33" t="str">
        <f t="shared" si="4"/>
        <v>COMMENT ON COLUMN TRANSACTIONS_OWNER.AVY_FACT.EXEC_DTM IS 'System generated date time stamp when the order manager determined the information as binding and liable against 3rd parties. That is when an order is executed in the marketplace. This field holds timestamp at microsec level.';</v>
      </c>
    </row>
    <row r="68" spans="1:33" ht="22.5" hidden="1" customHeight="1">
      <c r="A68" s="18" t="s">
        <v>2624</v>
      </c>
      <c r="B68" s="18" t="s">
        <v>627</v>
      </c>
      <c r="C68" s="18" t="s">
        <v>139</v>
      </c>
      <c r="D68" s="18" t="s">
        <v>63</v>
      </c>
      <c r="E68" s="18" t="s">
        <v>140</v>
      </c>
      <c r="F68" s="45" t="s">
        <v>63</v>
      </c>
      <c r="G68" s="46" t="s">
        <v>629</v>
      </c>
      <c r="H68" s="18"/>
      <c r="I68" s="18" t="s">
        <v>347</v>
      </c>
      <c r="J68" s="18">
        <v>3</v>
      </c>
      <c r="K68" s="18" t="b">
        <f>VLOOKUP(A68,Model!C$2:D$208,2,FALSE)=B68</f>
        <v>1</v>
      </c>
      <c r="L68" s="18" t="b">
        <f>VLOOKUP(A68,Model!C$2:G$208,5,FALSE)=C68</f>
        <v>1</v>
      </c>
      <c r="M68" s="18" t="b">
        <f>VLOOKUP(Table1[[#This Row],[Physical Name of Attribute (Name of column in Table)
Supplied by DA Team]],Table!A$2:H$323,1,FALSE)=Table1[[#This Row],[Physical Name of Attribute (Name of column in Table)
Supplied by DA Team]]</f>
        <v>1</v>
      </c>
      <c r="N68" s="18" t="b">
        <f>VLOOKUP(B68,Table!A$2:F$319,2,FALSE)=Table1[[#This Row],[Data type in Oracle
VARCHAR2(n), DATE, NUMBER(m,n), TIMETSTAMP(6)]]</f>
        <v>0</v>
      </c>
      <c r="O68" s="18" t="b">
        <f>VLOOKUP(B68,Table!A$2:F$231,3,FALSE)=Table1[[#This Row],[Nullable in Table and in Oracle View
NULL, NOT NULL]]</f>
        <v>1</v>
      </c>
      <c r="P68" s="55" t="b">
        <f>VLOOKUP(B68,Table!A$2:H$228,6,FALSE)=Table1[[#This Row],[Business Definition (To go into comments and into Meta Data Hub)]]</f>
        <v>0</v>
      </c>
      <c r="Q68" s="18" t="s">
        <v>68</v>
      </c>
      <c r="R68" s="18" t="s">
        <v>113</v>
      </c>
      <c r="S68" s="18" t="s">
        <v>143</v>
      </c>
      <c r="T68" s="18"/>
      <c r="U68" s="18"/>
      <c r="V68" s="46" t="s">
        <v>630</v>
      </c>
      <c r="W68" s="46"/>
      <c r="X68" s="18"/>
      <c r="Y68" s="1" t="e">
        <f>VLOOKUP(A68,Model!A$2:J$210,2,FALSE)</f>
        <v>#N/A</v>
      </c>
      <c r="Z68" s="1"/>
      <c r="AA68" s="1"/>
      <c r="AB68" s="1"/>
      <c r="AC68" s="1"/>
      <c r="AD68" s="32" t="b">
        <f>VLOOKUP(B68,AVY_FACT!A$2:A$153,1,FALSE)=B68</f>
        <v>1</v>
      </c>
      <c r="AE68" s="32" t="b">
        <f>VLOOKUP(B68,AVY_FACT!A$2:F$153,2,FALSE)=C68</f>
        <v>1</v>
      </c>
      <c r="AF68" s="32" t="str">
        <f>K68&amp;"  "&amp;C68&amp;","</f>
        <v>TRUE  VARCHAR2(20),</v>
      </c>
      <c r="AG68" s="33" t="str">
        <f t="shared" si="4"/>
        <v>COMMENT ON COLUMN TRANSACTIONS_OWNER.AVY_FACT.EXEC_SBTP_CD IS 'A code for the execution sub-types allow the refinement of execution types for an order manager’s internal diversification only such as strategy level type, e.g.. Bullish Vertical spread, stop limit order.';</v>
      </c>
    </row>
    <row r="69" spans="1:33" ht="22.5" hidden="1" customHeight="1">
      <c r="A69" s="18" t="s">
        <v>2625</v>
      </c>
      <c r="B69" s="18" t="s">
        <v>632</v>
      </c>
      <c r="C69" s="18" t="s">
        <v>485</v>
      </c>
      <c r="D69" s="18" t="s">
        <v>63</v>
      </c>
      <c r="E69" s="18" t="s">
        <v>486</v>
      </c>
      <c r="F69" s="45" t="s">
        <v>63</v>
      </c>
      <c r="G69" s="46" t="s">
        <v>634</v>
      </c>
      <c r="H69" s="18"/>
      <c r="I69" s="18" t="s">
        <v>347</v>
      </c>
      <c r="J69" s="18">
        <v>3</v>
      </c>
      <c r="K69" s="18" t="b">
        <f>VLOOKUP(A69,Model!C$2:D$208,2,FALSE)=B69</f>
        <v>1</v>
      </c>
      <c r="L69" s="18" t="b">
        <f>VLOOKUP(A69,Model!C$2:G$208,5,FALSE)=C69</f>
        <v>1</v>
      </c>
      <c r="M69" s="18" t="b">
        <f>VLOOKUP(Table1[[#This Row],[Physical Name of Attribute (Name of column in Table)
Supplied by DA Team]],Table!A$2:H$323,1,FALSE)=Table1[[#This Row],[Physical Name of Attribute (Name of column in Table)
Supplied by DA Team]]</f>
        <v>1</v>
      </c>
      <c r="N69" s="18" t="b">
        <f>VLOOKUP(B69,Table!A$2:F$319,2,FALSE)=Table1[[#This Row],[Data type in Oracle
VARCHAR2(n), DATE, NUMBER(m,n), TIMETSTAMP(6)]]</f>
        <v>0</v>
      </c>
      <c r="O69" s="18" t="b">
        <f>VLOOKUP(B69,Table!A$2:F$231,3,FALSE)=Table1[[#This Row],[Nullable in Table and in Oracle View
NULL, NOT NULL]]</f>
        <v>1</v>
      </c>
      <c r="P69" s="55" t="b">
        <f>VLOOKUP(B69,Table!A$2:H$228,6,FALSE)=Table1[[#This Row],[Business Definition (To go into comments and into Meta Data Hub)]]</f>
        <v>0</v>
      </c>
      <c r="Q69" s="18" t="s">
        <v>68</v>
      </c>
      <c r="R69" s="18" t="s">
        <v>113</v>
      </c>
      <c r="S69" s="18" t="s">
        <v>488</v>
      </c>
      <c r="T69" s="18"/>
      <c r="U69" s="18"/>
      <c r="V69" s="46" t="s">
        <v>630</v>
      </c>
      <c r="W69" s="46"/>
      <c r="X69" s="18"/>
      <c r="Y69" s="1" t="e">
        <f>VLOOKUP(A69,Model!A$2:J$210,2,FALSE)</f>
        <v>#N/A</v>
      </c>
      <c r="Z69" s="1"/>
      <c r="AA69" s="1"/>
      <c r="AB69" s="1"/>
      <c r="AC69" s="1"/>
      <c r="AD69" s="32" t="b">
        <f>VLOOKUP(B69,AVY_FACT!A$2:A$153,1,FALSE)=B69</f>
        <v>1</v>
      </c>
      <c r="AE69" s="32" t="b">
        <f>VLOOKUP(B69,AVY_FACT!A$2:F$153,2,FALSE)=C69</f>
        <v>1</v>
      </c>
      <c r="AF69" s="32" t="str">
        <f>B69&amp;"  "&amp;C69&amp;","</f>
        <v>EXEC_SBTP_DSC  VARCHAR2(1000),</v>
      </c>
      <c r="AG69" s="33" t="str">
        <f t="shared" si="4"/>
        <v>COMMENT ON COLUMN TRANSACTIONS_OWNER.AVY_FACT.EXEC_SBTP_DSC IS 'A description for the execution sub-types allow the refinement of execution types for an order manager’s internal diversification only such as strategy level type, e.g.. Bullish Vertical spread, stop limit order.';</v>
      </c>
    </row>
    <row r="70" spans="1:33" ht="22.5" hidden="1" customHeight="1">
      <c r="A70" s="18" t="s">
        <v>2626</v>
      </c>
      <c r="B70" s="18" t="s">
        <v>636</v>
      </c>
      <c r="C70" s="18" t="s">
        <v>101</v>
      </c>
      <c r="D70" s="18" t="s">
        <v>63</v>
      </c>
      <c r="E70" s="18" t="s">
        <v>133</v>
      </c>
      <c r="F70" s="45" t="s">
        <v>63</v>
      </c>
      <c r="G70" s="46" t="s">
        <v>637</v>
      </c>
      <c r="H70" s="46"/>
      <c r="I70" s="18" t="s">
        <v>347</v>
      </c>
      <c r="J70" s="18">
        <v>3</v>
      </c>
      <c r="K70" s="18" t="b">
        <f>VLOOKUP(A70,Model!C$2:D$208,2,FALSE)=B70</f>
        <v>1</v>
      </c>
      <c r="L70" s="18" t="b">
        <f>VLOOKUP(A70,Model!C$2:G$208,5,FALSE)=C70</f>
        <v>1</v>
      </c>
      <c r="M70" s="18" t="b">
        <f>VLOOKUP(Table1[[#This Row],[Physical Name of Attribute (Name of column in Table)
Supplied by DA Team]],Table!A$2:H$323,1,FALSE)=Table1[[#This Row],[Physical Name of Attribute (Name of column in Table)
Supplied by DA Team]]</f>
        <v>1</v>
      </c>
      <c r="N70" s="18" t="b">
        <f>VLOOKUP(B70,Table!A$2:F$319,2,FALSE)=Table1[[#This Row],[Data type in Oracle
VARCHAR2(n), DATE, NUMBER(m,n), TIMETSTAMP(6)]]</f>
        <v>1</v>
      </c>
      <c r="O70" s="18" t="b">
        <f>VLOOKUP(B70,Table!A$2:F$231,3,FALSE)=Table1[[#This Row],[Nullable in Table and in Oracle View
NULL, NOT NULL]]</f>
        <v>1</v>
      </c>
      <c r="P70" s="55" t="b">
        <f>VLOOKUP(B70,Table!A$2:H$228,6,FALSE)=Table1[[#This Row],[Business Definition (To go into comments and into Meta Data Hub)]]</f>
        <v>0</v>
      </c>
      <c r="Q70" s="18" t="s">
        <v>68</v>
      </c>
      <c r="R70" s="18" t="s">
        <v>69</v>
      </c>
      <c r="S70" s="18" t="s">
        <v>636</v>
      </c>
      <c r="T70" s="18"/>
      <c r="U70" s="18"/>
      <c r="V70" s="46"/>
      <c r="W70" s="46"/>
      <c r="X70" s="18"/>
      <c r="Y70" s="1" t="e">
        <f>VLOOKUP(A70,Model!A$2:J$210,2,FALSE)</f>
        <v>#N/A</v>
      </c>
      <c r="Z70" s="1"/>
      <c r="AA70" s="1"/>
      <c r="AB70" s="1"/>
      <c r="AC70" s="1"/>
      <c r="AD70" s="32" t="b">
        <f>VLOOKUP(B70,AVY_FACT!A$2:A$153,1,FALSE)=B70</f>
        <v>1</v>
      </c>
      <c r="AE70" s="32" t="b">
        <f>VLOOKUP(B70,AVY_FACT!A$2:F$153,2,FALSE)=C70</f>
        <v>1</v>
      </c>
      <c r="AF70" s="32" t="str">
        <f>B70&amp;"  "&amp;C70&amp;","</f>
        <v>EXEC_SBTP_ID  NUMBER(38,0),</v>
      </c>
      <c r="AG70" s="33" t="str">
        <f t="shared" si="4"/>
        <v>COMMENT ON COLUMN TRANSACTIONS_OWNER.AVY_FACT.EXEC_SBTP_ID IS 'Unique numeric identifier tied to various sub-types of trade executions. Execution sub-types allow the refinement of execution types for an order manager’s internal diversification only such as strategy level type, e.g.. Bullish Vertical spread, stop limit order.';</v>
      </c>
    </row>
    <row r="71" spans="1:33" ht="22.5" hidden="1" customHeight="1">
      <c r="A71" s="18" t="s">
        <v>2627</v>
      </c>
      <c r="B71" s="18" t="s">
        <v>639</v>
      </c>
      <c r="C71" s="18" t="s">
        <v>109</v>
      </c>
      <c r="D71" s="18" t="s">
        <v>63</v>
      </c>
      <c r="E71" s="18" t="s">
        <v>110</v>
      </c>
      <c r="F71" s="45" t="s">
        <v>63</v>
      </c>
      <c r="G71" s="46" t="s">
        <v>641</v>
      </c>
      <c r="H71" s="18"/>
      <c r="I71" s="18" t="s">
        <v>347</v>
      </c>
      <c r="J71" s="18">
        <v>3</v>
      </c>
      <c r="K71" s="18" t="b">
        <f>VLOOKUP(A71,Model!C$2:D$208,2,FALSE)=B71</f>
        <v>1</v>
      </c>
      <c r="L71" s="18" t="b">
        <f>VLOOKUP(A71,Model!C$2:G$208,5,FALSE)=C71</f>
        <v>1</v>
      </c>
      <c r="M71" s="18" t="b">
        <f>VLOOKUP(Table1[[#This Row],[Physical Name of Attribute (Name of column in Table)
Supplied by DA Team]],Table!A$2:H$323,1,FALSE)=Table1[[#This Row],[Physical Name of Attribute (Name of column in Table)
Supplied by DA Team]]</f>
        <v>1</v>
      </c>
      <c r="N71" s="18" t="b">
        <f>VLOOKUP(B71,Table!A$2:F$319,2,FALSE)=Table1[[#This Row],[Data type in Oracle
VARCHAR2(n), DATE, NUMBER(m,n), TIMETSTAMP(6)]]</f>
        <v>0</v>
      </c>
      <c r="O71" s="18" t="b">
        <f>VLOOKUP(B71,Table!A$2:F$231,3,FALSE)=Table1[[#This Row],[Nullable in Table and in Oracle View
NULL, NOT NULL]]</f>
        <v>1</v>
      </c>
      <c r="P71" s="55" t="b">
        <f>VLOOKUP(B71,Table!A$2:H$228,6,FALSE)=Table1[[#This Row],[Business Definition (To go into comments and into Meta Data Hub)]]</f>
        <v>0</v>
      </c>
      <c r="Q71" s="18" t="s">
        <v>68</v>
      </c>
      <c r="R71" s="18" t="s">
        <v>113</v>
      </c>
      <c r="S71" s="18" t="s">
        <v>114</v>
      </c>
      <c r="T71" s="18"/>
      <c r="U71" s="18"/>
      <c r="V71" s="46" t="s">
        <v>630</v>
      </c>
      <c r="W71" s="46"/>
      <c r="X71" s="18"/>
      <c r="Y71" s="1" t="e">
        <f>VLOOKUP(A71,Model!A$2:J$210,2,FALSE)</f>
        <v>#N/A</v>
      </c>
      <c r="Z71" s="1"/>
      <c r="AA71" s="1"/>
      <c r="AB71" s="1"/>
      <c r="AC71" s="1"/>
      <c r="AD71" s="32" t="b">
        <f>VLOOKUP(B71,AVY_FACT!A$2:A$153,1,FALSE)=B71</f>
        <v>1</v>
      </c>
      <c r="AE71" s="32" t="b">
        <f>VLOOKUP(B71,AVY_FACT!A$2:F$153,2,FALSE)=C71</f>
        <v>1</v>
      </c>
      <c r="AF71" s="32" t="str">
        <f>B71&amp;"  "&amp;C71&amp;","</f>
        <v>EXEC_SBTP_NM  VARCHAR2(200),</v>
      </c>
      <c r="AG71" s="33" t="str">
        <f t="shared" si="4"/>
        <v>COMMENT ON COLUMN TRANSACTIONS_OWNER.AVY_FACT.EXEC_SBTP_NM IS 'Name for the execution sub-types allow the refinement of execution types for an order manager’s internal diversification only such as strategy level type, e.g.. Bullish Vertical spread, stop limit order.';</v>
      </c>
    </row>
    <row r="72" spans="1:33" ht="22.5" hidden="1" customHeight="1">
      <c r="A72" s="18" t="s">
        <v>2628</v>
      </c>
      <c r="B72" s="18" t="s">
        <v>643</v>
      </c>
      <c r="C72" s="18" t="s">
        <v>139</v>
      </c>
      <c r="D72" s="18" t="s">
        <v>63</v>
      </c>
      <c r="E72" s="18" t="s">
        <v>140</v>
      </c>
      <c r="F72" s="45" t="s">
        <v>63</v>
      </c>
      <c r="G72" s="46" t="s">
        <v>645</v>
      </c>
      <c r="H72" s="18"/>
      <c r="I72" s="18" t="s">
        <v>347</v>
      </c>
      <c r="J72" s="18">
        <v>3</v>
      </c>
      <c r="K72" s="18" t="b">
        <f>VLOOKUP(A72,Model!C$2:D$208,2,FALSE)=B72</f>
        <v>1</v>
      </c>
      <c r="L72" s="18" t="b">
        <f>VLOOKUP(A72,Model!C$2:G$208,5,FALSE)=C72</f>
        <v>1</v>
      </c>
      <c r="M72" s="18" t="b">
        <f>VLOOKUP(Table1[[#This Row],[Physical Name of Attribute (Name of column in Table)
Supplied by DA Team]],Table!A$2:H$323,1,FALSE)=Table1[[#This Row],[Physical Name of Attribute (Name of column in Table)
Supplied by DA Team]]</f>
        <v>1</v>
      </c>
      <c r="N72" s="18" t="b">
        <f>VLOOKUP(B72,Table!A$2:F$319,2,FALSE)=Table1[[#This Row],[Data type in Oracle
VARCHAR2(n), DATE, NUMBER(m,n), TIMETSTAMP(6)]]</f>
        <v>0</v>
      </c>
      <c r="O72" s="18" t="b">
        <f>VLOOKUP(B72,Table!A$2:F$231,3,FALSE)=Table1[[#This Row],[Nullable in Table and in Oracle View
NULL, NOT NULL]]</f>
        <v>1</v>
      </c>
      <c r="P72" s="55" t="b">
        <f>VLOOKUP(B72,Table!A$2:H$228,6,FALSE)=Table1[[#This Row],[Business Definition (To go into comments and into Meta Data Hub)]]</f>
        <v>0</v>
      </c>
      <c r="Q72" s="18" t="s">
        <v>68</v>
      </c>
      <c r="R72" s="18" t="s">
        <v>113</v>
      </c>
      <c r="S72" s="18" t="s">
        <v>143</v>
      </c>
      <c r="T72" s="18"/>
      <c r="U72" s="18"/>
      <c r="V72" s="46" t="s">
        <v>646</v>
      </c>
      <c r="W72" s="46"/>
      <c r="X72" s="18"/>
      <c r="Y72" s="1" t="e">
        <f>VLOOKUP(A72,Model!A$2:J$210,2,FALSE)</f>
        <v>#N/A</v>
      </c>
      <c r="Z72" s="1"/>
      <c r="AA72" s="1"/>
      <c r="AB72" s="1"/>
      <c r="AC72" s="1"/>
      <c r="AD72" s="32" t="b">
        <f>VLOOKUP(B72,AVY_FACT!A$2:A$153,1,FALSE)=B72</f>
        <v>1</v>
      </c>
      <c r="AE72" s="32" t="b">
        <f>VLOOKUP(B72,AVY_FACT!A$2:F$153,2,FALSE)=C72</f>
        <v>1</v>
      </c>
      <c r="AF72" s="32" t="str">
        <f>B72&amp;"  "&amp;C72&amp;","</f>
        <v>EXEC_TP_CD  VARCHAR2(20),</v>
      </c>
      <c r="AG72" s="33" t="str">
        <f t="shared" si="4"/>
        <v>COMMENT ON COLUMN TRANSACTIONS_OWNER.AVY_FACT.EXEC_TP_CD IS 'Code that represents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row>
    <row r="73" spans="1:33" ht="22.5" hidden="1" customHeight="1">
      <c r="A73" s="18" t="s">
        <v>2629</v>
      </c>
      <c r="B73" s="18" t="s">
        <v>648</v>
      </c>
      <c r="C73" s="18" t="s">
        <v>485</v>
      </c>
      <c r="D73" s="18" t="s">
        <v>63</v>
      </c>
      <c r="E73" s="18" t="s">
        <v>486</v>
      </c>
      <c r="F73" s="45" t="s">
        <v>63</v>
      </c>
      <c r="G73" s="46" t="s">
        <v>650</v>
      </c>
      <c r="H73" s="18"/>
      <c r="I73" s="18" t="s">
        <v>347</v>
      </c>
      <c r="J73" s="18">
        <v>3</v>
      </c>
      <c r="K73" s="18" t="b">
        <f>VLOOKUP(A73,Model!C$2:D$208,2,FALSE)=B73</f>
        <v>1</v>
      </c>
      <c r="L73" s="18" t="b">
        <f>VLOOKUP(A73,Model!C$2:G$208,5,FALSE)=C73</f>
        <v>1</v>
      </c>
      <c r="M73" s="18" t="b">
        <f>VLOOKUP(Table1[[#This Row],[Physical Name of Attribute (Name of column in Table)
Supplied by DA Team]],Table!A$2:H$323,1,FALSE)=Table1[[#This Row],[Physical Name of Attribute (Name of column in Table)
Supplied by DA Team]]</f>
        <v>1</v>
      </c>
      <c r="N73" s="18" t="b">
        <f>VLOOKUP(B73,Table!A$2:F$319,2,FALSE)=Table1[[#This Row],[Data type in Oracle
VARCHAR2(n), DATE, NUMBER(m,n), TIMETSTAMP(6)]]</f>
        <v>0</v>
      </c>
      <c r="O73" s="18" t="b">
        <f>VLOOKUP(B73,Table!A$2:F$231,3,FALSE)=Table1[[#This Row],[Nullable in Table and in Oracle View
NULL, NOT NULL]]</f>
        <v>1</v>
      </c>
      <c r="P73" s="55" t="b">
        <f>VLOOKUP(B73,Table!A$2:H$228,6,FALSE)=Table1[[#This Row],[Business Definition (To go into comments and into Meta Data Hub)]]</f>
        <v>0</v>
      </c>
      <c r="Q73" s="18" t="s">
        <v>68</v>
      </c>
      <c r="R73" s="18" t="s">
        <v>113</v>
      </c>
      <c r="S73" s="18" t="s">
        <v>488</v>
      </c>
      <c r="T73" s="18"/>
      <c r="U73" s="18"/>
      <c r="V73" s="46" t="s">
        <v>646</v>
      </c>
      <c r="W73" s="46"/>
      <c r="X73" s="18"/>
      <c r="Y73" s="1" t="e">
        <f>VLOOKUP(A73,Model!A$2:J$210,2,FALSE)</f>
        <v>#N/A</v>
      </c>
      <c r="Z73" s="1"/>
      <c r="AA73" s="1"/>
      <c r="AB73" s="1"/>
      <c r="AC73" s="1"/>
      <c r="AD73" s="32" t="b">
        <f>VLOOKUP(B73,AVY_FACT!A$2:A$153,1,FALSE)=B73</f>
        <v>1</v>
      </c>
      <c r="AE73" s="32" t="b">
        <f>VLOOKUP(B73,AVY_FACT!A$2:F$153,2,FALSE)=C73</f>
        <v>1</v>
      </c>
      <c r="AF73" s="32" t="str">
        <f>K73&amp;"  "&amp;C73&amp;","</f>
        <v>TRUE  VARCHAR2(1000),</v>
      </c>
      <c r="AG73" s="33" t="str">
        <f t="shared" si="4"/>
        <v>COMMENT ON COLUMN TRANSACTIONS_OWNER.AVY_FACT.EXEC_TP_DSC IS 'Description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row>
    <row r="74" spans="1:33" ht="22.5" hidden="1" customHeight="1">
      <c r="A74" s="18" t="s">
        <v>2630</v>
      </c>
      <c r="B74" s="18" t="s">
        <v>652</v>
      </c>
      <c r="C74" s="18" t="s">
        <v>101</v>
      </c>
      <c r="D74" s="18" t="s">
        <v>63</v>
      </c>
      <c r="E74" s="18" t="s">
        <v>133</v>
      </c>
      <c r="F74" s="45" t="s">
        <v>63</v>
      </c>
      <c r="G74" s="46" t="s">
        <v>653</v>
      </c>
      <c r="H74" s="18"/>
      <c r="I74" s="18" t="s">
        <v>347</v>
      </c>
      <c r="J74" s="18">
        <v>3</v>
      </c>
      <c r="K74" s="18" t="b">
        <f>VLOOKUP(A74,Model!C$2:D$208,2,FALSE)=B74</f>
        <v>1</v>
      </c>
      <c r="L74" s="18" t="b">
        <f>VLOOKUP(A74,Model!C$2:G$208,5,FALSE)=C74</f>
        <v>1</v>
      </c>
      <c r="M74" s="18" t="b">
        <f>VLOOKUP(Table1[[#This Row],[Physical Name of Attribute (Name of column in Table)
Supplied by DA Team]],Table!A$2:H$323,1,FALSE)=Table1[[#This Row],[Physical Name of Attribute (Name of column in Table)
Supplied by DA Team]]</f>
        <v>1</v>
      </c>
      <c r="N74" s="18" t="b">
        <f>VLOOKUP(B74,Table!A$2:F$319,2,FALSE)=Table1[[#This Row],[Data type in Oracle
VARCHAR2(n), DATE, NUMBER(m,n), TIMETSTAMP(6)]]</f>
        <v>0</v>
      </c>
      <c r="O74" s="18" t="b">
        <f>VLOOKUP(B74,Table!A$2:F$231,3,FALSE)=Table1[[#This Row],[Nullable in Table and in Oracle View
NULL, NOT NULL]]</f>
        <v>1</v>
      </c>
      <c r="P74" s="55" t="b">
        <f>VLOOKUP(B74,Table!A$2:H$228,6,FALSE)=Table1[[#This Row],[Business Definition (To go into comments and into Meta Data Hub)]]</f>
        <v>0</v>
      </c>
      <c r="Q74" s="18" t="s">
        <v>68</v>
      </c>
      <c r="R74" s="18" t="s">
        <v>69</v>
      </c>
      <c r="S74" s="18" t="s">
        <v>652</v>
      </c>
      <c r="T74" s="18"/>
      <c r="U74" s="18"/>
      <c r="V74" s="46"/>
      <c r="W74" s="46"/>
      <c r="X74" s="18"/>
      <c r="Y74" s="1" t="e">
        <f>VLOOKUP(A74,Model!A$2:J$210,2,FALSE)</f>
        <v>#N/A</v>
      </c>
      <c r="Z74" s="1"/>
      <c r="AA74" s="1"/>
      <c r="AB74" s="1"/>
      <c r="AC74" s="1"/>
      <c r="AD74" s="32" t="b">
        <f>VLOOKUP(B74,AVY_FACT!A$2:A$153,1,FALSE)=B74</f>
        <v>1</v>
      </c>
      <c r="AE74" s="32" t="b">
        <f>VLOOKUP(B74,AVY_FACT!A$2:F$153,2,FALSE)=C74</f>
        <v>1</v>
      </c>
      <c r="AF74" s="32" t="str">
        <f>K74&amp;"  "&amp;C74&amp;","</f>
        <v>TRUE  NUMBER(38,0),</v>
      </c>
      <c r="AG74" s="33" t="str">
        <f t="shared" si="4"/>
        <v>COMMENT ON COLUMN TRANSACTIONS_OWNER.AVY_FACT.EXEC_TP_ID IS 'Identifier for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row>
    <row r="75" spans="1:33" ht="22.5" hidden="1" customHeight="1">
      <c r="A75" s="1" t="s">
        <v>2631</v>
      </c>
      <c r="B75" s="18" t="s">
        <v>655</v>
      </c>
      <c r="C75" s="18" t="s">
        <v>109</v>
      </c>
      <c r="D75" s="18" t="s">
        <v>63</v>
      </c>
      <c r="E75" s="18" t="s">
        <v>110</v>
      </c>
      <c r="F75" s="45" t="s">
        <v>63</v>
      </c>
      <c r="G75" s="46" t="s">
        <v>657</v>
      </c>
      <c r="H75" s="18"/>
      <c r="I75" s="18" t="s">
        <v>347</v>
      </c>
      <c r="J75" s="18">
        <v>3</v>
      </c>
      <c r="K75" s="18" t="b">
        <f>VLOOKUP(A75,Model!C$2:D$208,2,FALSE)=B75</f>
        <v>1</v>
      </c>
      <c r="L75" s="18" t="b">
        <f>VLOOKUP(A75,Model!C$2:G$208,5,FALSE)=C75</f>
        <v>1</v>
      </c>
      <c r="M75" s="18" t="b">
        <f>VLOOKUP(Table1[[#This Row],[Physical Name of Attribute (Name of column in Table)
Supplied by DA Team]],Table!A$2:H$323,1,FALSE)=Table1[[#This Row],[Physical Name of Attribute (Name of column in Table)
Supplied by DA Team]]</f>
        <v>1</v>
      </c>
      <c r="N75" s="18" t="b">
        <f>VLOOKUP(B75,Table!A$2:F$319,2,FALSE)=Table1[[#This Row],[Data type in Oracle
VARCHAR2(n), DATE, NUMBER(m,n), TIMETSTAMP(6)]]</f>
        <v>0</v>
      </c>
      <c r="O75" s="18" t="b">
        <f>VLOOKUP(B75,Table!A$2:F$231,3,FALSE)=Table1[[#This Row],[Nullable in Table and in Oracle View
NULL, NOT NULL]]</f>
        <v>1</v>
      </c>
      <c r="P75" s="55" t="b">
        <f>VLOOKUP(B75,Table!A$2:H$228,6,FALSE)=Table1[[#This Row],[Business Definition (To go into comments and into Meta Data Hub)]]</f>
        <v>0</v>
      </c>
      <c r="Q75" s="18" t="s">
        <v>68</v>
      </c>
      <c r="R75" s="18" t="s">
        <v>113</v>
      </c>
      <c r="S75" s="18" t="s">
        <v>114</v>
      </c>
      <c r="T75" s="18"/>
      <c r="U75" s="18"/>
      <c r="V75" s="46" t="s">
        <v>646</v>
      </c>
      <c r="W75" s="46"/>
      <c r="X75" s="18"/>
      <c r="Y75" s="1" t="e">
        <f>VLOOKUP(A75,Model!A$2:J$210,2,FALSE)</f>
        <v>#N/A</v>
      </c>
      <c r="Z75" s="1"/>
      <c r="AA75" s="1"/>
      <c r="AB75" s="1"/>
      <c r="AC75" s="1"/>
      <c r="AD75" s="32" t="b">
        <f>VLOOKUP(B75,AVY_FACT!A$2:A$153,1,FALSE)=B75</f>
        <v>1</v>
      </c>
      <c r="AE75" s="32" t="b">
        <f>VLOOKUP(B75,AVY_FACT!A$2:F$153,2,FALSE)=C75</f>
        <v>1</v>
      </c>
      <c r="AF75" s="32" t="str">
        <f>K75&amp;"  "&amp;C75&amp;","</f>
        <v>TRUE  VARCHAR2(200),</v>
      </c>
      <c r="AG75" s="33" t="str">
        <f t="shared" si="4"/>
        <v>COMMENT ON COLUMN TRANSACTIONS_OWNER.AVY_FACT.EXEC_TP_NM IS 'Name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row>
    <row r="76" spans="1:33" ht="22.5" hidden="1" customHeight="1">
      <c r="A76" s="18" t="s">
        <v>2632</v>
      </c>
      <c r="B76" s="18" t="s">
        <v>175</v>
      </c>
      <c r="C76" s="18" t="s">
        <v>139</v>
      </c>
      <c r="D76" s="18" t="s">
        <v>63</v>
      </c>
      <c r="E76" s="18" t="s">
        <v>140</v>
      </c>
      <c r="F76" s="45" t="s">
        <v>63</v>
      </c>
      <c r="G76" s="46" t="s">
        <v>660</v>
      </c>
      <c r="H76" s="46"/>
      <c r="I76" s="18" t="s">
        <v>347</v>
      </c>
      <c r="J76" s="18">
        <v>3</v>
      </c>
      <c r="K76" s="18" t="b">
        <f>VLOOKUP(A76,Model!C$2:D$208,2,FALSE)=B76</f>
        <v>1</v>
      </c>
      <c r="L76" s="18" t="b">
        <f>VLOOKUP(A76,Model!C$2:G$208,5,FALSE)=C76</f>
        <v>1</v>
      </c>
      <c r="M76" s="18" t="b">
        <f>VLOOKUP(Table1[[#This Row],[Physical Name of Attribute (Name of column in Table)
Supplied by DA Team]],Table!A$2:H$323,1,FALSE)=Table1[[#This Row],[Physical Name of Attribute (Name of column in Table)
Supplied by DA Team]]</f>
        <v>1</v>
      </c>
      <c r="N76" s="18" t="b">
        <f>VLOOKUP(B76,Table!A$2:F$319,2,FALSE)=Table1[[#This Row],[Data type in Oracle
VARCHAR2(n), DATE, NUMBER(m,n), TIMETSTAMP(6)]]</f>
        <v>0</v>
      </c>
      <c r="O76" s="18" t="b">
        <f>VLOOKUP(B76,Table!A$2:F$231,3,FALSE)=Table1[[#This Row],[Nullable in Table and in Oracle View
NULL, NOT NULL]]</f>
        <v>1</v>
      </c>
      <c r="P76" s="55" t="b">
        <f>VLOOKUP(B76,Table!A$2:H$228,6,FALSE)=Table1[[#This Row],[Business Definition (To go into comments and into Meta Data Hub)]]</f>
        <v>0</v>
      </c>
      <c r="Q76" s="18" t="s">
        <v>68</v>
      </c>
      <c r="R76" s="18" t="s">
        <v>69</v>
      </c>
      <c r="S76" s="18" t="s">
        <v>175</v>
      </c>
      <c r="T76" s="18"/>
      <c r="U76" s="18"/>
      <c r="V76" s="46"/>
      <c r="W76" s="46"/>
      <c r="X76" s="18"/>
      <c r="Y76" s="1" t="e">
        <f>VLOOKUP(A76,Model!A$2:J$210,2,FALSE)</f>
        <v>#N/A</v>
      </c>
      <c r="Z76" s="1"/>
      <c r="AA76" s="1"/>
      <c r="AB76" s="1"/>
      <c r="AC76" s="1"/>
      <c r="AD76" s="32" t="b">
        <f>VLOOKUP(B76,AVY_FACT!A$2:A$153,1,FALSE)=B76</f>
        <v>1</v>
      </c>
      <c r="AE76" s="32" t="b">
        <f>VLOOKUP(B76,AVY_FACT!A$2:F$153,2,FALSE)=C76</f>
        <v>1</v>
      </c>
      <c r="AF76" s="32" t="str">
        <f>"ALTER TABLE TRANSACTIONS_OWNER.AVY_FACT RENAME COLUMN "&amp;O76&amp;" TO "&amp;K76&amp;";"</f>
        <v>ALTER TABLE TRANSACTIONS_OWNER.AVY_FACT RENAME COLUMN TRUE TO TRUE;</v>
      </c>
      <c r="AG76" s="33" t="str">
        <f t="shared" si="4"/>
        <v>COMMENT ON COLUMN TRANSACTIONS_OWNER.AVY_FACT.FA_NUM IS 'A 4 character value assigned to one or more FAs for purposes of paying commissions. Accounts are assigned one FA Number. The FA Number is used to relate Advisors to client accounts.';</v>
      </c>
    </row>
    <row r="77" spans="1:33" ht="22.5" hidden="1" customHeight="1">
      <c r="A77" s="18" t="s">
        <v>2633</v>
      </c>
      <c r="B77" s="18" t="s">
        <v>80</v>
      </c>
      <c r="C77" s="18" t="s">
        <v>82</v>
      </c>
      <c r="D77" s="18" t="s">
        <v>63</v>
      </c>
      <c r="E77" s="18" t="s">
        <v>83</v>
      </c>
      <c r="F77" s="45" t="s">
        <v>63</v>
      </c>
      <c r="G77" s="46" t="s">
        <v>84</v>
      </c>
      <c r="H77" s="46" t="s">
        <v>85</v>
      </c>
      <c r="I77" s="18" t="s">
        <v>67</v>
      </c>
      <c r="J77" s="18">
        <v>3</v>
      </c>
      <c r="K77" s="18" t="b">
        <f>VLOOKUP(A77,Model!C$2:D$208,2,FALSE)=B77</f>
        <v>1</v>
      </c>
      <c r="L77" s="18" t="b">
        <f>VLOOKUP(A77,Model!C$2:G$208,5,FALSE)=C77</f>
        <v>1</v>
      </c>
      <c r="M77" s="18" t="b">
        <f>VLOOKUP(Table1[[#This Row],[Physical Name of Attribute (Name of column in Table)
Supplied by DA Team]],Table!A$2:H$323,1,FALSE)=Table1[[#This Row],[Physical Name of Attribute (Name of column in Table)
Supplied by DA Team]]</f>
        <v>1</v>
      </c>
      <c r="N77" s="18" t="b">
        <f>VLOOKUP(B77,Table!A$2:F$319,2,FALSE)=Table1[[#This Row],[Data type in Oracle
VARCHAR2(n), DATE, NUMBER(m,n), TIMETSTAMP(6)]]</f>
        <v>0</v>
      </c>
      <c r="O77" s="18" t="b">
        <f>VLOOKUP(B77,Table!A$2:F$231,3,FALSE)=Table1[[#This Row],[Nullable in Table and in Oracle View
NULL, NOT NULL]]</f>
        <v>1</v>
      </c>
      <c r="P77" s="18" t="b">
        <f>VLOOKUP(B77,Table!A$2:H$228,6,FALSE)=Table1[[#This Row],[Business Definition (To go into comments and into Meta Data Hub)]]</f>
        <v>0</v>
      </c>
      <c r="Q77" s="18" t="s">
        <v>68</v>
      </c>
      <c r="R77" s="47" t="s">
        <v>69</v>
      </c>
      <c r="S77" s="18" t="s">
        <v>86</v>
      </c>
      <c r="T77" s="18"/>
      <c r="U77" s="18"/>
      <c r="V77" s="46"/>
      <c r="W77" s="46"/>
      <c r="X77" s="18"/>
      <c r="Y77" s="1" t="e">
        <f>VLOOKUP(A77,Model!A$2:J$210,2,FALSE)</f>
        <v>#N/A</v>
      </c>
      <c r="Z77" s="1"/>
      <c r="AA77" s="1"/>
      <c r="AB77" s="1"/>
      <c r="AC77" s="1"/>
      <c r="AD77" s="32" t="e">
        <f>VLOOKUP(B77,AVY_FACT!A$2:A$153,1,FALSE)=B77</f>
        <v>#N/A</v>
      </c>
      <c r="AE77" s="32" t="e">
        <f>VLOOKUP(B77,AVY_FACT!A$2:F$153,2,FALSE)=C77</f>
        <v>#N/A</v>
      </c>
      <c r="AF77" s="32" t="str">
        <f>B77&amp;"  "&amp;C77&amp;","</f>
        <v>IMP_SRC_ACTN_CD  VARCHAR2(1),</v>
      </c>
      <c r="AG77" s="33" t="str">
        <f t="shared" si="4"/>
        <v>COMMENT ON COLUMN TRANSACTIONS_OWNER.AVY_FACT.IMP_SRC_ACTN_CD IS 'Code representing Action Type in IMPACT source system';</v>
      </c>
    </row>
    <row r="78" spans="1:33" ht="22.5" hidden="1" customHeight="1">
      <c r="A78" s="50" t="s">
        <v>2634</v>
      </c>
      <c r="B78" s="18" t="s">
        <v>88</v>
      </c>
      <c r="C78" s="18" t="s">
        <v>90</v>
      </c>
      <c r="D78" s="18" t="s">
        <v>63</v>
      </c>
      <c r="E78" s="18" t="s">
        <v>91</v>
      </c>
      <c r="F78" s="45" t="s">
        <v>63</v>
      </c>
      <c r="G78" s="46" t="s">
        <v>92</v>
      </c>
      <c r="H78" s="18" t="s">
        <v>93</v>
      </c>
      <c r="I78" s="18" t="s">
        <v>67</v>
      </c>
      <c r="J78" s="18">
        <v>3</v>
      </c>
      <c r="K78" s="18" t="b">
        <f>VLOOKUP(A78,Model!C$2:D$208,2,FALSE)=B78</f>
        <v>1</v>
      </c>
      <c r="L78" s="18" t="b">
        <f>VLOOKUP(A78,Model!C$2:G$208,5,FALSE)=C78</f>
        <v>1</v>
      </c>
      <c r="M78" s="18" t="b">
        <f>VLOOKUP(Table1[[#This Row],[Physical Name of Attribute (Name of column in Table)
Supplied by DA Team]],Table!A$2:H$323,1,FALSE)=Table1[[#This Row],[Physical Name of Attribute (Name of column in Table)
Supplied by DA Team]]</f>
        <v>1</v>
      </c>
      <c r="N78" s="18" t="b">
        <f>VLOOKUP(B78,Table!A$2:F$319,2,FALSE)=Table1[[#This Row],[Data type in Oracle
VARCHAR2(n), DATE, NUMBER(m,n), TIMETSTAMP(6)]]</f>
        <v>0</v>
      </c>
      <c r="O78" s="18" t="b">
        <f>VLOOKUP(B78,Table!A$2:F$231,3,FALSE)=Table1[[#This Row],[Nullable in Table and in Oracle View
NULL, NOT NULL]]</f>
        <v>1</v>
      </c>
      <c r="P78" s="18" t="b">
        <f>VLOOKUP(B78,Table!A$2:H$228,6,FALSE)=Table1[[#This Row],[Business Definition (To go into comments and into Meta Data Hub)]]</f>
        <v>0</v>
      </c>
      <c r="Q78" s="18" t="s">
        <v>94</v>
      </c>
      <c r="R78" s="47" t="s">
        <v>95</v>
      </c>
      <c r="S78" s="18" t="s">
        <v>96</v>
      </c>
      <c r="T78" s="18"/>
      <c r="U78" s="18"/>
      <c r="V78" s="46" t="s">
        <v>97</v>
      </c>
      <c r="W78" s="46" t="s">
        <v>98</v>
      </c>
      <c r="X78" s="18"/>
      <c r="Y78" s="1" t="e">
        <f>VLOOKUP(A78,Model!A$2:J$210,2,FALSE)</f>
        <v>#N/A</v>
      </c>
      <c r="Z78" s="1"/>
      <c r="AA78" s="1"/>
      <c r="AB78" s="1"/>
      <c r="AC78" s="1"/>
      <c r="AD78" s="32" t="e">
        <f>VLOOKUP(B78,AVY_FACT!A$2:A$153,1,FALSE)=B78</f>
        <v>#N/A</v>
      </c>
      <c r="AE78" s="32" t="e">
        <f>VLOOKUP(B78,AVY_FACT!A$2:F$153,2,FALSE)=C78</f>
        <v>#N/A</v>
      </c>
      <c r="AF78" s="32" t="str">
        <f>B78&amp;"  "&amp;C78&amp;","</f>
        <v>IMP_SRC_ACTN_NM  VARCHAR2(100),</v>
      </c>
      <c r="AG78" s="33" t="str">
        <f t="shared" si="4"/>
        <v>COMMENT ON COLUMN TRANSACTIONS_OWNER.AVY_FACT.IMP_SRC_ACTN_NM IS 'Name representing Action Type in IMPACT source system';</v>
      </c>
    </row>
    <row r="79" spans="1:33" ht="22.5" hidden="1" customHeight="1">
      <c r="A79" s="18" t="s">
        <v>1135</v>
      </c>
      <c r="B79" s="18" t="s">
        <v>1136</v>
      </c>
      <c r="C79" s="18" t="s">
        <v>157</v>
      </c>
      <c r="D79" s="55" t="s">
        <v>345</v>
      </c>
      <c r="E79" s="18" t="s">
        <v>158</v>
      </c>
      <c r="F79" s="45" t="s">
        <v>63</v>
      </c>
      <c r="G79" s="46" t="s">
        <v>1138</v>
      </c>
      <c r="H79" s="18"/>
      <c r="I79" s="18" t="s">
        <v>67</v>
      </c>
      <c r="J79" s="18">
        <v>3</v>
      </c>
      <c r="K79" s="18" t="b">
        <f>VLOOKUP(A79,Model!C$2:D$208,2,FALSE)=B79</f>
        <v>1</v>
      </c>
      <c r="L79" s="18" t="b">
        <f>VLOOKUP(A79,Model!C$2:G$208,5,FALSE)=C79</f>
        <v>1</v>
      </c>
      <c r="M79" s="18" t="b">
        <f>VLOOKUP(Table1[[#This Row],[Physical Name of Attribute (Name of column in Table)
Supplied by DA Team]],Table!A$2:H$323,1,FALSE)=Table1[[#This Row],[Physical Name of Attribute (Name of column in Table)
Supplied by DA Team]]</f>
        <v>1</v>
      </c>
      <c r="N79" s="18" t="b">
        <f>VLOOKUP(B79,Table!A$2:F$319,2,FALSE)=Table1[[#This Row],[Data type in Oracle
VARCHAR2(n), DATE, NUMBER(m,n), TIMETSTAMP(6)]]</f>
        <v>0</v>
      </c>
      <c r="O79" s="18" t="b">
        <f>VLOOKUP(B79,Table!A$2:F$231,3,FALSE)=Table1[[#This Row],[Nullable in Table and in Oracle View
NULL, NOT NULL]]</f>
        <v>0</v>
      </c>
      <c r="P79" s="18" t="b">
        <f>VLOOKUP(B79,Table!A$2:H$228,6,FALSE)=Table1[[#This Row],[Business Definition (To go into comments and into Meta Data Hub)]]</f>
        <v>0</v>
      </c>
      <c r="Q79" s="18"/>
      <c r="R79" s="18"/>
      <c r="S79" s="18"/>
      <c r="T79" s="18"/>
      <c r="U79" s="18"/>
      <c r="V79" s="46" t="s">
        <v>1139</v>
      </c>
      <c r="W79" s="46"/>
      <c r="X79" s="18"/>
      <c r="Y79" s="1" t="e">
        <f>VLOOKUP(A79,Model!A$2:J$210,2,FALSE)</f>
        <v>#N/A</v>
      </c>
      <c r="Z79" s="1"/>
      <c r="AA79" s="1"/>
      <c r="AB79" s="1"/>
      <c r="AC79" s="1"/>
    </row>
    <row r="80" spans="1:33" ht="22.5" hidden="1" customHeight="1">
      <c r="A80" s="18" t="s">
        <v>1130</v>
      </c>
      <c r="B80" s="18" t="s">
        <v>1131</v>
      </c>
      <c r="C80" s="18" t="s">
        <v>464</v>
      </c>
      <c r="D80" s="55" t="s">
        <v>345</v>
      </c>
      <c r="E80" s="18" t="s">
        <v>465</v>
      </c>
      <c r="F80" s="45" t="s">
        <v>63</v>
      </c>
      <c r="G80" s="46" t="s">
        <v>1133</v>
      </c>
      <c r="H80" s="18"/>
      <c r="I80" s="18" t="s">
        <v>67</v>
      </c>
      <c r="J80" s="18">
        <v>3</v>
      </c>
      <c r="K80" s="18" t="b">
        <f>VLOOKUP(A80,Model!C$2:D$208,2,FALSE)=B80</f>
        <v>1</v>
      </c>
      <c r="L80" s="18" t="b">
        <f>VLOOKUP(A80,Model!C$2:G$208,5,FALSE)=C80</f>
        <v>1</v>
      </c>
      <c r="M80" s="18" t="b">
        <f>VLOOKUP(Table1[[#This Row],[Physical Name of Attribute (Name of column in Table)
Supplied by DA Team]],Table!A$2:H$323,1,FALSE)=Table1[[#This Row],[Physical Name of Attribute (Name of column in Table)
Supplied by DA Team]]</f>
        <v>1</v>
      </c>
      <c r="N80" s="18" t="b">
        <f>VLOOKUP(B80,Table!A$2:F$319,2,FALSE)=Table1[[#This Row],[Data type in Oracle
VARCHAR2(n), DATE, NUMBER(m,n), TIMETSTAMP(6)]]</f>
        <v>0</v>
      </c>
      <c r="O80" s="18" t="b">
        <f>VLOOKUP(B80,Table!A$2:F$231,3,FALSE)=Table1[[#This Row],[Nullable in Table and in Oracle View
NULL, NOT NULL]]</f>
        <v>0</v>
      </c>
      <c r="P80" s="18" t="b">
        <f>VLOOKUP(B80,Table!A$2:H$228,6,FALSE)=Table1[[#This Row],[Business Definition (To go into comments and into Meta Data Hub)]]</f>
        <v>0</v>
      </c>
      <c r="Q80" s="18"/>
      <c r="R80" s="18"/>
      <c r="S80" s="18"/>
      <c r="T80" s="18"/>
      <c r="U80" s="18"/>
      <c r="V80" s="46" t="s">
        <v>1134</v>
      </c>
      <c r="W80" s="46"/>
      <c r="X80" s="18"/>
      <c r="Y80" s="1" t="e">
        <f>VLOOKUP(A80,Model!A$2:J$210,2,FALSE)</f>
        <v>#N/A</v>
      </c>
      <c r="Z80" s="1"/>
      <c r="AA80" s="1"/>
      <c r="AB80" s="1"/>
      <c r="AC80" s="1"/>
      <c r="AD80" s="32" t="e">
        <f>VLOOKUP(B80,AVY_FACT!A$2:A$153,1,FALSE)=B80</f>
        <v>#N/A</v>
      </c>
      <c r="AE80" s="32" t="e">
        <f>VLOOKUP(B80,AVY_FACT!A$2:F$153,2,FALSE)=C80</f>
        <v>#N/A</v>
      </c>
      <c r="AF80" s="32" t="str">
        <f>K80&amp;"  "&amp;C80&amp;","</f>
        <v>TRUE  VARCHAR2(256),</v>
      </c>
      <c r="AG80" s="33" t="str">
        <f t="shared" ref="AG80:AG111" si="5">"COMMENT ON COLUMN TRANSACTIONS_OWNER.AVY_FACT."&amp;B80&amp;" IS '"&amp;SUBSTITUTE(G80,"'","''")&amp;"';"</f>
        <v>COMMENT ON COLUMN TRANSACTIONS_OWNER.AVY_FACT.LAST_UDT_USR_NM IS 'The name that represents the user or application who inserted, updated, or deleted each occurrence of row';</v>
      </c>
    </row>
    <row r="81" spans="1:33" ht="22.5" hidden="1" customHeight="1">
      <c r="A81" s="18" t="s">
        <v>2635</v>
      </c>
      <c r="B81" s="18" t="s">
        <v>662</v>
      </c>
      <c r="C81" s="18" t="s">
        <v>139</v>
      </c>
      <c r="D81" s="18" t="s">
        <v>63</v>
      </c>
      <c r="E81" s="18" t="s">
        <v>140</v>
      </c>
      <c r="F81" s="45" t="s">
        <v>63</v>
      </c>
      <c r="G81" s="46" t="s">
        <v>664</v>
      </c>
      <c r="H81" s="18"/>
      <c r="I81" s="18" t="s">
        <v>347</v>
      </c>
      <c r="J81" s="18">
        <v>3</v>
      </c>
      <c r="K81" s="18" t="b">
        <f>VLOOKUP(A81,Model!C$2:D$208,2,FALSE)=B81</f>
        <v>1</v>
      </c>
      <c r="L81" s="18" t="b">
        <f>VLOOKUP(A81,Model!C$2:G$208,5,FALSE)=C81</f>
        <v>1</v>
      </c>
      <c r="M81" s="18" t="b">
        <f>VLOOKUP(Table1[[#This Row],[Physical Name of Attribute (Name of column in Table)
Supplied by DA Team]],Table!A$2:H$323,1,FALSE)=Table1[[#This Row],[Physical Name of Attribute (Name of column in Table)
Supplied by DA Team]]</f>
        <v>1</v>
      </c>
      <c r="N81" s="18" t="b">
        <f>VLOOKUP(B81,Table!A$2:F$319,2,FALSE)=Table1[[#This Row],[Data type in Oracle
VARCHAR2(n), DATE, NUMBER(m,n), TIMETSTAMP(6)]]</f>
        <v>0</v>
      </c>
      <c r="O81" s="18" t="b">
        <f>VLOOKUP(B81,Table!A$2:F$231,3,FALSE)=Table1[[#This Row],[Nullable in Table and in Oracle View
NULL, NOT NULL]]</f>
        <v>1</v>
      </c>
      <c r="P81" s="55" t="b">
        <f>VLOOKUP(B81,Table!A$2:H$228,6,FALSE)=Table1[[#This Row],[Business Definition (To go into comments and into Meta Data Hub)]]</f>
        <v>0</v>
      </c>
      <c r="Q81" s="18" t="s">
        <v>8</v>
      </c>
      <c r="R81" s="18" t="s">
        <v>665</v>
      </c>
      <c r="S81" s="18" t="s">
        <v>662</v>
      </c>
      <c r="T81" s="18"/>
      <c r="U81" s="18"/>
      <c r="V81" s="46" t="s">
        <v>666</v>
      </c>
      <c r="W81" s="46"/>
      <c r="X81" s="18"/>
      <c r="Y81" s="1" t="e">
        <f>VLOOKUP(A81,Model!A$2:J$210,2,FALSE)</f>
        <v>#N/A</v>
      </c>
      <c r="Z81" s="1"/>
      <c r="AA81" s="1"/>
      <c r="AB81" s="1"/>
      <c r="AC81" s="1"/>
      <c r="AD81" s="32" t="b">
        <f>VLOOKUP(B81,AVY_FACT!A$2:A$153,1,FALSE)=B81</f>
        <v>1</v>
      </c>
      <c r="AE81" s="32" t="b">
        <f>VLOOKUP(B81,AVY_FACT!A$2:F$153,2,FALSE)=C81</f>
        <v>1</v>
      </c>
      <c r="AF81" s="32" t="str">
        <f>K81&amp;"  "&amp;C81&amp;","</f>
        <v>TRUE  VARCHAR2(20),</v>
      </c>
      <c r="AG81" s="33" t="str">
        <f t="shared" si="5"/>
        <v>COMMENT ON COLUMN TRANSACTIONS_OWNER.AVY_FACT.LGCY_CNCL_CMPLN_RSN_TP_CD IS 'A code that indicates the Legacy Cancellation Compliance Reason Type.';</v>
      </c>
    </row>
    <row r="82" spans="1:33" ht="22.5" hidden="1" customHeight="1">
      <c r="A82" s="18" t="s">
        <v>2494</v>
      </c>
      <c r="B82" s="18" t="s">
        <v>668</v>
      </c>
      <c r="C82" s="18" t="s">
        <v>101</v>
      </c>
      <c r="D82" s="18" t="s">
        <v>345</v>
      </c>
      <c r="E82" s="18" t="s">
        <v>133</v>
      </c>
      <c r="F82" s="45" t="s">
        <v>63</v>
      </c>
      <c r="G82" s="18" t="s">
        <v>669</v>
      </c>
      <c r="H82" s="18"/>
      <c r="I82" s="18" t="s">
        <v>347</v>
      </c>
      <c r="J82" s="18">
        <v>3</v>
      </c>
      <c r="K82" s="18" t="b">
        <f>VLOOKUP(A82,Model!C$2:D$208,2,FALSE)=B82</f>
        <v>1</v>
      </c>
      <c r="L82" s="18" t="b">
        <f>VLOOKUP(A82,Model!C$2:G$208,5,FALSE)=C82</f>
        <v>1</v>
      </c>
      <c r="M82" s="18" t="b">
        <f>VLOOKUP(Table1[[#This Row],[Physical Name of Attribute (Name of column in Table)
Supplied by DA Team]],Table!A$2:H$323,1,FALSE)=Table1[[#This Row],[Physical Name of Attribute (Name of column in Table)
Supplied by DA Team]]</f>
        <v>1</v>
      </c>
      <c r="N82" s="18" t="b">
        <f>VLOOKUP(B82,Table!A$2:F$319,2,FALSE)=Table1[[#This Row],[Data type in Oracle
VARCHAR2(n), DATE, NUMBER(m,n), TIMETSTAMP(6)]]</f>
        <v>0</v>
      </c>
      <c r="O82" s="18" t="b">
        <f>VLOOKUP(B82,Table!A$2:F$231,3,FALSE)=Table1[[#This Row],[Nullable in Table and in Oracle View
NULL, NOT NULL]]</f>
        <v>0</v>
      </c>
      <c r="P82" s="55" t="b">
        <f>VLOOKUP(B82,Table!A$2:H$228,6,FALSE)=Table1[[#This Row],[Business Definition (To go into comments and into Meta Data Hub)]]</f>
        <v>0</v>
      </c>
      <c r="Q82" s="18" t="s">
        <v>8</v>
      </c>
      <c r="R82" s="18" t="s">
        <v>665</v>
      </c>
      <c r="S82" s="51" t="s">
        <v>670</v>
      </c>
      <c r="T82" s="18"/>
      <c r="U82" s="18"/>
      <c r="V82" s="46" t="s">
        <v>666</v>
      </c>
      <c r="W82" s="46" t="s">
        <v>671</v>
      </c>
      <c r="X82" s="18"/>
      <c r="Y82" s="1" t="e">
        <f>VLOOKUP(A82,Model!A$2:J$210,2,FALSE)</f>
        <v>#N/A</v>
      </c>
      <c r="Z82" s="1"/>
      <c r="AA82" s="1"/>
      <c r="AB82" s="1"/>
      <c r="AC82" s="1"/>
      <c r="AD82" s="32" t="b">
        <f>VLOOKUP(B82,AVY_FACT!A$2:A$153,1,FALSE)=B82</f>
        <v>1</v>
      </c>
      <c r="AE82" s="32" t="b">
        <f>VLOOKUP(B82,AVY_FACT!A$2:F$153,2,FALSE)=C82</f>
        <v>1</v>
      </c>
      <c r="AF82" s="32" t="str">
        <f>K82&amp;"  "&amp;C82&amp;","</f>
        <v>TRUE  NUMBER(38,0),</v>
      </c>
      <c r="AG82" s="33" t="str">
        <f t="shared" si="5"/>
        <v>COMMENT ON COLUMN TRANSACTIONS_OWNER.AVY_FACT.LGCY_CNCL_CMPLN_RSN_DIM_ID IS 'Surrogate key for Legacy Cancellation Compliance Reason Type dimension.';</v>
      </c>
    </row>
    <row r="83" spans="1:33" ht="22.5" hidden="1" customHeight="1">
      <c r="A83" s="18" t="s">
        <v>2636</v>
      </c>
      <c r="B83" s="18" t="s">
        <v>677</v>
      </c>
      <c r="C83" s="18" t="s">
        <v>101</v>
      </c>
      <c r="D83" s="18" t="s">
        <v>63</v>
      </c>
      <c r="E83" s="18" t="s">
        <v>133</v>
      </c>
      <c r="F83" s="45" t="s">
        <v>63</v>
      </c>
      <c r="G83" s="46" t="s">
        <v>678</v>
      </c>
      <c r="H83" s="18"/>
      <c r="I83" s="18" t="s">
        <v>67</v>
      </c>
      <c r="J83" s="18">
        <v>3</v>
      </c>
      <c r="K83" s="18" t="b">
        <f>VLOOKUP(A83,Model!C$2:D$208,2,FALSE)=B83</f>
        <v>1</v>
      </c>
      <c r="L83" s="18" t="b">
        <f>VLOOKUP(A83,Model!C$2:G$208,5,FALSE)=C83</f>
        <v>1</v>
      </c>
      <c r="M83" s="18" t="b">
        <f>VLOOKUP(Table1[[#This Row],[Physical Name of Attribute (Name of column in Table)
Supplied by DA Team]],Table!A$2:H$323,1,FALSE)=Table1[[#This Row],[Physical Name of Attribute (Name of column in Table)
Supplied by DA Team]]</f>
        <v>1</v>
      </c>
      <c r="N83" s="18" t="b">
        <f>VLOOKUP(B83,Table!A$2:F$319,2,FALSE)=Table1[[#This Row],[Data type in Oracle
VARCHAR2(n), DATE, NUMBER(m,n), TIMETSTAMP(6)]]</f>
        <v>0</v>
      </c>
      <c r="O83" s="18" t="b">
        <f>VLOOKUP(B83,Table!A$2:F$231,3,FALSE)=Table1[[#This Row],[Nullable in Table and in Oracle View
NULL, NOT NULL]]</f>
        <v>1</v>
      </c>
      <c r="P83" s="18" t="b">
        <f>VLOOKUP(B83,Table!A$2:H$228,6,FALSE)=Table1[[#This Row],[Business Definition (To go into comments and into Meta Data Hub)]]</f>
        <v>0</v>
      </c>
      <c r="Q83" s="18" t="s">
        <v>68</v>
      </c>
      <c r="R83" s="18" t="s">
        <v>69</v>
      </c>
      <c r="S83" s="18" t="s">
        <v>677</v>
      </c>
      <c r="T83" s="18"/>
      <c r="U83" s="18"/>
      <c r="V83" s="46"/>
      <c r="W83" s="46"/>
      <c r="X83" s="18"/>
      <c r="Y83" s="1" t="e">
        <f>VLOOKUP(A83,Model!A$2:J$210,2,FALSE)</f>
        <v>#N/A</v>
      </c>
      <c r="Z83" s="1"/>
      <c r="AA83" s="1"/>
      <c r="AB83" s="1"/>
      <c r="AC83" s="1"/>
      <c r="AD83" s="32" t="e">
        <f>VLOOKUP(B83,AVY_FACT!A$2:A$153,1,FALSE)=B83</f>
        <v>#N/A</v>
      </c>
      <c r="AE83" s="32" t="e">
        <f>VLOOKUP(B83,AVY_FACT!A$2:F$153,2,FALSE)=C83</f>
        <v>#N/A</v>
      </c>
      <c r="AF83" s="32" t="str">
        <f>B83&amp;"  "&amp;C83&amp;","</f>
        <v>LGCY_CNCL_CMPLN_RSN_TP_ID  NUMBER(38,0),</v>
      </c>
      <c r="AG83" s="33" t="str">
        <f t="shared" si="5"/>
        <v>COMMENT ON COLUMN TRANSACTIONS_OWNER.AVY_FACT.LGCY_CNCL_CMPLN_RSN_TP_ID IS 'Identifier for the Legacy Cancellation Compliance Reason Type.';</v>
      </c>
    </row>
    <row r="84" spans="1:33" ht="22.5" hidden="1" customHeight="1">
      <c r="A84" s="18" t="s">
        <v>672</v>
      </c>
      <c r="B84" s="18" t="s">
        <v>673</v>
      </c>
      <c r="C84" s="18" t="s">
        <v>109</v>
      </c>
      <c r="D84" s="18" t="s">
        <v>63</v>
      </c>
      <c r="E84" s="18" t="s">
        <v>110</v>
      </c>
      <c r="F84" s="45" t="s">
        <v>63</v>
      </c>
      <c r="G84" s="46" t="s">
        <v>675</v>
      </c>
      <c r="H84" s="18"/>
      <c r="I84" s="18" t="s">
        <v>347</v>
      </c>
      <c r="J84" s="18">
        <v>3</v>
      </c>
      <c r="K84" s="18" t="b">
        <f>VLOOKUP(A84,Model!C$2:D$208,2,FALSE)=B84</f>
        <v>1</v>
      </c>
      <c r="L84" s="18" t="b">
        <f>VLOOKUP(A84,Model!C$2:G$208,5,FALSE)=C84</f>
        <v>1</v>
      </c>
      <c r="M84" s="18" t="b">
        <f>VLOOKUP(Table1[[#This Row],[Physical Name of Attribute (Name of column in Table)
Supplied by DA Team]],Table!A$2:H$323,1,FALSE)=Table1[[#This Row],[Physical Name of Attribute (Name of column in Table)
Supplied by DA Team]]</f>
        <v>1</v>
      </c>
      <c r="N84" s="18" t="b">
        <f>VLOOKUP(B84,Table!A$2:F$319,2,FALSE)=Table1[[#This Row],[Data type in Oracle
VARCHAR2(n), DATE, NUMBER(m,n), TIMETSTAMP(6)]]</f>
        <v>0</v>
      </c>
      <c r="O84" s="18" t="b">
        <f>VLOOKUP(B84,Table!A$2:F$231,3,FALSE)=Table1[[#This Row],[Nullable in Table and in Oracle View
NULL, NOT NULL]]</f>
        <v>1</v>
      </c>
      <c r="P84" s="55" t="b">
        <f>VLOOKUP(B84,Table!A$2:H$228,6,FALSE)=Table1[[#This Row],[Business Definition (To go into comments and into Meta Data Hub)]]</f>
        <v>0</v>
      </c>
      <c r="Q84" s="18" t="s">
        <v>8</v>
      </c>
      <c r="R84" s="18" t="s">
        <v>665</v>
      </c>
      <c r="S84" s="18" t="s">
        <v>673</v>
      </c>
      <c r="T84" s="18"/>
      <c r="U84" s="18"/>
      <c r="V84" s="46" t="s">
        <v>666</v>
      </c>
      <c r="W84" s="46"/>
      <c r="X84" s="18"/>
      <c r="Y84" s="1" t="e">
        <f>VLOOKUP(A84,Model!A$2:J$210,2,FALSE)</f>
        <v>#N/A</v>
      </c>
      <c r="Z84" s="1"/>
      <c r="AA84" s="1"/>
      <c r="AB84" s="1"/>
      <c r="AC84" s="1"/>
      <c r="AD84" s="32" t="b">
        <f>VLOOKUP(B84,AVY_FACT!A$2:A$153,1,FALSE)=B84</f>
        <v>1</v>
      </c>
      <c r="AE84" s="32" t="b">
        <f>VLOOKUP(B84,AVY_FACT!A$2:F$153,2,FALSE)=C84</f>
        <v>1</v>
      </c>
      <c r="AF84" s="32" t="str">
        <f>K84&amp;"  "&amp;C84&amp;","</f>
        <v>TRUE  VARCHAR2(200),</v>
      </c>
      <c r="AG84" s="33" t="str">
        <f t="shared" si="5"/>
        <v>COMMENT ON COLUMN TRANSACTIONS_OWNER.AVY_FACT.LGCY_CNCL_CMPLN_RSN_TP_NM IS 'Name of the Legacy Cancellation Compliance Reason Type.
This will provide specific reason as to why a trade was cancelled, such as due to a price correction.';</v>
      </c>
    </row>
    <row r="85" spans="1:33" ht="22.5" hidden="1" customHeight="1">
      <c r="A85" s="18" t="s">
        <v>2637</v>
      </c>
      <c r="B85" s="18" t="s">
        <v>680</v>
      </c>
      <c r="C85" s="18" t="s">
        <v>139</v>
      </c>
      <c r="D85" s="18" t="s">
        <v>63</v>
      </c>
      <c r="E85" s="18" t="s">
        <v>140</v>
      </c>
      <c r="F85" s="45" t="s">
        <v>63</v>
      </c>
      <c r="G85" s="46" t="s">
        <v>682</v>
      </c>
      <c r="H85" s="18"/>
      <c r="I85" s="18" t="s">
        <v>347</v>
      </c>
      <c r="J85" s="18">
        <v>3</v>
      </c>
      <c r="K85" s="18" t="b">
        <f>VLOOKUP(A85,Model!C$2:D$208,2,FALSE)=B85</f>
        <v>1</v>
      </c>
      <c r="L85" s="18" t="b">
        <f>VLOOKUP(A85,Model!C$2:G$208,5,FALSE)=C85</f>
        <v>1</v>
      </c>
      <c r="M85" s="18" t="b">
        <f>VLOOKUP(Table1[[#This Row],[Physical Name of Attribute (Name of column in Table)
Supplied by DA Team]],Table!A$2:H$323,1,FALSE)=Table1[[#This Row],[Physical Name of Attribute (Name of column in Table)
Supplied by DA Team]]</f>
        <v>1</v>
      </c>
      <c r="N85" s="18" t="b">
        <f>VLOOKUP(B85,Table!A$2:F$319,2,FALSE)=Table1[[#This Row],[Data type in Oracle
VARCHAR2(n), DATE, NUMBER(m,n), TIMETSTAMP(6)]]</f>
        <v>0</v>
      </c>
      <c r="O85" s="18" t="b">
        <f>VLOOKUP(B85,Table!A$2:F$231,3,FALSE)=Table1[[#This Row],[Nullable in Table and in Oracle View
NULL, NOT NULL]]</f>
        <v>1</v>
      </c>
      <c r="P85" s="55" t="b">
        <f>VLOOKUP(B85,Table!A$2:H$228,6,FALSE)=Table1[[#This Row],[Business Definition (To go into comments and into Meta Data Hub)]]</f>
        <v>0</v>
      </c>
      <c r="Q85" s="18" t="s">
        <v>8</v>
      </c>
      <c r="R85" s="18" t="s">
        <v>683</v>
      </c>
      <c r="S85" s="18" t="s">
        <v>680</v>
      </c>
      <c r="T85" s="18"/>
      <c r="U85" s="18"/>
      <c r="V85" s="46" t="s">
        <v>684</v>
      </c>
      <c r="W85" s="46"/>
      <c r="X85" s="18"/>
      <c r="Y85" s="1" t="e">
        <f>VLOOKUP(A85,Model!A$2:J$210,2,FALSE)</f>
        <v>#N/A</v>
      </c>
      <c r="Z85" s="1"/>
      <c r="AA85" s="1"/>
      <c r="AB85" s="1"/>
      <c r="AC85" s="1"/>
      <c r="AD85" s="32" t="b">
        <f>VLOOKUP(B85,AVY_FACT!A$2:A$153,1,FALSE)=B85</f>
        <v>1</v>
      </c>
      <c r="AE85" s="32" t="b">
        <f>VLOOKUP(B85,AVY_FACT!A$2:F$153,2,FALSE)=C85</f>
        <v>1</v>
      </c>
      <c r="AF85" s="32" t="str">
        <f>K85&amp;"  "&amp;C85&amp;","</f>
        <v>TRUE  VARCHAR2(20),</v>
      </c>
      <c r="AG85" s="33" t="str">
        <f t="shared" si="5"/>
        <v>COMMENT ON COLUMN TRANSACTIONS_OWNER.AVY_FACT.LGCY_CNCL_CMPLN_SRC_TP_CD IS 'A code that indicates the Legacy Cancellation Compliance Source Type.';</v>
      </c>
    </row>
    <row r="86" spans="1:33" ht="22.5" hidden="1" customHeight="1">
      <c r="A86" s="18" t="s">
        <v>2495</v>
      </c>
      <c r="B86" s="18" t="s">
        <v>686</v>
      </c>
      <c r="C86" s="18" t="s">
        <v>101</v>
      </c>
      <c r="D86" s="18" t="s">
        <v>345</v>
      </c>
      <c r="E86" s="18" t="s">
        <v>133</v>
      </c>
      <c r="F86" s="45" t="s">
        <v>63</v>
      </c>
      <c r="G86" s="18" t="s">
        <v>687</v>
      </c>
      <c r="H86" s="18"/>
      <c r="I86" s="18" t="s">
        <v>347</v>
      </c>
      <c r="J86" s="18">
        <v>3</v>
      </c>
      <c r="K86" s="18" t="b">
        <f>VLOOKUP(A86,Model!C$2:D$208,2,FALSE)=B86</f>
        <v>1</v>
      </c>
      <c r="L86" s="18" t="b">
        <f>VLOOKUP(A86,Model!C$2:G$208,5,FALSE)=C86</f>
        <v>1</v>
      </c>
      <c r="M86" s="18" t="b">
        <f>VLOOKUP(Table1[[#This Row],[Physical Name of Attribute (Name of column in Table)
Supplied by DA Team]],Table!A$2:H$323,1,FALSE)=Table1[[#This Row],[Physical Name of Attribute (Name of column in Table)
Supplied by DA Team]]</f>
        <v>1</v>
      </c>
      <c r="N86" s="18" t="b">
        <f>VLOOKUP(B86,Table!A$2:F$319,2,FALSE)=Table1[[#This Row],[Data type in Oracle
VARCHAR2(n), DATE, NUMBER(m,n), TIMETSTAMP(6)]]</f>
        <v>1</v>
      </c>
      <c r="O86" s="18" t="b">
        <f>VLOOKUP(B86,Table!A$2:F$231,3,FALSE)=Table1[[#This Row],[Nullable in Table and in Oracle View
NULL, NOT NULL]]</f>
        <v>1</v>
      </c>
      <c r="P86" s="55" t="b">
        <f>VLOOKUP(B86,Table!A$2:H$228,6,FALSE)=Table1[[#This Row],[Business Definition (To go into comments and into Meta Data Hub)]]</f>
        <v>0</v>
      </c>
      <c r="Q86" s="18" t="s">
        <v>8</v>
      </c>
      <c r="R86" s="18" t="s">
        <v>683</v>
      </c>
      <c r="S86" s="18" t="s">
        <v>688</v>
      </c>
      <c r="T86" s="18"/>
      <c r="U86" s="18"/>
      <c r="V86" s="46" t="s">
        <v>684</v>
      </c>
      <c r="W86" s="46" t="s">
        <v>689</v>
      </c>
      <c r="X86" s="18"/>
      <c r="Y86" s="1" t="e">
        <f>VLOOKUP(A86,Model!A$2:J$210,2,FALSE)</f>
        <v>#N/A</v>
      </c>
      <c r="Z86" s="1"/>
      <c r="AA86" s="1"/>
      <c r="AB86" s="1"/>
      <c r="AC86" s="1"/>
      <c r="AD86" s="32" t="b">
        <f>VLOOKUP(B86,AVY_FACT!A$2:A$153,1,FALSE)=B86</f>
        <v>1</v>
      </c>
      <c r="AE86" s="32" t="b">
        <f>VLOOKUP(B86,AVY_FACT!A$2:F$153,2,FALSE)=C86</f>
        <v>1</v>
      </c>
      <c r="AF86" s="32" t="str">
        <f>K86&amp;"  "&amp;C86&amp;","</f>
        <v>TRUE  NUMBER(38,0),</v>
      </c>
      <c r="AG86" s="33" t="str">
        <f t="shared" si="5"/>
        <v>COMMENT ON COLUMN TRANSACTIONS_OWNER.AVY_FACT.LGCY_CNCL_CMPLN_SRC_DIM_ID IS 'Surrogate key for Legacy Cancellation Compliance Source Type Dimension.';</v>
      </c>
    </row>
    <row r="87" spans="1:33" ht="22.5" hidden="1" customHeight="1">
      <c r="A87" s="18" t="s">
        <v>2638</v>
      </c>
      <c r="B87" s="18" t="s">
        <v>695</v>
      </c>
      <c r="C87" s="18" t="s">
        <v>101</v>
      </c>
      <c r="D87" s="18" t="s">
        <v>63</v>
      </c>
      <c r="E87" s="18" t="s">
        <v>133</v>
      </c>
      <c r="F87" s="45" t="s">
        <v>63</v>
      </c>
      <c r="G87" s="46" t="s">
        <v>696</v>
      </c>
      <c r="H87" s="18"/>
      <c r="I87" s="18" t="s">
        <v>67</v>
      </c>
      <c r="J87" s="18">
        <v>3</v>
      </c>
      <c r="K87" s="18" t="b">
        <f>VLOOKUP(A87,Model!C$2:D$208,2,FALSE)=B87</f>
        <v>1</v>
      </c>
      <c r="L87" s="18" t="b">
        <f>VLOOKUP(A87,Model!C$2:G$208,5,FALSE)=C87</f>
        <v>1</v>
      </c>
      <c r="M87" s="18" t="b">
        <f>VLOOKUP(Table1[[#This Row],[Physical Name of Attribute (Name of column in Table)
Supplied by DA Team]],Table!A$2:H$323,1,FALSE)=Table1[[#This Row],[Physical Name of Attribute (Name of column in Table)
Supplied by DA Team]]</f>
        <v>1</v>
      </c>
      <c r="N87" s="18" t="b">
        <f>VLOOKUP(B87,Table!A$2:F$319,2,FALSE)=Table1[[#This Row],[Data type in Oracle
VARCHAR2(n), DATE, NUMBER(m,n), TIMETSTAMP(6)]]</f>
        <v>0</v>
      </c>
      <c r="O87" s="18" t="b">
        <f>VLOOKUP(B87,Table!A$2:F$231,3,FALSE)=Table1[[#This Row],[Nullable in Table and in Oracle View
NULL, NOT NULL]]</f>
        <v>1</v>
      </c>
      <c r="P87" s="18" t="b">
        <f>VLOOKUP(B87,Table!A$2:H$228,6,FALSE)=Table1[[#This Row],[Business Definition (To go into comments and into Meta Data Hub)]]</f>
        <v>0</v>
      </c>
      <c r="Q87" s="18" t="s">
        <v>68</v>
      </c>
      <c r="R87" s="18" t="s">
        <v>69</v>
      </c>
      <c r="S87" s="18" t="s">
        <v>695</v>
      </c>
      <c r="T87" s="18"/>
      <c r="U87" s="18"/>
      <c r="V87" s="46"/>
      <c r="W87" s="62"/>
      <c r="X87" s="18"/>
      <c r="Y87" s="1" t="e">
        <f>VLOOKUP(A87,Model!A$2:J$210,2,FALSE)</f>
        <v>#N/A</v>
      </c>
      <c r="Z87" s="1"/>
      <c r="AA87" s="1"/>
      <c r="AB87" s="1"/>
      <c r="AC87" s="1"/>
      <c r="AD87" s="32" t="e">
        <f>VLOOKUP(B87,AVY_FACT!A$2:A$153,1,FALSE)=B87</f>
        <v>#N/A</v>
      </c>
      <c r="AE87" s="32" t="e">
        <f>VLOOKUP(B87,AVY_FACT!A$2:F$153,2,FALSE)=C87</f>
        <v>#N/A</v>
      </c>
      <c r="AF87" s="32" t="str">
        <f>K87&amp;"  "&amp;C87&amp;","</f>
        <v>TRUE  NUMBER(38,0),</v>
      </c>
      <c r="AG87" s="33" t="str">
        <f t="shared" si="5"/>
        <v>COMMENT ON COLUMN TRANSACTIONS_OWNER.AVY_FACT.LGCY_CNCL_CMPLN_SRC_TP_ID IS 'Identifier for the Legacy Cancellation Compliance Source Type.';</v>
      </c>
    </row>
    <row r="88" spans="1:33" ht="22.5" hidden="1" customHeight="1">
      <c r="A88" s="18" t="s">
        <v>2639</v>
      </c>
      <c r="B88" s="18" t="s">
        <v>691</v>
      </c>
      <c r="C88" s="18" t="s">
        <v>109</v>
      </c>
      <c r="D88" s="18" t="s">
        <v>63</v>
      </c>
      <c r="E88" s="18" t="s">
        <v>110</v>
      </c>
      <c r="F88" s="45" t="s">
        <v>63</v>
      </c>
      <c r="G88" s="46" t="s">
        <v>693</v>
      </c>
      <c r="H88" s="18"/>
      <c r="I88" s="18" t="s">
        <v>347</v>
      </c>
      <c r="J88" s="18">
        <v>3</v>
      </c>
      <c r="K88" s="18" t="b">
        <f>VLOOKUP(A88,Model!C$2:D$208,2,FALSE)=B88</f>
        <v>1</v>
      </c>
      <c r="L88" s="18" t="b">
        <f>VLOOKUP(A88,Model!C$2:G$208,5,FALSE)=C88</f>
        <v>1</v>
      </c>
      <c r="M88" s="18" t="b">
        <f>VLOOKUP(Table1[[#This Row],[Physical Name of Attribute (Name of column in Table)
Supplied by DA Team]],Table!A$2:H$323,1,FALSE)=Table1[[#This Row],[Physical Name of Attribute (Name of column in Table)
Supplied by DA Team]]</f>
        <v>1</v>
      </c>
      <c r="N88" s="18" t="b">
        <f>VLOOKUP(B88,Table!A$2:F$319,2,FALSE)=Table1[[#This Row],[Data type in Oracle
VARCHAR2(n), DATE, NUMBER(m,n), TIMETSTAMP(6)]]</f>
        <v>0</v>
      </c>
      <c r="O88" s="18" t="b">
        <f>VLOOKUP(B88,Table!A$2:F$231,3,FALSE)=Table1[[#This Row],[Nullable in Table and in Oracle View
NULL, NOT NULL]]</f>
        <v>1</v>
      </c>
      <c r="P88" s="55" t="b">
        <f>VLOOKUP(B88,Table!A$2:H$228,6,FALSE)=Table1[[#This Row],[Business Definition (To go into comments and into Meta Data Hub)]]</f>
        <v>0</v>
      </c>
      <c r="Q88" s="18" t="s">
        <v>8</v>
      </c>
      <c r="R88" s="18" t="s">
        <v>683</v>
      </c>
      <c r="S88" s="18" t="s">
        <v>691</v>
      </c>
      <c r="T88" s="18"/>
      <c r="U88" s="18"/>
      <c r="V88" s="46" t="s">
        <v>684</v>
      </c>
      <c r="W88" s="46"/>
      <c r="X88" s="18"/>
      <c r="Y88" s="1" t="e">
        <f>VLOOKUP(A88,Model!A$2:J$210,2,FALSE)</f>
        <v>#N/A</v>
      </c>
      <c r="Z88" s="1"/>
      <c r="AA88" s="1"/>
      <c r="AB88" s="1"/>
      <c r="AC88" s="1"/>
      <c r="AD88" s="32" t="b">
        <f>VLOOKUP(B88,AVY_FACT!A$2:A$153,1,FALSE)=B88</f>
        <v>1</v>
      </c>
      <c r="AE88" s="32" t="b">
        <f>VLOOKUP(B88,AVY_FACT!A$2:F$153,2,FALSE)=C88</f>
        <v>1</v>
      </c>
      <c r="AF88" s="32" t="str">
        <f>K88&amp;"  "&amp;C88&amp;","</f>
        <v>TRUE  VARCHAR2(200),</v>
      </c>
      <c r="AG88" s="33" t="str">
        <f t="shared" si="5"/>
        <v>COMMENT ON COLUMN TRANSACTIONS_OWNER.AVY_FACT.LGCY_CNCL_CMPLN_SRC_TP_NM IS 'Name of the Legacy Cancellation Compliance Source Type.
This will provide which internal or external source executed the trade cancellation, such as Purchase &amp; Sales department.';</v>
      </c>
    </row>
    <row r="89" spans="1:33" ht="22.5" hidden="1" customHeight="1">
      <c r="A89" s="18" t="s">
        <v>2640</v>
      </c>
      <c r="B89" s="18" t="s">
        <v>698</v>
      </c>
      <c r="C89" s="76" t="s">
        <v>139</v>
      </c>
      <c r="D89" s="18" t="s">
        <v>63</v>
      </c>
      <c r="E89" s="76" t="s">
        <v>140</v>
      </c>
      <c r="F89" s="45" t="s">
        <v>63</v>
      </c>
      <c r="G89" s="46" t="s">
        <v>700</v>
      </c>
      <c r="H89" s="18"/>
      <c r="I89" s="18" t="s">
        <v>347</v>
      </c>
      <c r="J89" s="18">
        <v>3</v>
      </c>
      <c r="K89" s="18" t="b">
        <f>VLOOKUP(A89,Model!C$2:D$208,2,FALSE)=B89</f>
        <v>1</v>
      </c>
      <c r="L89" s="18" t="b">
        <f>VLOOKUP(A89,Model!C$2:G$208,5,FALSE)=C89</f>
        <v>1</v>
      </c>
      <c r="M89" s="18" t="b">
        <f>VLOOKUP(Table1[[#This Row],[Physical Name of Attribute (Name of column in Table)
Supplied by DA Team]],Table!A$2:H$323,1,FALSE)=Table1[[#This Row],[Physical Name of Attribute (Name of column in Table)
Supplied by DA Team]]</f>
        <v>1</v>
      </c>
      <c r="N89" s="18" t="b">
        <f>VLOOKUP(B89,Table!A$2:F$319,2,FALSE)=Table1[[#This Row],[Data type in Oracle
VARCHAR2(n), DATE, NUMBER(m,n), TIMETSTAMP(6)]]</f>
        <v>0</v>
      </c>
      <c r="O89" s="18" t="b">
        <f>VLOOKUP(B89,Table!A$2:F$231,3,FALSE)=Table1[[#This Row],[Nullable in Table and in Oracle View
NULL, NOT NULL]]</f>
        <v>1</v>
      </c>
      <c r="P89" s="55" t="b">
        <f>VLOOKUP(B89,Table!A$2:H$228,6,FALSE)=Table1[[#This Row],[Business Definition (To go into comments and into Meta Data Hub)]]</f>
        <v>0</v>
      </c>
      <c r="Q89" s="18" t="s">
        <v>8</v>
      </c>
      <c r="R89" s="18" t="s">
        <v>701</v>
      </c>
      <c r="S89" s="18" t="s">
        <v>698</v>
      </c>
      <c r="T89" s="18"/>
      <c r="U89" s="18"/>
      <c r="V89" s="46" t="s">
        <v>702</v>
      </c>
      <c r="W89" s="46"/>
      <c r="X89" s="18"/>
      <c r="Y89" s="1" t="e">
        <f>VLOOKUP(A89,Model!A$2:J$210,2,FALSE)</f>
        <v>#N/A</v>
      </c>
      <c r="Z89" s="1"/>
      <c r="AA89" s="1"/>
      <c r="AB89" s="1"/>
      <c r="AC89" s="1"/>
      <c r="AD89" s="32" t="b">
        <f>VLOOKUP(B89,AVY_FACT!A$2:A$153,1,FALSE)=B89</f>
        <v>1</v>
      </c>
      <c r="AE89" s="32" t="b">
        <f>VLOOKUP(B89,AVY_FACT!A$2:F$153,2,FALSE)=C89</f>
        <v>1</v>
      </c>
      <c r="AF89" s="32" t="str">
        <f t="shared" ref="AF89:AF96" si="6">B89&amp;"  "&amp;C89&amp;","</f>
        <v>LGCY_MKT_TP_CD  VARCHAR2(20),</v>
      </c>
      <c r="AG89" s="33" t="str">
        <f t="shared" si="5"/>
        <v>COMMENT ON COLUMN TRANSACTIONS_OWNER.AVY_FACT.LGCY_MKT_TP_CD IS 'Code to indicate what type of market the trade was executed in. Eg. NYSE, OTC, CBOE, etc';</v>
      </c>
    </row>
    <row r="90" spans="1:33" ht="22.5" hidden="1" customHeight="1">
      <c r="A90" s="18" t="s">
        <v>703</v>
      </c>
      <c r="B90" s="18" t="s">
        <v>704</v>
      </c>
      <c r="C90" s="18" t="s">
        <v>101</v>
      </c>
      <c r="D90" s="18" t="s">
        <v>345</v>
      </c>
      <c r="E90" s="18" t="s">
        <v>133</v>
      </c>
      <c r="F90" s="45" t="s">
        <v>63</v>
      </c>
      <c r="G90" s="18" t="s">
        <v>705</v>
      </c>
      <c r="H90" s="18"/>
      <c r="I90" s="18" t="s">
        <v>347</v>
      </c>
      <c r="J90" s="18">
        <v>3</v>
      </c>
      <c r="K90" s="18" t="b">
        <f>VLOOKUP(A90,Model!C$2:D$208,2,FALSE)=B90</f>
        <v>1</v>
      </c>
      <c r="L90" s="18" t="b">
        <f>VLOOKUP(A90,Model!C$2:G$208,5,FALSE)=C90</f>
        <v>1</v>
      </c>
      <c r="M90" s="18" t="b">
        <f>VLOOKUP(Table1[[#This Row],[Physical Name of Attribute (Name of column in Table)
Supplied by DA Team]],Table!A$2:H$323,1,FALSE)=Table1[[#This Row],[Physical Name of Attribute (Name of column in Table)
Supplied by DA Team]]</f>
        <v>1</v>
      </c>
      <c r="N90" s="18" t="b">
        <f>VLOOKUP(B90,Table!A$2:F$319,2,FALSE)=Table1[[#This Row],[Data type in Oracle
VARCHAR2(n), DATE, NUMBER(m,n), TIMETSTAMP(6)]]</f>
        <v>1</v>
      </c>
      <c r="O90" s="18" t="b">
        <f>VLOOKUP(B90,Table!A$2:F$231,3,FALSE)=Table1[[#This Row],[Nullable in Table and in Oracle View
NULL, NOT NULL]]</f>
        <v>1</v>
      </c>
      <c r="P90" s="55" t="b">
        <f>VLOOKUP(B90,Table!A$2:H$228,6,FALSE)=Table1[[#This Row],[Business Definition (To go into comments and into Meta Data Hub)]]</f>
        <v>0</v>
      </c>
      <c r="Q90" s="18" t="s">
        <v>8</v>
      </c>
      <c r="R90" s="18" t="s">
        <v>701</v>
      </c>
      <c r="S90" s="18" t="s">
        <v>704</v>
      </c>
      <c r="T90" s="18"/>
      <c r="U90" s="18"/>
      <c r="V90" s="46" t="s">
        <v>702</v>
      </c>
      <c r="W90" s="46"/>
      <c r="X90" s="18"/>
      <c r="Y90" s="1" t="e">
        <f>VLOOKUP(A90,Model!A$2:J$210,2,FALSE)</f>
        <v>#N/A</v>
      </c>
      <c r="Z90" s="1"/>
      <c r="AA90" s="1"/>
      <c r="AB90" s="1"/>
      <c r="AC90" s="1"/>
      <c r="AD90" s="32" t="b">
        <f>VLOOKUP(B90,AVY_FACT!A$2:A$153,1,FALSE)=B90</f>
        <v>1</v>
      </c>
      <c r="AE90" s="32" t="b">
        <f>VLOOKUP(B90,AVY_FACT!A$2:F$153,2,FALSE)=C90</f>
        <v>1</v>
      </c>
      <c r="AF90" s="32" t="str">
        <f t="shared" si="6"/>
        <v>LGCY_MKT_TP_DIM_ID  NUMBER(38,0),</v>
      </c>
      <c r="AG90" s="33" t="str">
        <f t="shared" si="5"/>
        <v>COMMENT ON COLUMN TRANSACTIONS_OWNER.AVY_FACT.LGCY_MKT_TP_DIM_ID IS 'Surrogate key for Legacy Market Type Dimension.';</v>
      </c>
    </row>
    <row r="91" spans="1:33" ht="22.5" hidden="1" customHeight="1">
      <c r="A91" s="18" t="s">
        <v>2641</v>
      </c>
      <c r="B91" s="18" t="s">
        <v>711</v>
      </c>
      <c r="C91" s="18" t="s">
        <v>101</v>
      </c>
      <c r="D91" s="18" t="s">
        <v>63</v>
      </c>
      <c r="E91" s="18" t="s">
        <v>133</v>
      </c>
      <c r="F91" s="45" t="s">
        <v>63</v>
      </c>
      <c r="G91" s="46" t="s">
        <v>712</v>
      </c>
      <c r="H91" s="18"/>
      <c r="I91" s="18" t="s">
        <v>67</v>
      </c>
      <c r="J91" s="18">
        <v>3</v>
      </c>
      <c r="K91" s="18" t="b">
        <f>VLOOKUP(A91,Model!C$2:D$208,2,FALSE)=B91</f>
        <v>1</v>
      </c>
      <c r="L91" s="18" t="b">
        <f>VLOOKUP(A91,Model!C$2:G$208,5,FALSE)=C91</f>
        <v>1</v>
      </c>
      <c r="M91" s="18" t="b">
        <f>VLOOKUP(Table1[[#This Row],[Physical Name of Attribute (Name of column in Table)
Supplied by DA Team]],Table!A$2:H$323,1,FALSE)=Table1[[#This Row],[Physical Name of Attribute (Name of column in Table)
Supplied by DA Team]]</f>
        <v>1</v>
      </c>
      <c r="N91" s="18" t="b">
        <f>VLOOKUP(B91,Table!A$2:F$319,2,FALSE)=Table1[[#This Row],[Data type in Oracle
VARCHAR2(n), DATE, NUMBER(m,n), TIMETSTAMP(6)]]</f>
        <v>1</v>
      </c>
      <c r="O91" s="18" t="b">
        <f>VLOOKUP(B91,Table!A$2:F$231,3,FALSE)=Table1[[#This Row],[Nullable in Table and in Oracle View
NULL, NOT NULL]]</f>
        <v>1</v>
      </c>
      <c r="P91" s="18" t="b">
        <f>VLOOKUP(B91,Table!A$2:H$228,6,FALSE)=Table1[[#This Row],[Business Definition (To go into comments and into Meta Data Hub)]]</f>
        <v>0</v>
      </c>
      <c r="Q91" s="18" t="s">
        <v>68</v>
      </c>
      <c r="R91" s="18" t="s">
        <v>69</v>
      </c>
      <c r="S91" s="18" t="s">
        <v>711</v>
      </c>
      <c r="T91" s="18"/>
      <c r="U91" s="18"/>
      <c r="V91" s="46"/>
      <c r="W91" s="46"/>
      <c r="X91" s="18"/>
      <c r="Y91" s="1" t="e">
        <f>VLOOKUP(A91,Model!A$2:J$210,2,FALSE)</f>
        <v>#N/A</v>
      </c>
      <c r="Z91" s="1"/>
      <c r="AA91" s="1"/>
      <c r="AB91" s="1"/>
      <c r="AC91" s="1"/>
      <c r="AD91" s="32" t="e">
        <f>VLOOKUP(B91,AVY_FACT!A$2:A$153,1,FALSE)=B91</f>
        <v>#N/A</v>
      </c>
      <c r="AE91" s="32" t="e">
        <f>VLOOKUP(B91,AVY_FACT!A$2:F$153,2,FALSE)=C91</f>
        <v>#N/A</v>
      </c>
      <c r="AF91" s="32" t="str">
        <f t="shared" si="6"/>
        <v>LGCY_MKT_TP_ID  NUMBER(38,0),</v>
      </c>
      <c r="AG91" s="33" t="str">
        <f t="shared" si="5"/>
        <v>COMMENT ON COLUMN TRANSACTIONS_OWNER.AVY_FACT.LGCY_MKT_TP_ID IS 'Identifier that represents what type of market the trade was executed in.';</v>
      </c>
    </row>
    <row r="92" spans="1:33" ht="22.5" hidden="1" customHeight="1">
      <c r="A92" s="18" t="s">
        <v>706</v>
      </c>
      <c r="B92" s="18" t="s">
        <v>707</v>
      </c>
      <c r="C92" s="18" t="s">
        <v>109</v>
      </c>
      <c r="D92" s="18" t="s">
        <v>63</v>
      </c>
      <c r="E92" s="18" t="s">
        <v>110</v>
      </c>
      <c r="F92" s="45" t="s">
        <v>63</v>
      </c>
      <c r="G92" s="46" t="s">
        <v>709</v>
      </c>
      <c r="H92" s="18"/>
      <c r="I92" s="18" t="s">
        <v>347</v>
      </c>
      <c r="J92" s="18">
        <v>3</v>
      </c>
      <c r="K92" s="18" t="b">
        <f>VLOOKUP(A92,Model!C$2:D$208,2,FALSE)=B92</f>
        <v>1</v>
      </c>
      <c r="L92" s="18" t="b">
        <f>VLOOKUP(A92,Model!C$2:G$208,5,FALSE)=C92</f>
        <v>1</v>
      </c>
      <c r="M92" s="18" t="b">
        <f>VLOOKUP(Table1[[#This Row],[Physical Name of Attribute (Name of column in Table)
Supplied by DA Team]],Table!A$2:H$323,1,FALSE)=Table1[[#This Row],[Physical Name of Attribute (Name of column in Table)
Supplied by DA Team]]</f>
        <v>1</v>
      </c>
      <c r="N92" s="18" t="b">
        <f>VLOOKUP(B92,Table!A$2:F$319,2,FALSE)=Table1[[#This Row],[Data type in Oracle
VARCHAR2(n), DATE, NUMBER(m,n), TIMETSTAMP(6)]]</f>
        <v>0</v>
      </c>
      <c r="O92" s="18" t="b">
        <f>VLOOKUP(B92,Table!A$2:F$231,3,FALSE)=Table1[[#This Row],[Nullable in Table and in Oracle View
NULL, NOT NULL]]</f>
        <v>1</v>
      </c>
      <c r="P92" s="55" t="b">
        <f>VLOOKUP(B92,Table!A$2:H$228,6,FALSE)=Table1[[#This Row],[Business Definition (To go into comments and into Meta Data Hub)]]</f>
        <v>0</v>
      </c>
      <c r="Q92" s="18" t="s">
        <v>8</v>
      </c>
      <c r="R92" s="18" t="s">
        <v>701</v>
      </c>
      <c r="S92" s="18" t="s">
        <v>707</v>
      </c>
      <c r="T92" s="18"/>
      <c r="U92" s="18"/>
      <c r="V92" s="46" t="s">
        <v>702</v>
      </c>
      <c r="W92" s="46"/>
      <c r="X92" s="18"/>
      <c r="Y92" s="1" t="e">
        <f>VLOOKUP(A92,Model!A$2:J$210,2,FALSE)</f>
        <v>#N/A</v>
      </c>
      <c r="Z92" s="1"/>
      <c r="AA92" s="1"/>
      <c r="AB92" s="1"/>
      <c r="AC92" s="1"/>
      <c r="AD92" s="32" t="b">
        <f>VLOOKUP(B92,AVY_FACT!A$2:A$153,1,FALSE)=B92</f>
        <v>1</v>
      </c>
      <c r="AE92" s="32" t="b">
        <f>VLOOKUP(B92,AVY_FACT!A$2:F$153,2,FALSE)=C92</f>
        <v>1</v>
      </c>
      <c r="AF92" s="32" t="str">
        <f t="shared" si="6"/>
        <v>LGCY_MKT_TP_NM  VARCHAR2(200),</v>
      </c>
      <c r="AG92" s="33" t="str">
        <f t="shared" si="5"/>
        <v>COMMENT ON COLUMN TRANSACTIONS_OWNER.AVY_FACT.LGCY_MKT_TP_NM IS 'Name that represents what type of market the trade was executed in. Eg. NYSE, OTC, CBOE, etc';</v>
      </c>
    </row>
    <row r="93" spans="1:33" ht="22.5" hidden="1" customHeight="1">
      <c r="A93" s="18" t="s">
        <v>2642</v>
      </c>
      <c r="B93" s="18" t="s">
        <v>714</v>
      </c>
      <c r="C93" s="18" t="s">
        <v>139</v>
      </c>
      <c r="D93" s="18" t="s">
        <v>63</v>
      </c>
      <c r="E93" s="18" t="s">
        <v>140</v>
      </c>
      <c r="F93" s="45" t="s">
        <v>63</v>
      </c>
      <c r="G93" s="46" t="s">
        <v>716</v>
      </c>
      <c r="H93" s="18"/>
      <c r="I93" s="18" t="s">
        <v>347</v>
      </c>
      <c r="J93" s="18">
        <v>3</v>
      </c>
      <c r="K93" s="18" t="b">
        <f>VLOOKUP(A93,Model!C$2:D$208,2,FALSE)=B93</f>
        <v>1</v>
      </c>
      <c r="L93" s="18" t="b">
        <f>VLOOKUP(A93,Model!C$2:G$208,5,FALSE)=C93</f>
        <v>1</v>
      </c>
      <c r="M93" s="18" t="b">
        <f>VLOOKUP(Table1[[#This Row],[Physical Name of Attribute (Name of column in Table)
Supplied by DA Team]],Table!A$2:H$323,1,FALSE)=Table1[[#This Row],[Physical Name of Attribute (Name of column in Table)
Supplied by DA Team]]</f>
        <v>1</v>
      </c>
      <c r="N93" s="18" t="b">
        <f>VLOOKUP(B93,Table!A$2:F$319,2,FALSE)=Table1[[#This Row],[Data type in Oracle
VARCHAR2(n), DATE, NUMBER(m,n), TIMETSTAMP(6)]]</f>
        <v>0</v>
      </c>
      <c r="O93" s="18" t="b">
        <f>VLOOKUP(B93,Table!A$2:F$231,3,FALSE)=Table1[[#This Row],[Nullable in Table and in Oracle View
NULL, NOT NULL]]</f>
        <v>1</v>
      </c>
      <c r="P93" s="55" t="b">
        <f>VLOOKUP(B93,Table!A$2:H$228,6,FALSE)=Table1[[#This Row],[Business Definition (To go into comments and into Meta Data Hub)]]</f>
        <v>0</v>
      </c>
      <c r="Q93" s="46" t="s">
        <v>717</v>
      </c>
      <c r="R93" s="46" t="s">
        <v>718</v>
      </c>
      <c r="S93" s="46" t="s">
        <v>719</v>
      </c>
      <c r="T93" s="18"/>
      <c r="U93" s="18"/>
      <c r="V93" s="46" t="s">
        <v>720</v>
      </c>
      <c r="W93" s="46" t="s">
        <v>721</v>
      </c>
      <c r="X93" s="18"/>
      <c r="Y93" s="1" t="e">
        <f>VLOOKUP(A93,Model!A$2:J$210,2,FALSE)</f>
        <v>#N/A</v>
      </c>
      <c r="Z93" s="1"/>
      <c r="AA93" s="1"/>
      <c r="AB93" s="1"/>
      <c r="AC93" s="1"/>
      <c r="AD93" s="32" t="b">
        <f>VLOOKUP(B93,AVY_FACT!A$2:A$153,1,FALSE)=B93</f>
        <v>1</v>
      </c>
      <c r="AE93" s="32" t="b">
        <f>VLOOKUP(B93,AVY_FACT!A$2:F$153,2,FALSE)=C93</f>
        <v>1</v>
      </c>
      <c r="AF93" s="32" t="str">
        <f t="shared" si="6"/>
        <v>LGCY_TRD_CPCTY_TP_CD  VARCHAR2(20),</v>
      </c>
      <c r="AG93" s="33" t="str">
        <f t="shared" si="5"/>
        <v>COMMENT ON COLUMN TRANSACTIONS_OWNER.AVY_FACT.LGCY_TRD_CPCTY_TP_CD IS 'Code to show what type of capacity the trade was executed in. Eg. acting as principal or agency.';</v>
      </c>
    </row>
    <row r="94" spans="1:33" ht="22.5" hidden="1" customHeight="1">
      <c r="A94" s="18" t="s">
        <v>2496</v>
      </c>
      <c r="B94" s="18" t="s">
        <v>723</v>
      </c>
      <c r="C94" s="18" t="s">
        <v>101</v>
      </c>
      <c r="D94" s="18" t="s">
        <v>345</v>
      </c>
      <c r="E94" s="18" t="s">
        <v>133</v>
      </c>
      <c r="F94" s="45" t="s">
        <v>63</v>
      </c>
      <c r="G94" s="18" t="s">
        <v>724</v>
      </c>
      <c r="H94" s="18"/>
      <c r="I94" s="18" t="s">
        <v>347</v>
      </c>
      <c r="J94" s="18">
        <v>3</v>
      </c>
      <c r="K94" s="18" t="b">
        <f>VLOOKUP(A94,Model!C$2:D$208,2,FALSE)=B94</f>
        <v>1</v>
      </c>
      <c r="L94" s="18" t="b">
        <f>VLOOKUP(A94,Model!C$2:G$208,5,FALSE)=C94</f>
        <v>1</v>
      </c>
      <c r="M94" s="18" t="b">
        <f>VLOOKUP(Table1[[#This Row],[Physical Name of Attribute (Name of column in Table)
Supplied by DA Team]],Table!A$2:H$323,1,FALSE)=Table1[[#This Row],[Physical Name of Attribute (Name of column in Table)
Supplied by DA Team]]</f>
        <v>1</v>
      </c>
      <c r="N94" s="18" t="b">
        <f>VLOOKUP(B94,Table!A$2:F$319,2,FALSE)=Table1[[#This Row],[Data type in Oracle
VARCHAR2(n), DATE, NUMBER(m,n), TIMETSTAMP(6)]]</f>
        <v>0</v>
      </c>
      <c r="O94" s="18" t="b">
        <f>VLOOKUP(B94,Table!A$2:F$231,3,FALSE)=Table1[[#This Row],[Nullable in Table and in Oracle View
NULL, NOT NULL]]</f>
        <v>0</v>
      </c>
      <c r="P94" s="55" t="b">
        <f>VLOOKUP(B94,Table!A$2:H$228,6,FALSE)=Table1[[#This Row],[Business Definition (To go into comments and into Meta Data Hub)]]</f>
        <v>0</v>
      </c>
      <c r="Q94" s="18" t="s">
        <v>8</v>
      </c>
      <c r="R94" s="18" t="s">
        <v>725</v>
      </c>
      <c r="S94" s="18" t="s">
        <v>723</v>
      </c>
      <c r="T94" s="18"/>
      <c r="U94" s="18"/>
      <c r="V94" s="46" t="s">
        <v>726</v>
      </c>
      <c r="W94" s="46" t="s">
        <v>727</v>
      </c>
      <c r="X94" s="18"/>
      <c r="Y94" s="1" t="e">
        <f>VLOOKUP(A94,Model!A$2:J$210,2,FALSE)</f>
        <v>#N/A</v>
      </c>
      <c r="Z94" s="1"/>
      <c r="AA94" s="1"/>
      <c r="AB94" s="1"/>
      <c r="AC94" s="1"/>
      <c r="AD94" s="32" t="b">
        <f>VLOOKUP(B94,AVY_FACT!A$2:A$153,1,FALSE)=B94</f>
        <v>1</v>
      </c>
      <c r="AE94" s="32" t="b">
        <f>VLOOKUP(B94,AVY_FACT!A$2:F$153,2,FALSE)=C94</f>
        <v>1</v>
      </c>
      <c r="AF94" s="32" t="str">
        <f t="shared" si="6"/>
        <v>LGCY_TRD_CPCTY_TP_DIM_ID  NUMBER(38,0),</v>
      </c>
      <c r="AG94" s="33" t="str">
        <f t="shared" si="5"/>
        <v>COMMENT ON COLUMN TRANSACTIONS_OWNER.AVY_FACT.LGCY_TRD_CPCTY_TP_DIM_ID IS 'Surrogate key for Legacy trade Capacity Type Dimension.';</v>
      </c>
    </row>
    <row r="95" spans="1:33" ht="22.5" hidden="1" customHeight="1">
      <c r="A95" s="18" t="s">
        <v>2643</v>
      </c>
      <c r="B95" s="18" t="s">
        <v>734</v>
      </c>
      <c r="C95" s="18" t="s">
        <v>101</v>
      </c>
      <c r="D95" s="18" t="s">
        <v>63</v>
      </c>
      <c r="E95" s="18" t="s">
        <v>133</v>
      </c>
      <c r="F95" s="45" t="s">
        <v>63</v>
      </c>
      <c r="G95" s="46" t="s">
        <v>735</v>
      </c>
      <c r="H95" s="18"/>
      <c r="I95" s="18" t="s">
        <v>67</v>
      </c>
      <c r="J95" s="18">
        <v>3</v>
      </c>
      <c r="K95" s="18" t="b">
        <f>VLOOKUP(A95,Model!C$2:D$208,2,FALSE)=B95</f>
        <v>1</v>
      </c>
      <c r="L95" s="18" t="b">
        <f>VLOOKUP(A95,Model!C$2:G$208,5,FALSE)=C95</f>
        <v>1</v>
      </c>
      <c r="M95" s="18" t="b">
        <f>VLOOKUP(Table1[[#This Row],[Physical Name of Attribute (Name of column in Table)
Supplied by DA Team]],Table!A$2:H$323,1,FALSE)=Table1[[#This Row],[Physical Name of Attribute (Name of column in Table)
Supplied by DA Team]]</f>
        <v>1</v>
      </c>
      <c r="N95" s="18" t="b">
        <f>VLOOKUP(B95,Table!A$2:F$319,2,FALSE)=Table1[[#This Row],[Data type in Oracle
VARCHAR2(n), DATE, NUMBER(m,n), TIMETSTAMP(6)]]</f>
        <v>0</v>
      </c>
      <c r="O95" s="18" t="b">
        <f>VLOOKUP(B95,Table!A$2:F$231,3,FALSE)=Table1[[#This Row],[Nullable in Table and in Oracle View
NULL, NOT NULL]]</f>
        <v>0</v>
      </c>
      <c r="P95" s="18" t="b">
        <f>VLOOKUP(B95,Table!A$2:H$228,6,FALSE)=Table1[[#This Row],[Business Definition (To go into comments and into Meta Data Hub)]]</f>
        <v>0</v>
      </c>
      <c r="Q95" s="18" t="s">
        <v>68</v>
      </c>
      <c r="R95" s="18" t="s">
        <v>69</v>
      </c>
      <c r="S95" s="18" t="s">
        <v>734</v>
      </c>
      <c r="T95" s="18"/>
      <c r="U95" s="18"/>
      <c r="V95" s="46"/>
      <c r="W95" s="46"/>
      <c r="X95" s="18"/>
      <c r="Y95" s="1" t="e">
        <f>VLOOKUP(A95,Model!A$2:J$210,2,FALSE)</f>
        <v>#N/A</v>
      </c>
      <c r="Z95" s="1"/>
      <c r="AA95" s="1"/>
      <c r="AB95" s="1"/>
      <c r="AC95" s="1"/>
      <c r="AD95" s="32" t="e">
        <f>VLOOKUP(B95,AVY_FACT!A$2:A$153,1,FALSE)=B95</f>
        <v>#N/A</v>
      </c>
      <c r="AE95" s="32" t="e">
        <f>VLOOKUP(B95,AVY_FACT!A$2:F$153,2,FALSE)=C95</f>
        <v>#N/A</v>
      </c>
      <c r="AF95" s="32" t="str">
        <f t="shared" si="6"/>
        <v>LGCY_TRD_CPCTY_TP_ID  NUMBER(38,0),</v>
      </c>
      <c r="AG95" s="33" t="str">
        <f t="shared" si="5"/>
        <v>COMMENT ON COLUMN TRANSACTIONS_OWNER.AVY_FACT.LGCY_TRD_CPCTY_TP_ID IS 'Identifier that represents what type of capacity the trade was executed in.';</v>
      </c>
    </row>
    <row r="96" spans="1:33" ht="22.5" hidden="1" customHeight="1">
      <c r="A96" s="18" t="s">
        <v>2644</v>
      </c>
      <c r="B96" s="18" t="s">
        <v>729</v>
      </c>
      <c r="C96" s="18" t="s">
        <v>109</v>
      </c>
      <c r="D96" s="18" t="s">
        <v>63</v>
      </c>
      <c r="E96" s="18" t="s">
        <v>110</v>
      </c>
      <c r="F96" s="45" t="s">
        <v>63</v>
      </c>
      <c r="G96" s="46" t="s">
        <v>731</v>
      </c>
      <c r="H96" s="18"/>
      <c r="I96" s="18" t="s">
        <v>347</v>
      </c>
      <c r="J96" s="18">
        <v>3</v>
      </c>
      <c r="K96" s="18" t="b">
        <f>VLOOKUP(A96,Model!C$2:D$208,2,FALSE)=B96</f>
        <v>1</v>
      </c>
      <c r="L96" s="18" t="b">
        <f>VLOOKUP(A96,Model!C$2:G$208,5,FALSE)=C96</f>
        <v>1</v>
      </c>
      <c r="M96" s="18" t="b">
        <f>VLOOKUP(Table1[[#This Row],[Physical Name of Attribute (Name of column in Table)
Supplied by DA Team]],Table!A$2:H$323,1,FALSE)=Table1[[#This Row],[Physical Name of Attribute (Name of column in Table)
Supplied by DA Team]]</f>
        <v>1</v>
      </c>
      <c r="N96" s="18" t="b">
        <f>VLOOKUP(B96,Table!A$2:F$319,2,FALSE)=Table1[[#This Row],[Data type in Oracle
VARCHAR2(n), DATE, NUMBER(m,n), TIMETSTAMP(6)]]</f>
        <v>0</v>
      </c>
      <c r="O96" s="18" t="b">
        <f>VLOOKUP(B96,Table!A$2:F$231,3,FALSE)=Table1[[#This Row],[Nullable in Table and in Oracle View
NULL, NOT NULL]]</f>
        <v>0</v>
      </c>
      <c r="P96" s="55" t="b">
        <f>VLOOKUP(B96,Table!A$2:H$228,6,FALSE)=Table1[[#This Row],[Business Definition (To go into comments and into Meta Data Hub)]]</f>
        <v>0</v>
      </c>
      <c r="Q96" s="46" t="s">
        <v>717</v>
      </c>
      <c r="R96" s="46" t="s">
        <v>718</v>
      </c>
      <c r="S96" s="46" t="s">
        <v>732</v>
      </c>
      <c r="T96" s="18"/>
      <c r="U96" s="18"/>
      <c r="V96" s="46" t="s">
        <v>720</v>
      </c>
      <c r="W96" s="46" t="s">
        <v>721</v>
      </c>
      <c r="X96" s="18"/>
      <c r="Y96" s="1" t="e">
        <f>VLOOKUP(A96,Model!A$2:J$210,2,FALSE)</f>
        <v>#N/A</v>
      </c>
      <c r="Z96" s="1"/>
      <c r="AA96" s="1"/>
      <c r="AB96" s="1"/>
      <c r="AC96" s="1"/>
      <c r="AD96" s="32" t="b">
        <f>VLOOKUP(B96,AVY_FACT!A$2:A$153,1,FALSE)=B96</f>
        <v>1</v>
      </c>
      <c r="AE96" s="32" t="b">
        <f>VLOOKUP(B96,AVY_FACT!A$2:F$153,2,FALSE)=C96</f>
        <v>1</v>
      </c>
      <c r="AF96" s="32" t="str">
        <f t="shared" si="6"/>
        <v>LGCY_TRD_CPCTY_TP_NM  VARCHAR2(200),</v>
      </c>
      <c r="AG96" s="33" t="str">
        <f t="shared" si="5"/>
        <v>COMMENT ON COLUMN TRANSACTIONS_OWNER.AVY_FACT.LGCY_TRD_CPCTY_TP_NM IS 'Name that represents what type of capacity the trade was executed in. Eg. acting as principal or agency.';</v>
      </c>
    </row>
    <row r="97" spans="1:33" ht="22.5" hidden="1" customHeight="1">
      <c r="A97" s="18" t="s">
        <v>299</v>
      </c>
      <c r="B97" s="18" t="s">
        <v>300</v>
      </c>
      <c r="C97" s="18" t="s">
        <v>302</v>
      </c>
      <c r="D97" s="18" t="s">
        <v>63</v>
      </c>
      <c r="E97" s="18" t="s">
        <v>303</v>
      </c>
      <c r="F97" s="45" t="s">
        <v>63</v>
      </c>
      <c r="G97" s="46" t="s">
        <v>304</v>
      </c>
      <c r="H97" s="18"/>
      <c r="I97" s="18" t="s">
        <v>67</v>
      </c>
      <c r="J97" s="18">
        <v>3</v>
      </c>
      <c r="K97" s="18" t="b">
        <f>VLOOKUP(A97,Model!C$2:D$208,2,FALSE)=B97</f>
        <v>1</v>
      </c>
      <c r="L97" s="18" t="b">
        <f>VLOOKUP(A97,Model!C$2:G$208,5,FALSE)=C97</f>
        <v>1</v>
      </c>
      <c r="M97" s="18" t="b">
        <f>VLOOKUP(Table1[[#This Row],[Physical Name of Attribute (Name of column in Table)
Supplied by DA Team]],Table!A$2:H$323,1,FALSE)=Table1[[#This Row],[Physical Name of Attribute (Name of column in Table)
Supplied by DA Team]]</f>
        <v>1</v>
      </c>
      <c r="N97" s="18" t="b">
        <f>VLOOKUP(B97,Table!A$2:F$319,2,FALSE)=Table1[[#This Row],[Data type in Oracle
VARCHAR2(n), DATE, NUMBER(m,n), TIMETSTAMP(6)]]</f>
        <v>0</v>
      </c>
      <c r="O97" s="18" t="b">
        <f>VLOOKUP(B97,Table!A$2:F$231,3,FALSE)=Table1[[#This Row],[Nullable in Table and in Oracle View
NULL, NOT NULL]]</f>
        <v>1</v>
      </c>
      <c r="P97" s="18" t="b">
        <f>VLOOKUP(B97,Table!A$2:H$228,6,FALSE)=Table1[[#This Row],[Business Definition (To go into comments and into Meta Data Hub)]]</f>
        <v>0</v>
      </c>
      <c r="Q97" s="18" t="s">
        <v>173</v>
      </c>
      <c r="R97" s="18" t="s">
        <v>248</v>
      </c>
      <c r="S97" s="18" t="s">
        <v>305</v>
      </c>
      <c r="T97" s="18"/>
      <c r="U97" s="18"/>
      <c r="V97" s="46" t="s">
        <v>306</v>
      </c>
      <c r="W97" s="46" t="s">
        <v>251</v>
      </c>
      <c r="X97" s="18"/>
      <c r="Y97" s="1" t="e">
        <f>VLOOKUP(A97,Model!A$2:J$210,2,FALSE)</f>
        <v>#N/A</v>
      </c>
      <c r="Z97" s="1"/>
      <c r="AA97" s="1"/>
      <c r="AB97" s="1"/>
      <c r="AC97" s="1"/>
      <c r="AD97" s="32" t="e">
        <f>VLOOKUP(B97,AVY_FACT!A$2:A$153,1,FALSE)=B97</f>
        <v>#N/A</v>
      </c>
      <c r="AE97" s="32" t="e">
        <f>VLOOKUP(B97,AVY_FACT!A$2:F$153,2,FALSE)=C97</f>
        <v>#N/A</v>
      </c>
      <c r="AF97" s="32" t="str">
        <f>K97&amp;"  "&amp;C97&amp;","</f>
        <v>TRUE  VARCHAR2(30),</v>
      </c>
      <c r="AG97" s="33" t="str">
        <f t="shared" si="5"/>
        <v>COMMENT ON COLUMN TRANSACTIONS_OWNER.AVY_FACT.MF_AC_NUM IS 'Account number of the mutual fund, if the transaction is on mutual fund.';</v>
      </c>
    </row>
    <row r="98" spans="1:33" ht="22.5" hidden="1" customHeight="1">
      <c r="A98" s="18" t="s">
        <v>2645</v>
      </c>
      <c r="B98" s="18" t="s">
        <v>238</v>
      </c>
      <c r="C98" s="18" t="s">
        <v>62</v>
      </c>
      <c r="D98" s="18" t="s">
        <v>63</v>
      </c>
      <c r="E98" s="18" t="s">
        <v>64</v>
      </c>
      <c r="F98" s="45" t="s">
        <v>63</v>
      </c>
      <c r="G98" s="46" t="s">
        <v>240</v>
      </c>
      <c r="H98" s="46" t="s">
        <v>241</v>
      </c>
      <c r="I98" s="18" t="s">
        <v>67</v>
      </c>
      <c r="J98" s="18">
        <v>3</v>
      </c>
      <c r="K98" s="18" t="b">
        <f>VLOOKUP(A98,Model!C$2:D$208,2,FALSE)=B98</f>
        <v>1</v>
      </c>
      <c r="L98" s="18" t="b">
        <f>VLOOKUP(A98,Model!C$2:G$208,5,FALSE)=C98</f>
        <v>1</v>
      </c>
      <c r="M98" s="18" t="b">
        <f>VLOOKUP(Table1[[#This Row],[Physical Name of Attribute (Name of column in Table)
Supplied by DA Team]],Table!A$2:H$323,1,FALSE)=Table1[[#This Row],[Physical Name of Attribute (Name of column in Table)
Supplied by DA Team]]</f>
        <v>1</v>
      </c>
      <c r="N98" s="18" t="b">
        <f>VLOOKUP(B98,Table!A$2:F$319,2,FALSE)=Table1[[#This Row],[Data type in Oracle
VARCHAR2(n), DATE, NUMBER(m,n), TIMETSTAMP(6)]]</f>
        <v>0</v>
      </c>
      <c r="O98" s="18" t="b">
        <f>VLOOKUP(B98,Table!A$2:F$231,3,FALSE)=Table1[[#This Row],[Nullable in Table and in Oracle View
NULL, NOT NULL]]</f>
        <v>1</v>
      </c>
      <c r="P98" s="18" t="b">
        <f>VLOOKUP(B98,Table!A$2:H$228,6,FALSE)=Table1[[#This Row],[Business Definition (To go into comments and into Meta Data Hub)]]</f>
        <v>0</v>
      </c>
      <c r="Q98" s="18" t="s">
        <v>68</v>
      </c>
      <c r="R98" s="47" t="s">
        <v>69</v>
      </c>
      <c r="S98" s="18" t="s">
        <v>215</v>
      </c>
      <c r="T98" s="18"/>
      <c r="U98" s="18"/>
      <c r="V98" s="46" t="s">
        <v>242</v>
      </c>
      <c r="W98" s="46"/>
      <c r="X98" s="18"/>
      <c r="Y98" s="1" t="e">
        <f>VLOOKUP(A98,Model!A$2:J$210,2,FALSE)</f>
        <v>#N/A</v>
      </c>
      <c r="Z98" s="1"/>
      <c r="AA98" s="1"/>
      <c r="AB98" s="1"/>
      <c r="AC98" s="1"/>
      <c r="AD98" s="32" t="e">
        <f>VLOOKUP(B98,AVY_FACT!A$2:A$153,1,FALSE)=B98</f>
        <v>#N/A</v>
      </c>
      <c r="AE98" s="32" t="e">
        <f>VLOOKUP(B98,AVY_FACT!A$2:F$153,2,FALSE)=C98</f>
        <v>#N/A</v>
      </c>
      <c r="AF98" s="32" t="str">
        <f>K98&amp;"  "&amp;C98&amp;","</f>
        <v>TRUE  VARCHAR2(50),</v>
      </c>
      <c r="AG98" s="33" t="str">
        <f t="shared" si="5"/>
        <v>COMMENT ON COLUMN TRANSACTIONS_OWNER.AVY_FACT.MM_ALT_ID IS 'Identifier on all Money movement transactions';</v>
      </c>
    </row>
    <row r="99" spans="1:33" ht="22.5" hidden="1" customHeight="1">
      <c r="A99" s="55" t="s">
        <v>1123</v>
      </c>
      <c r="B99" s="18" t="s">
        <v>1124</v>
      </c>
      <c r="C99" s="18" t="s">
        <v>101</v>
      </c>
      <c r="D99" s="18" t="s">
        <v>345</v>
      </c>
      <c r="E99" s="18" t="s">
        <v>133</v>
      </c>
      <c r="F99" s="45" t="s">
        <v>63</v>
      </c>
      <c r="G99" s="46" t="s">
        <v>1125</v>
      </c>
      <c r="H99" s="18"/>
      <c r="I99" s="18" t="s">
        <v>347</v>
      </c>
      <c r="J99" s="18">
        <v>3</v>
      </c>
      <c r="K99" s="18" t="e">
        <f>VLOOKUP(A99,Model!C$2:D$208,2,FALSE)=B99</f>
        <v>#N/A</v>
      </c>
      <c r="L99" s="18" t="e">
        <f>VLOOKUP(A99,Model!C$2:G$208,5,FALSE)=C99</f>
        <v>#N/A</v>
      </c>
      <c r="M99" s="18" t="b">
        <f>VLOOKUP(Table1[[#This Row],[Physical Name of Attribute (Name of column in Table)
Supplied by DA Team]],Table!A$2:H$323,1,FALSE)=Table1[[#This Row],[Physical Name of Attribute (Name of column in Table)
Supplied by DA Team]]</f>
        <v>1</v>
      </c>
      <c r="N99" s="18" t="b">
        <f>VLOOKUP(B99,Table!A$2:F$319,2,FALSE)=Table1[[#This Row],[Data type in Oracle
VARCHAR2(n), DATE, NUMBER(m,n), TIMETSTAMP(6)]]</f>
        <v>0</v>
      </c>
      <c r="O99" s="18" t="b">
        <f>VLOOKUP(B99,Table!A$2:F$231,3,FALSE)=Table1[[#This Row],[Nullable in Table and in Oracle View
NULL, NOT NULL]]</f>
        <v>0</v>
      </c>
      <c r="P99" s="55" t="b">
        <f>VLOOKUP(B99,Table!A$2:H$228,6,FALSE)=Table1[[#This Row],[Business Definition (To go into comments and into Meta Data Hub)]]</f>
        <v>0</v>
      </c>
      <c r="Q99" s="18" t="s">
        <v>173</v>
      </c>
      <c r="R99" s="18" t="s">
        <v>248</v>
      </c>
      <c r="S99" s="18" t="s">
        <v>1120</v>
      </c>
      <c r="T99" s="18"/>
      <c r="U99" s="18"/>
      <c r="V99" s="46" t="s">
        <v>1126</v>
      </c>
      <c r="W99" s="46" t="s">
        <v>313</v>
      </c>
      <c r="X99" s="18"/>
      <c r="Y99" s="1" t="e">
        <f>VLOOKUP(A99,Model!A$2:J$210,2,FALSE)</f>
        <v>#N/A</v>
      </c>
      <c r="Z99" s="1"/>
      <c r="AA99" s="1"/>
      <c r="AB99" s="1"/>
      <c r="AC99" s="1"/>
      <c r="AD99" s="32" t="b">
        <f>VLOOKUP(B99,AVY_FACT!A$2:A$153,1,FALSE)=B99</f>
        <v>1</v>
      </c>
      <c r="AE99" s="32" t="b">
        <f>VLOOKUP(B99,AVY_FACT!A$2:F$153,2,FALSE)=C99</f>
        <v>1</v>
      </c>
      <c r="AF99" s="32" t="e">
        <f>K99&amp;"  "&amp;C99&amp;","</f>
        <v>#N/A</v>
      </c>
      <c r="AG99" s="33" t="str">
        <f t="shared" si="5"/>
        <v>COMMENT ON COLUMN TRANSACTIONS_OWNER.AVY_FACT.OFST_AR_DIM_ID IS 'Surrogate Key for offset Arrangement Dimension';</v>
      </c>
    </row>
    <row r="100" spans="1:33" ht="22.5" hidden="1" customHeight="1">
      <c r="A100" s="18" t="s">
        <v>736</v>
      </c>
      <c r="B100" s="18" t="s">
        <v>737</v>
      </c>
      <c r="C100" s="18" t="s">
        <v>101</v>
      </c>
      <c r="D100" s="18" t="s">
        <v>63</v>
      </c>
      <c r="E100" s="18" t="s">
        <v>133</v>
      </c>
      <c r="F100" s="45" t="s">
        <v>63</v>
      </c>
      <c r="G100" s="46" t="s">
        <v>739</v>
      </c>
      <c r="H100" s="18"/>
      <c r="I100" s="18" t="s">
        <v>347</v>
      </c>
      <c r="J100" s="18">
        <v>3</v>
      </c>
      <c r="K100" s="18" t="b">
        <f>VLOOKUP(A100,Model!C$2:D$208,2,FALSE)=B100</f>
        <v>1</v>
      </c>
      <c r="L100" s="18" t="b">
        <f>VLOOKUP(A100,Model!C$2:G$208,5,FALSE)=C100</f>
        <v>1</v>
      </c>
      <c r="M100" s="18" t="b">
        <f>VLOOKUP(Table1[[#This Row],[Physical Name of Attribute (Name of column in Table)
Supplied by DA Team]],Table!A$2:H$323,1,FALSE)=Table1[[#This Row],[Physical Name of Attribute (Name of column in Table)
Supplied by DA Team]]</f>
        <v>1</v>
      </c>
      <c r="N100" s="18" t="b">
        <f>VLOOKUP(B100,Table!A$2:F$319,2,FALSE)=Table1[[#This Row],[Data type in Oracle
VARCHAR2(n), DATE, NUMBER(m,n), TIMETSTAMP(6)]]</f>
        <v>1</v>
      </c>
      <c r="O100" s="18" t="b">
        <f>VLOOKUP(B100,Table!A$2:F$231,3,FALSE)=Table1[[#This Row],[Nullable in Table and in Oracle View
NULL, NOT NULL]]</f>
        <v>1</v>
      </c>
      <c r="P100" s="55" t="b">
        <f>VLOOKUP(B100,Table!A$2:H$228,6,FALSE)=Table1[[#This Row],[Business Definition (To go into comments and into Meta Data Hub)]]</f>
        <v>0</v>
      </c>
      <c r="Q100" s="18" t="s">
        <v>68</v>
      </c>
      <c r="R100" s="18" t="s">
        <v>375</v>
      </c>
      <c r="S100" s="18" t="s">
        <v>737</v>
      </c>
      <c r="T100" s="18"/>
      <c r="U100" s="18"/>
      <c r="V100" s="46" t="s">
        <v>539</v>
      </c>
      <c r="W100" s="46"/>
      <c r="X100" s="18"/>
      <c r="Y100" s="1" t="e">
        <f>VLOOKUP(A100,Model!A$2:J$210,2,FALSE)</f>
        <v>#N/A</v>
      </c>
      <c r="Z100" s="1"/>
      <c r="AA100" s="1"/>
      <c r="AB100" s="1"/>
      <c r="AC100" s="1"/>
      <c r="AD100" s="32" t="b">
        <f>VLOOKUP(B100,AVY_FACT!A$2:A$153,1,FALSE)=B100</f>
        <v>1</v>
      </c>
      <c r="AE100" s="32" t="b">
        <f>VLOOKUP(B100,AVY_FACT!A$2:F$153,2,FALSE)=C100</f>
        <v>1</v>
      </c>
      <c r="AF100" s="32" t="str">
        <f>B100&amp;"  "&amp;C100&amp;","</f>
        <v>OFST_AR_ID  NUMBER(38,0),</v>
      </c>
      <c r="AG100" s="33" t="str">
        <f t="shared" si="5"/>
        <v>COMMENT ON COLUMN TRANSACTIONS_OWNER.AVY_FACT.OFST_AR_ID IS 'If the APA was satisfied by offsetting with another RJ arrangement then, this column will contain the offsetted arrangement.';</v>
      </c>
    </row>
    <row r="101" spans="1:33" ht="22.5" hidden="1" customHeight="1">
      <c r="A101" s="18" t="s">
        <v>314</v>
      </c>
      <c r="B101" s="18" t="s">
        <v>315</v>
      </c>
      <c r="C101" s="18" t="s">
        <v>139</v>
      </c>
      <c r="D101" s="18" t="s">
        <v>63</v>
      </c>
      <c r="E101" s="18" t="s">
        <v>140</v>
      </c>
      <c r="F101" s="45" t="s">
        <v>63</v>
      </c>
      <c r="G101" s="46" t="s">
        <v>317</v>
      </c>
      <c r="H101" s="18"/>
      <c r="I101" s="18" t="s">
        <v>67</v>
      </c>
      <c r="J101" s="18">
        <v>3</v>
      </c>
      <c r="K101" s="18" t="b">
        <f>VLOOKUP(A101,Model!C$2:D$208,2,FALSE)=B101</f>
        <v>1</v>
      </c>
      <c r="L101" s="18" t="b">
        <f>VLOOKUP(A101,Model!C$2:G$208,5,FALSE)=C101</f>
        <v>1</v>
      </c>
      <c r="M101" s="18" t="b">
        <f>VLOOKUP(Table1[[#This Row],[Physical Name of Attribute (Name of column in Table)
Supplied by DA Team]],Table!A$2:H$323,1,FALSE)=Table1[[#This Row],[Physical Name of Attribute (Name of column in Table)
Supplied by DA Team]]</f>
        <v>1</v>
      </c>
      <c r="N101" s="18" t="b">
        <f>VLOOKUP(B101,Table!A$2:F$319,2,FALSE)=Table1[[#This Row],[Data type in Oracle
VARCHAR2(n), DATE, NUMBER(m,n), TIMETSTAMP(6)]]</f>
        <v>0</v>
      </c>
      <c r="O101" s="18" t="b">
        <f>VLOOKUP(B101,Table!A$2:F$231,3,FALSE)=Table1[[#This Row],[Nullable in Table and in Oracle View
NULL, NOT NULL]]</f>
        <v>1</v>
      </c>
      <c r="P101" s="18" t="b">
        <f>VLOOKUP(B101,Table!A$2:H$228,6,FALSE)=Table1[[#This Row],[Business Definition (To go into comments and into Meta Data Hub)]]</f>
        <v>0</v>
      </c>
      <c r="Q101" s="18" t="s">
        <v>173</v>
      </c>
      <c r="R101" s="18" t="s">
        <v>248</v>
      </c>
      <c r="S101" s="18" t="s">
        <v>249</v>
      </c>
      <c r="T101" s="18"/>
      <c r="U101" s="18"/>
      <c r="V101" s="46" t="s">
        <v>312</v>
      </c>
      <c r="W101" s="46" t="s">
        <v>313</v>
      </c>
      <c r="X101" s="18"/>
      <c r="Y101" s="1" t="e">
        <f>VLOOKUP(A101,Model!A$2:J$210,2,FALSE)</f>
        <v>#N/A</v>
      </c>
      <c r="Z101" s="1"/>
      <c r="AA101" s="1"/>
      <c r="AB101" s="1"/>
      <c r="AC101" s="1"/>
      <c r="AD101" s="32" t="e">
        <f>VLOOKUP(B101,AVY_FACT!A$2:A$153,1,FALSE)=B101</f>
        <v>#N/A</v>
      </c>
      <c r="AE101" s="32" t="e">
        <f>VLOOKUP(B101,AVY_FACT!A$2:F$153,2,FALSE)=C101</f>
        <v>#N/A</v>
      </c>
      <c r="AF101" s="32" t="str">
        <f>K101&amp;"  "&amp;C101&amp;","</f>
        <v>TRUE  VARCHAR2(20),</v>
      </c>
      <c r="AG101" s="33" t="str">
        <f t="shared" si="5"/>
        <v>COMMENT ON COLUMN TRANSACTIONS_OWNER.AVY_FACT.OFST_AR_ORIG_SRC_STM_CD IS 'If the transaction was between 2 RJ accounts then this field will contain information about the second arrangement called the offset arrangement. This column defines the source system associated with a specific offset arrangement. (e.g., BKRB01, RJB RESI, RJB LOANIQ)';</v>
      </c>
    </row>
    <row r="102" spans="1:33" ht="22.5" hidden="1" customHeight="1">
      <c r="A102" s="18" t="s">
        <v>318</v>
      </c>
      <c r="B102" s="18" t="s">
        <v>319</v>
      </c>
      <c r="C102" s="18" t="s">
        <v>139</v>
      </c>
      <c r="D102" s="18" t="s">
        <v>63</v>
      </c>
      <c r="E102" s="18" t="s">
        <v>140</v>
      </c>
      <c r="F102" s="45" t="s">
        <v>63</v>
      </c>
      <c r="G102" s="46" t="s">
        <v>321</v>
      </c>
      <c r="H102" s="18"/>
      <c r="I102" s="18" t="s">
        <v>67</v>
      </c>
      <c r="J102" s="18">
        <v>3</v>
      </c>
      <c r="K102" s="18" t="b">
        <f>VLOOKUP(A102,Model!C$2:D$208,2,FALSE)=B102</f>
        <v>1</v>
      </c>
      <c r="L102" s="18" t="b">
        <f>VLOOKUP(A102,Model!C$2:G$208,5,FALSE)=C102</f>
        <v>1</v>
      </c>
      <c r="M102" s="18" t="b">
        <f>VLOOKUP(Table1[[#This Row],[Physical Name of Attribute (Name of column in Table)
Supplied by DA Team]],Table!A$2:H$323,1,FALSE)=Table1[[#This Row],[Physical Name of Attribute (Name of column in Table)
Supplied by DA Team]]</f>
        <v>1</v>
      </c>
      <c r="N102" s="18" t="b">
        <f>VLOOKUP(B102,Table!A$2:F$319,2,FALSE)=Table1[[#This Row],[Data type in Oracle
VARCHAR2(n), DATE, NUMBER(m,n), TIMETSTAMP(6)]]</f>
        <v>0</v>
      </c>
      <c r="O102" s="18" t="b">
        <f>VLOOKUP(B102,Table!A$2:F$231,3,FALSE)=Table1[[#This Row],[Nullable in Table and in Oracle View
NULL, NOT NULL]]</f>
        <v>1</v>
      </c>
      <c r="P102" s="55" t="b">
        <f>VLOOKUP(B102,Table!A$2:H$228,6,FALSE)=Table1[[#This Row],[Business Definition (To go into comments and into Meta Data Hub)]]</f>
        <v>0</v>
      </c>
      <c r="Q102" s="18" t="s">
        <v>173</v>
      </c>
      <c r="R102" s="18" t="s">
        <v>248</v>
      </c>
      <c r="S102" s="18" t="s">
        <v>322</v>
      </c>
      <c r="T102" s="18"/>
      <c r="U102" s="18"/>
      <c r="V102" s="46" t="s">
        <v>312</v>
      </c>
      <c r="W102" s="46" t="s">
        <v>313</v>
      </c>
      <c r="X102" s="18"/>
      <c r="Y102" s="1" t="e">
        <f>VLOOKUP(A102,Model!A$2:J$210,2,FALSE)</f>
        <v>#N/A</v>
      </c>
      <c r="Z102" s="1"/>
      <c r="AA102" s="1"/>
      <c r="AB102" s="1"/>
      <c r="AC102" s="1"/>
      <c r="AD102" s="32" t="e">
        <f>VLOOKUP(B102,AVY_FACT!A$2:A$153,1,FALSE)=B102</f>
        <v>#N/A</v>
      </c>
      <c r="AE102" s="32" t="e">
        <f>VLOOKUP(B102,AVY_FACT!A$2:F$153,2,FALSE)=C102</f>
        <v>#N/A</v>
      </c>
      <c r="AF102" s="32" t="str">
        <f>B102&amp;"  "&amp;C102&amp;","</f>
        <v>OFST_AR_SETL_TP_CD  VARCHAR2(20),</v>
      </c>
      <c r="AG102" s="33" t="str">
        <f t="shared" si="5"/>
        <v>COMMENT ON COLUMN TRANSACTIONS_OWNER.AVY_FACT.OFST_AR_SETL_TP_CD IS 'If the APA was satisfied by offsetting with another RJ arrangement then, this column will contain information about the offsetted arrangement.
A code that identifies how an arrangement settles its security transactions. This settlement type code is applicable for offset arrangements.';</v>
      </c>
    </row>
    <row r="103" spans="1:33" ht="22.5" hidden="1" customHeight="1">
      <c r="A103" s="18" t="s">
        <v>323</v>
      </c>
      <c r="B103" s="18" t="s">
        <v>324</v>
      </c>
      <c r="C103" s="18" t="s">
        <v>90</v>
      </c>
      <c r="D103" s="18" t="s">
        <v>63</v>
      </c>
      <c r="E103" s="18" t="s">
        <v>91</v>
      </c>
      <c r="F103" s="45" t="s">
        <v>63</v>
      </c>
      <c r="G103" s="46" t="s">
        <v>2646</v>
      </c>
      <c r="H103" s="18"/>
      <c r="I103" s="18" t="s">
        <v>67</v>
      </c>
      <c r="J103" s="18">
        <v>3</v>
      </c>
      <c r="K103" s="18" t="b">
        <f>VLOOKUP(A103,Model!C$2:D$208,2,FALSE)=B103</f>
        <v>1</v>
      </c>
      <c r="L103" s="18" t="b">
        <f>VLOOKUP(A103,Model!C$2:G$208,5,FALSE)=C103</f>
        <v>1</v>
      </c>
      <c r="M103" s="18" t="b">
        <f>VLOOKUP(Table1[[#This Row],[Physical Name of Attribute (Name of column in Table)
Supplied by DA Team]],Table!A$2:H$323,1,FALSE)=Table1[[#This Row],[Physical Name of Attribute (Name of column in Table)
Supplied by DA Team]]</f>
        <v>1</v>
      </c>
      <c r="N103" s="18" t="b">
        <f>VLOOKUP(B103,Table!A$2:F$319,2,FALSE)=Table1[[#This Row],[Data type in Oracle
VARCHAR2(n), DATE, NUMBER(m,n), TIMETSTAMP(6)]]</f>
        <v>0</v>
      </c>
      <c r="O103" s="18" t="b">
        <f>VLOOKUP(B103,Table!A$2:F$231,3,FALSE)=Table1[[#This Row],[Nullable in Table and in Oracle View
NULL, NOT NULL]]</f>
        <v>1</v>
      </c>
      <c r="P103" s="55" t="b">
        <f>VLOOKUP(B103,Table!A$2:H$228,6,FALSE)=Table1[[#This Row],[Business Definition (To go into comments and into Meta Data Hub)]]</f>
        <v>0</v>
      </c>
      <c r="Q103" s="18" t="s">
        <v>173</v>
      </c>
      <c r="R103" s="18" t="s">
        <v>248</v>
      </c>
      <c r="S103" s="18" t="s">
        <v>327</v>
      </c>
      <c r="T103" s="18"/>
      <c r="U103" s="18"/>
      <c r="V103" s="46" t="s">
        <v>312</v>
      </c>
      <c r="W103" s="46" t="s">
        <v>313</v>
      </c>
      <c r="X103" s="18"/>
      <c r="Y103" s="1" t="e">
        <f>VLOOKUP(A103,Model!A$2:J$210,2,FALSE)</f>
        <v>#N/A</v>
      </c>
      <c r="Z103" s="1"/>
      <c r="AA103" s="1"/>
      <c r="AB103" s="1"/>
      <c r="AC103" s="1"/>
      <c r="AD103" s="32" t="e">
        <f>VLOOKUP(B103,AVY_FACT!A$2:A$153,1,FALSE)=B103</f>
        <v>#N/A</v>
      </c>
      <c r="AE103" s="32" t="e">
        <f>VLOOKUP(B103,AVY_FACT!A$2:F$153,2,FALSE)=C103</f>
        <v>#N/A</v>
      </c>
      <c r="AF103" s="32" t="str">
        <f>K103&amp;"  "&amp;C103&amp;","</f>
        <v>TRUE  VARCHAR2(100),</v>
      </c>
      <c r="AG103" s="33" t="str">
        <f t="shared" si="5"/>
        <v>COMMENT ON COLUMN TRANSACTIONS_OWNER.AVY_FACT.OFST_AR_SETL_TP_DSC IS 'If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 ';</v>
      </c>
    </row>
    <row r="104" spans="1:33" ht="22.5" hidden="1" customHeight="1">
      <c r="A104" s="18" t="s">
        <v>2647</v>
      </c>
      <c r="B104" s="18" t="s">
        <v>308</v>
      </c>
      <c r="C104" s="18" t="s">
        <v>62</v>
      </c>
      <c r="D104" s="18" t="s">
        <v>63</v>
      </c>
      <c r="E104" s="18" t="s">
        <v>64</v>
      </c>
      <c r="F104" s="45" t="s">
        <v>63</v>
      </c>
      <c r="G104" s="46" t="s">
        <v>310</v>
      </c>
      <c r="H104" s="18"/>
      <c r="I104" s="18" t="s">
        <v>67</v>
      </c>
      <c r="J104" s="18">
        <v>3</v>
      </c>
      <c r="K104" s="18" t="b">
        <f>VLOOKUP(A104,Model!C$2:D$208,2,FALSE)=B104</f>
        <v>1</v>
      </c>
      <c r="L104" s="18" t="b">
        <f>VLOOKUP(A104,Model!C$2:G$208,5,FALSE)=C104</f>
        <v>1</v>
      </c>
      <c r="M104" s="18" t="b">
        <f>VLOOKUP(Table1[[#This Row],[Physical Name of Attribute (Name of column in Table)
Supplied by DA Team]],Table!A$2:H$323,1,FALSE)=Table1[[#This Row],[Physical Name of Attribute (Name of column in Table)
Supplied by DA Team]]</f>
        <v>1</v>
      </c>
      <c r="N104" s="18" t="b">
        <f>VLOOKUP(B104,Table!A$2:F$319,2,FALSE)=Table1[[#This Row],[Data type in Oracle
VARCHAR2(n), DATE, NUMBER(m,n), TIMETSTAMP(6)]]</f>
        <v>0</v>
      </c>
      <c r="O104" s="18" t="b">
        <f>VLOOKUP(B104,Table!A$2:F$231,3,FALSE)=Table1[[#This Row],[Nullable in Table and in Oracle View
NULL, NOT NULL]]</f>
        <v>1</v>
      </c>
      <c r="P104" s="18" t="b">
        <f>VLOOKUP(B104,Table!A$2:H$228,6,FALSE)=Table1[[#This Row],[Business Definition (To go into comments and into Meta Data Hub)]]</f>
        <v>0</v>
      </c>
      <c r="Q104" s="18" t="s">
        <v>173</v>
      </c>
      <c r="R104" s="18" t="s">
        <v>248</v>
      </c>
      <c r="S104" s="18" t="s">
        <v>311</v>
      </c>
      <c r="T104" s="18"/>
      <c r="U104" s="18"/>
      <c r="V104" s="46" t="s">
        <v>312</v>
      </c>
      <c r="W104" s="46" t="s">
        <v>313</v>
      </c>
      <c r="X104" s="18"/>
      <c r="Y104" s="1" t="e">
        <f>VLOOKUP(A104,Model!A$2:J$210,2,FALSE)</f>
        <v>#N/A</v>
      </c>
      <c r="Z104" s="1"/>
      <c r="AA104" s="1"/>
      <c r="AB104" s="1"/>
      <c r="AC104" s="1"/>
      <c r="AD104" s="32" t="e">
        <f>VLOOKUP(B104,AVY_FACT!A$2:A$153,1,FALSE)=B104</f>
        <v>#N/A</v>
      </c>
      <c r="AE104" s="32" t="e">
        <f>VLOOKUP(B104,AVY_FACT!A$2:F$153,2,FALSE)=C104</f>
        <v>#N/A</v>
      </c>
      <c r="AF104" s="32" t="str">
        <f>K104&amp;"  "&amp;C104&amp;","</f>
        <v>TRUE  VARCHAR2(50),</v>
      </c>
      <c r="AG104" s="33" t="str">
        <f t="shared" si="5"/>
        <v>COMMENT ON COLUMN TRANSACTIONS_OWNER.AVY_FACT.OFST_ORIG_SRC_STM_AR_ID IS 'If the transaction was between 2 RJ accounts then this field will contain information about the second arrangement called the offset arrangement. This column contains the account number/contract number of the offset Arrangement from the original source system provider - e.g., SIS Account number for brokerage accounts';</v>
      </c>
    </row>
    <row r="105" spans="1:33" ht="22.5" hidden="1" customHeight="1">
      <c r="A105" s="18" t="s">
        <v>740</v>
      </c>
      <c r="B105" s="18" t="s">
        <v>741</v>
      </c>
      <c r="C105" s="55" t="s">
        <v>427</v>
      </c>
      <c r="D105" s="18" t="s">
        <v>63</v>
      </c>
      <c r="E105" s="18" t="s">
        <v>428</v>
      </c>
      <c r="F105" s="45" t="s">
        <v>63</v>
      </c>
      <c r="G105" s="46" t="s">
        <v>743</v>
      </c>
      <c r="H105" s="18"/>
      <c r="I105" s="18" t="s">
        <v>347</v>
      </c>
      <c r="J105" s="18">
        <v>3</v>
      </c>
      <c r="K105" s="18" t="b">
        <f>VLOOKUP(A105,Model!C$2:D$208,2,FALSE)=B105</f>
        <v>1</v>
      </c>
      <c r="L105" s="18" t="b">
        <f>VLOOKUP(A105,Model!C$2:G$208,5,FALSE)=C105</f>
        <v>1</v>
      </c>
      <c r="M105" s="18" t="b">
        <f>VLOOKUP(Table1[[#This Row],[Physical Name of Attribute (Name of column in Table)
Supplied by DA Team]],Table!A$2:H$323,1,FALSE)=Table1[[#This Row],[Physical Name of Attribute (Name of column in Table)
Supplied by DA Team]]</f>
        <v>1</v>
      </c>
      <c r="N105" s="18" t="b">
        <f>VLOOKUP(B105,Table!A$2:F$319,2,FALSE)=Table1[[#This Row],[Data type in Oracle
VARCHAR2(n), DATE, NUMBER(m,n), TIMETSTAMP(6)]]</f>
        <v>0</v>
      </c>
      <c r="O105" s="18" t="b">
        <f>VLOOKUP(B105,Table!A$2:F$231,3,FALSE)=Table1[[#This Row],[Nullable in Table and in Oracle View
NULL, NOT NULL]]</f>
        <v>1</v>
      </c>
      <c r="P105" s="18" t="b">
        <f>VLOOKUP(B105,Table!A$2:H$228,6,FALSE)=Table1[[#This Row],[Business Definition (To go into comments and into Meta Data Hub)]]</f>
        <v>0</v>
      </c>
      <c r="Q105" s="18" t="s">
        <v>68</v>
      </c>
      <c r="R105" s="18" t="s">
        <v>69</v>
      </c>
      <c r="S105" s="18" t="s">
        <v>744</v>
      </c>
      <c r="T105" s="18"/>
      <c r="U105" s="18"/>
      <c r="V105" s="46"/>
      <c r="W105" s="46" t="s">
        <v>105</v>
      </c>
      <c r="X105" s="18"/>
      <c r="Y105" s="1" t="e">
        <f>VLOOKUP(A105,Model!A$2:J$210,2,FALSE)</f>
        <v>#N/A</v>
      </c>
      <c r="Z105" s="1"/>
      <c r="AA105" s="1"/>
      <c r="AB105" s="1"/>
      <c r="AC105" s="1"/>
      <c r="AD105" s="32" t="b">
        <f>VLOOKUP(B105,AVY_FACT!A$2:A$153,1,FALSE)=B105</f>
        <v>1</v>
      </c>
      <c r="AE105" s="32" t="b">
        <f>VLOOKUP(B105,AVY_FACT!A$2:F$153,2,FALSE)=C105</f>
        <v>0</v>
      </c>
      <c r="AF105" s="32" t="str">
        <f>K105&amp;"  "&amp;C105&amp;","</f>
        <v>TRUE  VARCHAR2(10),</v>
      </c>
      <c r="AG105" s="33" t="str">
        <f t="shared" si="5"/>
        <v>COMMENT ON COLUMN TRANSACTIONS_OWNER.AVY_FACT.OPT_CLSS_CD IS 'Field to indicate whether the trade is to Open or Close a position. This field will contain O if the transaction is an option trade to open a position in the account.It will contain C if the transaction is an option trade to close a position.Otherwise the field will have NA';</v>
      </c>
    </row>
    <row r="106" spans="1:33" ht="22.5" customHeight="1">
      <c r="A106" s="61" t="s">
        <v>745</v>
      </c>
      <c r="B106" s="18" t="s">
        <v>746</v>
      </c>
      <c r="C106" s="18" t="s">
        <v>139</v>
      </c>
      <c r="D106" s="18" t="s">
        <v>63</v>
      </c>
      <c r="E106" s="18" t="s">
        <v>140</v>
      </c>
      <c r="F106" s="45" t="s">
        <v>63</v>
      </c>
      <c r="G106" s="46" t="s">
        <v>748</v>
      </c>
      <c r="H106" s="18"/>
      <c r="I106" s="18" t="s">
        <v>347</v>
      </c>
      <c r="J106" s="18">
        <v>3</v>
      </c>
      <c r="K106" s="18" t="b">
        <f>VLOOKUP(A106,Model!C$2:D$208,2,FALSE)=B106</f>
        <v>1</v>
      </c>
      <c r="L106" s="18" t="b">
        <f>VLOOKUP(A106,Model!C$2:G$208,5,FALSE)=C106</f>
        <v>1</v>
      </c>
      <c r="M106" s="18" t="b">
        <f>VLOOKUP(Table1[[#This Row],[Physical Name of Attribute (Name of column in Table)
Supplied by DA Team]],Table!A$2:H$323,1,FALSE)=Table1[[#This Row],[Physical Name of Attribute (Name of column in Table)
Supplied by DA Team]]</f>
        <v>1</v>
      </c>
      <c r="N106" s="18" t="b">
        <f>VLOOKUP(B106,Table!A$2:F$319,2,FALSE)=Table1[[#This Row],[Data type in Oracle
VARCHAR2(n), DATE, NUMBER(m,n), TIMETSTAMP(6)]]</f>
        <v>0</v>
      </c>
      <c r="O106" s="18" t="b">
        <f>VLOOKUP(B106,Table!A$2:F$231,3,FALSE)=Table1[[#This Row],[Nullable in Table and in Oracle View
NULL, NOT NULL]]</f>
        <v>1</v>
      </c>
      <c r="P106" s="55" t="b">
        <f>VLOOKUP(B106,Table!A$2:H$228,6,FALSE)=Table1[[#This Row],[Business Definition (To go into comments and into Meta Data Hub)]]</f>
        <v>0</v>
      </c>
      <c r="Q106" s="18" t="s">
        <v>68</v>
      </c>
      <c r="R106" s="18" t="s">
        <v>113</v>
      </c>
      <c r="S106" s="18" t="s">
        <v>143</v>
      </c>
      <c r="T106" s="18"/>
      <c r="U106" s="18"/>
      <c r="V106" s="46" t="s">
        <v>749</v>
      </c>
      <c r="W106" s="46"/>
      <c r="X106" s="18"/>
      <c r="Y106" s="1" t="e">
        <f>VLOOKUP(A106,Model!A$2:J$210,2,FALSE)</f>
        <v>#N/A</v>
      </c>
      <c r="Z106" s="1"/>
      <c r="AA106" s="1"/>
      <c r="AB106" s="1"/>
      <c r="AC106" s="1"/>
      <c r="AD106" s="32" t="b">
        <f>VLOOKUP(B106,AVY_FACT!A$2:A$153,1,FALSE)=B106</f>
        <v>1</v>
      </c>
      <c r="AE106" s="32" t="b">
        <f>VLOOKUP(B106,AVY_FACT!A$2:F$153,2,FALSE)=C106</f>
        <v>1</v>
      </c>
      <c r="AF106" s="32" t="str">
        <f>B106&amp;"  "&amp;C106&amp;","</f>
        <v>OMS_EXEC_TP_CD  VARCHAR2(20),</v>
      </c>
      <c r="AG106" s="33" t="str">
        <f t="shared" si="5"/>
        <v>COMMENT ON COLUMN TRANSACTIONS_OWNER.AVY_FACT.OMS_EXEC_TP_CD IS 'A code for the type of trade executions used in the Order Management System in a code format.';</v>
      </c>
    </row>
    <row r="107" spans="1:33" ht="22.5" customHeight="1">
      <c r="A107" s="61" t="s">
        <v>750</v>
      </c>
      <c r="B107" s="18" t="s">
        <v>751</v>
      </c>
      <c r="C107" s="18" t="s">
        <v>485</v>
      </c>
      <c r="D107" s="18" t="s">
        <v>63</v>
      </c>
      <c r="E107" s="18" t="s">
        <v>486</v>
      </c>
      <c r="F107" s="45" t="s">
        <v>63</v>
      </c>
      <c r="G107" s="46" t="s">
        <v>753</v>
      </c>
      <c r="H107" s="18"/>
      <c r="I107" s="18" t="s">
        <v>347</v>
      </c>
      <c r="J107" s="18">
        <v>3</v>
      </c>
      <c r="K107" s="18" t="b">
        <f>VLOOKUP(A107,Model!C$2:D$208,2,FALSE)=B107</f>
        <v>1</v>
      </c>
      <c r="L107" s="18" t="b">
        <f>VLOOKUP(A107,Model!C$2:G$208,5,FALSE)=C107</f>
        <v>1</v>
      </c>
      <c r="M107" s="18" t="b">
        <f>VLOOKUP(Table1[[#This Row],[Physical Name of Attribute (Name of column in Table)
Supplied by DA Team]],Table!A$2:H$323,1,FALSE)=Table1[[#This Row],[Physical Name of Attribute (Name of column in Table)
Supplied by DA Team]]</f>
        <v>1</v>
      </c>
      <c r="N107" s="18" t="b">
        <f>VLOOKUP(B107,Table!A$2:F$319,2,FALSE)=Table1[[#This Row],[Data type in Oracle
VARCHAR2(n), DATE, NUMBER(m,n), TIMETSTAMP(6)]]</f>
        <v>0</v>
      </c>
      <c r="O107" s="18" t="b">
        <f>VLOOKUP(B107,Table!A$2:F$231,3,FALSE)=Table1[[#This Row],[Nullable in Table and in Oracle View
NULL, NOT NULL]]</f>
        <v>1</v>
      </c>
      <c r="P107" s="55" t="b">
        <f>VLOOKUP(B107,Table!A$2:H$228,6,FALSE)=Table1[[#This Row],[Business Definition (To go into comments and into Meta Data Hub)]]</f>
        <v>0</v>
      </c>
      <c r="Q107" s="18" t="s">
        <v>68</v>
      </c>
      <c r="R107" s="18" t="s">
        <v>113</v>
      </c>
      <c r="S107" s="18" t="s">
        <v>488</v>
      </c>
      <c r="T107" s="18"/>
      <c r="U107" s="18"/>
      <c r="V107" s="46" t="s">
        <v>754</v>
      </c>
      <c r="W107" s="46"/>
      <c r="X107" s="18"/>
      <c r="Y107" s="1" t="e">
        <f>VLOOKUP(A107,Model!A$2:J$210,2,FALSE)</f>
        <v>#N/A</v>
      </c>
      <c r="Z107" s="1"/>
      <c r="AA107" s="1"/>
      <c r="AB107" s="1"/>
      <c r="AC107" s="1"/>
      <c r="AD107" s="32" t="b">
        <f>VLOOKUP(B107,AVY_FACT!A$2:A$153,1,FALSE)=B107</f>
        <v>1</v>
      </c>
      <c r="AE107" s="32" t="b">
        <f>VLOOKUP(B107,AVY_FACT!A$2:F$153,2,FALSE)=C107</f>
        <v>1</v>
      </c>
      <c r="AF107" s="32" t="str">
        <f>B107&amp;"  "&amp;C107&amp;","</f>
        <v>OMS_EXEC_TP_DSC  VARCHAR2(1000),</v>
      </c>
      <c r="AG107" s="33" t="str">
        <f t="shared" si="5"/>
        <v>COMMENT ON COLUMN TRANSACTIONS_OWNER.AVY_FACT.OMS_EXEC_TP_DSC IS 'A description for the type of trade executions used in the Order Management System in a code format.';</v>
      </c>
    </row>
    <row r="108" spans="1:33" ht="22.5" customHeight="1">
      <c r="A108" s="61" t="s">
        <v>755</v>
      </c>
      <c r="B108" s="18" t="s">
        <v>756</v>
      </c>
      <c r="C108" s="18" t="s">
        <v>101</v>
      </c>
      <c r="D108" s="18" t="s">
        <v>63</v>
      </c>
      <c r="E108" s="18" t="s">
        <v>133</v>
      </c>
      <c r="F108" s="45" t="s">
        <v>63</v>
      </c>
      <c r="G108" s="46" t="s">
        <v>757</v>
      </c>
      <c r="H108" s="18"/>
      <c r="I108" s="18" t="s">
        <v>347</v>
      </c>
      <c r="J108" s="18">
        <v>3</v>
      </c>
      <c r="K108" s="18" t="b">
        <f>VLOOKUP(A108,Model!C$2:D$208,2,FALSE)=B108</f>
        <v>1</v>
      </c>
      <c r="L108" s="18" t="b">
        <f>VLOOKUP(A108,Model!C$2:G$208,5,FALSE)=C108</f>
        <v>1</v>
      </c>
      <c r="M108" s="18" t="b">
        <f>VLOOKUP(Table1[[#This Row],[Physical Name of Attribute (Name of column in Table)
Supplied by DA Team]],Table!A$2:H$323,1,FALSE)=Table1[[#This Row],[Physical Name of Attribute (Name of column in Table)
Supplied by DA Team]]</f>
        <v>1</v>
      </c>
      <c r="N108" s="18" t="b">
        <f>VLOOKUP(B108,Table!A$2:F$319,2,FALSE)=Table1[[#This Row],[Data type in Oracle
VARCHAR2(n), DATE, NUMBER(m,n), TIMETSTAMP(6)]]</f>
        <v>0</v>
      </c>
      <c r="O108" s="18" t="b">
        <f>VLOOKUP(B108,Table!A$2:F$231,3,FALSE)=Table1[[#This Row],[Nullable in Table and in Oracle View
NULL, NOT NULL]]</f>
        <v>1</v>
      </c>
      <c r="P108" s="55" t="b">
        <f>VLOOKUP(B108,Table!A$2:H$228,6,FALSE)=Table1[[#This Row],[Business Definition (To go into comments and into Meta Data Hub)]]</f>
        <v>0</v>
      </c>
      <c r="Q108" s="18" t="s">
        <v>68</v>
      </c>
      <c r="R108" s="18" t="s">
        <v>69</v>
      </c>
      <c r="S108" s="18" t="s">
        <v>756</v>
      </c>
      <c r="T108" s="18"/>
      <c r="U108" s="18"/>
      <c r="V108" s="46"/>
      <c r="W108" s="46"/>
      <c r="X108" s="18"/>
      <c r="Y108" s="1" t="e">
        <f>VLOOKUP(A108,Model!A$2:J$210,2,FALSE)</f>
        <v>#N/A</v>
      </c>
      <c r="Z108" s="1"/>
      <c r="AA108" s="1"/>
      <c r="AB108" s="1"/>
      <c r="AC108" s="1"/>
      <c r="AD108" s="32" t="b">
        <f>VLOOKUP(B108,AVY_FACT!A$2:A$153,1,FALSE)=B108</f>
        <v>1</v>
      </c>
      <c r="AE108" s="32" t="b">
        <f>VLOOKUP(B108,AVY_FACT!A$2:F$153,2,FALSE)=C108</f>
        <v>1</v>
      </c>
      <c r="AF108" s="32" t="str">
        <f>B108&amp;"  "&amp;C108&amp;","</f>
        <v>OMS_EXEC_TP_ID  NUMBER(38,0),</v>
      </c>
      <c r="AG108" s="33" t="str">
        <f t="shared" si="5"/>
        <v>COMMENT ON COLUMN TRANSACTIONS_OWNER.AVY_FACT.OMS_EXEC_TP_ID IS 'Identifier for the type of trade executions used in the Order Management System in a code format.';</v>
      </c>
    </row>
    <row r="109" spans="1:33" ht="22.5" customHeight="1">
      <c r="A109" s="61" t="s">
        <v>758</v>
      </c>
      <c r="B109" s="18" t="s">
        <v>759</v>
      </c>
      <c r="C109" s="55" t="s">
        <v>109</v>
      </c>
      <c r="D109" s="18" t="s">
        <v>63</v>
      </c>
      <c r="E109" s="18" t="s">
        <v>110</v>
      </c>
      <c r="F109" s="45" t="s">
        <v>63</v>
      </c>
      <c r="G109" s="46" t="s">
        <v>761</v>
      </c>
      <c r="H109" s="18"/>
      <c r="I109" s="18" t="s">
        <v>347</v>
      </c>
      <c r="J109" s="18">
        <v>3</v>
      </c>
      <c r="K109" s="18" t="b">
        <f>VLOOKUP(A109,Model!C$2:D$208,2,FALSE)=B109</f>
        <v>1</v>
      </c>
      <c r="L109" s="18" t="b">
        <f>VLOOKUP(A109,Model!C$2:G$208,5,FALSE)=C109</f>
        <v>1</v>
      </c>
      <c r="M109" s="18" t="b">
        <f>VLOOKUP(Table1[[#This Row],[Physical Name of Attribute (Name of column in Table)
Supplied by DA Team]],Table!A$2:H$323,1,FALSE)=Table1[[#This Row],[Physical Name of Attribute (Name of column in Table)
Supplied by DA Team]]</f>
        <v>1</v>
      </c>
      <c r="N109" s="18" t="b">
        <f>VLOOKUP(B109,Table!A$2:F$319,2,FALSE)=Table1[[#This Row],[Data type in Oracle
VARCHAR2(n), DATE, NUMBER(m,n), TIMETSTAMP(6)]]</f>
        <v>0</v>
      </c>
      <c r="O109" s="18" t="b">
        <f>VLOOKUP(B109,Table!A$2:F$231,3,FALSE)=Table1[[#This Row],[Nullable in Table and in Oracle View
NULL, NOT NULL]]</f>
        <v>1</v>
      </c>
      <c r="P109" s="55" t="b">
        <f>VLOOKUP(B109,Table!A$2:H$228,6,FALSE)=Table1[[#This Row],[Business Definition (To go into comments and into Meta Data Hub)]]</f>
        <v>0</v>
      </c>
      <c r="Q109" s="18" t="s">
        <v>68</v>
      </c>
      <c r="R109" s="18" t="s">
        <v>113</v>
      </c>
      <c r="S109" s="18" t="s">
        <v>114</v>
      </c>
      <c r="T109" s="18"/>
      <c r="U109" s="18"/>
      <c r="V109" s="46" t="s">
        <v>754</v>
      </c>
      <c r="W109" s="46" t="s">
        <v>105</v>
      </c>
      <c r="X109" s="18"/>
      <c r="Y109" s="1" t="e">
        <f>VLOOKUP(A109,Model!A$2:J$210,2,FALSE)</f>
        <v>#N/A</v>
      </c>
      <c r="Z109" s="1"/>
      <c r="AA109" s="1"/>
      <c r="AB109" s="1"/>
      <c r="AC109" s="1"/>
      <c r="AD109" s="32" t="b">
        <f>VLOOKUP(B109,AVY_FACT!A$2:A$153,1,FALSE)=B109</f>
        <v>1</v>
      </c>
      <c r="AE109" s="32" t="b">
        <f>VLOOKUP(B109,AVY_FACT!A$2:F$153,2,FALSE)=C109</f>
        <v>0</v>
      </c>
      <c r="AF109" s="32" t="str">
        <f>"ALTER TABLE TRANSACTIONS_OWNER.AVY_FACT MODIFY ("&amp;B109&amp;"  "&amp;C109&amp;");"</f>
        <v>ALTER TABLE TRANSACTIONS_OWNER.AVY_FACT MODIFY (OMS_EXEC_TP_NM  VARCHAR2(200));</v>
      </c>
      <c r="AG109" s="33" t="str">
        <f t="shared" si="5"/>
        <v>COMMENT ON COLUMN TRANSACTIONS_OWNER.AVY_FACT.OMS_EXEC_TP_NM IS 'Name of the type of trade executions used in the Order Management System. Examples of OMS execution types would be ''Agency'', ''Principal'', ''Open Repo'', ''Close Repo'' etc.';</v>
      </c>
    </row>
    <row r="110" spans="1:33" ht="22.5" customHeight="1">
      <c r="A110" s="61" t="s">
        <v>762</v>
      </c>
      <c r="B110" s="18" t="s">
        <v>763</v>
      </c>
      <c r="C110" s="18" t="s">
        <v>139</v>
      </c>
      <c r="D110" s="18" t="s">
        <v>63</v>
      </c>
      <c r="E110" s="18" t="s">
        <v>140</v>
      </c>
      <c r="F110" s="45" t="s">
        <v>63</v>
      </c>
      <c r="G110" s="46" t="s">
        <v>765</v>
      </c>
      <c r="H110" s="18"/>
      <c r="I110" s="18" t="s">
        <v>347</v>
      </c>
      <c r="J110" s="18">
        <v>3</v>
      </c>
      <c r="K110" s="18" t="b">
        <f>VLOOKUP(A110,Model!C$2:D$208,2,FALSE)=B110</f>
        <v>1</v>
      </c>
      <c r="L110" s="18" t="b">
        <f>VLOOKUP(A110,Model!C$2:G$208,5,FALSE)=C110</f>
        <v>1</v>
      </c>
      <c r="M110" s="18" t="b">
        <f>VLOOKUP(Table1[[#This Row],[Physical Name of Attribute (Name of column in Table)
Supplied by DA Team]],Table!A$2:H$323,1,FALSE)=Table1[[#This Row],[Physical Name of Attribute (Name of column in Table)
Supplied by DA Team]]</f>
        <v>1</v>
      </c>
      <c r="N110" s="18" t="b">
        <f>VLOOKUP(B110,Table!A$2:F$319,2,FALSE)=Table1[[#This Row],[Data type in Oracle
VARCHAR2(n), DATE, NUMBER(m,n), TIMETSTAMP(6)]]</f>
        <v>0</v>
      </c>
      <c r="O110" s="18" t="b">
        <f>VLOOKUP(B110,Table!A$2:F$231,3,FALSE)=Table1[[#This Row],[Nullable in Table and in Oracle View
NULL, NOT NULL]]</f>
        <v>1</v>
      </c>
      <c r="P110" s="55" t="b">
        <f>VLOOKUP(B110,Table!A$2:H$228,6,FALSE)=Table1[[#This Row],[Business Definition (To go into comments and into Meta Data Hub)]]</f>
        <v>0</v>
      </c>
      <c r="Q110" s="18" t="s">
        <v>68</v>
      </c>
      <c r="R110" s="18" t="s">
        <v>69</v>
      </c>
      <c r="S110" s="18" t="s">
        <v>763</v>
      </c>
      <c r="T110" s="18"/>
      <c r="U110" s="18"/>
      <c r="V110" s="46"/>
      <c r="W110" s="46"/>
      <c r="X110" s="18"/>
      <c r="Y110" s="1" t="e">
        <f>VLOOKUP(A110,Model!A$2:J$210,2,FALSE)</f>
        <v>#N/A</v>
      </c>
      <c r="Z110" s="1"/>
      <c r="AA110" s="1"/>
      <c r="AB110" s="1"/>
      <c r="AC110" s="1"/>
      <c r="AD110" s="32" t="b">
        <f>VLOOKUP(B110,AVY_FACT!A$2:A$153,1,FALSE)=B110</f>
        <v>1</v>
      </c>
      <c r="AE110" s="32" t="b">
        <f>VLOOKUP(B110,AVY_FACT!A$2:F$153,2,FALSE)=C110</f>
        <v>1</v>
      </c>
      <c r="AF110" s="32" t="str">
        <f>K110&amp;"  "&amp;C110&amp;","</f>
        <v>TRUE  VARCHAR2(20),</v>
      </c>
      <c r="AG110" s="33" t="str">
        <f t="shared" si="5"/>
        <v>COMMENT ON COLUMN TRANSACTIONS_OWNER.AVY_FACT.OMS_ORDR_KEY IS 'Unique system generated key from OMS system. This field is required in the CAT extracts and will be used to find the newOrderFDID, a field required on Allocation events (MEPA events).';</v>
      </c>
    </row>
    <row r="111" spans="1:33" ht="22.5" hidden="1" customHeight="1">
      <c r="A111" s="18" t="s">
        <v>766</v>
      </c>
      <c r="B111" s="18" t="s">
        <v>767</v>
      </c>
      <c r="C111" s="1" t="s">
        <v>157</v>
      </c>
      <c r="D111" s="18" t="s">
        <v>63</v>
      </c>
      <c r="E111" s="1" t="s">
        <v>158</v>
      </c>
      <c r="F111" s="45" t="s">
        <v>63</v>
      </c>
      <c r="G111" s="46" t="s">
        <v>769</v>
      </c>
      <c r="H111" s="18"/>
      <c r="I111" s="18" t="s">
        <v>347</v>
      </c>
      <c r="J111" s="18">
        <v>3</v>
      </c>
      <c r="K111" s="18" t="b">
        <f>VLOOKUP(A111,Model!C$2:D$208,2,FALSE)=B111</f>
        <v>1</v>
      </c>
      <c r="L111" s="18" t="b">
        <f>VLOOKUP(A111,Model!C$2:G$208,5,FALSE)=C111</f>
        <v>1</v>
      </c>
      <c r="M111" s="18" t="b">
        <f>VLOOKUP(Table1[[#This Row],[Physical Name of Attribute (Name of column in Table)
Supplied by DA Team]],Table!A$2:H$323,1,FALSE)=Table1[[#This Row],[Physical Name of Attribute (Name of column in Table)
Supplied by DA Team]]</f>
        <v>1</v>
      </c>
      <c r="N111" s="18" t="b">
        <f>VLOOKUP(B111,Table!A$2:F$319,2,FALSE)=Table1[[#This Row],[Data type in Oracle
VARCHAR2(n), DATE, NUMBER(m,n), TIMETSTAMP(6)]]</f>
        <v>0</v>
      </c>
      <c r="O111" s="18" t="b">
        <f>VLOOKUP(B111,Table!A$2:F$231,3,FALSE)=Table1[[#This Row],[Nullable in Table and in Oracle View
NULL, NOT NULL]]</f>
        <v>1</v>
      </c>
      <c r="P111" s="55" t="b">
        <f>VLOOKUP(B111,Table!A$2:H$228,6,FALSE)=Table1[[#This Row],[Business Definition (To go into comments and into Meta Data Hub)]]</f>
        <v>0</v>
      </c>
      <c r="Q111" s="18" t="s">
        <v>68</v>
      </c>
      <c r="R111" s="18" t="s">
        <v>69</v>
      </c>
      <c r="S111" s="18" t="s">
        <v>767</v>
      </c>
      <c r="T111" s="18"/>
      <c r="U111" s="18"/>
      <c r="V111" s="46"/>
      <c r="W111" s="46"/>
      <c r="X111" s="18"/>
      <c r="Y111" s="1" t="e">
        <f>VLOOKUP(A111,Model!A$2:J$210,2,FALSE)</f>
        <v>#N/A</v>
      </c>
      <c r="Z111" s="1"/>
      <c r="AA111" s="1"/>
      <c r="AB111" s="1"/>
      <c r="AC111" s="1"/>
      <c r="AD111" s="32" t="b">
        <f>VLOOKUP(B111,AVY_FACT!A$2:A$153,1,FALSE)=B111</f>
        <v>1</v>
      </c>
      <c r="AE111" s="32" t="b">
        <f>VLOOKUP(B111,AVY_FACT!A$2:F$153,2,FALSE)=C111</f>
        <v>1</v>
      </c>
      <c r="AF111" s="32" t="str">
        <f>K111&amp;"  "&amp;C111&amp;","</f>
        <v>TRUE  DATE,</v>
      </c>
      <c r="AG111" s="33" t="str">
        <f t="shared" si="5"/>
        <v>COMMENT ON COLUMN TRANSACTIONS_OWNER.AVY_FACT.ORIG_BKG_DT IS 'This represents the business day date when the quantity has been “booked” in the system.';</v>
      </c>
    </row>
    <row r="112" spans="1:33" ht="22.5" customHeight="1">
      <c r="A112" s="61" t="s">
        <v>1113</v>
      </c>
      <c r="B112" s="18" t="s">
        <v>249</v>
      </c>
      <c r="C112" s="55" t="s">
        <v>427</v>
      </c>
      <c r="D112" s="18" t="s">
        <v>63</v>
      </c>
      <c r="E112" s="18" t="s">
        <v>428</v>
      </c>
      <c r="F112" s="45" t="s">
        <v>63</v>
      </c>
      <c r="G112" s="46" t="s">
        <v>1115</v>
      </c>
      <c r="H112" s="18"/>
      <c r="I112" s="18" t="s">
        <v>347</v>
      </c>
      <c r="J112" s="18">
        <v>3</v>
      </c>
      <c r="K112" s="18" t="b">
        <f>VLOOKUP(A112,Model!C$2:D$208,2,FALSE)=B112</f>
        <v>1</v>
      </c>
      <c r="L112" s="18" t="b">
        <f>VLOOKUP(A112,Model!C$2:G$208,5,FALSE)=C112</f>
        <v>1</v>
      </c>
      <c r="M112" s="18" t="b">
        <f>VLOOKUP(Table1[[#This Row],[Physical Name of Attribute (Name of column in Table)
Supplied by DA Team]],Table!A$2:H$323,1,FALSE)=Table1[[#This Row],[Physical Name of Attribute (Name of column in Table)
Supplied by DA Team]]</f>
        <v>1</v>
      </c>
      <c r="N112" s="18" t="b">
        <f>VLOOKUP(B112,Table!A$2:F$319,2,FALSE)=Table1[[#This Row],[Data type in Oracle
VARCHAR2(n), DATE, NUMBER(m,n), TIMETSTAMP(6)]]</f>
        <v>0</v>
      </c>
      <c r="O112" s="18" t="b">
        <f>VLOOKUP(B112,Table!A$2:F$231,3,FALSE)=Table1[[#This Row],[Nullable in Table and in Oracle View
NULL, NOT NULL]]</f>
        <v>1</v>
      </c>
      <c r="P112" s="55" t="b">
        <f>VLOOKUP(B112,Table!A$2:H$228,6,FALSE)=Table1[[#This Row],[Business Definition (To go into comments and into Meta Data Hub)]]</f>
        <v>0</v>
      </c>
      <c r="Q112" s="18" t="s">
        <v>68</v>
      </c>
      <c r="R112" s="18" t="s">
        <v>69</v>
      </c>
      <c r="S112" s="18" t="s">
        <v>215</v>
      </c>
      <c r="T112" s="18"/>
      <c r="U112" s="18"/>
      <c r="V112" s="46"/>
      <c r="W112" s="46" t="s">
        <v>1116</v>
      </c>
      <c r="X112" s="18"/>
      <c r="Y112" s="1" t="e">
        <f>VLOOKUP(A112,Model!A$2:J$210,2,FALSE)</f>
        <v>#N/A</v>
      </c>
      <c r="Z112" s="1"/>
      <c r="AA112" s="1"/>
      <c r="AB112" s="1"/>
      <c r="AC112" s="1"/>
      <c r="AD112" s="32" t="b">
        <f>VLOOKUP(B112,AVY_FACT!A$2:A$153,1,FALSE)=B112</f>
        <v>1</v>
      </c>
      <c r="AE112" s="32" t="b">
        <f>VLOOKUP(B112,AVY_FACT!A$2:F$153,2,FALSE)=C112</f>
        <v>0</v>
      </c>
      <c r="AF112" s="32" t="str">
        <f>K112&amp;"  "&amp;C112&amp;","</f>
        <v>TRUE  VARCHAR2(10),</v>
      </c>
      <c r="AG112" s="33" t="str">
        <f t="shared" ref="AG112:AG147" si="7">"COMMENT ON COLUMN TRANSACTIONS_OWNER.AVY_FACT."&amp;B112&amp;" IS '"&amp;SUBSTITUTE(G112,"'","''")&amp;"';"</f>
        <v>COMMENT ON COLUMN TRANSACTIONS_OWNER.AVY_FACT.ORIG_SRC_STM_CD IS 'Code that represents the source system from which CDS database receives/obtains the underlying record.';</v>
      </c>
    </row>
    <row r="113" spans="1:33" ht="22.5" customHeight="1">
      <c r="A113" s="56" t="s">
        <v>1110</v>
      </c>
      <c r="B113" s="18" t="s">
        <v>1111</v>
      </c>
      <c r="C113" s="18" t="s">
        <v>101</v>
      </c>
      <c r="D113" s="18" t="s">
        <v>63</v>
      </c>
      <c r="E113" s="18" t="s">
        <v>133</v>
      </c>
      <c r="F113" s="45" t="s">
        <v>63</v>
      </c>
      <c r="G113" s="46" t="s">
        <v>1112</v>
      </c>
      <c r="H113" s="18"/>
      <c r="I113" s="18" t="s">
        <v>347</v>
      </c>
      <c r="J113" s="18">
        <v>3</v>
      </c>
      <c r="K113" s="18" t="b">
        <f>VLOOKUP(A113,Model!C$2:D$208,2,FALSE)=B113</f>
        <v>1</v>
      </c>
      <c r="L113" s="18" t="b">
        <f>VLOOKUP(A113,Model!C$2:G$208,5,FALSE)=C113</f>
        <v>1</v>
      </c>
      <c r="M113" s="18" t="b">
        <f>VLOOKUP(Table1[[#This Row],[Physical Name of Attribute (Name of column in Table)
Supplied by DA Team]],Table!A$2:H$323,1,FALSE)=Table1[[#This Row],[Physical Name of Attribute (Name of column in Table)
Supplied by DA Team]]</f>
        <v>1</v>
      </c>
      <c r="N113" s="18" t="b">
        <f>VLOOKUP(B113,Table!A$2:F$319,2,FALSE)=Table1[[#This Row],[Data type in Oracle
VARCHAR2(n), DATE, NUMBER(m,n), TIMETSTAMP(6)]]</f>
        <v>0</v>
      </c>
      <c r="O113" s="18" t="b">
        <f>VLOOKUP(B113,Table!A$2:F$231,3,FALSE)=Table1[[#This Row],[Nullable in Table and in Oracle View
NULL, NOT NULL]]</f>
        <v>1</v>
      </c>
      <c r="P113" s="55" t="b">
        <f>VLOOKUP(B113,Table!A$2:H$228,6,FALSE)=Table1[[#This Row],[Business Definition (To go into comments and into Meta Data Hub)]]</f>
        <v>0</v>
      </c>
      <c r="Q113" s="18" t="s">
        <v>68</v>
      </c>
      <c r="R113" s="18" t="s">
        <v>69</v>
      </c>
      <c r="S113" s="18" t="s">
        <v>1111</v>
      </c>
      <c r="T113" s="18"/>
      <c r="U113" s="18"/>
      <c r="V113" s="46"/>
      <c r="W113" s="46"/>
      <c r="X113" s="18"/>
      <c r="Y113" s="1" t="e">
        <f>VLOOKUP(A113,Model!A$2:J$210,2,FALSE)</f>
        <v>#N/A</v>
      </c>
      <c r="Z113" s="1"/>
      <c r="AA113" s="1"/>
      <c r="AB113" s="1"/>
      <c r="AC113" s="1"/>
      <c r="AD113" s="32" t="b">
        <f>VLOOKUP(B113,AVY_FACT!A$2:A$153,1,FALSE)=B113</f>
        <v>1</v>
      </c>
      <c r="AE113" s="32" t="b">
        <f>VLOOKUP(B113,AVY_FACT!A$2:F$153,2,FALSE)=C113</f>
        <v>1</v>
      </c>
      <c r="AF113" s="32" t="str">
        <f>K113&amp;"  "&amp;C113&amp;","</f>
        <v>TRUE  NUMBER(38,0),</v>
      </c>
      <c r="AG113" s="33" t="str">
        <f t="shared" si="7"/>
        <v>COMMENT ON COLUMN TRANSACTIONS_OWNER.AVY_FACT.ORIG_SRC_STM_ID IS 'Identifier of the source system from which CDS database receives/obtains the underlying record.';</v>
      </c>
    </row>
    <row r="114" spans="1:33" ht="22.5" hidden="1" customHeight="1">
      <c r="A114" s="18" t="s">
        <v>770</v>
      </c>
      <c r="B114" s="18" t="s">
        <v>771</v>
      </c>
      <c r="C114" s="18" t="s">
        <v>227</v>
      </c>
      <c r="D114" s="18" t="s">
        <v>63</v>
      </c>
      <c r="E114" s="18" t="s">
        <v>228</v>
      </c>
      <c r="F114" s="45" t="s">
        <v>63</v>
      </c>
      <c r="G114" s="46" t="s">
        <v>773</v>
      </c>
      <c r="H114" s="18"/>
      <c r="I114" s="18" t="s">
        <v>347</v>
      </c>
      <c r="J114" s="18">
        <v>3</v>
      </c>
      <c r="K114" s="18" t="b">
        <f>VLOOKUP(A114,Model!C$2:D$208,2,FALSE)=B114</f>
        <v>1</v>
      </c>
      <c r="L114" s="18" t="b">
        <f>VLOOKUP(A114,Model!C$2:G$208,5,FALSE)=C114</f>
        <v>1</v>
      </c>
      <c r="M114" s="18" t="b">
        <f>VLOOKUP(Table1[[#This Row],[Physical Name of Attribute (Name of column in Table)
Supplied by DA Team]],Table!A$2:H$323,1,FALSE)=Table1[[#This Row],[Physical Name of Attribute (Name of column in Table)
Supplied by DA Team]]</f>
        <v>1</v>
      </c>
      <c r="N114" s="18" t="b">
        <f>VLOOKUP(B114,Table!A$2:F$319,2,FALSE)=Table1[[#This Row],[Data type in Oracle
VARCHAR2(n), DATE, NUMBER(m,n), TIMETSTAMP(6)]]</f>
        <v>0</v>
      </c>
      <c r="O114" s="18" t="b">
        <f>VLOOKUP(B114,Table!A$2:F$231,3,FALSE)=Table1[[#This Row],[Nullable in Table and in Oracle View
NULL, NOT NULL]]</f>
        <v>1</v>
      </c>
      <c r="P114" s="18" t="b">
        <f>VLOOKUP(B114,Table!A$2:H$228,6,FALSE)=Table1[[#This Row],[Business Definition (To go into comments and into Meta Data Hub)]]</f>
        <v>0</v>
      </c>
      <c r="Q114" s="18" t="s">
        <v>68</v>
      </c>
      <c r="R114" s="18" t="s">
        <v>69</v>
      </c>
      <c r="S114" s="18" t="s">
        <v>771</v>
      </c>
      <c r="T114" s="18"/>
      <c r="U114" s="18"/>
      <c r="V114" s="46"/>
      <c r="W114" s="46"/>
      <c r="X114" s="18"/>
      <c r="Y114" s="1" t="e">
        <f>VLOOKUP(A114,Model!A$2:J$210,2,FALSE)</f>
        <v>#N/A</v>
      </c>
      <c r="Z114" s="1"/>
      <c r="AA114" s="1"/>
      <c r="AB114" s="1"/>
      <c r="AC114" s="1"/>
      <c r="AD114" s="32" t="b">
        <f>VLOOKUP(B114,AVY_FACT!A$2:A$153,1,FALSE)=B114</f>
        <v>1</v>
      </c>
      <c r="AE114" s="32" t="b">
        <f>VLOOKUP(B114,AVY_FACT!A$2:F$153,2,FALSE)=C114</f>
        <v>1</v>
      </c>
      <c r="AF114" s="32" t="str">
        <f>K114&amp;"  "&amp;C114&amp;","</f>
        <v>TRUE  VARCHAR2(15),</v>
      </c>
      <c r="AG114" s="33" t="str">
        <f t="shared" si="7"/>
        <v>COMMENT ON COLUMN TRANSACTIONS_OWNER.AVY_FACT.ORIG_TRD_NUM IS 'Original trade number when a trade is being cancelled, corrected, reversed (if available).';</v>
      </c>
    </row>
    <row r="115" spans="1:33" ht="22.5" hidden="1" customHeight="1">
      <c r="A115" s="18" t="s">
        <v>2648</v>
      </c>
      <c r="B115" s="18" t="s">
        <v>311</v>
      </c>
      <c r="C115" s="18" t="s">
        <v>62</v>
      </c>
      <c r="D115" s="18" t="s">
        <v>63</v>
      </c>
      <c r="E115" s="18" t="s">
        <v>64</v>
      </c>
      <c r="F115" s="45" t="s">
        <v>63</v>
      </c>
      <c r="G115" s="46" t="s">
        <v>338</v>
      </c>
      <c r="H115" s="18"/>
      <c r="I115" s="18" t="s">
        <v>67</v>
      </c>
      <c r="J115" s="18">
        <v>3</v>
      </c>
      <c r="K115" s="18" t="b">
        <f>VLOOKUP(A115,Model!C$2:D$208,2,FALSE)=B115</f>
        <v>1</v>
      </c>
      <c r="L115" s="18" t="b">
        <f>VLOOKUP(A115,Model!C$2:G$208,5,FALSE)=C115</f>
        <v>1</v>
      </c>
      <c r="M115" s="18" t="b">
        <f>VLOOKUP(Table1[[#This Row],[Physical Name of Attribute (Name of column in Table)
Supplied by DA Team]],Table!A$2:H$323,1,FALSE)=Table1[[#This Row],[Physical Name of Attribute (Name of column in Table)
Supplied by DA Team]]</f>
        <v>1</v>
      </c>
      <c r="N115" s="18" t="b">
        <f>VLOOKUP(B115,Table!A$2:F$319,2,FALSE)=Table1[[#This Row],[Data type in Oracle
VARCHAR2(n), DATE, NUMBER(m,n), TIMETSTAMP(6)]]</f>
        <v>0</v>
      </c>
      <c r="O115" s="18" t="b">
        <f>VLOOKUP(B115,Table!A$2:F$231,3,FALSE)=Table1[[#This Row],[Nullable in Table and in Oracle View
NULL, NOT NULL]]</f>
        <v>0</v>
      </c>
      <c r="P115" s="18" t="b">
        <f>VLOOKUP(B115,Table!A$2:H$228,6,FALSE)=Table1[[#This Row],[Business Definition (To go into comments and into Meta Data Hub)]]</f>
        <v>0</v>
      </c>
      <c r="Q115" s="18" t="s">
        <v>173</v>
      </c>
      <c r="R115" s="46" t="s">
        <v>339</v>
      </c>
      <c r="S115" s="46" t="s">
        <v>340</v>
      </c>
      <c r="T115" s="18"/>
      <c r="U115" s="18"/>
      <c r="V115" s="46" t="s">
        <v>341</v>
      </c>
      <c r="W115" s="46" t="s">
        <v>342</v>
      </c>
      <c r="X115" s="18"/>
      <c r="Y115" s="1" t="e">
        <f>VLOOKUP(A115,Model!A$2:J$210,2,FALSE)</f>
        <v>#N/A</v>
      </c>
      <c r="Z115" s="1"/>
      <c r="AA115" s="1"/>
      <c r="AB115" s="1"/>
      <c r="AC115" s="1"/>
      <c r="AD115" s="32" t="e">
        <f>VLOOKUP(B115,AVY_FACT!A$2:A$153,1,FALSE)=B115</f>
        <v>#N/A</v>
      </c>
      <c r="AE115" s="32" t="e">
        <f>VLOOKUP(B115,AVY_FACT!A$2:F$153,2,FALSE)=C115</f>
        <v>#N/A</v>
      </c>
      <c r="AF115" s="32" t="str">
        <f>B115&amp;"  "&amp;C115&amp;","</f>
        <v>ORIG_SRC_STM_AR_ID  VARCHAR2(50),</v>
      </c>
      <c r="AG115" s="33" t="str">
        <f t="shared" si="7"/>
        <v>COMMENT ON COLUMN TRANSACTIONS_OWNER.AVY_FACT.ORIG_SRC_STM_AR_ID IS 'Contains the account number/contract number from the original source system provider - e.g., SIS Account number for brokerage accounts';</v>
      </c>
    </row>
    <row r="116" spans="1:33" ht="22.5" customHeight="1">
      <c r="A116" s="61" t="s">
        <v>774</v>
      </c>
      <c r="B116" s="18" t="s">
        <v>775</v>
      </c>
      <c r="C116" s="18" t="s">
        <v>157</v>
      </c>
      <c r="D116" s="18" t="s">
        <v>63</v>
      </c>
      <c r="E116" s="18" t="s">
        <v>158</v>
      </c>
      <c r="F116" s="45" t="s">
        <v>63</v>
      </c>
      <c r="G116" s="46" t="s">
        <v>777</v>
      </c>
      <c r="H116" s="18"/>
      <c r="I116" s="18" t="s">
        <v>347</v>
      </c>
      <c r="J116" s="18">
        <v>3</v>
      </c>
      <c r="K116" s="18" t="b">
        <f>VLOOKUP(A116,Model!C$2:D$208,2,FALSE)=B116</f>
        <v>1</v>
      </c>
      <c r="L116" s="18" t="b">
        <f>VLOOKUP(A116,Model!C$2:G$208,5,FALSE)=C116</f>
        <v>1</v>
      </c>
      <c r="M116" s="18" t="b">
        <f>VLOOKUP(Table1[[#This Row],[Physical Name of Attribute (Name of column in Table)
Supplied by DA Team]],Table!A$2:H$323,1,FALSE)=Table1[[#This Row],[Physical Name of Attribute (Name of column in Table)
Supplied by DA Team]]</f>
        <v>1</v>
      </c>
      <c r="N116" s="18" t="b">
        <f>VLOOKUP(B116,Table!A$2:F$319,2,FALSE)=Table1[[#This Row],[Data type in Oracle
VARCHAR2(n), DATE, NUMBER(m,n), TIMETSTAMP(6)]]</f>
        <v>0</v>
      </c>
      <c r="O116" s="18" t="b">
        <f>VLOOKUP(B116,Table!A$2:F$231,3,FALSE)=Table1[[#This Row],[Nullable in Table and in Oracle View
NULL, NOT NULL]]</f>
        <v>1</v>
      </c>
      <c r="P116" s="55" t="b">
        <f>VLOOKUP(B116,Table!A$2:H$228,6,FALSE)=Table1[[#This Row],[Business Definition (To go into comments and into Meta Data Hub)]]</f>
        <v>0</v>
      </c>
      <c r="Q116" s="18" t="s">
        <v>68</v>
      </c>
      <c r="R116" s="18" t="s">
        <v>69</v>
      </c>
      <c r="S116" s="18" t="s">
        <v>775</v>
      </c>
      <c r="T116" s="18"/>
      <c r="U116" s="18"/>
      <c r="V116" s="46"/>
      <c r="W116" s="46"/>
      <c r="X116" s="18"/>
      <c r="Y116" s="1" t="e">
        <f>VLOOKUP(A116,Model!A$2:J$210,2,FALSE)</f>
        <v>#N/A</v>
      </c>
      <c r="Z116" s="1"/>
      <c r="AA116" s="1"/>
      <c r="AB116" s="1"/>
      <c r="AC116" s="1"/>
      <c r="AD116" s="32" t="b">
        <f>VLOOKUP(B116,AVY_FACT!A$2:A$153,1,FALSE)=B116</f>
        <v>1</v>
      </c>
      <c r="AE116" s="32" t="b">
        <f>VLOOKUP(B116,AVY_FACT!A$2:F$153,2,FALSE)=C116</f>
        <v>1</v>
      </c>
      <c r="AF116" s="32" t="str">
        <f>K116&amp;"  "&amp;C116&amp;","</f>
        <v>TRUE  DATE,</v>
      </c>
      <c r="AG116" s="33" t="str">
        <f t="shared" si="7"/>
        <v>COMMENT ON COLUMN TRANSACTIONS_OWNER.AVY_FACT.ORIG_TD IS 'The date trade took place at fund company (specific to level 4 mutual funds).';</v>
      </c>
    </row>
    <row r="117" spans="1:33" ht="22.5" hidden="1" customHeight="1">
      <c r="A117" s="18" t="s">
        <v>188</v>
      </c>
      <c r="B117" s="18" t="s">
        <v>189</v>
      </c>
      <c r="C117" s="18" t="s">
        <v>191</v>
      </c>
      <c r="D117" s="18" t="s">
        <v>63</v>
      </c>
      <c r="E117" s="18" t="s">
        <v>192</v>
      </c>
      <c r="F117" s="45" t="s">
        <v>63</v>
      </c>
      <c r="G117" s="46" t="s">
        <v>193</v>
      </c>
      <c r="H117" s="18">
        <v>49139</v>
      </c>
      <c r="I117" s="18" t="s">
        <v>67</v>
      </c>
      <c r="J117" s="18">
        <v>3</v>
      </c>
      <c r="K117" s="18" t="b">
        <f>VLOOKUP(A117,Model!C$2:D$208,2,FALSE)=B117</f>
        <v>1</v>
      </c>
      <c r="L117" s="18" t="b">
        <f>VLOOKUP(A117,Model!C$2:G$208,5,FALSE)=C117</f>
        <v>1</v>
      </c>
      <c r="M117" s="18" t="b">
        <f>VLOOKUP(Table1[[#This Row],[Physical Name of Attribute (Name of column in Table)
Supplied by DA Team]],Table!A$2:H$323,1,FALSE)=Table1[[#This Row],[Physical Name of Attribute (Name of column in Table)
Supplied by DA Team]]</f>
        <v>1</v>
      </c>
      <c r="N117" s="18" t="b">
        <f>VLOOKUP(B117,Table!A$2:F$319,2,FALSE)=Table1[[#This Row],[Data type in Oracle
VARCHAR2(n), DATE, NUMBER(m,n), TIMETSTAMP(6)]]</f>
        <v>0</v>
      </c>
      <c r="O117" s="18" t="b">
        <f>VLOOKUP(B117,Table!A$2:F$231,3,FALSE)=Table1[[#This Row],[Nullable in Table and in Oracle View
NULL, NOT NULL]]</f>
        <v>1</v>
      </c>
      <c r="P117" s="18" t="b">
        <f>VLOOKUP(B117,Table!A$2:H$228,6,FALSE)=Table1[[#This Row],[Business Definition (To go into comments and into Meta Data Hub)]]</f>
        <v>0</v>
      </c>
      <c r="Q117" s="18" t="s">
        <v>6</v>
      </c>
      <c r="R117" s="18" t="s">
        <v>184</v>
      </c>
      <c r="S117" s="18" t="s">
        <v>194</v>
      </c>
      <c r="T117" s="18"/>
      <c r="U117" s="18"/>
      <c r="V117" s="14"/>
      <c r="W117" s="46" t="s">
        <v>195</v>
      </c>
      <c r="X117" s="18"/>
      <c r="Y117" s="1" t="e">
        <f>VLOOKUP(A117,Model!A$2:J$210,2,FALSE)</f>
        <v>#N/A</v>
      </c>
      <c r="Z117" s="1"/>
      <c r="AA117" s="1"/>
      <c r="AB117" s="1"/>
      <c r="AC117" s="1"/>
      <c r="AD117" s="32" t="e">
        <f>VLOOKUP(B117,AVY_FACT!A$2:A$153,1,FALSE)=B117</f>
        <v>#N/A</v>
      </c>
      <c r="AE117" s="32" t="e">
        <f>VLOOKUP(B117,AVY_FACT!A$2:F$153,2,FALSE)=C117</f>
        <v>#N/A</v>
      </c>
      <c r="AF117" s="32" t="str">
        <f>K117&amp;"  "&amp;C117&amp;","</f>
        <v>TRUE  VARCHAR2(44),</v>
      </c>
      <c r="AG117" s="33" t="str">
        <f t="shared" si="7"/>
        <v>COMMENT ON COLUMN TRANSACTIONS_OWNER.AVY_FACT.FA_OWN_EMPE_ID IS 'PeopleWorks Identifier for the Responsible Party for an FA Number';</v>
      </c>
    </row>
    <row r="118" spans="1:33" ht="22.5" hidden="1" customHeight="1">
      <c r="A118" s="18" t="s">
        <v>166</v>
      </c>
      <c r="B118" s="18" t="s">
        <v>167</v>
      </c>
      <c r="C118" s="18" t="s">
        <v>169</v>
      </c>
      <c r="D118" s="18" t="s">
        <v>63</v>
      </c>
      <c r="E118" s="18" t="s">
        <v>170</v>
      </c>
      <c r="F118" s="45" t="s">
        <v>63</v>
      </c>
      <c r="G118" s="46" t="s">
        <v>171</v>
      </c>
      <c r="H118" s="18" t="s">
        <v>172</v>
      </c>
      <c r="I118" s="18" t="s">
        <v>67</v>
      </c>
      <c r="J118" s="18">
        <v>3</v>
      </c>
      <c r="K118" s="18" t="e">
        <f>VLOOKUP(A118,Model!C$2:D$208,2,FALSE)=B118</f>
        <v>#N/A</v>
      </c>
      <c r="L118" s="18" t="e">
        <f>VLOOKUP(A118,Model!C$2:G$208,5,FALSE)=C118</f>
        <v>#N/A</v>
      </c>
      <c r="M118" s="18" t="b">
        <f>VLOOKUP(Table1[[#This Row],[Physical Name of Attribute (Name of column in Table)
Supplied by DA Team]],Table!A$2:H$323,1,FALSE)=Table1[[#This Row],[Physical Name of Attribute (Name of column in Table)
Supplied by DA Team]]</f>
        <v>1</v>
      </c>
      <c r="N118" s="18" t="b">
        <f>VLOOKUP(B118,Table!A$2:F$319,2,FALSE)=Table1[[#This Row],[Data type in Oracle
VARCHAR2(n), DATE, NUMBER(m,n), TIMETSTAMP(6)]]</f>
        <v>0</v>
      </c>
      <c r="O118" s="18" t="b">
        <f>VLOOKUP(B118,Table!A$2:F$231,3,FALSE)=Table1[[#This Row],[Nullable in Table and in Oracle View
NULL, NOT NULL]]</f>
        <v>1</v>
      </c>
      <c r="P118" s="18" t="b">
        <f>VLOOKUP(B118,Table!A$2:H$228,6,FALSE)=Table1[[#This Row],[Business Definition (To go into comments and into Meta Data Hub)]]</f>
        <v>0</v>
      </c>
      <c r="Q118" s="18" t="s">
        <v>173</v>
      </c>
      <c r="R118" s="18" t="s">
        <v>174</v>
      </c>
      <c r="S118" s="18" t="s">
        <v>175</v>
      </c>
      <c r="T118" s="18"/>
      <c r="U118" s="18"/>
      <c r="V118" s="46" t="s">
        <v>176</v>
      </c>
      <c r="W118" s="52" t="s">
        <v>177</v>
      </c>
      <c r="X118" s="18"/>
      <c r="Y118" s="1" t="e">
        <f>VLOOKUP(A118,Model!A$2:J$210,2,FALSE)</f>
        <v>#N/A</v>
      </c>
      <c r="Z118" s="1"/>
      <c r="AA118" s="1"/>
      <c r="AB118" s="1"/>
      <c r="AC118" s="1"/>
      <c r="AD118" s="32" t="e">
        <f>VLOOKUP(B118,AVY_FACT!A$2:A$153,1,FALSE)=B118</f>
        <v>#N/A</v>
      </c>
      <c r="AE118" s="32" t="e">
        <f>VLOOKUP(B118,AVY_FACT!A$2:F$153,2,FALSE)=C118</f>
        <v>#N/A</v>
      </c>
      <c r="AF118" s="32" t="e">
        <f>K118&amp;"  "&amp;C118&amp;","</f>
        <v>#N/A</v>
      </c>
      <c r="AG118" s="33" t="str">
        <f t="shared" si="7"/>
        <v>COMMENT ON COLUMN TRANSACTIONS_OWNER.AVY_FACT.OWN_FA_NUM IS 'Owner FA Number is a FA Number that owns the Arrangement for which activity is recorded';</v>
      </c>
    </row>
    <row r="119" spans="1:33" ht="22.5" hidden="1" customHeight="1">
      <c r="A119" s="18" t="s">
        <v>179</v>
      </c>
      <c r="B119" s="18" t="s">
        <v>180</v>
      </c>
      <c r="C119" s="18" t="s">
        <v>139</v>
      </c>
      <c r="D119" s="18" t="s">
        <v>63</v>
      </c>
      <c r="E119" s="18" t="s">
        <v>140</v>
      </c>
      <c r="F119" s="45" t="s">
        <v>63</v>
      </c>
      <c r="G119" s="46" t="s">
        <v>182</v>
      </c>
      <c r="H119" s="46" t="s">
        <v>183</v>
      </c>
      <c r="I119" s="18" t="s">
        <v>67</v>
      </c>
      <c r="J119" s="18">
        <v>3</v>
      </c>
      <c r="K119" s="18" t="e">
        <f>VLOOKUP(A119,Model!C$2:D$208,2,FALSE)=B119</f>
        <v>#N/A</v>
      </c>
      <c r="L119" s="18" t="e">
        <f>VLOOKUP(A119,Model!C$2:G$208,5,FALSE)=C119</f>
        <v>#N/A</v>
      </c>
      <c r="M119" s="18" t="b">
        <f>VLOOKUP(Table1[[#This Row],[Physical Name of Attribute (Name of column in Table)
Supplied by DA Team]],Table!A$2:H$323,1,FALSE)=Table1[[#This Row],[Physical Name of Attribute (Name of column in Table)
Supplied by DA Team]]</f>
        <v>1</v>
      </c>
      <c r="N119" s="18" t="b">
        <f>VLOOKUP(B119,Table!A$2:F$319,2,FALSE)=Table1[[#This Row],[Data type in Oracle
VARCHAR2(n), DATE, NUMBER(m,n), TIMETSTAMP(6)]]</f>
        <v>0</v>
      </c>
      <c r="O119" s="18" t="b">
        <f>VLOOKUP(B119,Table!A$2:F$231,3,FALSE)=Table1[[#This Row],[Nullable in Table and in Oracle View
NULL, NOT NULL]]</f>
        <v>0</v>
      </c>
      <c r="P119" s="18" t="b">
        <f>VLOOKUP(B119,Table!A$2:H$228,6,FALSE)=Table1[[#This Row],[Business Definition (To go into comments and into Meta Data Hub)]]</f>
        <v>0</v>
      </c>
      <c r="Q119" s="18" t="s">
        <v>6</v>
      </c>
      <c r="R119" s="47" t="s">
        <v>184</v>
      </c>
      <c r="S119" s="18" t="s">
        <v>185</v>
      </c>
      <c r="T119" s="18"/>
      <c r="U119" s="18"/>
      <c r="V119" s="14" t="s">
        <v>186</v>
      </c>
      <c r="W119" s="52" t="s">
        <v>187</v>
      </c>
      <c r="X119" s="18"/>
      <c r="Y119" s="1" t="e">
        <f>VLOOKUP(A119,Model!A$2:J$210,2,FALSE)</f>
        <v>#N/A</v>
      </c>
      <c r="Z119" s="1"/>
      <c r="AA119" s="1"/>
      <c r="AB119" s="1"/>
      <c r="AC119" s="1"/>
      <c r="AD119" s="32" t="e">
        <f>VLOOKUP(B119,AVY_FACT!A$2:A$153,1,FALSE)=B119</f>
        <v>#N/A</v>
      </c>
      <c r="AE119" s="32" t="e">
        <f>VLOOKUP(B119,AVY_FACT!A$2:F$153,2,FALSE)=C119</f>
        <v>#N/A</v>
      </c>
      <c r="AF119" s="32" t="e">
        <f>K119&amp;"  "&amp;C119&amp;","</f>
        <v>#N/A</v>
      </c>
      <c r="AG119" s="33" t="str">
        <f t="shared" si="7"/>
        <v>COMMENT ON COLUMN TRANSACTIONS_OWNER.AVY_FACT.OWN_FA_NUM_ENT_CD IS 'Entity Code that owns the Owner FA Number';</v>
      </c>
    </row>
    <row r="120" spans="1:33" ht="22.5" hidden="1" customHeight="1">
      <c r="A120" s="18" t="s">
        <v>2649</v>
      </c>
      <c r="B120" s="18" t="s">
        <v>197</v>
      </c>
      <c r="C120" s="18" t="s">
        <v>199</v>
      </c>
      <c r="D120" s="18" t="s">
        <v>63</v>
      </c>
      <c r="E120" s="18" t="s">
        <v>200</v>
      </c>
      <c r="F120" s="45" t="s">
        <v>63</v>
      </c>
      <c r="G120" s="46" t="s">
        <v>201</v>
      </c>
      <c r="H120" s="46" t="s">
        <v>202</v>
      </c>
      <c r="I120" s="18" t="s">
        <v>67</v>
      </c>
      <c r="J120" s="18">
        <v>3</v>
      </c>
      <c r="K120" s="18" t="e">
        <f>VLOOKUP(A120,Model!C$2:D$208,2,FALSE)=B120</f>
        <v>#N/A</v>
      </c>
      <c r="L120" s="18" t="e">
        <f>VLOOKUP(A120,Model!C$2:G$208,5,FALSE)=C120</f>
        <v>#N/A</v>
      </c>
      <c r="M120" s="18" t="b">
        <f>VLOOKUP(Table1[[#This Row],[Physical Name of Attribute (Name of column in Table)
Supplied by DA Team]],Table!A$2:H$323,1,FALSE)=Table1[[#This Row],[Physical Name of Attribute (Name of column in Table)
Supplied by DA Team]]</f>
        <v>1</v>
      </c>
      <c r="N120" s="18" t="b">
        <f>VLOOKUP(B120,Table!A$2:F$319,2,FALSE)=Table1[[#This Row],[Data type in Oracle
VARCHAR2(n), DATE, NUMBER(m,n), TIMETSTAMP(6)]]</f>
        <v>0</v>
      </c>
      <c r="O120" s="18" t="b">
        <f>VLOOKUP(B120,Table!A$2:F$231,3,FALSE)=Table1[[#This Row],[Nullable in Table and in Oracle View
NULL, NOT NULL]]</f>
        <v>1</v>
      </c>
      <c r="P120" s="18" t="b">
        <f>VLOOKUP(B120,Table!A$2:H$228,6,FALSE)=Table1[[#This Row],[Business Definition (To go into comments and into Meta Data Hub)]]</f>
        <v>0</v>
      </c>
      <c r="Q120" s="18" t="s">
        <v>6</v>
      </c>
      <c r="R120" s="18" t="s">
        <v>203</v>
      </c>
      <c r="S120" s="18" t="s">
        <v>204</v>
      </c>
      <c r="T120" s="18"/>
      <c r="U120" s="18"/>
      <c r="V120" s="46" t="s">
        <v>205</v>
      </c>
      <c r="W120" s="52" t="s">
        <v>206</v>
      </c>
      <c r="X120" s="18"/>
      <c r="Y120" s="1" t="e">
        <f>VLOOKUP(A120,Model!A$2:J$210,2,FALSE)</f>
        <v>#N/A</v>
      </c>
      <c r="Z120" s="1"/>
      <c r="AA120" s="1"/>
      <c r="AB120" s="1"/>
      <c r="AC120" s="1"/>
      <c r="AD120" s="32" t="e">
        <f>VLOOKUP(B120,AVY_FACT!A$2:A$153,1,FALSE)=B120</f>
        <v>#N/A</v>
      </c>
      <c r="AE120" s="32" t="e">
        <f>VLOOKUP(B120,AVY_FACT!A$2:F$153,2,FALSE)=C120</f>
        <v>#N/A</v>
      </c>
      <c r="AF120" s="32" t="e">
        <f>K120&amp;"  "&amp;C120&amp;","</f>
        <v>#N/A</v>
      </c>
      <c r="AG120" s="33" t="str">
        <f t="shared" si="7"/>
        <v>COMMENT ON COLUMN TRANSACTIONS_OWNER.AVY_FACT.OWN_FA_NUM_ENT_ENTP_ID IS 'Enterprise Id of the Entity that owns the Owner FA Number';</v>
      </c>
    </row>
    <row r="121" spans="1:33" ht="22.5" hidden="1" customHeight="1">
      <c r="A121" s="18" t="s">
        <v>2650</v>
      </c>
      <c r="B121" s="18" t="s">
        <v>161</v>
      </c>
      <c r="C121" s="18" t="s">
        <v>139</v>
      </c>
      <c r="D121" s="18" t="s">
        <v>63</v>
      </c>
      <c r="E121" s="18" t="s">
        <v>140</v>
      </c>
      <c r="F121" s="45" t="s">
        <v>63</v>
      </c>
      <c r="G121" s="46" t="s">
        <v>163</v>
      </c>
      <c r="H121" s="46" t="s">
        <v>164</v>
      </c>
      <c r="I121" s="18" t="s">
        <v>67</v>
      </c>
      <c r="J121" s="18">
        <v>3</v>
      </c>
      <c r="K121" s="18" t="e">
        <f>VLOOKUP(A121,Model!C$2:D$208,2,FALSE)=B121</f>
        <v>#N/A</v>
      </c>
      <c r="L121" s="18" t="e">
        <f>VLOOKUP(A121,Model!C$2:G$208,5,FALSE)=C121</f>
        <v>#N/A</v>
      </c>
      <c r="M121" s="18" t="b">
        <f>VLOOKUP(Table1[[#This Row],[Physical Name of Attribute (Name of column in Table)
Supplied by DA Team]],Table!A$2:H$323,1,FALSE)=Table1[[#This Row],[Physical Name of Attribute (Name of column in Table)
Supplied by DA Team]]</f>
        <v>1</v>
      </c>
      <c r="N121" s="18" t="b">
        <f>VLOOKUP(B121,Table!A$2:F$319,2,FALSE)=Table1[[#This Row],[Data type in Oracle
VARCHAR2(n), DATE, NUMBER(m,n), TIMETSTAMP(6)]]</f>
        <v>0</v>
      </c>
      <c r="O121" s="18" t="b">
        <f>VLOOKUP(B121,Table!A$2:F$231,3,FALSE)=Table1[[#This Row],[Nullable in Table and in Oracle View
NULL, NOT NULL]]</f>
        <v>1</v>
      </c>
      <c r="P121" s="18" t="b">
        <f>VLOOKUP(B121,Table!A$2:H$228,6,FALSE)=Table1[[#This Row],[Business Definition (To go into comments and into Meta Data Hub)]]</f>
        <v>0</v>
      </c>
      <c r="Q121" s="18" t="s">
        <v>68</v>
      </c>
      <c r="R121" s="47" t="s">
        <v>69</v>
      </c>
      <c r="S121" s="46" t="s">
        <v>165</v>
      </c>
      <c r="T121" s="18"/>
      <c r="U121" s="18"/>
      <c r="V121" s="46"/>
      <c r="W121" s="46"/>
      <c r="X121" s="18"/>
      <c r="Y121" s="1" t="e">
        <f>VLOOKUP(A121,Model!A$2:J$210,2,FALSE)</f>
        <v>#N/A</v>
      </c>
      <c r="Z121" s="1"/>
      <c r="AA121" s="1"/>
      <c r="AB121" s="1"/>
      <c r="AC121" s="1"/>
      <c r="AD121" s="32" t="e">
        <f>VLOOKUP(B121,AVY_FACT!A$2:A$153,1,FALSE)=B121</f>
        <v>#N/A</v>
      </c>
      <c r="AE121" s="32" t="e">
        <f>VLOOKUP(B121,AVY_FACT!A$2:F$153,2,FALSE)=C121</f>
        <v>#N/A</v>
      </c>
      <c r="AF121" s="32" t="str">
        <f>B121&amp;"  "&amp;C121&amp;","</f>
        <v>OWN_IMP_FA_NUM  VARCHAR2(20),</v>
      </c>
      <c r="AG121" s="33" t="str">
        <f t="shared" si="7"/>
        <v>COMMENT ON COLUMN TRANSACTIONS_OWNER.AVY_FACT.OWN_IMP_FA_NUM IS 'FA Number as given in Impact system';</v>
      </c>
    </row>
    <row r="122" spans="1:33" ht="22.5" hidden="1" customHeight="1">
      <c r="A122" s="18" t="s">
        <v>799</v>
      </c>
      <c r="B122" s="18" t="s">
        <v>800</v>
      </c>
      <c r="C122" s="18" t="s">
        <v>139</v>
      </c>
      <c r="D122" s="18" t="s">
        <v>63</v>
      </c>
      <c r="E122" s="18" t="s">
        <v>140</v>
      </c>
      <c r="F122" s="45" t="s">
        <v>63</v>
      </c>
      <c r="G122" s="46" t="s">
        <v>802</v>
      </c>
      <c r="H122" s="18"/>
      <c r="I122" s="18" t="s">
        <v>67</v>
      </c>
      <c r="J122" s="18">
        <v>3</v>
      </c>
      <c r="K122" s="18" t="e">
        <f>VLOOKUP(A122,Model!C$2:D$208,2,FALSE)=B122</f>
        <v>#N/A</v>
      </c>
      <c r="L122" s="18" t="e">
        <f>VLOOKUP(A122,Model!C$2:G$208,5,FALSE)=C122</f>
        <v>#N/A</v>
      </c>
      <c r="M122" s="18" t="b">
        <f>VLOOKUP(Table1[[#This Row],[Physical Name of Attribute (Name of column in Table)
Supplied by DA Team]],Table!A$2:H$323,1,FALSE)=Table1[[#This Row],[Physical Name of Attribute (Name of column in Table)
Supplied by DA Team]]</f>
        <v>1</v>
      </c>
      <c r="N122" s="18" t="b">
        <f>VLOOKUP(B122,Table!A$2:F$319,2,FALSE)=Table1[[#This Row],[Data type in Oracle
VARCHAR2(n), DATE, NUMBER(m,n), TIMETSTAMP(6)]]</f>
        <v>0</v>
      </c>
      <c r="O122" s="18" t="b">
        <f>VLOOKUP(B122,Table!A$2:F$231,3,FALSE)=Table1[[#This Row],[Nullable in Table and in Oracle View
NULL, NOT NULL]]</f>
        <v>1</v>
      </c>
      <c r="P122" s="18" t="b">
        <f>VLOOKUP(B122,Table!A$2:H$228,6,FALSE)=Table1[[#This Row],[Business Definition (To go into comments and into Meta Data Hub)]]</f>
        <v>0</v>
      </c>
      <c r="Q122" s="18" t="s">
        <v>68</v>
      </c>
      <c r="R122" s="18" t="s">
        <v>113</v>
      </c>
      <c r="S122" s="18" t="s">
        <v>143</v>
      </c>
      <c r="T122" s="18"/>
      <c r="U122" s="18"/>
      <c r="V122" s="46" t="s">
        <v>803</v>
      </c>
      <c r="W122" s="46"/>
      <c r="X122" s="18"/>
      <c r="Y122" s="1" t="e">
        <f>VLOOKUP(A122,Model!A$2:J$210,2,FALSE)</f>
        <v>#N/A</v>
      </c>
      <c r="Z122" s="1"/>
      <c r="AA122" s="1"/>
      <c r="AB122" s="1"/>
      <c r="AC122" s="1"/>
      <c r="AD122" s="32" t="e">
        <f>VLOOKUP(B122,AVY_FACT!A$2:A$153,1,FALSE)=B122</f>
        <v>#N/A</v>
      </c>
      <c r="AE122" s="32" t="e">
        <f>VLOOKUP(B122,AVY_FACT!A$2:F$153,2,FALSE)=C122</f>
        <v>#N/A</v>
      </c>
      <c r="AF122" s="32" t="str">
        <f>"ALTER TABLE TRANSACTIONS_OWNER.AVY_FACT MODIFY ("&amp;B122&amp;"  "&amp;C122&amp;");"</f>
        <v>ALTER TABLE TRANSACTIONS_OWNER.AVY_FACT MODIFY (REL_TXN_RLTNP_TP_CD  VARCHAR2(20));</v>
      </c>
      <c r="AG122" s="33" t="str">
        <f t="shared" si="7"/>
        <v>COMMENT ON COLUMN TRANSACTIONS_OWNER.AVY_FACT.REL_TXN_RLTNP_TP_CD IS 'Code of Relationship type with the target transaction E.g.R01, R02, R03';</v>
      </c>
    </row>
    <row r="123" spans="1:33" ht="22.5" hidden="1" customHeight="1">
      <c r="A123" s="18" t="s">
        <v>793</v>
      </c>
      <c r="B123" s="18" t="s">
        <v>794</v>
      </c>
      <c r="C123" s="18" t="s">
        <v>101</v>
      </c>
      <c r="D123" s="18" t="s">
        <v>63</v>
      </c>
      <c r="E123" s="18" t="s">
        <v>133</v>
      </c>
      <c r="F123" s="45" t="s">
        <v>63</v>
      </c>
      <c r="G123" s="46" t="s">
        <v>795</v>
      </c>
      <c r="H123" s="46"/>
      <c r="I123" s="18" t="s">
        <v>67</v>
      </c>
      <c r="J123" s="18">
        <v>3</v>
      </c>
      <c r="K123" s="18" t="e">
        <f>VLOOKUP(A123,Model!C$2:D$208,2,FALSE)=B123</f>
        <v>#N/A</v>
      </c>
      <c r="L123" s="18" t="e">
        <f>VLOOKUP(A123,Model!C$2:G$208,5,FALSE)=C123</f>
        <v>#N/A</v>
      </c>
      <c r="M123" s="18" t="b">
        <f>VLOOKUP(Table1[[#This Row],[Physical Name of Attribute (Name of column in Table)
Supplied by DA Team]],Table!A$2:H$323,1,FALSE)=Table1[[#This Row],[Physical Name of Attribute (Name of column in Table)
Supplied by DA Team]]</f>
        <v>1</v>
      </c>
      <c r="N123" s="18" t="b">
        <f>VLOOKUP(B123,Table!A$2:F$319,2,FALSE)=Table1[[#This Row],[Data type in Oracle
VARCHAR2(n), DATE, NUMBER(m,n), TIMETSTAMP(6)]]</f>
        <v>1</v>
      </c>
      <c r="O123" s="18" t="b">
        <f>VLOOKUP(B123,Table!A$2:F$231,3,FALSE)=Table1[[#This Row],[Nullable in Table and in Oracle View
NULL, NOT NULL]]</f>
        <v>0</v>
      </c>
      <c r="P123" s="18" t="b">
        <f>VLOOKUP(B123,Table!A$2:H$228,6,FALSE)=Table1[[#This Row],[Business Definition (To go into comments and into Meta Data Hub)]]</f>
        <v>0</v>
      </c>
      <c r="Q123" s="18" t="s">
        <v>68</v>
      </c>
      <c r="R123" s="18" t="s">
        <v>796</v>
      </c>
      <c r="S123" s="18" t="s">
        <v>797</v>
      </c>
      <c r="T123" s="18"/>
      <c r="U123" s="18"/>
      <c r="V123" s="46" t="s">
        <v>798</v>
      </c>
      <c r="W123" s="46"/>
      <c r="X123" s="18"/>
      <c r="Y123" s="1" t="e">
        <f>VLOOKUP(A123,Model!A$2:J$210,2,FALSE)</f>
        <v>#N/A</v>
      </c>
      <c r="Z123" s="1"/>
      <c r="AA123" s="1"/>
      <c r="AB123" s="1"/>
      <c r="AC123" s="1"/>
      <c r="AD123" s="32" t="e">
        <f>VLOOKUP(B123,AVY_FACT!A$2:A$153,1,FALSE)=B123</f>
        <v>#N/A</v>
      </c>
      <c r="AE123" s="32" t="e">
        <f>VLOOKUP(B123,AVY_FACT!A$2:F$153,2,FALSE)=C123</f>
        <v>#N/A</v>
      </c>
      <c r="AF123" s="32" t="e">
        <f>K123&amp;"  "&amp;C123&amp;","</f>
        <v>#N/A</v>
      </c>
      <c r="AG123" s="33" t="str">
        <f t="shared" si="7"/>
        <v>COMMENT ON COLUMN TRANSACTIONS_OWNER.AVY_FACT.REL_TXN_RLTNP_TP_ID IS 'Identifier for Relationship type with the related transaction';</v>
      </c>
    </row>
    <row r="124" spans="1:33" ht="22.5" hidden="1" customHeight="1">
      <c r="A124" s="18" t="s">
        <v>804</v>
      </c>
      <c r="B124" s="18" t="s">
        <v>805</v>
      </c>
      <c r="C124" s="18" t="s">
        <v>90</v>
      </c>
      <c r="D124" s="18" t="s">
        <v>63</v>
      </c>
      <c r="E124" s="18" t="s">
        <v>91</v>
      </c>
      <c r="F124" s="45" t="s">
        <v>63</v>
      </c>
      <c r="G124" s="46" t="s">
        <v>807</v>
      </c>
      <c r="H124" s="18"/>
      <c r="I124" s="18" t="s">
        <v>67</v>
      </c>
      <c r="J124" s="18">
        <v>3</v>
      </c>
      <c r="K124" s="18" t="e">
        <f>VLOOKUP(A124,Model!C$2:D$208,2,FALSE)=B124</f>
        <v>#N/A</v>
      </c>
      <c r="L124" s="18" t="e">
        <f>VLOOKUP(A124,Model!C$2:G$208,5,FALSE)=C124</f>
        <v>#N/A</v>
      </c>
      <c r="M124" s="18" t="b">
        <f>VLOOKUP(Table1[[#This Row],[Physical Name of Attribute (Name of column in Table)
Supplied by DA Team]],Table!A$2:H$323,1,FALSE)=Table1[[#This Row],[Physical Name of Attribute (Name of column in Table)
Supplied by DA Team]]</f>
        <v>1</v>
      </c>
      <c r="N124" s="18" t="b">
        <f>VLOOKUP(B124,Table!A$2:F$319,2,FALSE)=Table1[[#This Row],[Data type in Oracle
VARCHAR2(n), DATE, NUMBER(m,n), TIMETSTAMP(6)]]</f>
        <v>0</v>
      </c>
      <c r="O124" s="18" t="b">
        <f>VLOOKUP(B124,Table!A$2:F$231,3,FALSE)=Table1[[#This Row],[Nullable in Table and in Oracle View
NULL, NOT NULL]]</f>
        <v>1</v>
      </c>
      <c r="P124" s="18" t="b">
        <f>VLOOKUP(B124,Table!A$2:H$228,6,FALSE)=Table1[[#This Row],[Business Definition (To go into comments and into Meta Data Hub)]]</f>
        <v>0</v>
      </c>
      <c r="Q124" s="18" t="s">
        <v>68</v>
      </c>
      <c r="R124" s="18" t="s">
        <v>113</v>
      </c>
      <c r="S124" s="18" t="s">
        <v>114</v>
      </c>
      <c r="T124" s="18"/>
      <c r="U124" s="18"/>
      <c r="V124" s="46" t="s">
        <v>803</v>
      </c>
      <c r="W124" s="46"/>
      <c r="X124" s="18"/>
      <c r="Y124" s="1" t="e">
        <f>VLOOKUP(A124,Model!A$2:J$210,2,FALSE)</f>
        <v>#N/A</v>
      </c>
      <c r="Z124" s="1"/>
      <c r="AA124" s="1"/>
      <c r="AB124" s="1"/>
      <c r="AC124" s="1"/>
      <c r="AD124" s="32" t="e">
        <f>VLOOKUP(B124,AVY_FACT!A$2:A$153,1,FALSE)=B124</f>
        <v>#N/A</v>
      </c>
      <c r="AE124" s="32" t="e">
        <f>VLOOKUP(B124,AVY_FACT!A$2:F$153,2,FALSE)=C124</f>
        <v>#N/A</v>
      </c>
      <c r="AF124" s="32" t="str">
        <f>"ALTER TABLE TRANSACTIONS_OWNER.AVY_FACT MODIFY ("&amp;B124&amp;"  "&amp;C124&amp;");"</f>
        <v>ALTER TABLE TRANSACTIONS_OWNER.AVY_FACT MODIFY (REL_TXN_RLTNP_TP_NM  VARCHAR2(100));</v>
      </c>
      <c r="AG124" s="33" t="str">
        <f t="shared" si="7"/>
        <v>COMMENT ON COLUMN TRANSACTIONS_OWNER.AVY_FACT.REL_TXN_RLTNP_TP_NM IS 'Name of Relation ship with the target transaction E.g. Reversal, Cancel, Correct';</v>
      </c>
    </row>
    <row r="125" spans="1:33" ht="22.5" hidden="1" customHeight="1">
      <c r="A125" s="18" t="s">
        <v>788</v>
      </c>
      <c r="B125" s="18" t="s">
        <v>789</v>
      </c>
      <c r="C125" s="18" t="s">
        <v>139</v>
      </c>
      <c r="D125" s="18" t="s">
        <v>63</v>
      </c>
      <c r="E125" s="18" t="s">
        <v>140</v>
      </c>
      <c r="F125" s="45" t="s">
        <v>63</v>
      </c>
      <c r="G125" s="46" t="s">
        <v>791</v>
      </c>
      <c r="H125" s="18"/>
      <c r="I125" s="18" t="s">
        <v>67</v>
      </c>
      <c r="J125" s="18">
        <v>3</v>
      </c>
      <c r="K125" s="18" t="e">
        <f>VLOOKUP(A125,Model!C$2:D$208,2,FALSE)=B125</f>
        <v>#N/A</v>
      </c>
      <c r="L125" s="18" t="e">
        <f>VLOOKUP(A125,Model!C$2:G$208,5,FALSE)=C125</f>
        <v>#N/A</v>
      </c>
      <c r="M125" s="18" t="b">
        <f>VLOOKUP(Table1[[#This Row],[Physical Name of Attribute (Name of column in Table)
Supplied by DA Team]],Table!A$2:H$323,1,FALSE)=Table1[[#This Row],[Physical Name of Attribute (Name of column in Table)
Supplied by DA Team]]</f>
        <v>1</v>
      </c>
      <c r="N125" s="18" t="b">
        <f>VLOOKUP(B125,Table!A$2:F$319,2,FALSE)=Table1[[#This Row],[Data type in Oracle
VARCHAR2(n), DATE, NUMBER(m,n), TIMETSTAMP(6)]]</f>
        <v>0</v>
      </c>
      <c r="O125" s="18" t="b">
        <f>VLOOKUP(B125,Table!A$2:F$231,3,FALSE)=Table1[[#This Row],[Nullable in Table and in Oracle View
NULL, NOT NULL]]</f>
        <v>1</v>
      </c>
      <c r="P125" s="18" t="b">
        <f>VLOOKUP(B125,Table!A$2:H$228,6,FALSE)=Table1[[#This Row],[Business Definition (To go into comments and into Meta Data Hub)]]</f>
        <v>0</v>
      </c>
      <c r="Q125" s="18" t="s">
        <v>262</v>
      </c>
      <c r="R125" s="18" t="s">
        <v>263</v>
      </c>
      <c r="S125" s="18" t="s">
        <v>792</v>
      </c>
      <c r="T125" s="18"/>
      <c r="U125" s="18"/>
      <c r="V125" s="46" t="s">
        <v>782</v>
      </c>
      <c r="W125" s="46" t="s">
        <v>284</v>
      </c>
      <c r="X125" s="18"/>
      <c r="Y125" s="1" t="e">
        <f>VLOOKUP(A125,Model!A$2:J$210,2,FALSE)</f>
        <v>#N/A</v>
      </c>
      <c r="Z125" s="1"/>
      <c r="AA125" s="1"/>
      <c r="AB125" s="1"/>
      <c r="AC125" s="1"/>
      <c r="AD125" s="32" t="e">
        <f>VLOOKUP(B125,AVY_FACT!A$2:A$153,1,FALSE)=B125</f>
        <v>#N/A</v>
      </c>
      <c r="AE125" s="32" t="e">
        <f>VLOOKUP(B125,AVY_FACT!A$2:F$153,2,FALSE)=C125</f>
        <v>#N/A</v>
      </c>
      <c r="AF125" s="32" t="e">
        <f>K125&amp;"  "&amp;C125&amp;","</f>
        <v>#N/A</v>
      </c>
      <c r="AG125" s="33" t="str">
        <f t="shared" si="7"/>
        <v>COMMENT ON COLUMN TRANSACTIONS_OWNER.AVY_FACT.REL_TXN_SRC_STM_CD IS 'CDS assigned source system code for related transaction';</v>
      </c>
    </row>
    <row r="126" spans="1:33" ht="22.5" customHeight="1">
      <c r="A126" s="56" t="s">
        <v>2508</v>
      </c>
      <c r="B126" s="18" t="s">
        <v>779</v>
      </c>
      <c r="C126" s="18" t="s">
        <v>101</v>
      </c>
      <c r="D126" s="18" t="s">
        <v>345</v>
      </c>
      <c r="E126" s="18" t="s">
        <v>133</v>
      </c>
      <c r="F126" s="45" t="s">
        <v>63</v>
      </c>
      <c r="G126" s="18" t="s">
        <v>780</v>
      </c>
      <c r="H126" s="18"/>
      <c r="I126" s="18" t="s">
        <v>347</v>
      </c>
      <c r="J126" s="18">
        <v>3</v>
      </c>
      <c r="K126" s="18" t="e">
        <f>VLOOKUP(A126,Model!C$2:D$208,2,FALSE)=B126</f>
        <v>#N/A</v>
      </c>
      <c r="L126" s="18" t="e">
        <f>VLOOKUP(A126,Model!C$2:G$208,5,FALSE)=C126</f>
        <v>#N/A</v>
      </c>
      <c r="M126" s="18" t="b">
        <f>VLOOKUP(Table1[[#This Row],[Physical Name of Attribute (Name of column in Table)
Supplied by DA Team]],Table!A$2:H$323,1,FALSE)=Table1[[#This Row],[Physical Name of Attribute (Name of column in Table)
Supplied by DA Team]]</f>
        <v>1</v>
      </c>
      <c r="N126" s="18" t="b">
        <f>VLOOKUP(B126,Table!A$2:F$319,2,FALSE)=Table1[[#This Row],[Data type in Oracle
VARCHAR2(n), DATE, NUMBER(m,n), TIMETSTAMP(6)]]</f>
        <v>0</v>
      </c>
      <c r="O126" s="18" t="b">
        <f>VLOOKUP(B126,Table!A$2:F$231,3,FALSE)=Table1[[#This Row],[Nullable in Table and in Oracle View
NULL, NOT NULL]]</f>
        <v>0</v>
      </c>
      <c r="P126" s="55" t="b">
        <f>VLOOKUP(B126,Table!A$2:H$228,6,FALSE)=Table1[[#This Row],[Business Definition (To go into comments and into Meta Data Hub)]]</f>
        <v>0</v>
      </c>
      <c r="Q126" s="18" t="s">
        <v>262</v>
      </c>
      <c r="R126" s="18" t="s">
        <v>263</v>
      </c>
      <c r="S126" s="18" t="s">
        <v>781</v>
      </c>
      <c r="T126" s="18"/>
      <c r="U126" s="18"/>
      <c r="V126" s="46" t="s">
        <v>782</v>
      </c>
      <c r="W126" s="46"/>
      <c r="X126" s="18"/>
      <c r="Y126" s="1" t="e">
        <f>VLOOKUP(A126,Model!A$2:J$210,2,FALSE)</f>
        <v>#N/A</v>
      </c>
      <c r="Z126" s="1"/>
      <c r="AA126" s="1"/>
      <c r="AB126" s="1"/>
      <c r="AC126" s="1"/>
      <c r="AD126" s="32" t="b">
        <f>VLOOKUP(B126,AVY_FACT!A$2:A$153,1,FALSE)=B126</f>
        <v>1</v>
      </c>
      <c r="AE126" s="32" t="b">
        <f>VLOOKUP(B126,AVY_FACT!A$2:F$153,2,FALSE)=C126</f>
        <v>1</v>
      </c>
      <c r="AF126" s="32" t="e">
        <f>K126&amp;"  "&amp;C126&amp;","</f>
        <v>#N/A</v>
      </c>
      <c r="AG126" s="33" t="str">
        <f t="shared" si="7"/>
        <v>COMMENT ON COLUMN TRANSACTIONS_OWNER.AVY_FACT.REL_TXN_SRC_STM_DIM_ID IS 'Surrogate key for Related Transaction Source System Dimension.';</v>
      </c>
    </row>
    <row r="127" spans="1:33" ht="22.5" hidden="1" customHeight="1">
      <c r="A127" s="18" t="s">
        <v>2651</v>
      </c>
      <c r="B127" s="18" t="s">
        <v>784</v>
      </c>
      <c r="C127" s="18" t="s">
        <v>101</v>
      </c>
      <c r="D127" s="18" t="s">
        <v>63</v>
      </c>
      <c r="E127" s="18" t="s">
        <v>133</v>
      </c>
      <c r="F127" s="45" t="s">
        <v>63</v>
      </c>
      <c r="G127" s="46" t="s">
        <v>785</v>
      </c>
      <c r="H127" s="18"/>
      <c r="I127" s="18" t="s">
        <v>67</v>
      </c>
      <c r="J127" s="18">
        <v>3</v>
      </c>
      <c r="K127" s="18" t="e">
        <f>VLOOKUP(A127,Model!C$2:D$208,2,FALSE)=B127</f>
        <v>#N/A</v>
      </c>
      <c r="L127" s="18" t="e">
        <f>VLOOKUP(A127,Model!C$2:G$208,5,FALSE)=C127</f>
        <v>#N/A</v>
      </c>
      <c r="M127" s="18" t="b">
        <f>VLOOKUP(Table1[[#This Row],[Physical Name of Attribute (Name of column in Table)
Supplied by DA Team]],Table!A$2:H$323,1,FALSE)=Table1[[#This Row],[Physical Name of Attribute (Name of column in Table)
Supplied by DA Team]]</f>
        <v>1</v>
      </c>
      <c r="N127" s="18" t="b">
        <f>VLOOKUP(B127,Table!A$2:F$319,2,FALSE)=Table1[[#This Row],[Data type in Oracle
VARCHAR2(n), DATE, NUMBER(m,n), TIMETSTAMP(6)]]</f>
        <v>1</v>
      </c>
      <c r="O127" s="18" t="b">
        <f>VLOOKUP(B127,Table!A$2:F$231,3,FALSE)=Table1[[#This Row],[Nullable in Table and in Oracle View
NULL, NOT NULL]]</f>
        <v>0</v>
      </c>
      <c r="P127" s="18" t="b">
        <f>VLOOKUP(B127,Table!A$2:H$228,6,FALSE)=Table1[[#This Row],[Business Definition (To go into comments and into Meta Data Hub)]]</f>
        <v>0</v>
      </c>
      <c r="Q127" s="18" t="s">
        <v>68</v>
      </c>
      <c r="R127" s="18" t="s">
        <v>69</v>
      </c>
      <c r="S127" s="18" t="s">
        <v>786</v>
      </c>
      <c r="T127" s="18"/>
      <c r="U127" s="18"/>
      <c r="V127" s="46" t="s">
        <v>787</v>
      </c>
      <c r="W127" s="46" t="s">
        <v>284</v>
      </c>
      <c r="X127" s="18"/>
      <c r="Y127" s="1" t="e">
        <f>VLOOKUP(A127,Model!A$2:J$210,2,FALSE)</f>
        <v>#N/A</v>
      </c>
      <c r="Z127" s="1"/>
      <c r="AA127" s="1"/>
      <c r="AB127" s="1"/>
      <c r="AC127" s="1"/>
      <c r="AD127" s="32" t="e">
        <f>VLOOKUP(B127,AVY_FACT!A$2:A$153,1,FALSE)=B127</f>
        <v>#N/A</v>
      </c>
      <c r="AE127" s="32" t="e">
        <f>VLOOKUP(B127,AVY_FACT!A$2:F$153,2,FALSE)=C127</f>
        <v>#N/A</v>
      </c>
      <c r="AF127" s="32" t="str">
        <f>"ALTER TABLE TRANSACTIONS_OWNER.AVY_FACT MODIFY ("&amp;B127&amp;"  "&amp;C127&amp;");"</f>
        <v>ALTER TABLE TRANSACTIONS_OWNER.AVY_FACT MODIFY (REL_TXN_SRC_STM_ID  NUMBER(38,0));</v>
      </c>
      <c r="AG127" s="33" t="str">
        <f t="shared" si="7"/>
        <v>COMMENT ON COLUMN TRANSACTIONS_OWNER.AVY_FACT.REL_TXN_SRC_STM_ID IS 'CDS assigned source system id for related transaction';</v>
      </c>
    </row>
    <row r="128" spans="1:33" ht="22.5" customHeight="1">
      <c r="A128" s="56" t="s">
        <v>815</v>
      </c>
      <c r="B128" s="18" t="s">
        <v>816</v>
      </c>
      <c r="C128" s="55" t="s">
        <v>559</v>
      </c>
      <c r="D128" s="18" t="s">
        <v>63</v>
      </c>
      <c r="E128" s="18" t="s">
        <v>560</v>
      </c>
      <c r="F128" s="45" t="s">
        <v>63</v>
      </c>
      <c r="G128" s="46" t="s">
        <v>818</v>
      </c>
      <c r="H128" s="18"/>
      <c r="I128" s="18" t="s">
        <v>381</v>
      </c>
      <c r="J128" s="18">
        <v>3</v>
      </c>
      <c r="K128" s="18" t="e">
        <f>VLOOKUP(A128,Model!C$2:D$208,2,FALSE)=B128</f>
        <v>#N/A</v>
      </c>
      <c r="L128" s="18" t="e">
        <f>VLOOKUP(A128,Model!C$2:G$208,5,FALSE)=C128</f>
        <v>#N/A</v>
      </c>
      <c r="M128" s="18" t="b">
        <f>VLOOKUP(Table1[[#This Row],[Physical Name of Attribute (Name of column in Table)
Supplied by DA Team]],Table!A$2:H$323,1,FALSE)=Table1[[#This Row],[Physical Name of Attribute (Name of column in Table)
Supplied by DA Team]]</f>
        <v>1</v>
      </c>
      <c r="N128" s="18" t="b">
        <f>VLOOKUP(B128,Table!A$2:F$319,2,FALSE)=Table1[[#This Row],[Data type in Oracle
VARCHAR2(n), DATE, NUMBER(m,n), TIMETSTAMP(6)]]</f>
        <v>0</v>
      </c>
      <c r="O128" s="18" t="b">
        <f>VLOOKUP(B128,Table!A$2:F$231,3,FALSE)=Table1[[#This Row],[Nullable in Table and in Oracle View
NULL, NOT NULL]]</f>
        <v>1</v>
      </c>
      <c r="P128" s="55" t="b">
        <f>VLOOKUP(B128,Table!A$2:H$228,6,FALSE)=Table1[[#This Row],[Business Definition (To go into comments and into Meta Data Hub)]]</f>
        <v>0</v>
      </c>
      <c r="Q128" s="18" t="s">
        <v>68</v>
      </c>
      <c r="R128" s="18" t="s">
        <v>375</v>
      </c>
      <c r="S128" s="18" t="s">
        <v>812</v>
      </c>
      <c r="T128" s="18"/>
      <c r="U128" s="18"/>
      <c r="V128" s="46" t="s">
        <v>2652</v>
      </c>
      <c r="W128" s="46"/>
      <c r="X128" s="18"/>
      <c r="Y128" s="1" t="e">
        <f>VLOOKUP(A128,Model!A$2:J$210,2,FALSE)</f>
        <v>#N/A</v>
      </c>
      <c r="Z128" s="1"/>
      <c r="AA128" s="1"/>
      <c r="AB128" s="1"/>
      <c r="AC128" s="1"/>
      <c r="AD128" s="32" t="e">
        <f>VLOOKUP(B128,AVY_FACT!A$2:A$153,1,FALSE)=B128</f>
        <v>#N/A</v>
      </c>
      <c r="AE128" s="32" t="e">
        <f>VLOOKUP(B128,AVY_FACT!A$2:F$153,2,FALSE)=C128</f>
        <v>#N/A</v>
      </c>
      <c r="AF128" s="32" t="str">
        <f>B128&amp;"  "&amp;C128&amp;","</f>
        <v>SALE_CHRG_RATE_PCT  NUMBER(38,6),</v>
      </c>
      <c r="AG128" s="33" t="str">
        <f t="shared" si="7"/>
        <v>COMMENT ON COLUMN TRANSACTIONS_OWNER.AVY_FACT.SALE_CHRG_RATE_PCT IS 'Sales charge expressed as percent for the portion represented by the asset package. This column will have values if Sales Charge Rate Type Identifier indicates that it was recorded as a percentage in CCAL';</v>
      </c>
    </row>
    <row r="129" spans="1:33" ht="22.5" hidden="1" customHeight="1">
      <c r="A129" s="55" t="s">
        <v>808</v>
      </c>
      <c r="B129" s="18" t="s">
        <v>809</v>
      </c>
      <c r="C129" s="18" t="s">
        <v>559</v>
      </c>
      <c r="D129" s="18" t="s">
        <v>63</v>
      </c>
      <c r="E129" s="18" t="s">
        <v>560</v>
      </c>
      <c r="F129" s="45" t="s">
        <v>63</v>
      </c>
      <c r="G129" s="46" t="s">
        <v>811</v>
      </c>
      <c r="H129" s="18"/>
      <c r="I129" s="18" t="s">
        <v>67</v>
      </c>
      <c r="J129" s="18">
        <v>3</v>
      </c>
      <c r="K129" s="18" t="e">
        <f>VLOOKUP(A129,Model!C$2:D$208,2,FALSE)=B129</f>
        <v>#N/A</v>
      </c>
      <c r="L129" s="18" t="e">
        <f>VLOOKUP(A129,Model!C$2:G$208,5,FALSE)=C129</f>
        <v>#N/A</v>
      </c>
      <c r="M129" s="18" t="b">
        <f>VLOOKUP(Table1[[#This Row],[Physical Name of Attribute (Name of column in Table)
Supplied by DA Team]],Table!A$2:H$323,1,FALSE)=Table1[[#This Row],[Physical Name of Attribute (Name of column in Table)
Supplied by DA Team]]</f>
        <v>1</v>
      </c>
      <c r="N129" s="18" t="b">
        <f>VLOOKUP(B129,Table!A$2:F$319,2,FALSE)=Table1[[#This Row],[Data type in Oracle
VARCHAR2(n), DATE, NUMBER(m,n), TIMETSTAMP(6)]]</f>
        <v>0</v>
      </c>
      <c r="O129" s="18" t="b">
        <f>VLOOKUP(B129,Table!A$2:F$231,3,FALSE)=Table1[[#This Row],[Nullable in Table and in Oracle View
NULL, NOT NULL]]</f>
        <v>1</v>
      </c>
      <c r="P129" s="18" t="b">
        <f>VLOOKUP(B129,Table!A$2:H$228,6,FALSE)=Table1[[#This Row],[Business Definition (To go into comments and into Meta Data Hub)]]</f>
        <v>0</v>
      </c>
      <c r="Q129" s="18" t="s">
        <v>68</v>
      </c>
      <c r="R129" s="18" t="s">
        <v>375</v>
      </c>
      <c r="S129" s="18" t="s">
        <v>812</v>
      </c>
      <c r="T129" s="18"/>
      <c r="U129" s="18"/>
      <c r="V129" s="46" t="s">
        <v>2653</v>
      </c>
      <c r="W129" s="46" t="s">
        <v>2654</v>
      </c>
      <c r="X129" s="18"/>
      <c r="Y129" s="1" t="e">
        <f>VLOOKUP(A129,Model!A$2:J$210,2,FALSE)</f>
        <v>#N/A</v>
      </c>
      <c r="Z129" s="1"/>
      <c r="AA129" s="1"/>
      <c r="AB129" s="1"/>
      <c r="AC129" s="1"/>
      <c r="AD129" s="32" t="e">
        <f>VLOOKUP(B129,AVY_FACT!A$2:A$153,1,FALSE)=B129</f>
        <v>#N/A</v>
      </c>
      <c r="AE129" s="32" t="e">
        <f>VLOOKUP(B129,AVY_FACT!A$2:F$153,2,FALSE)=C129</f>
        <v>#N/A</v>
      </c>
      <c r="AF129" s="32" t="e">
        <f>K129&amp;"  "&amp;C129&amp;","</f>
        <v>#N/A</v>
      </c>
      <c r="AG129" s="33" t="str">
        <f t="shared" si="7"/>
        <v>COMMENT ON COLUMN TRANSACTIONS_OWNER.AVY_FACT.SALE_CHRG_RATE_MULTI_NUM IS 'Sales charge expressed as a multiplier for the portion represented by the asset package. This column will have values if Sales Charge Rate is expressed as a multipler.';</v>
      </c>
    </row>
    <row r="130" spans="1:33" ht="22.5" hidden="1" customHeight="1">
      <c r="A130" s="18" t="s">
        <v>822</v>
      </c>
      <c r="B130" s="18" t="s">
        <v>823</v>
      </c>
      <c r="C130" s="55" t="s">
        <v>139</v>
      </c>
      <c r="D130" s="18" t="s">
        <v>63</v>
      </c>
      <c r="E130" s="18" t="s">
        <v>140</v>
      </c>
      <c r="F130" s="45" t="s">
        <v>63</v>
      </c>
      <c r="G130" s="46" t="s">
        <v>825</v>
      </c>
      <c r="H130" s="18"/>
      <c r="I130" s="18" t="s">
        <v>381</v>
      </c>
      <c r="J130" s="18">
        <v>3</v>
      </c>
      <c r="K130" s="18" t="e">
        <f>VLOOKUP(A130,Model!C$2:D$208,2,FALSE)=B130</f>
        <v>#N/A</v>
      </c>
      <c r="L130" s="18" t="e">
        <f>VLOOKUP(A130,Model!C$2:G$208,5,FALSE)=C130</f>
        <v>#N/A</v>
      </c>
      <c r="M130" s="18" t="b">
        <f>VLOOKUP(Table1[[#This Row],[Physical Name of Attribute (Name of column in Table)
Supplied by DA Team]],Table!A$2:H$323,1,FALSE)=Table1[[#This Row],[Physical Name of Attribute (Name of column in Table)
Supplied by DA Team]]</f>
        <v>1</v>
      </c>
      <c r="N130" s="18" t="b">
        <f>VLOOKUP(B130,Table!A$2:F$319,2,FALSE)=Table1[[#This Row],[Data type in Oracle
VARCHAR2(n), DATE, NUMBER(m,n), TIMETSTAMP(6)]]</f>
        <v>0</v>
      </c>
      <c r="O130" s="18" t="b">
        <f>VLOOKUP(B130,Table!A$2:F$231,3,FALSE)=Table1[[#This Row],[Nullable in Table and in Oracle View
NULL, NOT NULL]]</f>
        <v>1</v>
      </c>
      <c r="P130" s="55" t="b">
        <f>VLOOKUP(B130,Table!A$2:H$228,6,FALSE)=Table1[[#This Row],[Business Definition (To go into comments and into Meta Data Hub)]]</f>
        <v>0</v>
      </c>
      <c r="Q130" s="18" t="s">
        <v>68</v>
      </c>
      <c r="R130" s="18" t="s">
        <v>113</v>
      </c>
      <c r="S130" s="18" t="s">
        <v>143</v>
      </c>
      <c r="T130" s="18"/>
      <c r="U130" s="18"/>
      <c r="V130" s="46" t="s">
        <v>2655</v>
      </c>
      <c r="W130" s="46"/>
      <c r="X130" s="18"/>
      <c r="Y130" s="1" t="e">
        <f>VLOOKUP(A130,Model!A$2:J$210,2,FALSE)</f>
        <v>#N/A</v>
      </c>
      <c r="Z130" s="1"/>
      <c r="AA130" s="1"/>
      <c r="AB130" s="1"/>
      <c r="AC130" s="1"/>
      <c r="AD130" s="32" t="b">
        <f>VLOOKUP(B130,AVY_FACT!A$2:A$153,1,FALSE)=B130</f>
        <v>1</v>
      </c>
      <c r="AE130" s="32" t="b">
        <f>VLOOKUP(B130,AVY_FACT!A$2:F$153,2,FALSE)=C130</f>
        <v>0</v>
      </c>
      <c r="AF130" s="32" t="str">
        <f>B130&amp;"  "&amp;C130&amp;","</f>
        <v>SALE_CHRG_RATE_TP_CD  VARCHAR2(20),</v>
      </c>
      <c r="AG130" s="33" t="str">
        <f t="shared" si="7"/>
        <v>COMMENT ON COLUMN TRANSACTIONS_OWNER.AVY_FACT.SALE_CHRG_RATE_TP_CD IS 'A code representing the type of value stored for sales charge';</v>
      </c>
    </row>
    <row r="131" spans="1:33" ht="22.5" hidden="1" customHeight="1">
      <c r="A131" s="18" t="s">
        <v>2656</v>
      </c>
      <c r="B131" s="18" t="s">
        <v>828</v>
      </c>
      <c r="C131" s="18" t="s">
        <v>101</v>
      </c>
      <c r="D131" s="18" t="s">
        <v>63</v>
      </c>
      <c r="E131" s="18" t="s">
        <v>133</v>
      </c>
      <c r="F131" s="45" t="s">
        <v>63</v>
      </c>
      <c r="G131" s="46" t="s">
        <v>829</v>
      </c>
      <c r="H131" s="18"/>
      <c r="I131" s="18" t="s">
        <v>347</v>
      </c>
      <c r="J131" s="18">
        <v>3</v>
      </c>
      <c r="K131" s="18" t="e">
        <f>VLOOKUP(A131,Model!C$2:D$208,2,FALSE)=B131</f>
        <v>#N/A</v>
      </c>
      <c r="L131" s="18" t="e">
        <f>VLOOKUP(A131,Model!C$2:G$208,5,FALSE)=C131</f>
        <v>#N/A</v>
      </c>
      <c r="M131" s="18" t="b">
        <f>VLOOKUP(Table1[[#This Row],[Physical Name of Attribute (Name of column in Table)
Supplied by DA Team]],Table!A$2:H$323,1,FALSE)=Table1[[#This Row],[Physical Name of Attribute (Name of column in Table)
Supplied by DA Team]]</f>
        <v>1</v>
      </c>
      <c r="N131" s="18" t="b">
        <f>VLOOKUP(B131,Table!A$2:F$319,2,FALSE)=Table1[[#This Row],[Data type in Oracle
VARCHAR2(n), DATE, NUMBER(m,n), TIMETSTAMP(6)]]</f>
        <v>0</v>
      </c>
      <c r="O131" s="18" t="b">
        <f>VLOOKUP(B131,Table!A$2:F$231,3,FALSE)=Table1[[#This Row],[Nullable in Table and in Oracle View
NULL, NOT NULL]]</f>
        <v>1</v>
      </c>
      <c r="P131" s="55" t="b">
        <f>VLOOKUP(B131,Table!A$2:H$228,6,FALSE)=Table1[[#This Row],[Business Definition (To go into comments and into Meta Data Hub)]]</f>
        <v>0</v>
      </c>
      <c r="Q131" s="18" t="s">
        <v>68</v>
      </c>
      <c r="R131" s="18" t="s">
        <v>375</v>
      </c>
      <c r="S131" s="18" t="s">
        <v>828</v>
      </c>
      <c r="T131" s="18"/>
      <c r="U131" s="18"/>
      <c r="V131" s="46" t="s">
        <v>468</v>
      </c>
      <c r="W131" s="46"/>
      <c r="X131" s="18"/>
      <c r="Y131" s="1" t="e">
        <f>VLOOKUP(A131,Model!A$2:J$210,2,FALSE)</f>
        <v>#N/A</v>
      </c>
      <c r="Z131" s="1"/>
      <c r="AA131" s="1"/>
      <c r="AB131" s="1"/>
      <c r="AC131" s="1"/>
      <c r="AD131" s="32" t="b">
        <f>VLOOKUP(B131,AVY_FACT!A$2:A$153,1,FALSE)=B131</f>
        <v>1</v>
      </c>
      <c r="AE131" s="32" t="b">
        <f>VLOOKUP(B131,AVY_FACT!A$2:F$153,2,FALSE)=C131</f>
        <v>1</v>
      </c>
      <c r="AF131" s="32" t="e">
        <f t="shared" ref="AF131:AF136" si="8">K131&amp;"  "&amp;C131&amp;","</f>
        <v>#N/A</v>
      </c>
      <c r="AG131" s="33" t="str">
        <f t="shared" si="7"/>
        <v>COMMENT ON COLUMN TRANSACTIONS_OWNER.AVY_FACT.SALE_CHRG_RATE_TP_ID IS 'Identifier representing the type of value stored for sales charge';</v>
      </c>
    </row>
    <row r="132" spans="1:33" ht="22.5" hidden="1" customHeight="1">
      <c r="A132" s="18" t="s">
        <v>2657</v>
      </c>
      <c r="B132" s="18" t="s">
        <v>832</v>
      </c>
      <c r="C132" s="18" t="s">
        <v>109</v>
      </c>
      <c r="D132" s="18" t="s">
        <v>63</v>
      </c>
      <c r="E132" s="18" t="s">
        <v>110</v>
      </c>
      <c r="F132" s="45" t="s">
        <v>63</v>
      </c>
      <c r="G132" s="46" t="s">
        <v>834</v>
      </c>
      <c r="H132" s="18"/>
      <c r="I132" s="18" t="s">
        <v>347</v>
      </c>
      <c r="J132" s="18">
        <v>3</v>
      </c>
      <c r="K132" s="18" t="e">
        <f>VLOOKUP(A132,Model!C$2:D$208,2,FALSE)=B132</f>
        <v>#N/A</v>
      </c>
      <c r="L132" s="18" t="e">
        <f>VLOOKUP(A132,Model!C$2:G$208,5,FALSE)=C132</f>
        <v>#N/A</v>
      </c>
      <c r="M132" s="18" t="b">
        <f>VLOOKUP(Table1[[#This Row],[Physical Name of Attribute (Name of column in Table)
Supplied by DA Team]],Table!A$2:H$323,1,FALSE)=Table1[[#This Row],[Physical Name of Attribute (Name of column in Table)
Supplied by DA Team]]</f>
        <v>1</v>
      </c>
      <c r="N132" s="18" t="b">
        <f>VLOOKUP(B132,Table!A$2:F$319,2,FALSE)=Table1[[#This Row],[Data type in Oracle
VARCHAR2(n), DATE, NUMBER(m,n), TIMETSTAMP(6)]]</f>
        <v>0</v>
      </c>
      <c r="O132" s="18" t="b">
        <f>VLOOKUP(B132,Table!A$2:F$231,3,FALSE)=Table1[[#This Row],[Nullable in Table and in Oracle View
NULL, NOT NULL]]</f>
        <v>1</v>
      </c>
      <c r="P132" s="55" t="b">
        <f>VLOOKUP(B132,Table!A$2:H$228,6,FALSE)=Table1[[#This Row],[Business Definition (To go into comments and into Meta Data Hub)]]</f>
        <v>0</v>
      </c>
      <c r="Q132" s="18" t="s">
        <v>68</v>
      </c>
      <c r="R132" s="18" t="s">
        <v>113</v>
      </c>
      <c r="S132" s="18" t="s">
        <v>114</v>
      </c>
      <c r="T132" s="18"/>
      <c r="U132" s="18"/>
      <c r="V132" s="46" t="s">
        <v>2655</v>
      </c>
      <c r="W132" s="46"/>
      <c r="X132" s="18"/>
      <c r="Y132" s="1" t="e">
        <f>VLOOKUP(A132,Model!A$2:J$210,2,FALSE)</f>
        <v>#N/A</v>
      </c>
      <c r="Z132" s="1"/>
      <c r="AA132" s="1"/>
      <c r="AB132" s="1"/>
      <c r="AC132" s="1"/>
      <c r="AD132" s="32" t="b">
        <f>VLOOKUP(B132,AVY_FACT!A$2:A$153,1,FALSE)=B132</f>
        <v>1</v>
      </c>
      <c r="AE132" s="32" t="b">
        <f>VLOOKUP(B132,AVY_FACT!A$2:F$153,2,FALSE)=C132</f>
        <v>1</v>
      </c>
      <c r="AF132" s="32" t="e">
        <f t="shared" si="8"/>
        <v>#N/A</v>
      </c>
      <c r="AG132" s="33" t="str">
        <f t="shared" si="7"/>
        <v>COMMENT ON COLUMN TRANSACTIONS_OWNER.AVY_FACT.SALE_CHRG_RATE_TP_NM IS 'Name of Sales charge type Percentage or Multiplier.';</v>
      </c>
    </row>
    <row r="133" spans="1:33" ht="22.5" hidden="1" customHeight="1">
      <c r="A133" s="18" t="s">
        <v>2658</v>
      </c>
      <c r="B133" s="18" t="s">
        <v>836</v>
      </c>
      <c r="C133" s="55" t="s">
        <v>433</v>
      </c>
      <c r="D133" s="18" t="s">
        <v>63</v>
      </c>
      <c r="E133" s="18" t="s">
        <v>434</v>
      </c>
      <c r="F133" s="45" t="s">
        <v>63</v>
      </c>
      <c r="G133" s="46" t="s">
        <v>838</v>
      </c>
      <c r="H133" s="18"/>
      <c r="I133" s="18" t="s">
        <v>381</v>
      </c>
      <c r="J133" s="18">
        <v>3</v>
      </c>
      <c r="K133" s="18" t="e">
        <f>VLOOKUP(A133,Model!C$2:D$208,2,FALSE)=B133</f>
        <v>#N/A</v>
      </c>
      <c r="L133" s="18" t="e">
        <f>VLOOKUP(A133,Model!C$2:G$208,5,FALSE)=C133</f>
        <v>#N/A</v>
      </c>
      <c r="M133" s="18" t="b">
        <f>VLOOKUP(Table1[[#This Row],[Physical Name of Attribute (Name of column in Table)
Supplied by DA Team]],Table!A$2:H$323,1,FALSE)=Table1[[#This Row],[Physical Name of Attribute (Name of column in Table)
Supplied by DA Team]]</f>
        <v>1</v>
      </c>
      <c r="N133" s="18" t="b">
        <f>VLOOKUP(B133,Table!A$2:F$319,2,FALSE)=Table1[[#This Row],[Data type in Oracle
VARCHAR2(n), DATE, NUMBER(m,n), TIMETSTAMP(6)]]</f>
        <v>0</v>
      </c>
      <c r="O133" s="18" t="b">
        <f>VLOOKUP(B133,Table!A$2:F$231,3,FALSE)=Table1[[#This Row],[Nullable in Table and in Oracle View
NULL, NOT NULL]]</f>
        <v>1</v>
      </c>
      <c r="P133" s="55" t="b">
        <f>VLOOKUP(B133,Table!A$2:H$228,6,FALSE)=Table1[[#This Row],[Business Definition (To go into comments and into Meta Data Hub)]]</f>
        <v>0</v>
      </c>
      <c r="Q133" s="18" t="s">
        <v>68</v>
      </c>
      <c r="R133" s="18" t="s">
        <v>436</v>
      </c>
      <c r="S133" s="18" t="s">
        <v>437</v>
      </c>
      <c r="T133" s="18"/>
      <c r="U133" s="18"/>
      <c r="V133" s="46" t="s">
        <v>839</v>
      </c>
      <c r="W133" s="46"/>
      <c r="X133" s="18"/>
      <c r="Y133" s="1" t="e">
        <f>VLOOKUP(A133,Model!A$2:J$210,2,FALSE)</f>
        <v>#N/A</v>
      </c>
      <c r="Z133" s="1"/>
      <c r="AA133" s="1"/>
      <c r="AB133" s="1"/>
      <c r="AC133" s="1"/>
      <c r="AD133" s="32" t="b">
        <f>VLOOKUP(B133,AVY_FACT!A$2:A$153,1,FALSE)=B133</f>
        <v>1</v>
      </c>
      <c r="AE133" s="32" t="b">
        <f>VLOOKUP(B133,AVY_FACT!A$2:F$153,2,FALSE)=C133</f>
        <v>0</v>
      </c>
      <c r="AF133" s="32" t="e">
        <f t="shared" si="8"/>
        <v>#N/A</v>
      </c>
      <c r="AG133" s="33" t="str">
        <f t="shared" si="7"/>
        <v>COMMENT ON COLUMN TRANSACTIONS_OWNER.AVY_FACT.SCR_AVY_CGY IS 'Represents the specific Category of activity such as a ''Purchase'' or ''Income''. Further refinement of the categories are captured under Activity Type.
This field will be populated only if the transaction has a Security leg.';</v>
      </c>
    </row>
    <row r="134" spans="1:33" ht="22.5" hidden="1" customHeight="1">
      <c r="A134" s="18" t="s">
        <v>2659</v>
      </c>
      <c r="B134" s="18" t="s">
        <v>845</v>
      </c>
      <c r="C134" s="18" t="s">
        <v>101</v>
      </c>
      <c r="D134" s="18" t="s">
        <v>63</v>
      </c>
      <c r="E134" s="18" t="s">
        <v>133</v>
      </c>
      <c r="F134" s="45" t="s">
        <v>63</v>
      </c>
      <c r="G134" s="46" t="s">
        <v>847</v>
      </c>
      <c r="H134" s="18"/>
      <c r="I134" s="18" t="s">
        <v>347</v>
      </c>
      <c r="J134" s="18">
        <v>3</v>
      </c>
      <c r="K134" s="18" t="e">
        <f>VLOOKUP(A134,Model!C$2:D$208,2,FALSE)=B134</f>
        <v>#N/A</v>
      </c>
      <c r="L134" s="18" t="e">
        <f>VLOOKUP(A134,Model!C$2:G$208,5,FALSE)=C134</f>
        <v>#N/A</v>
      </c>
      <c r="M134" s="18" t="b">
        <f>VLOOKUP(Table1[[#This Row],[Physical Name of Attribute (Name of column in Table)
Supplied by DA Team]],Table!A$2:H$323,1,FALSE)=Table1[[#This Row],[Physical Name of Attribute (Name of column in Table)
Supplied by DA Team]]</f>
        <v>1</v>
      </c>
      <c r="N134" s="18" t="b">
        <f>VLOOKUP(B134,Table!A$2:F$319,2,FALSE)=Table1[[#This Row],[Data type in Oracle
VARCHAR2(n), DATE, NUMBER(m,n), TIMETSTAMP(6)]]</f>
        <v>1</v>
      </c>
      <c r="O134" s="18" t="b">
        <f>VLOOKUP(B134,Table!A$2:F$231,3,FALSE)=Table1[[#This Row],[Nullable in Table and in Oracle View
NULL, NOT NULL]]</f>
        <v>1</v>
      </c>
      <c r="P134" s="55" t="b">
        <f>VLOOKUP(B134,Table!A$2:H$228,6,FALSE)=Table1[[#This Row],[Business Definition (To go into comments and into Meta Data Hub)]]</f>
        <v>0</v>
      </c>
      <c r="Q134" s="18" t="s">
        <v>68</v>
      </c>
      <c r="R134" s="18" t="s">
        <v>436</v>
      </c>
      <c r="S134" s="18" t="s">
        <v>449</v>
      </c>
      <c r="T134" s="18"/>
      <c r="U134" s="18"/>
      <c r="V134" s="46" t="s">
        <v>839</v>
      </c>
      <c r="W134" s="46"/>
      <c r="X134" s="18"/>
      <c r="Y134" s="1" t="e">
        <f>VLOOKUP(A134,Model!A$2:J$210,2,FALSE)</f>
        <v>#N/A</v>
      </c>
      <c r="Z134" s="1"/>
      <c r="AA134" s="1"/>
      <c r="AB134" s="1"/>
      <c r="AC134" s="1"/>
      <c r="AD134" s="32" t="b">
        <f>VLOOKUP(B134,AVY_FACT!A$2:A$153,1,FALSE)=B134</f>
        <v>1</v>
      </c>
      <c r="AE134" s="32" t="b">
        <f>VLOOKUP(B134,AVY_FACT!A$2:F$153,2,FALSE)=C134</f>
        <v>1</v>
      </c>
      <c r="AF134" s="32" t="e">
        <f t="shared" si="8"/>
        <v>#N/A</v>
      </c>
      <c r="AG134" s="33" t="str">
        <f t="shared" si="7"/>
        <v>COMMENT ON COLUMN TRANSACTIONS_OWNER.AVY_FACT.SEC_AVY_CL_ID IS 'CDS assigned identifier for the activity class.
This field will be populated only if the transaction has a Security leg.';</v>
      </c>
    </row>
    <row r="135" spans="1:33" ht="22.5" hidden="1" customHeight="1">
      <c r="A135" s="18" t="s">
        <v>2660</v>
      </c>
      <c r="B135" s="18" t="s">
        <v>849</v>
      </c>
      <c r="C135" s="18" t="s">
        <v>90</v>
      </c>
      <c r="D135" s="18" t="s">
        <v>63</v>
      </c>
      <c r="E135" s="18" t="s">
        <v>91</v>
      </c>
      <c r="F135" s="45" t="s">
        <v>63</v>
      </c>
      <c r="G135" s="46" t="s">
        <v>851</v>
      </c>
      <c r="H135" s="18"/>
      <c r="I135" s="18" t="s">
        <v>347</v>
      </c>
      <c r="J135" s="18">
        <v>3</v>
      </c>
      <c r="K135" s="18" t="e">
        <f>VLOOKUP(A135,Model!C$2:D$208,2,FALSE)=B135</f>
        <v>#N/A</v>
      </c>
      <c r="L135" s="18" t="e">
        <f>VLOOKUP(A135,Model!C$2:G$208,5,FALSE)=C135</f>
        <v>#N/A</v>
      </c>
      <c r="M135" s="18" t="b">
        <f>VLOOKUP(Table1[[#This Row],[Physical Name of Attribute (Name of column in Table)
Supplied by DA Team]],Table!A$2:H$323,1,FALSE)=Table1[[#This Row],[Physical Name of Attribute (Name of column in Table)
Supplied by DA Team]]</f>
        <v>1</v>
      </c>
      <c r="N135" s="18" t="b">
        <f>VLOOKUP(B135,Table!A$2:F$319,2,FALSE)=Table1[[#This Row],[Data type in Oracle
VARCHAR2(n), DATE, NUMBER(m,n), TIMETSTAMP(6)]]</f>
        <v>0</v>
      </c>
      <c r="O135" s="18" t="b">
        <f>VLOOKUP(B135,Table!A$2:F$231,3,FALSE)=Table1[[#This Row],[Nullable in Table and in Oracle View
NULL, NOT NULL]]</f>
        <v>1</v>
      </c>
      <c r="P135" s="55" t="b">
        <f>VLOOKUP(B135,Table!A$2:H$228,6,FALSE)=Table1[[#This Row],[Business Definition (To go into comments and into Meta Data Hub)]]</f>
        <v>0</v>
      </c>
      <c r="Q135" s="18" t="s">
        <v>68</v>
      </c>
      <c r="R135" s="18" t="s">
        <v>436</v>
      </c>
      <c r="S135" s="18" t="s">
        <v>455</v>
      </c>
      <c r="T135" s="18"/>
      <c r="U135" s="18"/>
      <c r="V135" s="46" t="s">
        <v>839</v>
      </c>
      <c r="W135" s="46"/>
      <c r="X135" s="18"/>
      <c r="Y135" s="1" t="e">
        <f>VLOOKUP(A135,Model!A$2:J$210,2,FALSE)</f>
        <v>#N/A</v>
      </c>
      <c r="Z135" s="1"/>
      <c r="AA135" s="1"/>
      <c r="AB135" s="1"/>
      <c r="AC135" s="1"/>
      <c r="AD135" s="32" t="b">
        <f>VLOOKUP(B135,AVY_FACT!A$2:A$153,1,FALSE)=B135</f>
        <v>1</v>
      </c>
      <c r="AE135" s="32" t="b">
        <f>VLOOKUP(B135,AVY_FACT!A$2:F$153,2,FALSE)=C135</f>
        <v>1</v>
      </c>
      <c r="AF135" s="32" t="e">
        <f t="shared" si="8"/>
        <v>#N/A</v>
      </c>
      <c r="AG135" s="33" t="str">
        <f t="shared" si="7"/>
        <v>COMMENT ON COLUMN TRANSACTIONS_OWNER.AVY_FACT.SCR_AVY_TP IS 'Represents a more refined view of the Activity Category.
This field will be populated only if the transaction has a Security leg.';</v>
      </c>
    </row>
    <row r="136" spans="1:33" ht="22.5" hidden="1" customHeight="1">
      <c r="A136" s="18" t="s">
        <v>2661</v>
      </c>
      <c r="B136" s="18" t="s">
        <v>857</v>
      </c>
      <c r="C136" s="18" t="s">
        <v>464</v>
      </c>
      <c r="D136" s="18" t="s">
        <v>63</v>
      </c>
      <c r="E136" s="18" t="s">
        <v>465</v>
      </c>
      <c r="F136" s="45" t="s">
        <v>63</v>
      </c>
      <c r="G136" s="46" t="s">
        <v>859</v>
      </c>
      <c r="H136" s="18"/>
      <c r="I136" s="18" t="s">
        <v>347</v>
      </c>
      <c r="J136" s="18">
        <v>3</v>
      </c>
      <c r="K136" s="18" t="e">
        <f>VLOOKUP(A136,Model!C$2:D$208,2,FALSE)=B136</f>
        <v>#N/A</v>
      </c>
      <c r="L136" s="18" t="e">
        <f>VLOOKUP(A136,Model!C$2:G$208,5,FALSE)=C136</f>
        <v>#N/A</v>
      </c>
      <c r="M136" s="18" t="b">
        <f>VLOOKUP(Table1[[#This Row],[Physical Name of Attribute (Name of column in Table)
Supplied by DA Team]],Table!A$2:H$323,1,FALSE)=Table1[[#This Row],[Physical Name of Attribute (Name of column in Table)
Supplied by DA Team]]</f>
        <v>1</v>
      </c>
      <c r="N136" s="18" t="b">
        <f>VLOOKUP(B136,Table!A$2:F$319,2,FALSE)=Table1[[#This Row],[Data type in Oracle
VARCHAR2(n), DATE, NUMBER(m,n), TIMETSTAMP(6)]]</f>
        <v>0</v>
      </c>
      <c r="O136" s="18" t="b">
        <f>VLOOKUP(B136,Table!A$2:F$231,3,FALSE)=Table1[[#This Row],[Nullable in Table and in Oracle View
NULL, NOT NULL]]</f>
        <v>1</v>
      </c>
      <c r="P136" s="55" t="b">
        <f>VLOOKUP(B136,Table!A$2:H$228,6,FALSE)=Table1[[#This Row],[Business Definition (To go into comments and into Meta Data Hub)]]</f>
        <v>0</v>
      </c>
      <c r="Q136" s="18" t="s">
        <v>68</v>
      </c>
      <c r="R136" s="18" t="s">
        <v>375</v>
      </c>
      <c r="S136" s="18" t="s">
        <v>467</v>
      </c>
      <c r="T136" s="18"/>
      <c r="U136" s="18"/>
      <c r="V136" s="46" t="s">
        <v>860</v>
      </c>
      <c r="W136" s="46"/>
      <c r="X136" s="18"/>
      <c r="Y136" s="1" t="e">
        <f>VLOOKUP(A136,Model!A$2:J$210,2,FALSE)</f>
        <v>#N/A</v>
      </c>
      <c r="Z136" s="1"/>
      <c r="AA136" s="1"/>
      <c r="AB136" s="1"/>
      <c r="AC136" s="1"/>
      <c r="AD136" s="32" t="b">
        <f>VLOOKUP(B136,AVY_FACT!A$2:A$153,1,FALSE)=B136</f>
        <v>1</v>
      </c>
      <c r="AE136" s="32" t="b">
        <f>VLOOKUP(B136,AVY_FACT!A$2:F$153,2,FALSE)=C136</f>
        <v>1</v>
      </c>
      <c r="AF136" s="32" t="e">
        <f t="shared" si="8"/>
        <v>#N/A</v>
      </c>
      <c r="AG136" s="33" t="str">
        <f t="shared" si="7"/>
        <v>COMMENT ON COLUMN TRANSACTIONS_OWNER.AVY_FACT.SEC_ALT_DSC_TRAILER_2 IS 'Second line of unformatted, monolingual narrative booking information. SIS trailer field 2. 
This field will be populated only if the transaction has a Security leg.';</v>
      </c>
    </row>
    <row r="137" spans="1:33" ht="22.5" hidden="1" customHeight="1">
      <c r="A137" s="18" t="s">
        <v>2662</v>
      </c>
      <c r="B137" s="18" t="s">
        <v>862</v>
      </c>
      <c r="C137" s="55" t="s">
        <v>62</v>
      </c>
      <c r="D137" s="18" t="s">
        <v>63</v>
      </c>
      <c r="E137" s="18" t="s">
        <v>64</v>
      </c>
      <c r="F137" s="45" t="s">
        <v>63</v>
      </c>
      <c r="G137" s="46" t="s">
        <v>864</v>
      </c>
      <c r="H137" s="18"/>
      <c r="I137" s="18" t="s">
        <v>381</v>
      </c>
      <c r="J137" s="18">
        <v>3</v>
      </c>
      <c r="K137" s="18" t="e">
        <f>VLOOKUP(A137,Model!C$2:D$208,2,FALSE)=B137</f>
        <v>#N/A</v>
      </c>
      <c r="L137" s="18" t="e">
        <f>VLOOKUP(A137,Model!C$2:G$208,5,FALSE)=C137</f>
        <v>#N/A</v>
      </c>
      <c r="M137" s="18" t="b">
        <f>VLOOKUP(Table1[[#This Row],[Physical Name of Attribute (Name of column in Table)
Supplied by DA Team]],Table!A$2:H$323,1,FALSE)=Table1[[#This Row],[Physical Name of Attribute (Name of column in Table)
Supplied by DA Team]]</f>
        <v>1</v>
      </c>
      <c r="N137" s="18" t="b">
        <f>VLOOKUP(B137,Table!A$2:F$319,2,FALSE)=Table1[[#This Row],[Data type in Oracle
VARCHAR2(n), DATE, NUMBER(m,n), TIMETSTAMP(6)]]</f>
        <v>0</v>
      </c>
      <c r="O137" s="18" t="b">
        <f>VLOOKUP(B137,Table!A$2:F$231,3,FALSE)=Table1[[#This Row],[Nullable in Table and in Oracle View
NULL, NOT NULL]]</f>
        <v>1</v>
      </c>
      <c r="P137" s="55" t="b">
        <f>VLOOKUP(B137,Table!A$2:H$228,6,FALSE)=Table1[[#This Row],[Business Definition (To go into comments and into Meta Data Hub)]]</f>
        <v>0</v>
      </c>
      <c r="Q137" s="18" t="s">
        <v>68</v>
      </c>
      <c r="R137" s="18" t="s">
        <v>375</v>
      </c>
      <c r="S137" s="18" t="s">
        <v>473</v>
      </c>
      <c r="T137" s="18"/>
      <c r="U137" s="18"/>
      <c r="V137" s="57" t="s">
        <v>865</v>
      </c>
      <c r="W137" s="46"/>
      <c r="X137" s="18"/>
      <c r="Y137" s="1" t="e">
        <f>VLOOKUP(A137,Model!A$2:J$210,2,FALSE)</f>
        <v>#N/A</v>
      </c>
      <c r="Z137" s="1"/>
      <c r="AA137" s="1"/>
      <c r="AB137" s="1"/>
      <c r="AC137" s="1"/>
      <c r="AD137" s="32" t="b">
        <f>VLOOKUP(B137,AVY_FACT!A$2:A$153,1,FALSE)=B137</f>
        <v>1</v>
      </c>
      <c r="AE137" s="32" t="b">
        <f>VLOOKUP(B137,AVY_FACT!A$2:F$153,2,FALSE)=C137</f>
        <v>0</v>
      </c>
      <c r="AF137" s="32" t="str">
        <f>"ALTER TABLE TRANSACTIONS_OWNER.AVY_FACT MODIFY ("&amp;B137&amp;"  "&amp;C137&amp;");"</f>
        <v>ALTER TABLE TRANSACTIONS_OWNER.AVY_FACT MODIFY (SEC_APA_EXT_QUALFR  VARCHAR2(50));</v>
      </c>
      <c r="AG137" s="33" t="str">
        <f t="shared" si="7"/>
        <v>COMMENT ON COLUMN TRANSACTIONS_OWNER.AVY_FACT.SEC_APA_EXT_QUALFR IS 'Qualifier code from the external source system.
This field will be populated only if the transaction has a Security leg.';</v>
      </c>
    </row>
    <row r="138" spans="1:33" ht="22.5" hidden="1" customHeight="1">
      <c r="A138" s="18" t="s">
        <v>2663</v>
      </c>
      <c r="B138" s="18" t="s">
        <v>867</v>
      </c>
      <c r="C138" s="18" t="s">
        <v>101</v>
      </c>
      <c r="D138" s="18" t="s">
        <v>63</v>
      </c>
      <c r="E138" s="18" t="s">
        <v>133</v>
      </c>
      <c r="F138" s="45" t="s">
        <v>63</v>
      </c>
      <c r="G138" s="46" t="s">
        <v>869</v>
      </c>
      <c r="H138" s="18"/>
      <c r="I138" s="18" t="s">
        <v>347</v>
      </c>
      <c r="J138" s="18">
        <v>3</v>
      </c>
      <c r="K138" s="18" t="e">
        <f>VLOOKUP(A138,Model!C$2:D$208,2,FALSE)=B138</f>
        <v>#N/A</v>
      </c>
      <c r="L138" s="18" t="e">
        <f>VLOOKUP(A138,Model!C$2:G$208,5,FALSE)=C138</f>
        <v>#N/A</v>
      </c>
      <c r="M138" s="18" t="b">
        <f>VLOOKUP(Table1[[#This Row],[Physical Name of Attribute (Name of column in Table)
Supplied by DA Team]],Table!A$2:H$323,1,FALSE)=Table1[[#This Row],[Physical Name of Attribute (Name of column in Table)
Supplied by DA Team]]</f>
        <v>1</v>
      </c>
      <c r="N138" s="18" t="b">
        <f>VLOOKUP(B138,Table!A$2:F$319,2,FALSE)=Table1[[#This Row],[Data type in Oracle
VARCHAR2(n), DATE, NUMBER(m,n), TIMETSTAMP(6)]]</f>
        <v>0</v>
      </c>
      <c r="O138" s="18" t="b">
        <f>VLOOKUP(B138,Table!A$2:F$231,3,FALSE)=Table1[[#This Row],[Nullable in Table and in Oracle View
NULL, NOT NULL]]</f>
        <v>1</v>
      </c>
      <c r="P138" s="55" t="b">
        <f>VLOOKUP(B138,Table!A$2:H$228,6,FALSE)=Table1[[#This Row],[Business Definition (To go into comments and into Meta Data Hub)]]</f>
        <v>0</v>
      </c>
      <c r="Q138" s="18" t="s">
        <v>68</v>
      </c>
      <c r="R138" s="18" t="s">
        <v>375</v>
      </c>
      <c r="S138" s="18" t="s">
        <v>477</v>
      </c>
      <c r="T138" s="18"/>
      <c r="U138" s="18"/>
      <c r="V138" s="46" t="s">
        <v>860</v>
      </c>
      <c r="W138" s="46"/>
      <c r="X138" s="18"/>
      <c r="Y138" s="1" t="e">
        <f>VLOOKUP(A138,Model!A$2:J$210,2,FALSE)</f>
        <v>#N/A</v>
      </c>
      <c r="Z138" s="1"/>
      <c r="AA138" s="1"/>
      <c r="AB138" s="1"/>
      <c r="AC138" s="1"/>
      <c r="AD138" s="32" t="b">
        <f>VLOOKUP(B138,AVY_FACT!A$2:A$153,1,FALSE)=B138</f>
        <v>1</v>
      </c>
      <c r="AE138" s="32" t="b">
        <f>VLOOKUP(B138,AVY_FACT!A$2:F$153,2,FALSE)=C138</f>
        <v>1</v>
      </c>
      <c r="AF138" s="32" t="str">
        <f>"ALTER TABLE TRANSACTIONS_OWNER.AVY_FACT MODIFY ("&amp;B138&amp;"  "&amp;C138&amp;");"</f>
        <v>ALTER TABLE TRANSACTIONS_OWNER.AVY_FACT MODIFY (SEC_APA_ID  NUMBER(38,0));</v>
      </c>
      <c r="AG138" s="33" t="str">
        <f t="shared" si="7"/>
        <v>COMMENT ON COLUMN TRANSACTIONS_OWNER.AVY_FACT.SEC_APA_ID IS 'APA_ID from CCAL APA table. It is recorded here for the purpose of maintaining a link with the source. 
This field will be populated only if the transaction has a Security leg.';</v>
      </c>
    </row>
    <row r="139" spans="1:33" ht="22.5" hidden="1" customHeight="1">
      <c r="A139" s="18" t="s">
        <v>2664</v>
      </c>
      <c r="B139" s="18" t="s">
        <v>871</v>
      </c>
      <c r="C139" s="18" t="s">
        <v>139</v>
      </c>
      <c r="D139" s="18" t="s">
        <v>63</v>
      </c>
      <c r="E139" s="18" t="s">
        <v>140</v>
      </c>
      <c r="F139" s="45" t="s">
        <v>63</v>
      </c>
      <c r="G139" s="46" t="s">
        <v>873</v>
      </c>
      <c r="H139" s="18"/>
      <c r="I139" s="18" t="s">
        <v>347</v>
      </c>
      <c r="J139" s="18">
        <v>3</v>
      </c>
      <c r="K139" s="18" t="e">
        <f>VLOOKUP(A139,Model!C$2:D$208,2,FALSE)=B139</f>
        <v>#N/A</v>
      </c>
      <c r="L139" s="18" t="e">
        <f>VLOOKUP(A139,Model!C$2:G$208,5,FALSE)=C139</f>
        <v>#N/A</v>
      </c>
      <c r="M139" s="18" t="b">
        <f>VLOOKUP(Table1[[#This Row],[Physical Name of Attribute (Name of column in Table)
Supplied by DA Team]],Table!A$2:H$323,1,FALSE)=Table1[[#This Row],[Physical Name of Attribute (Name of column in Table)
Supplied by DA Team]]</f>
        <v>1</v>
      </c>
      <c r="N139" s="18" t="b">
        <f>VLOOKUP(B139,Table!A$2:F$319,2,FALSE)=Table1[[#This Row],[Data type in Oracle
VARCHAR2(n), DATE, NUMBER(m,n), TIMETSTAMP(6)]]</f>
        <v>0</v>
      </c>
      <c r="O139" s="18" t="b">
        <f>VLOOKUP(B139,Table!A$2:F$231,3,FALSE)=Table1[[#This Row],[Nullable in Table and in Oracle View
NULL, NOT NULL]]</f>
        <v>1</v>
      </c>
      <c r="P139" s="55" t="b">
        <f>VLOOKUP(B139,Table!A$2:H$228,6,FALSE)=Table1[[#This Row],[Business Definition (To go into comments and into Meta Data Hub)]]</f>
        <v>0</v>
      </c>
      <c r="Q139" s="18" t="s">
        <v>68</v>
      </c>
      <c r="R139" s="18" t="s">
        <v>113</v>
      </c>
      <c r="S139" s="18" t="s">
        <v>143</v>
      </c>
      <c r="T139" s="18"/>
      <c r="U139" s="18"/>
      <c r="V139" s="46" t="s">
        <v>860</v>
      </c>
      <c r="W139" s="46"/>
      <c r="X139" s="18"/>
      <c r="Y139" s="1" t="e">
        <f>VLOOKUP(A139,Model!A$2:J$210,2,FALSE)</f>
        <v>#N/A</v>
      </c>
      <c r="Z139" s="1"/>
      <c r="AA139" s="1"/>
      <c r="AB139" s="1"/>
      <c r="AC139" s="1"/>
      <c r="AD139" s="32" t="b">
        <f>VLOOKUP(B139,AVY_FACT!A$2:A$153,1,FALSE)=B139</f>
        <v>1</v>
      </c>
      <c r="AE139" s="32" t="b">
        <f>VLOOKUP(B139,AVY_FACT!A$2:F$153,2,FALSE)=C139</f>
        <v>1</v>
      </c>
      <c r="AF139" s="32" t="e">
        <f>K139&amp;"  "&amp;C139&amp;","</f>
        <v>#N/A</v>
      </c>
      <c r="AG139" s="33" t="str">
        <f t="shared" si="7"/>
        <v>COMMENT ON COLUMN TRANSACTIONS_OWNER.AVY_FACT.SCR_APA_TP_CD IS 'Code associated with Asset Package Type Id.
This field will be populated only if the transaction has a Security leg.';</v>
      </c>
    </row>
    <row r="140" spans="1:33" ht="22.5" hidden="1" customHeight="1">
      <c r="A140" s="18" t="s">
        <v>2665</v>
      </c>
      <c r="B140" s="18" t="s">
        <v>875</v>
      </c>
      <c r="C140" s="18" t="s">
        <v>485</v>
      </c>
      <c r="D140" s="18" t="s">
        <v>63</v>
      </c>
      <c r="E140" s="18" t="s">
        <v>486</v>
      </c>
      <c r="F140" s="45" t="s">
        <v>63</v>
      </c>
      <c r="G140" s="46" t="s">
        <v>877</v>
      </c>
      <c r="H140" s="18"/>
      <c r="I140" s="18" t="s">
        <v>347</v>
      </c>
      <c r="J140" s="18">
        <v>3</v>
      </c>
      <c r="K140" s="18" t="e">
        <f>VLOOKUP(A140,Model!C$2:D$208,2,FALSE)=B140</f>
        <v>#N/A</v>
      </c>
      <c r="L140" s="18" t="e">
        <f>VLOOKUP(A140,Model!C$2:G$208,5,FALSE)=C140</f>
        <v>#N/A</v>
      </c>
      <c r="M140" s="18" t="b">
        <f>VLOOKUP(Table1[[#This Row],[Physical Name of Attribute (Name of column in Table)
Supplied by DA Team]],Table!A$2:H$323,1,FALSE)=Table1[[#This Row],[Physical Name of Attribute (Name of column in Table)
Supplied by DA Team]]</f>
        <v>1</v>
      </c>
      <c r="N140" s="18" t="b">
        <f>VLOOKUP(B140,Table!A$2:F$319,2,FALSE)=Table1[[#This Row],[Data type in Oracle
VARCHAR2(n), DATE, NUMBER(m,n), TIMETSTAMP(6)]]</f>
        <v>0</v>
      </c>
      <c r="O140" s="18" t="b">
        <f>VLOOKUP(B140,Table!A$2:F$231,3,FALSE)=Table1[[#This Row],[Nullable in Table and in Oracle View
NULL, NOT NULL]]</f>
        <v>0</v>
      </c>
      <c r="P140" s="55" t="b">
        <f>VLOOKUP(B140,Table!A$2:H$228,6,FALSE)=Table1[[#This Row],[Business Definition (To go into comments and into Meta Data Hub)]]</f>
        <v>0</v>
      </c>
      <c r="Q140" s="18" t="s">
        <v>68</v>
      </c>
      <c r="R140" s="18" t="s">
        <v>113</v>
      </c>
      <c r="S140" s="18" t="s">
        <v>488</v>
      </c>
      <c r="T140" s="18"/>
      <c r="U140" s="18"/>
      <c r="V140" s="46" t="s">
        <v>860</v>
      </c>
      <c r="W140" s="46"/>
      <c r="X140" s="18"/>
      <c r="Y140" s="1" t="e">
        <f>VLOOKUP(A140,Model!A$2:J$210,2,FALSE)</f>
        <v>#N/A</v>
      </c>
      <c r="Z140" s="1"/>
      <c r="AA140" s="1"/>
      <c r="AB140" s="1"/>
      <c r="AC140" s="1"/>
      <c r="AD140" s="32" t="b">
        <f>VLOOKUP(B140,AVY_FACT!A$2:A$153,1,FALSE)=B140</f>
        <v>1</v>
      </c>
      <c r="AE140" s="32" t="b">
        <f>VLOOKUP(B140,AVY_FACT!A$2:F$153,2,FALSE)=C140</f>
        <v>1</v>
      </c>
      <c r="AF140" s="32" t="str">
        <f>"ALTER TABLE TRANSACTIONS_OWNER.AVY_FACT MODIFY ("&amp;B140&amp;"  "&amp;C140&amp;");"</f>
        <v>ALTER TABLE TRANSACTIONS_OWNER.AVY_FACT MODIFY (SCR_APA_TP_DSC  VARCHAR2(1000));</v>
      </c>
      <c r="AG140" s="33" t="str">
        <f t="shared" si="7"/>
        <v>COMMENT ON COLUMN TRANSACTIONS_OWNER.AVY_FACT.SCR_APA_TP_DSC IS 'Description associated with Asset Package Type Id.
This field will be populated only if the transaction has a Security leg.';</v>
      </c>
    </row>
    <row r="141" spans="1:33" ht="22.5" hidden="1" customHeight="1">
      <c r="A141" s="18" t="s">
        <v>2666</v>
      </c>
      <c r="B141" s="18" t="s">
        <v>879</v>
      </c>
      <c r="C141" s="18" t="s">
        <v>101</v>
      </c>
      <c r="D141" s="18" t="s">
        <v>63</v>
      </c>
      <c r="E141" s="18" t="s">
        <v>133</v>
      </c>
      <c r="F141" s="45" t="s">
        <v>63</v>
      </c>
      <c r="G141" s="12" t="s">
        <v>880</v>
      </c>
      <c r="H141" s="18"/>
      <c r="I141" s="18" t="s">
        <v>347</v>
      </c>
      <c r="J141" s="18">
        <v>3</v>
      </c>
      <c r="K141" s="18" t="e">
        <f>VLOOKUP(A141,Model!C$2:D$208,2,FALSE)=B141</f>
        <v>#N/A</v>
      </c>
      <c r="L141" s="18" t="e">
        <f>VLOOKUP(A141,Model!C$2:G$208,5,FALSE)=C141</f>
        <v>#N/A</v>
      </c>
      <c r="M141" s="18" t="b">
        <f>VLOOKUP(Table1[[#This Row],[Physical Name of Attribute (Name of column in Table)
Supplied by DA Team]],Table!A$2:H$323,1,FALSE)=Table1[[#This Row],[Physical Name of Attribute (Name of column in Table)
Supplied by DA Team]]</f>
        <v>1</v>
      </c>
      <c r="N141" s="18" t="b">
        <f>VLOOKUP(B141,Table!A$2:F$319,2,FALSE)=Table1[[#This Row],[Data type in Oracle
VARCHAR2(n), DATE, NUMBER(m,n), TIMETSTAMP(6)]]</f>
        <v>1</v>
      </c>
      <c r="O141" s="18" t="b">
        <f>VLOOKUP(B141,Table!A$2:F$231,3,FALSE)=Table1[[#This Row],[Nullable in Table and in Oracle View
NULL, NOT NULL]]</f>
        <v>1</v>
      </c>
      <c r="P141" s="55" t="b">
        <f>VLOOKUP(B141,Table!A$2:H$228,6,FALSE)=Table1[[#This Row],[Business Definition (To go into comments and into Meta Data Hub)]]</f>
        <v>0</v>
      </c>
      <c r="Q141" s="18" t="s">
        <v>68</v>
      </c>
      <c r="R141" s="18" t="s">
        <v>375</v>
      </c>
      <c r="S141" s="18" t="s">
        <v>492</v>
      </c>
      <c r="T141" s="18"/>
      <c r="U141" s="18"/>
      <c r="V141" s="46" t="s">
        <v>860</v>
      </c>
      <c r="W141" s="46"/>
      <c r="X141" s="18"/>
      <c r="Y141" s="1" t="e">
        <f>VLOOKUP(A141,Model!A$2:J$210,2,FALSE)</f>
        <v>#N/A</v>
      </c>
      <c r="Z141" s="1"/>
      <c r="AA141" s="1"/>
      <c r="AB141" s="1"/>
      <c r="AC141" s="1"/>
      <c r="AD141" s="32" t="b">
        <f>VLOOKUP(B141,AVY_FACT!A$2:A$153,1,FALSE)=B141</f>
        <v>1</v>
      </c>
      <c r="AE141" s="32" t="b">
        <f>VLOOKUP(B141,AVY_FACT!A$2:F$153,2,FALSE)=C141</f>
        <v>1</v>
      </c>
      <c r="AF141" s="32" t="e">
        <f>K141&amp;"  "&amp;C141&amp;","</f>
        <v>#N/A</v>
      </c>
      <c r="AG141" s="33" t="str">
        <f t="shared" si="7"/>
        <v>COMMENT ON COLUMN TRANSACTIONS_OWNER.AVY_FACT.SEC_APA_TP_ID IS 'Asset Pacakge type Id from CCAL core.
This field will be populated only if the transaction has a Security leg.';</v>
      </c>
    </row>
    <row r="142" spans="1:33" ht="22.5" hidden="1" customHeight="1">
      <c r="A142" s="18" t="s">
        <v>2667</v>
      </c>
      <c r="B142" s="18" t="s">
        <v>882</v>
      </c>
      <c r="C142" s="55" t="s">
        <v>109</v>
      </c>
      <c r="D142" s="18" t="s">
        <v>63</v>
      </c>
      <c r="E142" s="18" t="s">
        <v>110</v>
      </c>
      <c r="F142" s="45" t="s">
        <v>63</v>
      </c>
      <c r="G142" s="46" t="s">
        <v>884</v>
      </c>
      <c r="H142" s="18"/>
      <c r="I142" s="18" t="s">
        <v>381</v>
      </c>
      <c r="J142" s="18">
        <v>3</v>
      </c>
      <c r="K142" s="18" t="e">
        <f>VLOOKUP(A142,Model!C$2:D$208,2,FALSE)=B142</f>
        <v>#N/A</v>
      </c>
      <c r="L142" s="18" t="e">
        <f>VLOOKUP(A142,Model!C$2:G$208,5,FALSE)=C142</f>
        <v>#N/A</v>
      </c>
      <c r="M142" s="18" t="b">
        <f>VLOOKUP(Table1[[#This Row],[Physical Name of Attribute (Name of column in Table)
Supplied by DA Team]],Table!A$2:H$323,1,FALSE)=Table1[[#This Row],[Physical Name of Attribute (Name of column in Table)
Supplied by DA Team]]</f>
        <v>1</v>
      </c>
      <c r="N142" s="18" t="b">
        <f>VLOOKUP(B142,Table!A$2:F$319,2,FALSE)=Table1[[#This Row],[Data type in Oracle
VARCHAR2(n), DATE, NUMBER(m,n), TIMETSTAMP(6)]]</f>
        <v>0</v>
      </c>
      <c r="O142" s="18" t="b">
        <f>VLOOKUP(B142,Table!A$2:F$231,3,FALSE)=Table1[[#This Row],[Nullable in Table and in Oracle View
NULL, NOT NULL]]</f>
        <v>1</v>
      </c>
      <c r="P142" s="55" t="b">
        <f>VLOOKUP(B142,Table!A$2:H$228,6,FALSE)=Table1[[#This Row],[Business Definition (To go into comments and into Meta Data Hub)]]</f>
        <v>0</v>
      </c>
      <c r="Q142" s="18" t="s">
        <v>68</v>
      </c>
      <c r="R142" s="18" t="s">
        <v>113</v>
      </c>
      <c r="S142" s="18" t="s">
        <v>114</v>
      </c>
      <c r="T142" s="18"/>
      <c r="U142" s="18"/>
      <c r="V142" s="46" t="s">
        <v>860</v>
      </c>
      <c r="W142" s="46" t="s">
        <v>105</v>
      </c>
      <c r="X142" s="18"/>
      <c r="Y142" s="1" t="e">
        <f>VLOOKUP(A142,Model!A$2:J$210,2,FALSE)</f>
        <v>#N/A</v>
      </c>
      <c r="Z142" s="1"/>
      <c r="AA142" s="1"/>
      <c r="AB142" s="1"/>
      <c r="AC142" s="1"/>
      <c r="AD142" s="32" t="b">
        <f>VLOOKUP(B142,AVY_FACT!A$2:A$153,1,FALSE)=B142</f>
        <v>1</v>
      </c>
      <c r="AE142" s="32" t="b">
        <f>VLOOKUP(B142,AVY_FACT!A$2:F$153,2,FALSE)=C142</f>
        <v>0</v>
      </c>
      <c r="AF142" s="32" t="e">
        <f>K142&amp;"  "&amp;C142&amp;","</f>
        <v>#N/A</v>
      </c>
      <c r="AG142" s="33" t="str">
        <f t="shared" si="7"/>
        <v>COMMENT ON COLUMN TRANSACTIONS_OWNER.AVY_FACT.SCR_APA_TP_NM IS 'Name of Asset Package Type Id.
This field will be populated only if the transaction has a Security leg.';</v>
      </c>
    </row>
    <row r="143" spans="1:33" ht="22.5" hidden="1" customHeight="1">
      <c r="A143" s="18" t="s">
        <v>2668</v>
      </c>
      <c r="B143" s="18" t="s">
        <v>886</v>
      </c>
      <c r="C143" s="18" t="s">
        <v>101</v>
      </c>
      <c r="D143" s="18" t="s">
        <v>63</v>
      </c>
      <c r="E143" s="18" t="s">
        <v>133</v>
      </c>
      <c r="F143" s="45" t="s">
        <v>63</v>
      </c>
      <c r="G143" s="46" t="s">
        <v>888</v>
      </c>
      <c r="H143" s="18"/>
      <c r="I143" s="18" t="s">
        <v>347</v>
      </c>
      <c r="J143" s="18">
        <v>3</v>
      </c>
      <c r="K143" s="18" t="e">
        <f>VLOOKUP(A143,Model!C$2:D$208,2,FALSE)=B143</f>
        <v>#N/A</v>
      </c>
      <c r="L143" s="18" t="e">
        <f>VLOOKUP(A143,Model!C$2:G$208,5,FALSE)=C143</f>
        <v>#N/A</v>
      </c>
      <c r="M143" s="18" t="b">
        <f>VLOOKUP(Table1[[#This Row],[Physical Name of Attribute (Name of column in Table)
Supplied by DA Team]],Table!A$2:H$323,1,FALSE)=Table1[[#This Row],[Physical Name of Attribute (Name of column in Table)
Supplied by DA Team]]</f>
        <v>1</v>
      </c>
      <c r="N143" s="18" t="b">
        <f>VLOOKUP(B143,Table!A$2:F$319,2,FALSE)=Table1[[#This Row],[Data type in Oracle
VARCHAR2(n), DATE, NUMBER(m,n), TIMETSTAMP(6)]]</f>
        <v>1</v>
      </c>
      <c r="O143" s="18" t="b">
        <f>VLOOKUP(B143,Table!A$2:F$231,3,FALSE)=Table1[[#This Row],[Nullable in Table and in Oracle View
NULL, NOT NULL]]</f>
        <v>1</v>
      </c>
      <c r="P143" s="55" t="b">
        <f>VLOOKUP(B143,Table!A$2:H$228,6,FALSE)=Table1[[#This Row],[Business Definition (To go into comments and into Meta Data Hub)]]</f>
        <v>0</v>
      </c>
      <c r="Q143" s="18" t="s">
        <v>68</v>
      </c>
      <c r="R143" s="18" t="s">
        <v>889</v>
      </c>
      <c r="S143" s="18" t="s">
        <v>502</v>
      </c>
      <c r="T143" s="18"/>
      <c r="U143" s="18"/>
      <c r="V143" s="46" t="s">
        <v>2669</v>
      </c>
      <c r="W143" s="46"/>
      <c r="X143" s="18"/>
      <c r="Y143" s="1" t="e">
        <f>VLOOKUP(A143,Model!A$2:J$210,2,FALSE)</f>
        <v>#N/A</v>
      </c>
      <c r="Z143" s="1"/>
      <c r="AA143" s="1"/>
      <c r="AB143" s="1"/>
      <c r="AC143" s="1"/>
      <c r="AD143" s="32" t="b">
        <f>VLOOKUP(B143,AVY_FACT!A$2:A$153,1,FALSE)=B143</f>
        <v>1</v>
      </c>
      <c r="AE143" s="32" t="b">
        <f>VLOOKUP(B143,AVY_FACT!A$2:F$153,2,FALSE)=C143</f>
        <v>1</v>
      </c>
      <c r="AF143" s="32" t="str">
        <f>"ALTER TABLE TRANSACTIONS_OWNER.AVY_FACT MODIFY ("&amp;B143&amp;"  "&amp;C143&amp;");"</f>
        <v>ALTER TABLE TRANSACTIONS_OWNER.AVY_FACT MODIFY (SEC_CIRD_PD_ID  NUMBER(38,0));</v>
      </c>
      <c r="AG143" s="33" t="str">
        <f t="shared" si="7"/>
        <v>COMMENT ON COLUMN TRANSACTIONS_OWNER.AVY_FACT.SEC_CIRD_PD_ID IS 'CIRD identifier for product.
This field will be populated only if the transaction has a Security leg.';</v>
      </c>
    </row>
    <row r="144" spans="1:33" ht="22.5" hidden="1" customHeight="1">
      <c r="A144" s="18" t="s">
        <v>891</v>
      </c>
      <c r="B144" s="18" t="s">
        <v>892</v>
      </c>
      <c r="C144" s="55" t="s">
        <v>139</v>
      </c>
      <c r="D144" s="18" t="s">
        <v>63</v>
      </c>
      <c r="E144" s="18" t="s">
        <v>140</v>
      </c>
      <c r="F144" s="45" t="s">
        <v>63</v>
      </c>
      <c r="G144" s="12" t="s">
        <v>893</v>
      </c>
      <c r="H144" s="18"/>
      <c r="I144" s="18" t="s">
        <v>381</v>
      </c>
      <c r="J144" s="18">
        <v>3</v>
      </c>
      <c r="K144" s="18" t="e">
        <f>VLOOKUP(A144,Model!C$2:D$208,2,FALSE)=B144</f>
        <v>#N/A</v>
      </c>
      <c r="L144" s="18" t="e">
        <f>VLOOKUP(A144,Model!C$2:G$208,5,FALSE)=C144</f>
        <v>#N/A</v>
      </c>
      <c r="M144" s="18" t="b">
        <f>VLOOKUP(Table1[[#This Row],[Physical Name of Attribute (Name of column in Table)
Supplied by DA Team]],Table!A$2:H$323,1,FALSE)=Table1[[#This Row],[Physical Name of Attribute (Name of column in Table)
Supplied by DA Team]]</f>
        <v>1</v>
      </c>
      <c r="N144" s="18" t="b">
        <f>VLOOKUP(B144,Table!A$2:F$319,2,FALSE)=Table1[[#This Row],[Data type in Oracle
VARCHAR2(n), DATE, NUMBER(m,n), TIMETSTAMP(6)]]</f>
        <v>0</v>
      </c>
      <c r="O144" s="18" t="b">
        <f>VLOOKUP(B144,Table!A$2:F$231,3,FALSE)=Table1[[#This Row],[Nullable in Table and in Oracle View
NULL, NOT NULL]]</f>
        <v>1</v>
      </c>
      <c r="P144" s="55" t="b">
        <f>VLOOKUP(B144,Table!A$2:H$228,6,FALSE)=Table1[[#This Row],[Business Definition (To go into comments and into Meta Data Hub)]]</f>
        <v>0</v>
      </c>
      <c r="Q144" s="18" t="s">
        <v>68</v>
      </c>
      <c r="R144" s="18" t="s">
        <v>113</v>
      </c>
      <c r="S144" s="18" t="s">
        <v>143</v>
      </c>
      <c r="T144" s="18"/>
      <c r="U144" s="18"/>
      <c r="V144" s="46" t="s">
        <v>894</v>
      </c>
      <c r="W144" s="46"/>
      <c r="X144" s="18"/>
      <c r="Y144" s="1" t="e">
        <f>VLOOKUP(A144,Model!A$2:J$210,2,FALSE)</f>
        <v>#N/A</v>
      </c>
      <c r="Z144" s="1"/>
      <c r="AA144" s="1"/>
      <c r="AB144" s="1"/>
      <c r="AC144" s="1"/>
      <c r="AD144" s="32" t="b">
        <f>VLOOKUP(B144,AVY_FACT!A$2:A$153,1,FALSE)=B144</f>
        <v>1</v>
      </c>
      <c r="AE144" s="32" t="b">
        <f>VLOOKUP(B144,AVY_FACT!A$2:F$153,2,FALSE)=C144</f>
        <v>0</v>
      </c>
      <c r="AF144" s="32" t="str">
        <f>"ALTER TABLE TRANSACTIONS_OWNER.AVY_FACT MODIFY ("&amp;B144&amp;"  "&amp;C144&amp;");"</f>
        <v>ALTER TABLE TRANSACTIONS_OWNER.AVY_FACT MODIFY (SEC_DB_CR_CD  VARCHAR2(20));</v>
      </c>
      <c r="AG144" s="33" t="str">
        <f t="shared" si="7"/>
        <v>COMMENT ON COLUMN TRANSACTIONS_OWNER.AVY_FACT.SEC_DB_CR_CD IS 'A code representing Debit / Credit (e.g. D / C)
This field will be populated only if the transaction has a Security leg.';</v>
      </c>
    </row>
    <row r="145" spans="1:33" ht="22.5" hidden="1" customHeight="1">
      <c r="A145" s="18" t="s">
        <v>895</v>
      </c>
      <c r="B145" s="18" t="s">
        <v>896</v>
      </c>
      <c r="C145" s="55" t="s">
        <v>90</v>
      </c>
      <c r="D145" s="18" t="s">
        <v>63</v>
      </c>
      <c r="E145" s="18" t="s">
        <v>91</v>
      </c>
      <c r="F145" s="45" t="s">
        <v>63</v>
      </c>
      <c r="G145" s="46" t="s">
        <v>898</v>
      </c>
      <c r="H145" s="18"/>
      <c r="I145" s="18" t="s">
        <v>381</v>
      </c>
      <c r="J145" s="18">
        <v>3</v>
      </c>
      <c r="K145" s="18" t="e">
        <f>VLOOKUP(A145,Model!C$2:D$208,2,FALSE)=B145</f>
        <v>#N/A</v>
      </c>
      <c r="L145" s="18" t="e">
        <f>VLOOKUP(A145,Model!C$2:G$208,5,FALSE)=C145</f>
        <v>#N/A</v>
      </c>
      <c r="M145" s="18" t="b">
        <f>VLOOKUP(Table1[[#This Row],[Physical Name of Attribute (Name of column in Table)
Supplied by DA Team]],Table!A$2:H$323,1,FALSE)=Table1[[#This Row],[Physical Name of Attribute (Name of column in Table)
Supplied by DA Team]]</f>
        <v>1</v>
      </c>
      <c r="N145" s="18" t="b">
        <f>VLOOKUP(B145,Table!A$2:F$319,2,FALSE)=Table1[[#This Row],[Data type in Oracle
VARCHAR2(n), DATE, NUMBER(m,n), TIMETSTAMP(6)]]</f>
        <v>0</v>
      </c>
      <c r="O145" s="18" t="b">
        <f>VLOOKUP(B145,Table!A$2:F$231,3,FALSE)=Table1[[#This Row],[Nullable in Table and in Oracle View
NULL, NOT NULL]]</f>
        <v>1</v>
      </c>
      <c r="P145" s="55" t="b">
        <f>VLOOKUP(B145,Table!A$2:H$228,6,FALSE)=Table1[[#This Row],[Business Definition (To go into comments and into Meta Data Hub)]]</f>
        <v>0</v>
      </c>
      <c r="Q145" s="18" t="s">
        <v>68</v>
      </c>
      <c r="R145" s="18" t="s">
        <v>113</v>
      </c>
      <c r="S145" s="18" t="s">
        <v>114</v>
      </c>
      <c r="T145" s="18"/>
      <c r="U145" s="18"/>
      <c r="V145" s="46" t="s">
        <v>894</v>
      </c>
      <c r="W145" s="46"/>
      <c r="X145" s="18"/>
      <c r="Y145" s="1" t="e">
        <f>VLOOKUP(A145,Model!A$2:J$210,2,FALSE)</f>
        <v>#N/A</v>
      </c>
      <c r="Z145" s="1"/>
      <c r="AA145" s="1"/>
      <c r="AB145" s="1"/>
      <c r="AC145" s="1"/>
      <c r="AD145" s="32" t="b">
        <f>VLOOKUP(B145,AVY_FACT!A$2:A$153,1,FALSE)=B145</f>
        <v>1</v>
      </c>
      <c r="AE145" s="32" t="b">
        <f>VLOOKUP(B145,AVY_FACT!A$2:F$153,2,FALSE)=C145</f>
        <v>0</v>
      </c>
      <c r="AF145" s="32" t="e">
        <f>K145&amp;"  "&amp;C145&amp;","</f>
        <v>#N/A</v>
      </c>
      <c r="AG145" s="33" t="str">
        <f t="shared" si="7"/>
        <v>COMMENT ON COLUMN TRANSACTIONS_OWNER.AVY_FACT.SEC_DB_CR_NM IS 'A Name representing Debit / Credit (e.g. Debit / Credit)
This field will be populated only if the transaction has a Security leg.';</v>
      </c>
    </row>
    <row r="146" spans="1:33" ht="22.5" hidden="1" customHeight="1">
      <c r="A146" s="18" t="s">
        <v>899</v>
      </c>
      <c r="B146" s="18" t="s">
        <v>900</v>
      </c>
      <c r="C146" s="18" t="s">
        <v>464</v>
      </c>
      <c r="D146" s="18" t="s">
        <v>63</v>
      </c>
      <c r="E146" s="18" t="s">
        <v>465</v>
      </c>
      <c r="F146" s="45" t="s">
        <v>63</v>
      </c>
      <c r="G146" s="46" t="s">
        <v>902</v>
      </c>
      <c r="H146" s="18"/>
      <c r="I146" s="18" t="s">
        <v>347</v>
      </c>
      <c r="J146" s="18">
        <v>3</v>
      </c>
      <c r="K146" s="18" t="e">
        <f>VLOOKUP(A146,Model!C$2:D$208,2,FALSE)=B146</f>
        <v>#N/A</v>
      </c>
      <c r="L146" s="18" t="e">
        <f>VLOOKUP(A146,Model!C$2:G$208,5,FALSE)=C146</f>
        <v>#N/A</v>
      </c>
      <c r="M146" s="18" t="b">
        <f>VLOOKUP(Table1[[#This Row],[Physical Name of Attribute (Name of column in Table)
Supplied by DA Team]],Table!A$2:H$323,1,FALSE)=Table1[[#This Row],[Physical Name of Attribute (Name of column in Table)
Supplied by DA Team]]</f>
        <v>1</v>
      </c>
      <c r="N146" s="18" t="b">
        <f>VLOOKUP(B146,Table!A$2:F$319,2,FALSE)=Table1[[#This Row],[Data type in Oracle
VARCHAR2(n), DATE, NUMBER(m,n), TIMETSTAMP(6)]]</f>
        <v>0</v>
      </c>
      <c r="O146" s="18" t="b">
        <f>VLOOKUP(B146,Table!A$2:F$231,3,FALSE)=Table1[[#This Row],[Nullable in Table and in Oracle View
NULL, NOT NULL]]</f>
        <v>1</v>
      </c>
      <c r="P146" s="55" t="b">
        <f>VLOOKUP(B146,Table!A$2:H$228,6,FALSE)=Table1[[#This Row],[Business Definition (To go into comments and into Meta Data Hub)]]</f>
        <v>0</v>
      </c>
      <c r="Q146" s="18" t="s">
        <v>68</v>
      </c>
      <c r="R146" s="18" t="s">
        <v>375</v>
      </c>
      <c r="S146" s="18" t="s">
        <v>516</v>
      </c>
      <c r="T146" s="18"/>
      <c r="U146" s="18"/>
      <c r="V146" s="46" t="s">
        <v>860</v>
      </c>
      <c r="W146" s="46"/>
      <c r="X146" s="18"/>
      <c r="Y146" s="1" t="e">
        <f>VLOOKUP(A146,Model!A$2:J$210,2,FALSE)</f>
        <v>#N/A</v>
      </c>
      <c r="Z146" s="1"/>
      <c r="AA146" s="1"/>
      <c r="AB146" s="1"/>
      <c r="AC146" s="1"/>
      <c r="AD146" s="32" t="b">
        <f>VLOOKUP(B146,AVY_FACT!A$2:A$153,1,FALSE)=B146</f>
        <v>1</v>
      </c>
      <c r="AE146" s="32" t="b">
        <f>VLOOKUP(B146,AVY_FACT!A$2:F$153,2,FALSE)=C146</f>
        <v>1</v>
      </c>
      <c r="AF146" s="32" t="str">
        <f>"ALTER TABLE TRANSACTIONS_OWNER.AVY_FACT MODIFY ("&amp;B146&amp;"  "&amp;C146&amp;");"</f>
        <v>ALTER TABLE TRANSACTIONS_OWNER.AVY_FACT MODIFY (SEC_DSC_TRAILER_1  VARCHAR2(256));</v>
      </c>
      <c r="AG146" s="33" t="str">
        <f t="shared" si="7"/>
        <v>COMMENT ON COLUMN TRANSACTIONS_OWNER.AVY_FACT.SEC_DSC_TRAILER_1 IS 'First line of unformatted, monolingual narrative booking information. SIS Trailer field 1.
This field will be populated only if the transaction has a Security leg.';</v>
      </c>
    </row>
    <row r="147" spans="1:33" ht="22.5" hidden="1" customHeight="1">
      <c r="A147" s="50" t="s">
        <v>920</v>
      </c>
      <c r="B147" s="18" t="s">
        <v>921</v>
      </c>
      <c r="C147" s="18" t="s">
        <v>101</v>
      </c>
      <c r="D147" s="18" t="s">
        <v>345</v>
      </c>
      <c r="E147" s="18" t="s">
        <v>133</v>
      </c>
      <c r="F147" s="45" t="s">
        <v>63</v>
      </c>
      <c r="G147" s="46" t="s">
        <v>922</v>
      </c>
      <c r="H147" s="18"/>
      <c r="I147" s="18" t="s">
        <v>347</v>
      </c>
      <c r="J147" s="18">
        <v>3</v>
      </c>
      <c r="K147" s="18" t="e">
        <f>VLOOKUP(A147,Model!C$2:D$208,2,FALSE)=B147</f>
        <v>#N/A</v>
      </c>
      <c r="L147" s="18" t="e">
        <f>VLOOKUP(A147,Model!C$2:G$208,5,FALSE)=C147</f>
        <v>#N/A</v>
      </c>
      <c r="M147" s="18" t="b">
        <f>VLOOKUP(Table1[[#This Row],[Physical Name of Attribute (Name of column in Table)
Supplied by DA Team]],Table!A$2:H$323,1,FALSE)=Table1[[#This Row],[Physical Name of Attribute (Name of column in Table)
Supplied by DA Team]]</f>
        <v>1</v>
      </c>
      <c r="N147" s="18" t="b">
        <f>VLOOKUP(B147,Table!A$2:F$319,2,FALSE)=Table1[[#This Row],[Data type in Oracle
VARCHAR2(n), DATE, NUMBER(m,n), TIMETSTAMP(6)]]</f>
        <v>0</v>
      </c>
      <c r="O147" s="18" t="b">
        <f>VLOOKUP(B147,Table!A$2:F$231,3,FALSE)=Table1[[#This Row],[Nullable in Table and in Oracle View
NULL, NOT NULL]]</f>
        <v>0</v>
      </c>
      <c r="P147" s="55" t="b">
        <f>VLOOKUP(B147,Table!A$2:H$228,6,FALSE)=Table1[[#This Row],[Business Definition (To go into comments and into Meta Data Hub)]]</f>
        <v>0</v>
      </c>
      <c r="Q147" s="18" t="s">
        <v>355</v>
      </c>
      <c r="R147" s="18" t="s">
        <v>548</v>
      </c>
      <c r="S147" s="18" t="s">
        <v>549</v>
      </c>
      <c r="T147" s="18"/>
      <c r="U147" s="18"/>
      <c r="V147" s="46" t="s">
        <v>923</v>
      </c>
      <c r="W147" s="46" t="s">
        <v>313</v>
      </c>
      <c r="X147" s="18"/>
      <c r="Y147" s="1" t="e">
        <f>VLOOKUP(A147,Model!A$2:J$210,2,FALSE)</f>
        <v>#N/A</v>
      </c>
      <c r="Z147" s="1"/>
      <c r="AA147" s="1"/>
      <c r="AB147" s="1"/>
      <c r="AC147" s="1"/>
      <c r="AD147" s="32" t="b">
        <f>VLOOKUP(B147,AVY_FACT!A$2:A$153,1,FALSE)=B147</f>
        <v>1</v>
      </c>
      <c r="AE147" s="32" t="b">
        <f>VLOOKUP(B147,AVY_FACT!A$2:F$153,2,FALSE)=C147</f>
        <v>1</v>
      </c>
      <c r="AF147" s="32" t="str">
        <f>B147&amp;"  "&amp;C147&amp;","</f>
        <v>SEC_PD_DIM_ID  NUMBER(38,0),</v>
      </c>
      <c r="AG147" s="33" t="str">
        <f t="shared" si="7"/>
        <v>COMMENT ON COLUMN TRANSACTIONS_OWNER.AVY_FACT.SEC_PD_DIM_ID IS 'Surrogate key for Instrument Product Dim.
This field will be populated only if the transaction has a Security leg.';</v>
      </c>
    </row>
    <row r="148" spans="1:33" ht="22.5" customHeight="1">
      <c r="A148" s="18" t="s">
        <v>1156</v>
      </c>
      <c r="B148" s="71" t="s">
        <v>1157</v>
      </c>
      <c r="C148" s="18" t="s">
        <v>90</v>
      </c>
      <c r="D148" s="18" t="s">
        <v>63</v>
      </c>
      <c r="E148" s="18" t="s">
        <v>91</v>
      </c>
      <c r="F148" s="45" t="s">
        <v>63</v>
      </c>
      <c r="G148" s="46" t="s">
        <v>1159</v>
      </c>
      <c r="H148" s="18" t="s">
        <v>1160</v>
      </c>
      <c r="I148" s="18" t="s">
        <v>67</v>
      </c>
      <c r="J148" s="18">
        <v>1</v>
      </c>
      <c r="K148" s="18" t="e">
        <f>VLOOKUP(A148,Model!C$2:D$208,2,FALSE)=B148</f>
        <v>#N/A</v>
      </c>
      <c r="L148" s="18" t="e">
        <f>VLOOKUP(A148,Model!C$2:G$208,5,FALSE)=C148</f>
        <v>#N/A</v>
      </c>
      <c r="M148" s="18" t="b">
        <f>VLOOKUP(Table1[[#This Row],[Physical Name of Attribute (Name of column in Table)
Supplied by DA Team]],Table!A$2:H$323,1,FALSE)=Table1[[#This Row],[Physical Name of Attribute (Name of column in Table)
Supplied by DA Team]]</f>
        <v>1</v>
      </c>
      <c r="N148" s="18" t="e">
        <f>VLOOKUP(B148,Table!A$2:F$319,2,FALSE)=Table1[[#This Row],[Data type in Oracle
VARCHAR2(n), DATE, NUMBER(m,n), TIMETSTAMP(6)]]</f>
        <v>#N/A</v>
      </c>
      <c r="O148" s="18" t="e">
        <f>VLOOKUP(B148,Table!A$2:F$231,3,FALSE)=Table1[[#This Row],[Nullable in Table and in Oracle View
NULL, NOT NULL]]</f>
        <v>#N/A</v>
      </c>
      <c r="P148" s="18" t="e">
        <f>VLOOKUP(B148,Table!A$2:H$228,6,FALSE)=Table1[[#This Row],[Business Definition (To go into comments and into Meta Data Hub)]]</f>
        <v>#N/A</v>
      </c>
      <c r="Q148" s="18" t="s">
        <v>68</v>
      </c>
      <c r="R148" s="18" t="s">
        <v>375</v>
      </c>
      <c r="S148" s="18" t="s">
        <v>1161</v>
      </c>
      <c r="T148" s="18"/>
      <c r="U148" s="18"/>
      <c r="V148" s="46" t="s">
        <v>860</v>
      </c>
      <c r="W148" s="46" t="s">
        <v>2670</v>
      </c>
      <c r="X148" s="18" t="s">
        <v>67</v>
      </c>
      <c r="Y148" s="1" t="e">
        <f>VLOOKUP(A148,Model!A$2:J$210,2,FALSE)</f>
        <v>#N/A</v>
      </c>
      <c r="Z148" s="1"/>
      <c r="AA148" s="1"/>
      <c r="AB148" s="1"/>
      <c r="AC148" s="1"/>
    </row>
    <row r="149" spans="1:33" ht="22.5" hidden="1" customHeight="1">
      <c r="A149" s="18" t="s">
        <v>903</v>
      </c>
      <c r="B149" s="18" t="s">
        <v>904</v>
      </c>
      <c r="C149" s="55" t="s">
        <v>559</v>
      </c>
      <c r="D149" s="18" t="s">
        <v>63</v>
      </c>
      <c r="E149" s="18" t="s">
        <v>560</v>
      </c>
      <c r="F149" s="45" t="s">
        <v>63</v>
      </c>
      <c r="G149" s="46" t="s">
        <v>906</v>
      </c>
      <c r="H149" s="18"/>
      <c r="I149" s="18" t="s">
        <v>381</v>
      </c>
      <c r="J149" s="18">
        <v>3</v>
      </c>
      <c r="K149" s="18" t="e">
        <f>VLOOKUP(A149,Model!C$2:D$208,2,FALSE)=B149</f>
        <v>#N/A</v>
      </c>
      <c r="L149" s="18" t="e">
        <f>VLOOKUP(A149,Model!C$2:G$208,5,FALSE)=C149</f>
        <v>#N/A</v>
      </c>
      <c r="M149" s="18" t="b">
        <f>VLOOKUP(Table1[[#This Row],[Physical Name of Attribute (Name of column in Table)
Supplied by DA Team]],Table!A$2:H$323,1,FALSE)=Table1[[#This Row],[Physical Name of Attribute (Name of column in Table)
Supplied by DA Team]]</f>
        <v>1</v>
      </c>
      <c r="N149" s="18" t="b">
        <f>VLOOKUP(B149,Table!A$2:F$319,2,FALSE)=Table1[[#This Row],[Data type in Oracle
VARCHAR2(n), DATE, NUMBER(m,n), TIMETSTAMP(6)]]</f>
        <v>0</v>
      </c>
      <c r="O149" s="18" t="b">
        <f>VLOOKUP(B149,Table!A$2:F$231,3,FALSE)=Table1[[#This Row],[Nullable in Table and in Oracle View
NULL, NOT NULL]]</f>
        <v>1</v>
      </c>
      <c r="P149" s="55" t="b">
        <f>VLOOKUP(B149,Table!A$2:H$228,6,FALSE)=Table1[[#This Row],[Business Definition (To go into comments and into Meta Data Hub)]]</f>
        <v>0</v>
      </c>
      <c r="Q149" s="18" t="s">
        <v>68</v>
      </c>
      <c r="R149" s="18" t="s">
        <v>375</v>
      </c>
      <c r="S149" s="18" t="s">
        <v>907</v>
      </c>
      <c r="T149" s="18"/>
      <c r="U149" s="18"/>
      <c r="V149" s="46" t="s">
        <v>860</v>
      </c>
      <c r="W149" s="46"/>
      <c r="X149" s="18"/>
      <c r="Y149" s="1" t="e">
        <f>VLOOKUP(A149,Model!A$2:J$210,2,FALSE)</f>
        <v>#N/A</v>
      </c>
      <c r="Z149" s="1"/>
      <c r="AA149" s="1"/>
      <c r="AB149" s="1"/>
      <c r="AC149" s="1"/>
      <c r="AD149" s="32" t="b">
        <f>VLOOKUP(B149,AVY_FACT!A$2:A$153,1,FALSE)=B149</f>
        <v>1</v>
      </c>
      <c r="AE149" s="32" t="b">
        <f>VLOOKUP(B149,AVY_FACT!A$2:F$153,2,FALSE)=C149</f>
        <v>0</v>
      </c>
      <c r="AF149" s="32" t="str">
        <f>"ALTER TABLE TRANSACTIONS_OWNER.AVY_FACT MODIFY ("&amp;B149&amp;"  "&amp;C149&amp;");"</f>
        <v>ALTER TABLE TRANSACTIONS_OWNER.AVY_FACT MODIFY (SEC_ORIG_QTY  NUMBER(38,6));</v>
      </c>
      <c r="AG149" s="33" t="str">
        <f t="shared" ref="AG149:AG158" si="9">"COMMENT ON COLUMN TRANSACTIONS_OWNER.AVY_FACT."&amp;B149&amp;" IS '"&amp;SUBSTITUTE(G149,"'","''")&amp;"';"</f>
        <v>COMMENT ON COLUMN TRANSACTIONS_OWNER.AVY_FACT.SEC_ORIG_QTY IS 'Original Quantity of the Package.
This field will be populated only if the transaction has a Security leg.';</v>
      </c>
    </row>
    <row r="150" spans="1:33" ht="22.5" hidden="1" customHeight="1">
      <c r="A150" s="18" t="s">
        <v>2671</v>
      </c>
      <c r="B150" s="18" t="s">
        <v>925</v>
      </c>
      <c r="C150" s="55" t="s">
        <v>927</v>
      </c>
      <c r="D150" s="18" t="s">
        <v>63</v>
      </c>
      <c r="E150" s="18" t="s">
        <v>928</v>
      </c>
      <c r="F150" s="45" t="s">
        <v>63</v>
      </c>
      <c r="G150" s="14" t="s">
        <v>929</v>
      </c>
      <c r="H150" s="18"/>
      <c r="I150" s="18" t="s">
        <v>381</v>
      </c>
      <c r="J150" s="18">
        <v>3</v>
      </c>
      <c r="K150" s="18" t="e">
        <f>VLOOKUP(A150,Model!C$2:D$208,2,FALSE)=B150</f>
        <v>#N/A</v>
      </c>
      <c r="L150" s="18" t="e">
        <f>VLOOKUP(A150,Model!C$2:G$208,5,FALSE)=C150</f>
        <v>#N/A</v>
      </c>
      <c r="M150" s="18" t="b">
        <f>VLOOKUP(Table1[[#This Row],[Physical Name of Attribute (Name of column in Table)
Supplied by DA Team]],Table!A$2:H$323,1,FALSE)=Table1[[#This Row],[Physical Name of Attribute (Name of column in Table)
Supplied by DA Team]]</f>
        <v>1</v>
      </c>
      <c r="N150" s="18" t="b">
        <f>VLOOKUP(B150,Table!A$2:F$319,2,FALSE)=Table1[[#This Row],[Data type in Oracle
VARCHAR2(n), DATE, NUMBER(m,n), TIMETSTAMP(6)]]</f>
        <v>0</v>
      </c>
      <c r="O150" s="18" t="b">
        <f>VLOOKUP(B150,Table!A$2:F$231,3,FALSE)=Table1[[#This Row],[Nullable in Table and in Oracle View
NULL, NOT NULL]]</f>
        <v>1</v>
      </c>
      <c r="P150" s="18" t="b">
        <f>VLOOKUP(B150,Table!A$2:H$228,6,FALSE)=Table1[[#This Row],[Business Definition (To go into comments and into Meta Data Hub)]]</f>
        <v>0</v>
      </c>
      <c r="Q150" s="18" t="s">
        <v>68</v>
      </c>
      <c r="R150" s="18" t="s">
        <v>375</v>
      </c>
      <c r="S150" s="18" t="s">
        <v>930</v>
      </c>
      <c r="T150" s="18"/>
      <c r="U150" s="18"/>
      <c r="V150" s="46" t="s">
        <v>860</v>
      </c>
      <c r="W150" s="46"/>
      <c r="X150" s="18"/>
      <c r="Y150" s="1" t="e">
        <f>VLOOKUP(A150,Model!A$2:J$210,2,FALSE)</f>
        <v>#N/A</v>
      </c>
      <c r="Z150" s="1"/>
      <c r="AA150" s="1"/>
      <c r="AB150" s="1"/>
      <c r="AC150" s="1"/>
      <c r="AD150" s="32" t="b">
        <f>VLOOKUP(B150,AVY_FACT!A$2:A$153,1,FALSE)=B150</f>
        <v>1</v>
      </c>
      <c r="AE150" s="32" t="b">
        <f>VLOOKUP(B150,AVY_FACT!A$2:F$153,2,FALSE)=C150</f>
        <v>0</v>
      </c>
      <c r="AF150" s="32" t="str">
        <f>B150&amp;"  "&amp;C150&amp;","</f>
        <v>SEC_PRC_IN_TXN_CCY  NUMBER(38,8),</v>
      </c>
      <c r="AG150" s="33" t="str">
        <f t="shared" si="9"/>
        <v>COMMENT ON COLUMN TRANSACTIONS_OWNER.AVY_FACT.SEC_PRC_IN_TXN_CCY IS 'Price of the securities instrument in transaction currency.';</v>
      </c>
    </row>
    <row r="151" spans="1:33" ht="22.5" customHeight="1">
      <c r="A151" s="61" t="s">
        <v>915</v>
      </c>
      <c r="B151" s="18" t="s">
        <v>916</v>
      </c>
      <c r="C151" s="18" t="s">
        <v>101</v>
      </c>
      <c r="D151" s="18" t="s">
        <v>63</v>
      </c>
      <c r="E151" s="18" t="s">
        <v>133</v>
      </c>
      <c r="F151" s="45" t="s">
        <v>63</v>
      </c>
      <c r="G151" s="46" t="s">
        <v>918</v>
      </c>
      <c r="H151" s="18"/>
      <c r="I151" s="18" t="s">
        <v>347</v>
      </c>
      <c r="J151" s="18">
        <v>3</v>
      </c>
      <c r="K151" s="18" t="e">
        <f>VLOOKUP(A151,Model!C$2:D$208,2,FALSE)=B151</f>
        <v>#N/A</v>
      </c>
      <c r="L151" s="18" t="e">
        <f>VLOOKUP(A151,Model!C$2:G$208,5,FALSE)=C151</f>
        <v>#N/A</v>
      </c>
      <c r="M151" s="18" t="b">
        <f>VLOOKUP(Table1[[#This Row],[Physical Name of Attribute (Name of column in Table)
Supplied by DA Team]],Table!A$2:H$323,1,FALSE)=Table1[[#This Row],[Physical Name of Attribute (Name of column in Table)
Supplied by DA Team]]</f>
        <v>1</v>
      </c>
      <c r="N151" s="18" t="b">
        <f>VLOOKUP(B151,Table!A$2:F$319,2,FALSE)=Table1[[#This Row],[Data type in Oracle
VARCHAR2(n), DATE, NUMBER(m,n), TIMETSTAMP(6)]]</f>
        <v>0</v>
      </c>
      <c r="O151" s="18" t="b">
        <f>VLOOKUP(B151,Table!A$2:F$231,3,FALSE)=Table1[[#This Row],[Nullable in Table and in Oracle View
NULL, NOT NULL]]</f>
        <v>1</v>
      </c>
      <c r="P151" s="55" t="b">
        <f>VLOOKUP(B151,Table!A$2:H$228,6,FALSE)=Table1[[#This Row],[Business Definition (To go into comments and into Meta Data Hub)]]</f>
        <v>0</v>
      </c>
      <c r="Q151" s="18" t="s">
        <v>68</v>
      </c>
      <c r="R151" s="18" t="s">
        <v>375</v>
      </c>
      <c r="S151" s="18" t="s">
        <v>544</v>
      </c>
      <c r="T151" s="18"/>
      <c r="U151" s="18"/>
      <c r="V151" s="46" t="s">
        <v>860</v>
      </c>
      <c r="W151" s="46"/>
      <c r="X151" s="18"/>
      <c r="Y151" s="1" t="e">
        <f>VLOOKUP(A151,Model!A$2:J$210,2,FALSE)</f>
        <v>#N/A</v>
      </c>
      <c r="Z151" s="1"/>
      <c r="AA151" s="1"/>
      <c r="AB151" s="1"/>
      <c r="AC151" s="1"/>
      <c r="AD151" s="32" t="b">
        <f>VLOOKUP(B151,AVY_FACT!A$2:A$153,1,FALSE)=B151</f>
        <v>1</v>
      </c>
      <c r="AE151" s="32" t="b">
        <f>VLOOKUP(B151,AVY_FACT!A$2:F$153,2,FALSE)=C151</f>
        <v>1</v>
      </c>
      <c r="AF151" s="32" t="e">
        <f>K151&amp;"  "&amp;C151&amp;","</f>
        <v>#N/A</v>
      </c>
      <c r="AG151" s="33" t="str">
        <f t="shared" si="9"/>
        <v>COMMENT ON COLUMN TRANSACTIONS_OWNER.AVY_FACT.SEC_PD_ID IS 'Product Identifier from Security Asset package';</v>
      </c>
    </row>
    <row r="152" spans="1:33" ht="22.5" hidden="1" customHeight="1">
      <c r="A152" s="55" t="s">
        <v>840</v>
      </c>
      <c r="B152" s="18" t="s">
        <v>841</v>
      </c>
      <c r="C152" s="18" t="s">
        <v>433</v>
      </c>
      <c r="D152" s="18" t="s">
        <v>63</v>
      </c>
      <c r="E152" s="18" t="s">
        <v>434</v>
      </c>
      <c r="F152" s="45" t="s">
        <v>63</v>
      </c>
      <c r="G152" s="46" t="s">
        <v>843</v>
      </c>
      <c r="H152" s="18"/>
      <c r="I152" s="18" t="s">
        <v>67</v>
      </c>
      <c r="J152" s="18">
        <v>3</v>
      </c>
      <c r="K152" s="18" t="e">
        <f>VLOOKUP(A152,Model!C$2:D$208,2,FALSE)=B152</f>
        <v>#N/A</v>
      </c>
      <c r="L152" s="18" t="e">
        <f>VLOOKUP(A152,Model!C$2:G$208,5,FALSE)=C152</f>
        <v>#N/A</v>
      </c>
      <c r="M152" s="18" t="b">
        <f>VLOOKUP(Table1[[#This Row],[Physical Name of Attribute (Name of column in Table)
Supplied by DA Team]],Table!A$2:H$323,1,FALSE)=Table1[[#This Row],[Physical Name of Attribute (Name of column in Table)
Supplied by DA Team]]</f>
        <v>1</v>
      </c>
      <c r="N152" s="18" t="b">
        <f>VLOOKUP(B152,Table!A$2:F$319,2,FALSE)=Table1[[#This Row],[Data type in Oracle
VARCHAR2(n), DATE, NUMBER(m,n), TIMETSTAMP(6)]]</f>
        <v>0</v>
      </c>
      <c r="O152" s="18" t="b">
        <f>VLOOKUP(B152,Table!A$2:F$231,3,FALSE)=Table1[[#This Row],[Nullable in Table and in Oracle View
NULL, NOT NULL]]</f>
        <v>1</v>
      </c>
      <c r="P152" s="55" t="b">
        <f>VLOOKUP(B152,Table!A$2:H$228,6,FALSE)=Table1[[#This Row],[Business Definition (To go into comments and into Meta Data Hub)]]</f>
        <v>0</v>
      </c>
      <c r="Q152" s="18" t="s">
        <v>68</v>
      </c>
      <c r="R152" s="18" t="s">
        <v>436</v>
      </c>
      <c r="S152" s="18" t="s">
        <v>443</v>
      </c>
      <c r="T152" s="18"/>
      <c r="U152" s="18"/>
      <c r="V152" s="46" t="s">
        <v>839</v>
      </c>
      <c r="W152" s="46"/>
      <c r="X152" s="18"/>
      <c r="Y152" s="1" t="e">
        <f>VLOOKUP(A152,Model!A$2:J$210,2,FALSE)</f>
        <v>#N/A</v>
      </c>
      <c r="Z152" s="1"/>
      <c r="AA152" s="1"/>
      <c r="AB152" s="1"/>
      <c r="AC152" s="1"/>
      <c r="AD152" s="32" t="e">
        <f>VLOOKUP(B152,AVY_FACT!A$2:A$153,1,FALSE)=B152</f>
        <v>#N/A</v>
      </c>
      <c r="AE152" s="32" t="e">
        <f>VLOOKUP(B152,AVY_FACT!A$2:F$153,2,FALSE)=C152</f>
        <v>#N/A</v>
      </c>
      <c r="AF152" s="32" t="str">
        <f>"ALTER TABLE TRANSACTIONS_OWNER.AVY_FACT MODIFY ("&amp;B152&amp;"  "&amp;C152&amp;");"</f>
        <v>ALTER TABLE TRANSACTIONS_OWNER.AVY_FACT MODIFY (SCR_SIMP_DSPL_AVY_CGY  VARCHAR2(25));</v>
      </c>
      <c r="AG152" s="33" t="str">
        <f t="shared" si="9"/>
        <v>COMMENT ON COLUMN TRANSACTIONS_OWNER.AVY_FACT.SCR_SIMP_DSPL_AVY_CGY IS 'Simplified Display activity category shown to advisor in applications like client center.
This field will be populated only if the transaction has a Security leg.';</v>
      </c>
    </row>
    <row r="153" spans="1:33" ht="22.5" hidden="1" customHeight="1">
      <c r="A153" s="55" t="s">
        <v>852</v>
      </c>
      <c r="B153" s="18" t="s">
        <v>853</v>
      </c>
      <c r="C153" s="18" t="s">
        <v>90</v>
      </c>
      <c r="D153" s="18" t="s">
        <v>63</v>
      </c>
      <c r="E153" s="18" t="s">
        <v>91</v>
      </c>
      <c r="F153" s="45" t="s">
        <v>63</v>
      </c>
      <c r="G153" s="46" t="s">
        <v>855</v>
      </c>
      <c r="H153" s="18"/>
      <c r="I153" s="18" t="s">
        <v>67</v>
      </c>
      <c r="J153" s="18">
        <v>3</v>
      </c>
      <c r="K153" s="18" t="e">
        <f>VLOOKUP(A153,Model!C$2:D$208,2,FALSE)=B153</f>
        <v>#N/A</v>
      </c>
      <c r="L153" s="18" t="e">
        <f>VLOOKUP(A153,Model!C$2:G$208,5,FALSE)=C153</f>
        <v>#N/A</v>
      </c>
      <c r="M153" s="18" t="b">
        <f>VLOOKUP(Table1[[#This Row],[Physical Name of Attribute (Name of column in Table)
Supplied by DA Team]],Table!A$2:H$323,1,FALSE)=Table1[[#This Row],[Physical Name of Attribute (Name of column in Table)
Supplied by DA Team]]</f>
        <v>1</v>
      </c>
      <c r="N153" s="18" t="b">
        <f>VLOOKUP(B153,Table!A$2:F$319,2,FALSE)=Table1[[#This Row],[Data type in Oracle
VARCHAR2(n), DATE, NUMBER(m,n), TIMETSTAMP(6)]]</f>
        <v>0</v>
      </c>
      <c r="O153" s="18" t="b">
        <f>VLOOKUP(B153,Table!A$2:F$231,3,FALSE)=Table1[[#This Row],[Nullable in Table and in Oracle View
NULL, NOT NULL]]</f>
        <v>1</v>
      </c>
      <c r="P153" s="55" t="b">
        <f>VLOOKUP(B153,Table!A$2:H$228,6,FALSE)=Table1[[#This Row],[Business Definition (To go into comments and into Meta Data Hub)]]</f>
        <v>0</v>
      </c>
      <c r="Q153" s="18" t="s">
        <v>68</v>
      </c>
      <c r="R153" s="18" t="s">
        <v>436</v>
      </c>
      <c r="S153" s="18" t="s">
        <v>460</v>
      </c>
      <c r="T153" s="18"/>
      <c r="U153" s="18"/>
      <c r="V153" s="46" t="s">
        <v>839</v>
      </c>
      <c r="W153" s="46"/>
      <c r="X153" s="18"/>
      <c r="Y153" s="1" t="e">
        <f>VLOOKUP(A153,Model!A$2:J$210,2,FALSE)</f>
        <v>#N/A</v>
      </c>
      <c r="Z153" s="1"/>
      <c r="AA153" s="1"/>
      <c r="AB153" s="1"/>
      <c r="AC153" s="1"/>
      <c r="AD153" s="32" t="e">
        <f>VLOOKUP(B153,AVY_FACT!A$2:A$153,1,FALSE)=B153</f>
        <v>#N/A</v>
      </c>
      <c r="AE153" s="32" t="e">
        <f>VLOOKUP(B153,AVY_FACT!A$2:F$153,2,FALSE)=C153</f>
        <v>#N/A</v>
      </c>
      <c r="AF153" s="32" t="e">
        <f>K153&amp;"  "&amp;C153&amp;","</f>
        <v>#N/A</v>
      </c>
      <c r="AG153" s="33" t="str">
        <f t="shared" si="9"/>
        <v>COMMENT ON COLUMN TRANSACTIONS_OWNER.AVY_FACT.SCR_SIMP_DSPL_AVY_TP IS 'Simplified Display activity type shown to advisor in applications like client center.
This field will be populated only if the transaction has a Security leg.';</v>
      </c>
    </row>
    <row r="154" spans="1:33" ht="22.5" hidden="1" customHeight="1">
      <c r="A154" s="18" t="s">
        <v>908</v>
      </c>
      <c r="B154" s="18" t="s">
        <v>909</v>
      </c>
      <c r="C154" s="18" t="s">
        <v>139</v>
      </c>
      <c r="D154" s="18" t="s">
        <v>63</v>
      </c>
      <c r="E154" s="18" t="s">
        <v>140</v>
      </c>
      <c r="F154" s="45" t="s">
        <v>63</v>
      </c>
      <c r="G154" s="46" t="s">
        <v>911</v>
      </c>
      <c r="H154" s="18"/>
      <c r="I154" s="18" t="s">
        <v>347</v>
      </c>
      <c r="J154" s="18">
        <v>3</v>
      </c>
      <c r="K154" s="18" t="e">
        <f>VLOOKUP(A154,Model!C$2:D$208,2,FALSE)=B154</f>
        <v>#N/A</v>
      </c>
      <c r="L154" s="18" t="e">
        <f>VLOOKUP(A154,Model!C$2:G$208,5,FALSE)=C154</f>
        <v>#N/A</v>
      </c>
      <c r="M154" s="18" t="b">
        <f>VLOOKUP(Table1[[#This Row],[Physical Name of Attribute (Name of column in Table)
Supplied by DA Team]],Table!A$2:H$323,1,FALSE)=Table1[[#This Row],[Physical Name of Attribute (Name of column in Table)
Supplied by DA Team]]</f>
        <v>1</v>
      </c>
      <c r="N154" s="18" t="b">
        <f>VLOOKUP(B154,Table!A$2:F$319,2,FALSE)=Table1[[#This Row],[Data type in Oracle
VARCHAR2(n), DATE, NUMBER(m,n), TIMETSTAMP(6)]]</f>
        <v>0</v>
      </c>
      <c r="O154" s="18" t="b">
        <f>VLOOKUP(B154,Table!A$2:F$231,3,FALSE)=Table1[[#This Row],[Nullable in Table and in Oracle View
NULL, NOT NULL]]</f>
        <v>1</v>
      </c>
      <c r="P154" s="55" t="b">
        <f>VLOOKUP(B154,Table!A$2:H$228,6,FALSE)=Table1[[#This Row],[Business Definition (To go into comments and into Meta Data Hub)]]</f>
        <v>0</v>
      </c>
      <c r="Q154" s="18" t="s">
        <v>68</v>
      </c>
      <c r="R154" s="18" t="s">
        <v>375</v>
      </c>
      <c r="S154" s="18" t="s">
        <v>912</v>
      </c>
      <c r="T154" s="18"/>
      <c r="U154" s="18"/>
      <c r="V154" s="46" t="s">
        <v>860</v>
      </c>
      <c r="W154" s="59" t="s">
        <v>914</v>
      </c>
      <c r="X154" s="18"/>
      <c r="Y154" s="1" t="e">
        <f>VLOOKUP(A154,Model!A$2:J$210,2,FALSE)</f>
        <v>#N/A</v>
      </c>
      <c r="Z154" s="1"/>
      <c r="AA154" s="1"/>
      <c r="AB154" s="1"/>
      <c r="AC154" s="1"/>
      <c r="AD154" s="32" t="b">
        <f>VLOOKUP(B154,AVY_FACT!A$2:A$153,1,FALSE)=B154</f>
        <v>1</v>
      </c>
      <c r="AE154" s="32" t="b">
        <f>VLOOKUP(B154,AVY_FACT!A$2:F$153,2,FALSE)=C154</f>
        <v>1</v>
      </c>
      <c r="AF154" s="32" t="str">
        <f>"ALTER TABLE TRANSACTIONS_OWNER.AVY_FACT MODIFY ("&amp;B154&amp;"  "&amp;C154&amp;");"</f>
        <v>ALTER TABLE TRANSACTIONS_OWNER.AVY_FACT MODIFY (SEC_SRC_CUSIP  VARCHAR2(20));</v>
      </c>
      <c r="AG154" s="33" t="str">
        <f t="shared" si="9"/>
        <v>COMMENT ON COLUMN TRANSACTIONS_OWNER.AVY_FACT.SEC_SRC_CUSIP IS 'CUSIP from source system.
This field will be populated only if the transaction has a Security leg.';</v>
      </c>
    </row>
    <row r="155" spans="1:33" ht="22.5" hidden="1" customHeight="1">
      <c r="A155" s="18" t="s">
        <v>2672</v>
      </c>
      <c r="B155" s="18" t="s">
        <v>932</v>
      </c>
      <c r="C155" s="55" t="s">
        <v>927</v>
      </c>
      <c r="D155" s="18" t="s">
        <v>63</v>
      </c>
      <c r="E155" s="18" t="s">
        <v>928</v>
      </c>
      <c r="F155" s="45" t="s">
        <v>63</v>
      </c>
      <c r="G155" s="14" t="s">
        <v>934</v>
      </c>
      <c r="H155" s="18"/>
      <c r="I155" s="18" t="s">
        <v>381</v>
      </c>
      <c r="J155" s="18">
        <v>3</v>
      </c>
      <c r="K155" s="18" t="e">
        <f>VLOOKUP(A155,Model!C$2:D$208,2,FALSE)=B155</f>
        <v>#N/A</v>
      </c>
      <c r="L155" s="18" t="e">
        <f>VLOOKUP(A155,Model!C$2:G$208,5,FALSE)=C155</f>
        <v>#N/A</v>
      </c>
      <c r="M155" s="18" t="b">
        <f>VLOOKUP(Table1[[#This Row],[Physical Name of Attribute (Name of column in Table)
Supplied by DA Team]],Table!A$2:H$323,1,FALSE)=Table1[[#This Row],[Physical Name of Attribute (Name of column in Table)
Supplied by DA Team]]</f>
        <v>1</v>
      </c>
      <c r="N155" s="18" t="b">
        <f>VLOOKUP(B155,Table!A$2:F$319,2,FALSE)=Table1[[#This Row],[Data type in Oracle
VARCHAR2(n), DATE, NUMBER(m,n), TIMETSTAMP(6)]]</f>
        <v>0</v>
      </c>
      <c r="O155" s="18" t="b">
        <f>VLOOKUP(B155,Table!A$2:F$231,3,FALSE)=Table1[[#This Row],[Nullable in Table and in Oracle View
NULL, NOT NULL]]</f>
        <v>1</v>
      </c>
      <c r="P155" s="55" t="b">
        <f>VLOOKUP(B155,Table!A$2:H$228,6,FALSE)=Table1[[#This Row],[Business Definition (To go into comments and into Meta Data Hub)]]</f>
        <v>0</v>
      </c>
      <c r="Q155" s="18" t="s">
        <v>68</v>
      </c>
      <c r="R155" s="18" t="s">
        <v>375</v>
      </c>
      <c r="S155" s="18" t="s">
        <v>935</v>
      </c>
      <c r="T155" s="18"/>
      <c r="U155" s="18"/>
      <c r="V155" s="46" t="s">
        <v>860</v>
      </c>
      <c r="W155" s="46"/>
      <c r="X155" s="18"/>
      <c r="Y155" s="1" t="e">
        <f>VLOOKUP(A155,Model!A$2:J$210,2,FALSE)</f>
        <v>#N/A</v>
      </c>
      <c r="Z155" s="1"/>
      <c r="AA155" s="1"/>
      <c r="AB155" s="1"/>
      <c r="AC155" s="1"/>
      <c r="AD155" s="32" t="b">
        <f>VLOOKUP(B155,AVY_FACT!A$2:A$153,1,FALSE)=B155</f>
        <v>1</v>
      </c>
      <c r="AE155" s="32" t="b">
        <f>VLOOKUP(B155,AVY_FACT!A$2:F$153,2,FALSE)=C155</f>
        <v>0</v>
      </c>
      <c r="AF155" s="32" t="str">
        <f>B155&amp;"  "&amp;C155&amp;","</f>
        <v>SEC_SRC_PRC_IN_SBC  NUMBER(38,8),</v>
      </c>
      <c r="AG155" s="33" t="str">
        <f t="shared" si="9"/>
        <v>COMMENT ON COLUMN TRANSACTIONS_OWNER.AVY_FACT.SEC_SRC_PRC_IN_SBC IS 'Principal amount of the trade execution expressed in the system base currency. This value should not include commissions or fees associated with the trade.
This field will be populated only if the transaction has a Security leg.';</v>
      </c>
    </row>
    <row r="156" spans="1:33" ht="22.5" hidden="1" customHeight="1">
      <c r="A156" s="18" t="s">
        <v>936</v>
      </c>
      <c r="B156" s="18" t="s">
        <v>937</v>
      </c>
      <c r="C156" s="55" t="s">
        <v>101</v>
      </c>
      <c r="D156" s="18" t="s">
        <v>63</v>
      </c>
      <c r="E156" s="18" t="s">
        <v>133</v>
      </c>
      <c r="F156" s="45" t="s">
        <v>63</v>
      </c>
      <c r="G156" s="46" t="s">
        <v>939</v>
      </c>
      <c r="H156" s="18"/>
      <c r="I156" s="18" t="s">
        <v>381</v>
      </c>
      <c r="J156" s="18">
        <v>3</v>
      </c>
      <c r="K156" s="18" t="e">
        <f>VLOOKUP(A156,Model!C$2:D$208,2,FALSE)=B156</f>
        <v>#N/A</v>
      </c>
      <c r="L156" s="18" t="e">
        <f>VLOOKUP(A156,Model!C$2:G$208,5,FALSE)=C156</f>
        <v>#N/A</v>
      </c>
      <c r="M156" s="18" t="b">
        <f>VLOOKUP(Table1[[#This Row],[Physical Name of Attribute (Name of column in Table)
Supplied by DA Team]],Table!A$2:H$323,1,FALSE)=Table1[[#This Row],[Physical Name of Attribute (Name of column in Table)
Supplied by DA Team]]</f>
        <v>1</v>
      </c>
      <c r="N156" s="18" t="b">
        <f>VLOOKUP(B156,Table!A$2:F$319,2,FALSE)=Table1[[#This Row],[Data type in Oracle
VARCHAR2(n), DATE, NUMBER(m,n), TIMETSTAMP(6)]]</f>
        <v>0</v>
      </c>
      <c r="O156" s="18" t="b">
        <f>VLOOKUP(B156,Table!A$2:F$231,3,FALSE)=Table1[[#This Row],[Nullable in Table and in Oracle View
NULL, NOT NULL]]</f>
        <v>1</v>
      </c>
      <c r="P156" s="55" t="b">
        <f>VLOOKUP(B156,Table!A$2:H$228,6,FALSE)=Table1[[#This Row],[Business Definition (To go into comments and into Meta Data Hub)]]</f>
        <v>0</v>
      </c>
      <c r="Q156" s="18" t="s">
        <v>68</v>
      </c>
      <c r="R156" s="18" t="s">
        <v>375</v>
      </c>
      <c r="S156" s="18" t="s">
        <v>555</v>
      </c>
      <c r="T156" s="18"/>
      <c r="U156" s="18"/>
      <c r="V156" s="46" t="s">
        <v>860</v>
      </c>
      <c r="W156" s="46"/>
      <c r="X156" s="18"/>
      <c r="Y156" s="1" t="e">
        <f>VLOOKUP(A156,Model!A$2:J$210,2,FALSE)</f>
        <v>#N/A</v>
      </c>
      <c r="Z156" s="1"/>
      <c r="AA156" s="1"/>
      <c r="AB156" s="1"/>
      <c r="AC156" s="1"/>
      <c r="AD156" s="32" t="b">
        <f>VLOOKUP(B156,AVY_FACT!A$2:A$153,1,FALSE)=B156</f>
        <v>1</v>
      </c>
      <c r="AE156" s="32" t="b">
        <f>VLOOKUP(B156,AVY_FACT!A$2:F$153,2,FALSE)=C156</f>
        <v>0</v>
      </c>
      <c r="AF156" s="32" t="str">
        <f>B156&amp;"  "&amp;C156&amp;","</f>
        <v>SEC_SRC_SEQ_NUM  NUMBER(38,0),</v>
      </c>
      <c r="AG156" s="33" t="str">
        <f t="shared" si="9"/>
        <v>COMMENT ON COLUMN TRANSACTIONS_OWNER.AVY_FACT.SEC_SRC_SEQ_NUM IS 'Sequence Number assigned by source system.
This field will be populated only if the transaction has a Security leg.';</v>
      </c>
    </row>
    <row r="157" spans="1:33" ht="22.5" customHeight="1">
      <c r="A157" s="56" t="s">
        <v>940</v>
      </c>
      <c r="B157" s="18" t="s">
        <v>941</v>
      </c>
      <c r="C157" s="55" t="s">
        <v>559</v>
      </c>
      <c r="D157" s="18" t="s">
        <v>63</v>
      </c>
      <c r="E157" s="18" t="s">
        <v>560</v>
      </c>
      <c r="F157" s="45" t="s">
        <v>63</v>
      </c>
      <c r="G157" s="12" t="s">
        <v>943</v>
      </c>
      <c r="H157" s="18"/>
      <c r="I157" s="18" t="s">
        <v>381</v>
      </c>
      <c r="J157" s="18">
        <v>3</v>
      </c>
      <c r="K157" s="18" t="e">
        <f>VLOOKUP(A157,Model!C$2:D$208,2,FALSE)=B157</f>
        <v>#N/A</v>
      </c>
      <c r="L157" s="18" t="e">
        <f>VLOOKUP(A157,Model!C$2:G$208,5,FALSE)=C157</f>
        <v>#N/A</v>
      </c>
      <c r="M157" s="18" t="b">
        <f>VLOOKUP(Table1[[#This Row],[Physical Name of Attribute (Name of column in Table)
Supplied by DA Team]],Table!A$2:H$323,1,FALSE)=Table1[[#This Row],[Physical Name of Attribute (Name of column in Table)
Supplied by DA Team]]</f>
        <v>1</v>
      </c>
      <c r="N157" s="18" t="b">
        <f>VLOOKUP(B157,Table!A$2:F$319,2,FALSE)=Table1[[#This Row],[Data type in Oracle
VARCHAR2(n), DATE, NUMBER(m,n), TIMETSTAMP(6)]]</f>
        <v>0</v>
      </c>
      <c r="O157" s="18" t="b">
        <f>VLOOKUP(B157,Table!A$2:F$231,3,FALSE)=Table1[[#This Row],[Nullable in Table and in Oracle View
NULL, NOT NULL]]</f>
        <v>1</v>
      </c>
      <c r="P157" s="55" t="b">
        <f>VLOOKUP(B157,Table!A$2:H$228,6,FALSE)=Table1[[#This Row],[Business Definition (To go into comments and into Meta Data Hub)]]</f>
        <v>0</v>
      </c>
      <c r="Q157" s="18" t="s">
        <v>68</v>
      </c>
      <c r="R157" s="18" t="s">
        <v>375</v>
      </c>
      <c r="S157" s="18" t="s">
        <v>562</v>
      </c>
      <c r="T157" s="18"/>
      <c r="U157" s="18"/>
      <c r="V157" s="46" t="s">
        <v>860</v>
      </c>
      <c r="W157" s="46"/>
      <c r="X157" s="18"/>
      <c r="Y157" s="1" t="e">
        <f>VLOOKUP(A157,Model!A$2:J$210,2,FALSE)</f>
        <v>#N/A</v>
      </c>
      <c r="Z157" s="1"/>
      <c r="AA157" s="1"/>
      <c r="AB157" s="1"/>
      <c r="AC157" s="1"/>
      <c r="AD157" s="32" t="b">
        <f>VLOOKUP(B157,AVY_FACT!A$2:A$153,1,FALSE)=B157</f>
        <v>1</v>
      </c>
      <c r="AE157" s="32" t="b">
        <f>VLOOKUP(B157,AVY_FACT!A$2:F$153,2,FALSE)=C157</f>
        <v>0</v>
      </c>
      <c r="AF157" s="32" t="str">
        <f>B157&amp;"  "&amp;C157&amp;","</f>
        <v>SEC_SBC_AMT  NUMBER(38,6),</v>
      </c>
      <c r="AG157" s="33" t="str">
        <f t="shared" si="9"/>
        <v>COMMENT ON COLUMN TRANSACTIONS_OWNER.AVY_FACT.SEC_SBC_AMT IS 'Transaction Amount expressed in System Base Currency.
This field will be populated only if the transaction has a Security leg.';</v>
      </c>
    </row>
    <row r="158" spans="1:33" ht="22.5" hidden="1" customHeight="1">
      <c r="A158" s="18" t="s">
        <v>944</v>
      </c>
      <c r="B158" s="18" t="s">
        <v>945</v>
      </c>
      <c r="C158" s="55" t="s">
        <v>559</v>
      </c>
      <c r="D158" s="18" t="s">
        <v>63</v>
      </c>
      <c r="E158" s="18" t="s">
        <v>560</v>
      </c>
      <c r="F158" s="45" t="s">
        <v>63</v>
      </c>
      <c r="G158" s="46" t="s">
        <v>947</v>
      </c>
      <c r="H158" s="18"/>
      <c r="I158" s="18" t="s">
        <v>381</v>
      </c>
      <c r="J158" s="18">
        <v>3</v>
      </c>
      <c r="K158" s="18" t="e">
        <f>VLOOKUP(A158,Model!C$2:D$208,2,FALSE)=B158</f>
        <v>#N/A</v>
      </c>
      <c r="L158" s="18" t="e">
        <f>VLOOKUP(A158,Model!C$2:G$208,5,FALSE)=C158</f>
        <v>#N/A</v>
      </c>
      <c r="M158" s="18" t="b">
        <f>VLOOKUP(Table1[[#This Row],[Physical Name of Attribute (Name of column in Table)
Supplied by DA Team]],Table!A$2:H$323,1,FALSE)=Table1[[#This Row],[Physical Name of Attribute (Name of column in Table)
Supplied by DA Team]]</f>
        <v>1</v>
      </c>
      <c r="N158" s="18" t="b">
        <f>VLOOKUP(B158,Table!A$2:F$319,2,FALSE)=Table1[[#This Row],[Data type in Oracle
VARCHAR2(n), DATE, NUMBER(m,n), TIMETSTAMP(6)]]</f>
        <v>0</v>
      </c>
      <c r="O158" s="18" t="b">
        <f>VLOOKUP(B158,Table!A$2:F$231,3,FALSE)=Table1[[#This Row],[Nullable in Table and in Oracle View
NULL, NOT NULL]]</f>
        <v>1</v>
      </c>
      <c r="P158" s="55" t="b">
        <f>VLOOKUP(B158,Table!A$2:H$228,6,FALSE)=Table1[[#This Row],[Business Definition (To go into comments and into Meta Data Hub)]]</f>
        <v>0</v>
      </c>
      <c r="Q158" s="18" t="s">
        <v>68</v>
      </c>
      <c r="R158" s="18" t="s">
        <v>375</v>
      </c>
      <c r="S158" s="18" t="s">
        <v>568</v>
      </c>
      <c r="T158" s="18"/>
      <c r="U158" s="18"/>
      <c r="V158" s="46" t="s">
        <v>860</v>
      </c>
      <c r="W158" s="46"/>
      <c r="X158" s="18"/>
      <c r="Y158" s="1" t="e">
        <f>VLOOKUP(A158,Model!A$2:J$210,2,FALSE)</f>
        <v>#N/A</v>
      </c>
      <c r="Z158" s="1"/>
      <c r="AA158" s="1"/>
      <c r="AB158" s="1"/>
      <c r="AC158" s="1"/>
      <c r="AD158" s="32" t="b">
        <f>VLOOKUP(B158,AVY_FACT!A$2:A$153,1,FALSE)=B158</f>
        <v>1</v>
      </c>
      <c r="AE158" s="32" t="b">
        <f>VLOOKUP(B158,AVY_FACT!A$2:F$153,2,FALSE)=C158</f>
        <v>0</v>
      </c>
      <c r="AF158" s="32" t="str">
        <f>B158&amp;"  "&amp;C158&amp;","</f>
        <v>SEC_TXN_AMT  NUMBER(38,6),</v>
      </c>
      <c r="AG158" s="33" t="str">
        <f t="shared" si="9"/>
        <v>COMMENT ON COLUMN TRANSACTIONS_OWNER.AVY_FACT.SEC_TXN_AMT IS 'Transaction amount applicable to the Asset package in transaction currency.
This field will be populated only if the transaction has a Security leg.';</v>
      </c>
    </row>
    <row r="159" spans="1:33" ht="22.5" hidden="1" customHeight="1">
      <c r="A159" s="75" t="s">
        <v>1153</v>
      </c>
      <c r="B159" s="75" t="s">
        <v>1154</v>
      </c>
      <c r="C159" s="75" t="s">
        <v>101</v>
      </c>
      <c r="D159" s="78" t="s">
        <v>63</v>
      </c>
      <c r="E159" s="78" t="s">
        <v>133</v>
      </c>
      <c r="F159" s="78" t="s">
        <v>63</v>
      </c>
      <c r="G159" s="78" t="s">
        <v>1155</v>
      </c>
      <c r="H159" s="78"/>
      <c r="I159" s="78" t="s">
        <v>347</v>
      </c>
      <c r="J159" s="78">
        <v>3</v>
      </c>
      <c r="K159" s="18" t="e">
        <f>VLOOKUP(A159,Model!C$2:D$208,2,FALSE)=B159</f>
        <v>#N/A</v>
      </c>
      <c r="L159" s="18" t="e">
        <f>VLOOKUP(A159,Model!C$2:G$208,5,FALSE)=C159</f>
        <v>#N/A</v>
      </c>
      <c r="M159" s="18" t="b">
        <f>VLOOKUP(Table1[[#This Row],[Physical Name of Attribute (Name of column in Table)
Supplied by DA Team]],Table!A$2:H$323,1,FALSE)=Table1[[#This Row],[Physical Name of Attribute (Name of column in Table)
Supplied by DA Team]]</f>
        <v>1</v>
      </c>
      <c r="N159" s="18" t="b">
        <f>VLOOKUP(B159,Table!A$2:F$319,2,FALSE)=Table1[[#This Row],[Data type in Oracle
VARCHAR2(n), DATE, NUMBER(m,n), TIMETSTAMP(6)]]</f>
        <v>0</v>
      </c>
      <c r="O159" s="18" t="b">
        <f>VLOOKUP(B159,Table!A$2:F$231,3,FALSE)=Table1[[#This Row],[Nullable in Table and in Oracle View
NULL, NOT NULL]]</f>
        <v>1</v>
      </c>
      <c r="P159" s="55" t="b">
        <f>VLOOKUP(B159,Table!A$2:H$228,6,FALSE)=Table1[[#This Row],[Business Definition (To go into comments and into Meta Data Hub)]]</f>
        <v>0</v>
      </c>
      <c r="Q159" s="78"/>
      <c r="R159" s="18"/>
      <c r="S159" s="18"/>
      <c r="T159" s="18"/>
      <c r="U159" s="18"/>
      <c r="V159" s="46"/>
      <c r="W159" s="46"/>
      <c r="X159" s="18"/>
      <c r="Y159" s="1" t="e">
        <f>VLOOKUP(A159,Model!A$2:J$210,2,FALSE)</f>
        <v>#N/A</v>
      </c>
      <c r="Z159" s="1"/>
      <c r="AA159" s="1"/>
      <c r="AB159" s="1"/>
      <c r="AC159" s="1"/>
    </row>
    <row r="160" spans="1:33" ht="22.5" hidden="1" customHeight="1">
      <c r="A160" s="18" t="s">
        <v>2673</v>
      </c>
      <c r="B160" s="18" t="s">
        <v>949</v>
      </c>
      <c r="C160" s="18" t="s">
        <v>157</v>
      </c>
      <c r="D160" s="18" t="s">
        <v>63</v>
      </c>
      <c r="E160" s="18" t="s">
        <v>158</v>
      </c>
      <c r="F160" s="45" t="s">
        <v>63</v>
      </c>
      <c r="G160" s="46" t="s">
        <v>951</v>
      </c>
      <c r="H160" s="18"/>
      <c r="I160" s="18" t="s">
        <v>347</v>
      </c>
      <c r="J160" s="18">
        <v>3</v>
      </c>
      <c r="K160" s="18" t="e">
        <f>VLOOKUP(A160,Model!C$2:D$208,2,FALSE)=B160</f>
        <v>#N/A</v>
      </c>
      <c r="L160" s="18" t="e">
        <f>VLOOKUP(A160,Model!C$2:G$208,5,FALSE)=C160</f>
        <v>#N/A</v>
      </c>
      <c r="M160" s="18" t="b">
        <f>VLOOKUP(Table1[[#This Row],[Physical Name of Attribute (Name of column in Table)
Supplied by DA Team]],Table!A$2:H$323,1,FALSE)=Table1[[#This Row],[Physical Name of Attribute (Name of column in Table)
Supplied by DA Team]]</f>
        <v>1</v>
      </c>
      <c r="N160" s="18" t="b">
        <f>VLOOKUP(B160,Table!A$2:F$319,2,FALSE)=Table1[[#This Row],[Data type in Oracle
VARCHAR2(n), DATE, NUMBER(m,n), TIMETSTAMP(6)]]</f>
        <v>0</v>
      </c>
      <c r="O160" s="18" t="b">
        <f>VLOOKUP(B160,Table!A$2:F$231,3,FALSE)=Table1[[#This Row],[Nullable in Table and in Oracle View
NULL, NOT NULL]]</f>
        <v>1</v>
      </c>
      <c r="P160" s="55" t="b">
        <f>VLOOKUP(B160,Table!A$2:H$228,6,FALSE)=Table1[[#This Row],[Business Definition (To go into comments and into Meta Data Hub)]]</f>
        <v>0</v>
      </c>
      <c r="Q160" s="18" t="s">
        <v>68</v>
      </c>
      <c r="R160" s="18" t="s">
        <v>69</v>
      </c>
      <c r="S160" s="18" t="s">
        <v>949</v>
      </c>
      <c r="T160" s="18"/>
      <c r="U160" s="18"/>
      <c r="V160" s="46"/>
      <c r="W160" s="46"/>
      <c r="X160" s="18"/>
      <c r="Y160" s="1" t="e">
        <f>VLOOKUP(A160,Model!A$2:J$210,2,FALSE)</f>
        <v>#N/A</v>
      </c>
      <c r="Z160" s="1"/>
      <c r="AA160" s="1"/>
      <c r="AB160" s="1"/>
      <c r="AC160" s="1"/>
      <c r="AD160" s="32" t="b">
        <f>VLOOKUP(B160,AVY_FACT!A$2:A$153,1,FALSE)=B160</f>
        <v>1</v>
      </c>
      <c r="AE160" s="32" t="b">
        <f>VLOOKUP(B160,AVY_FACT!A$2:F$153,2,FALSE)=C160</f>
        <v>1</v>
      </c>
      <c r="AF160" s="32" t="str">
        <f>B160&amp;"  "&amp;C160&amp;","</f>
        <v>SD  DATE,</v>
      </c>
      <c r="AG160" s="33" t="str">
        <f t="shared" ref="AG160:AG191" si="10">"COMMENT ON COLUMN TRANSACTIONS_OWNER.AVY_FACT."&amp;B160&amp;" IS '"&amp;SUBSTITUTE(G160,"'","''")&amp;"';"</f>
        <v>COMMENT ON COLUMN TRANSACTIONS_OWNER.AVY_FACT.SD IS 'Settlement date is a securities industry term describing the date on which a trade settles. That is, the actual day on which transfer of cash or assets is completed and is usually a few days after the trade was done.';</v>
      </c>
    </row>
    <row r="161" spans="1:33" ht="22.5" customHeight="1">
      <c r="A161" s="56" t="s">
        <v>952</v>
      </c>
      <c r="B161" s="18" t="s">
        <v>953</v>
      </c>
      <c r="C161" s="18" t="s">
        <v>101</v>
      </c>
      <c r="D161" s="18" t="s">
        <v>345</v>
      </c>
      <c r="E161" s="18" t="s">
        <v>133</v>
      </c>
      <c r="F161" s="45" t="s">
        <v>63</v>
      </c>
      <c r="G161" s="46" t="s">
        <v>954</v>
      </c>
      <c r="H161" s="18"/>
      <c r="I161" s="18" t="s">
        <v>347</v>
      </c>
      <c r="J161" s="18">
        <v>3</v>
      </c>
      <c r="K161" s="18" t="e">
        <f>VLOOKUP(A161,Model!C$2:D$208,2,FALSE)=B161</f>
        <v>#N/A</v>
      </c>
      <c r="L161" s="18" t="e">
        <f>VLOOKUP(A161,Model!C$2:G$208,5,FALSE)=C161</f>
        <v>#N/A</v>
      </c>
      <c r="M161" s="18" t="b">
        <f>VLOOKUP(Table1[[#This Row],[Physical Name of Attribute (Name of column in Table)
Supplied by DA Team]],Table!A$2:H$323,1,FALSE)=Table1[[#This Row],[Physical Name of Attribute (Name of column in Table)
Supplied by DA Team]]</f>
        <v>1</v>
      </c>
      <c r="N161" s="18" t="b">
        <f>VLOOKUP(B161,Table!A$2:F$319,2,FALSE)=Table1[[#This Row],[Data type in Oracle
VARCHAR2(n), DATE, NUMBER(m,n), TIMETSTAMP(6)]]</f>
        <v>1</v>
      </c>
      <c r="O161" s="18" t="b">
        <f>VLOOKUP(B161,Table!A$2:F$231,3,FALSE)=Table1[[#This Row],[Nullable in Table and in Oracle View
NULL, NOT NULL]]</f>
        <v>0</v>
      </c>
      <c r="P161" s="55" t="b">
        <f>VLOOKUP(B161,Table!A$2:H$228,6,FALSE)=Table1[[#This Row],[Business Definition (To go into comments and into Meta Data Hub)]]</f>
        <v>0</v>
      </c>
      <c r="Q161" s="18" t="s">
        <v>262</v>
      </c>
      <c r="R161" s="18" t="s">
        <v>348</v>
      </c>
      <c r="S161" s="18" t="s">
        <v>349</v>
      </c>
      <c r="T161" s="18"/>
      <c r="U161" s="18"/>
      <c r="V161" s="46" t="s">
        <v>955</v>
      </c>
      <c r="W161" s="46"/>
      <c r="X161" s="18"/>
      <c r="Y161" s="1" t="e">
        <f>VLOOKUP(A161,Model!A$2:J$210,2,FALSE)</f>
        <v>#N/A</v>
      </c>
      <c r="Z161" s="1"/>
      <c r="AA161" s="1"/>
      <c r="AB161" s="1"/>
      <c r="AC161" s="1"/>
      <c r="AD161" s="32" t="b">
        <f>VLOOKUP(B161,AVY_FACT!A$2:A$153,1,FALSE)=B161</f>
        <v>1</v>
      </c>
      <c r="AE161" s="32" t="b">
        <f>VLOOKUP(B161,AVY_FACT!A$2:F$153,2,FALSE)=C161</f>
        <v>1</v>
      </c>
      <c r="AF161" s="32" t="str">
        <f>B161&amp;"  "&amp;C161&amp;","</f>
        <v>SD_DIM_ID  NUMBER(38,0),</v>
      </c>
      <c r="AG161" s="33" t="str">
        <f t="shared" si="10"/>
        <v>COMMENT ON COLUMN TRANSACTIONS_OWNER.AVY_FACT.SD_DIM_ID IS 'Synthetic Key identifying a single date in the DATE Dimension based on Settlement date';</v>
      </c>
    </row>
    <row r="162" spans="1:33" ht="22.5" hidden="1" customHeight="1">
      <c r="A162" s="44" t="s">
        <v>2674</v>
      </c>
      <c r="B162" s="18" t="s">
        <v>60</v>
      </c>
      <c r="C162" s="18" t="s">
        <v>62</v>
      </c>
      <c r="D162" s="18" t="s">
        <v>63</v>
      </c>
      <c r="E162" s="18" t="s">
        <v>64</v>
      </c>
      <c r="F162" s="45" t="s">
        <v>63</v>
      </c>
      <c r="G162" s="46" t="s">
        <v>2222</v>
      </c>
      <c r="H162" s="18" t="s">
        <v>66</v>
      </c>
      <c r="I162" s="18" t="s">
        <v>67</v>
      </c>
      <c r="J162" s="18">
        <v>3</v>
      </c>
      <c r="K162" s="18" t="e">
        <f>VLOOKUP(A162,Model!C$2:D$208,2,FALSE)=B162</f>
        <v>#N/A</v>
      </c>
      <c r="L162" s="18" t="e">
        <f>VLOOKUP(A162,Model!C$2:G$208,5,FALSE)=C162</f>
        <v>#N/A</v>
      </c>
      <c r="M162" s="18" t="b">
        <f>VLOOKUP(Table1[[#This Row],[Physical Name of Attribute (Name of column in Table)
Supplied by DA Team]],Table!A$2:H$323,1,FALSE)=Table1[[#This Row],[Physical Name of Attribute (Name of column in Table)
Supplied by DA Team]]</f>
        <v>1</v>
      </c>
      <c r="N162" s="18" t="b">
        <f>VLOOKUP(B162,Table!A$2:F$319,2,FALSE)=Table1[[#This Row],[Data type in Oracle
VARCHAR2(n), DATE, NUMBER(m,n), TIMETSTAMP(6)]]</f>
        <v>0</v>
      </c>
      <c r="O162" s="18" t="b">
        <f>VLOOKUP(B162,Table!A$2:F$231,3,FALSE)=Table1[[#This Row],[Nullable in Table and in Oracle View
NULL, NOT NULL]]</f>
        <v>1</v>
      </c>
      <c r="P162" s="55" t="b">
        <f>VLOOKUP(B162,Table!A$2:H$228,6,FALSE)=Table1[[#This Row],[Business Definition (To go into comments and into Meta Data Hub)]]</f>
        <v>0</v>
      </c>
      <c r="Q162" s="18" t="s">
        <v>68</v>
      </c>
      <c r="R162" s="47" t="s">
        <v>69</v>
      </c>
      <c r="S162" s="18" t="s">
        <v>70</v>
      </c>
      <c r="T162" s="18"/>
      <c r="U162" s="18"/>
      <c r="V162" s="46"/>
      <c r="W162" s="46"/>
      <c r="X162" s="18"/>
      <c r="Y162" s="1" t="e">
        <f>VLOOKUP(A162,Model!A$2:J$210,2,FALSE)</f>
        <v>#N/A</v>
      </c>
      <c r="Z162" s="1"/>
      <c r="AA162" s="1"/>
      <c r="AB162" s="1"/>
      <c r="AC162" s="1"/>
      <c r="AD162" s="32" t="e">
        <f>VLOOKUP(B162,AVY_FACT!A$2:A$153,1,FALSE)=B162</f>
        <v>#N/A</v>
      </c>
      <c r="AE162" s="32" t="e">
        <f>VLOOKUP(B162,AVY_FACT!A$2:F$153,2,FALSE)=C162</f>
        <v>#N/A</v>
      </c>
      <c r="AF162" s="32" t="str">
        <f>B162&amp;"  "&amp;C162&amp;","</f>
        <v>SHDW_TXN_TP_CD  VARCHAR2(50),</v>
      </c>
      <c r="AG162" s="33" t="str">
        <f t="shared" si="10"/>
        <v>COMMENT ON COLUMN TRANSACTIONS_OWNER.AVY_FACT.SHDW_TXN_TP_CD IS 'Possible values:  ORG, OLD, NEW, REV, REP.  ';</v>
      </c>
    </row>
    <row r="163" spans="1:33" ht="22.5" hidden="1" customHeight="1">
      <c r="A163" s="44" t="s">
        <v>2675</v>
      </c>
      <c r="B163" s="18" t="s">
        <v>73</v>
      </c>
      <c r="C163" s="18" t="s">
        <v>62</v>
      </c>
      <c r="D163" s="18" t="s">
        <v>63</v>
      </c>
      <c r="E163" s="18" t="s">
        <v>64</v>
      </c>
      <c r="F163" s="45" t="s">
        <v>63</v>
      </c>
      <c r="G163" s="46" t="s">
        <v>75</v>
      </c>
      <c r="H163" s="18"/>
      <c r="I163" s="18" t="s">
        <v>67</v>
      </c>
      <c r="J163" s="18">
        <v>3</v>
      </c>
      <c r="K163" s="18" t="e">
        <f>VLOOKUP(A163,Model!C$2:D$208,2,FALSE)=B163</f>
        <v>#N/A</v>
      </c>
      <c r="L163" s="18" t="e">
        <f>VLOOKUP(A163,Model!C$2:G$208,5,FALSE)=C163</f>
        <v>#N/A</v>
      </c>
      <c r="M163" s="18" t="b">
        <f>VLOOKUP(Table1[[#This Row],[Physical Name of Attribute (Name of column in Table)
Supplied by DA Team]],Table!A$2:H$323,1,FALSE)=Table1[[#This Row],[Physical Name of Attribute (Name of column in Table)
Supplied by DA Team]]</f>
        <v>1</v>
      </c>
      <c r="N163" s="18" t="b">
        <f>VLOOKUP(B163,Table!A$2:F$319,2,FALSE)=Table1[[#This Row],[Data type in Oracle
VARCHAR2(n), DATE, NUMBER(m,n), TIMETSTAMP(6)]]</f>
        <v>0</v>
      </c>
      <c r="O163" s="18" t="b">
        <f>VLOOKUP(B163,Table!A$2:F$231,3,FALSE)=Table1[[#This Row],[Nullable in Table and in Oracle View
NULL, NOT NULL]]</f>
        <v>1</v>
      </c>
      <c r="P163" s="18" t="b">
        <f>VLOOKUP(B163,Table!A$2:H$228,6,FALSE)=Table1[[#This Row],[Business Definition (To go into comments and into Meta Data Hub)]]</f>
        <v>0</v>
      </c>
      <c r="Q163" s="18" t="s">
        <v>68</v>
      </c>
      <c r="R163" s="47" t="s">
        <v>76</v>
      </c>
      <c r="S163" s="18" t="s">
        <v>77</v>
      </c>
      <c r="T163" s="18"/>
      <c r="U163" s="18"/>
      <c r="V163" s="46" t="s">
        <v>78</v>
      </c>
      <c r="W163" s="46"/>
      <c r="X163" s="18"/>
      <c r="Y163" s="1" t="e">
        <f>VLOOKUP(A163,Model!A$2:J$210,2,FALSE)</f>
        <v>#N/A</v>
      </c>
      <c r="Z163" s="1"/>
      <c r="AA163" s="1"/>
      <c r="AB163" s="1"/>
      <c r="AC163" s="1"/>
      <c r="AD163" s="32" t="e">
        <f>VLOOKUP(B163,AVY_FACT!A$2:A$153,1,FALSE)=B163</f>
        <v>#N/A</v>
      </c>
      <c r="AE163" s="32" t="e">
        <f>VLOOKUP(B163,AVY_FACT!A$2:F$153,2,FALSE)=C163</f>
        <v>#N/A</v>
      </c>
      <c r="AF163" s="32" t="str">
        <f>B163&amp;"  "&amp;C163&amp;","</f>
        <v>SHDW_TXN_TP_NM  VARCHAR2(50),</v>
      </c>
      <c r="AG163" s="33" t="str">
        <f t="shared" si="10"/>
        <v>COMMENT ON COLUMN TRANSACTIONS_OWNER.AVY_FACT.SHDW_TXN_TP_NM IS 'Name of the Shadow Transaction Type Code.';</v>
      </c>
    </row>
    <row r="164" spans="1:33" ht="22.5" hidden="1" customHeight="1">
      <c r="A164" s="18" t="s">
        <v>2676</v>
      </c>
      <c r="B164" s="18" t="s">
        <v>126</v>
      </c>
      <c r="C164" s="18" t="s">
        <v>62</v>
      </c>
      <c r="D164" s="18" t="s">
        <v>63</v>
      </c>
      <c r="E164" s="18" t="s">
        <v>64</v>
      </c>
      <c r="F164" s="45" t="s">
        <v>63</v>
      </c>
      <c r="G164" s="46" t="s">
        <v>128</v>
      </c>
      <c r="H164" s="18" t="s">
        <v>129</v>
      </c>
      <c r="I164" s="18" t="s">
        <v>67</v>
      </c>
      <c r="J164" s="18">
        <v>3</v>
      </c>
      <c r="K164" s="18" t="e">
        <f>VLOOKUP(A164,Model!C$2:D$208,2,FALSE)=B164</f>
        <v>#N/A</v>
      </c>
      <c r="L164" s="18" t="e">
        <f>VLOOKUP(A164,Model!C$2:G$208,5,FALSE)=C164</f>
        <v>#N/A</v>
      </c>
      <c r="M164" s="18" t="b">
        <f>VLOOKUP(Table1[[#This Row],[Physical Name of Attribute (Name of column in Table)
Supplied by DA Team]],Table!A$2:H$323,1,FALSE)=Table1[[#This Row],[Physical Name of Attribute (Name of column in Table)
Supplied by DA Team]]</f>
        <v>1</v>
      </c>
      <c r="N164" s="18" t="b">
        <f>VLOOKUP(B164,Table!A$2:F$319,2,FALSE)=Table1[[#This Row],[Data type in Oracle
VARCHAR2(n), DATE, NUMBER(m,n), TIMETSTAMP(6)]]</f>
        <v>0</v>
      </c>
      <c r="O164" s="18" t="b">
        <f>VLOOKUP(B164,Table!A$2:F$231,3,FALSE)=Table1[[#This Row],[Nullable in Table and in Oracle View
NULL, NOT NULL]]</f>
        <v>1</v>
      </c>
      <c r="P164" s="18" t="b">
        <f>VLOOKUP(B164,Table!A$2:H$228,6,FALSE)=Table1[[#This Row],[Business Definition (To go into comments and into Meta Data Hub)]]</f>
        <v>0</v>
      </c>
      <c r="Q164" s="18" t="s">
        <v>68</v>
      </c>
      <c r="R164" s="18" t="s">
        <v>69</v>
      </c>
      <c r="S164" s="18" t="s">
        <v>130</v>
      </c>
      <c r="T164" s="18"/>
      <c r="U164" s="18"/>
      <c r="V164" s="46"/>
      <c r="W164" s="46"/>
      <c r="X164" s="18"/>
      <c r="Y164" s="1" t="e">
        <f>VLOOKUP(A164,Model!A$2:J$210,2,FALSE)</f>
        <v>#N/A</v>
      </c>
      <c r="Z164" s="1"/>
      <c r="AA164" s="1"/>
      <c r="AB164" s="1"/>
      <c r="AC164" s="1"/>
      <c r="AD164" s="32" t="e">
        <f>VLOOKUP(B164,AVY_FACT!A$2:A$153,1,FALSE)=B164</f>
        <v>#N/A</v>
      </c>
      <c r="AE164" s="32" t="e">
        <f>VLOOKUP(B164,AVY_FACT!A$2:F$153,2,FALSE)=C164</f>
        <v>#N/A</v>
      </c>
      <c r="AF164" s="32" t="str">
        <f>"ALTER TABLE TRANSACTIONS_OWNER.AVY_FACT DROP COLUMN "&amp;B164&amp;";"</f>
        <v>ALTER TABLE TRANSACTIONS_OWNER.AVY_FACT DROP COLUMN SIS_AC_CL_CD;</v>
      </c>
      <c r="AG164" s="33" t="str">
        <f t="shared" si="10"/>
        <v>COMMENT ON COLUMN TRANSACTIONS_OWNER.AVY_FACT.SIS_AC_CL_CD IS 'SIS account classification codes';</v>
      </c>
    </row>
    <row r="165" spans="1:33" ht="22.5" hidden="1" customHeight="1">
      <c r="A165" s="18" t="s">
        <v>2677</v>
      </c>
      <c r="B165" s="18" t="s">
        <v>100</v>
      </c>
      <c r="C165" s="46" t="s">
        <v>101</v>
      </c>
      <c r="D165" s="18" t="s">
        <v>63</v>
      </c>
      <c r="E165" s="18" t="s">
        <v>102</v>
      </c>
      <c r="F165" s="45" t="s">
        <v>63</v>
      </c>
      <c r="G165" s="46" t="s">
        <v>103</v>
      </c>
      <c r="H165" s="18">
        <v>3214</v>
      </c>
      <c r="I165" s="18" t="s">
        <v>67</v>
      </c>
      <c r="J165" s="18">
        <v>3</v>
      </c>
      <c r="K165" s="18" t="e">
        <f>VLOOKUP(A165,Model!C$2:D$208,2,FALSE)=B165</f>
        <v>#N/A</v>
      </c>
      <c r="L165" s="18" t="e">
        <f>VLOOKUP(A165,Model!C$2:G$208,5,FALSE)=C165</f>
        <v>#N/A</v>
      </c>
      <c r="M165" s="18" t="b">
        <f>VLOOKUP(Table1[[#This Row],[Physical Name of Attribute (Name of column in Table)
Supplied by DA Team]],Table!A$2:H$323,1,FALSE)=Table1[[#This Row],[Physical Name of Attribute (Name of column in Table)
Supplied by DA Team]]</f>
        <v>1</v>
      </c>
      <c r="N165" s="18" t="b">
        <f>VLOOKUP(B165,Table!A$2:F$319,2,FALSE)=Table1[[#This Row],[Data type in Oracle
VARCHAR2(n), DATE, NUMBER(m,n), TIMETSTAMP(6)]]</f>
        <v>0</v>
      </c>
      <c r="O165" s="18" t="b">
        <f>VLOOKUP(B165,Table!A$2:F$231,3,FALSE)=Table1[[#This Row],[Nullable in Table and in Oracle View
NULL, NOT NULL]]</f>
        <v>1</v>
      </c>
      <c r="P165" s="18" t="b">
        <f>VLOOKUP(B165,Table!A$2:H$228,6,FALSE)=Table1[[#This Row],[Business Definition (To go into comments and into Meta Data Hub)]]</f>
        <v>0</v>
      </c>
      <c r="Q165" s="18" t="s">
        <v>68</v>
      </c>
      <c r="R165" s="47" t="s">
        <v>69</v>
      </c>
      <c r="S165" s="18" t="s">
        <v>104</v>
      </c>
      <c r="T165" s="18"/>
      <c r="U165" s="18"/>
      <c r="V165" s="46"/>
      <c r="W165" s="46" t="s">
        <v>105</v>
      </c>
      <c r="X165" s="18"/>
      <c r="Y165" s="1" t="e">
        <f>VLOOKUP(A165,Model!A$2:J$210,2,FALSE)</f>
        <v>#N/A</v>
      </c>
      <c r="Z165" s="1"/>
      <c r="AA165" s="1"/>
      <c r="AB165" s="1"/>
      <c r="AC165" s="1"/>
      <c r="AD165" s="32" t="e">
        <f>VLOOKUP(B165,AVY_FACT!A$2:A$153,1,FALSE)=B165</f>
        <v>#N/A</v>
      </c>
      <c r="AE165" s="32" t="e">
        <f>VLOOKUP(B165,AVY_FACT!A$2:F$153,2,FALSE)=C165</f>
        <v>#N/A</v>
      </c>
      <c r="AF165" s="32" t="e">
        <f>K165&amp;"  "&amp;C165&amp;","</f>
        <v>#N/A</v>
      </c>
      <c r="AG165" s="33" t="str">
        <f t="shared" si="10"/>
        <v>COMMENT ON COLUMN TRANSACTIONS_OWNER.AVY_FACT.SIS_DLTD_EV_ID IS 'Identifier that determines what type of transaction the record contains. For SIS activity the values depend on the record type.';</v>
      </c>
    </row>
    <row r="166" spans="1:33" ht="22.5" hidden="1" customHeight="1">
      <c r="A166" s="51" t="s">
        <v>106</v>
      </c>
      <c r="B166" s="51" t="s">
        <v>107</v>
      </c>
      <c r="C166" s="51" t="s">
        <v>109</v>
      </c>
      <c r="D166" s="51" t="s">
        <v>63</v>
      </c>
      <c r="E166" s="51" t="s">
        <v>110</v>
      </c>
      <c r="F166" s="45" t="s">
        <v>63</v>
      </c>
      <c r="G166" s="52" t="s">
        <v>111</v>
      </c>
      <c r="H166" s="51" t="s">
        <v>112</v>
      </c>
      <c r="I166" s="51" t="s">
        <v>67</v>
      </c>
      <c r="J166" s="18">
        <v>3</v>
      </c>
      <c r="K166" s="18" t="e">
        <f>VLOOKUP(A166,Model!C$2:D$208,2,FALSE)=B166</f>
        <v>#N/A</v>
      </c>
      <c r="L166" s="18" t="e">
        <f>VLOOKUP(A166,Model!C$2:G$208,5,FALSE)=C166</f>
        <v>#N/A</v>
      </c>
      <c r="M166" s="18" t="b">
        <f>VLOOKUP(Table1[[#This Row],[Physical Name of Attribute (Name of column in Table)
Supplied by DA Team]],Table!A$2:H$323,1,FALSE)=Table1[[#This Row],[Physical Name of Attribute (Name of column in Table)
Supplied by DA Team]]</f>
        <v>1</v>
      </c>
      <c r="N166" s="18" t="b">
        <f>VLOOKUP(B166,Table!A$2:F$319,2,FALSE)=Table1[[#This Row],[Data type in Oracle
VARCHAR2(n), DATE, NUMBER(m,n), TIMETSTAMP(6)]]</f>
        <v>0</v>
      </c>
      <c r="O166" s="18" t="b">
        <f>VLOOKUP(B166,Table!A$2:F$231,3,FALSE)=Table1[[#This Row],[Nullable in Table and in Oracle View
NULL, NOT NULL]]</f>
        <v>1</v>
      </c>
      <c r="P166" s="18" t="b">
        <f>VLOOKUP(B166,Table!A$2:H$228,6,FALSE)=Table1[[#This Row],[Business Definition (To go into comments and into Meta Data Hub)]]</f>
        <v>0</v>
      </c>
      <c r="Q166" s="51" t="s">
        <v>68</v>
      </c>
      <c r="R166" s="51" t="s">
        <v>113</v>
      </c>
      <c r="S166" s="51" t="s">
        <v>114</v>
      </c>
      <c r="T166" s="51"/>
      <c r="U166" s="51"/>
      <c r="V166" s="52" t="s">
        <v>115</v>
      </c>
      <c r="W166" s="46" t="s">
        <v>105</v>
      </c>
      <c r="X166" s="18"/>
      <c r="Y166" s="1" t="e">
        <f>VLOOKUP(A166,Model!A$2:J$210,2,FALSE)</f>
        <v>#N/A</v>
      </c>
      <c r="Z166" s="1"/>
      <c r="AA166" s="1"/>
      <c r="AB166" s="1"/>
      <c r="AC166" s="1"/>
      <c r="AD166" s="32" t="e">
        <f>VLOOKUP(B166,AVY_FACT!A$2:A$153,1,FALSE)=B166</f>
        <v>#N/A</v>
      </c>
      <c r="AE166" s="32" t="e">
        <f>VLOOKUP(B166,AVY_FACT!A$2:F$153,2,FALSE)=C166</f>
        <v>#N/A</v>
      </c>
      <c r="AF166" s="32" t="e">
        <f>K166&amp;"  "&amp;C166&amp;","</f>
        <v>#N/A</v>
      </c>
      <c r="AG166" s="33" t="str">
        <f t="shared" si="10"/>
        <v>COMMENT ON COLUMN TRANSACTIONS_OWNER.AVY_FACT.SIS_DLTD_EV_NM IS 'Name that determines what type of transaction the record contains. For SIS activity the values depend on the record type.';</v>
      </c>
    </row>
    <row r="167" spans="1:33" ht="22.5" hidden="1" customHeight="1">
      <c r="A167" s="18" t="s">
        <v>117</v>
      </c>
      <c r="B167" s="18" t="s">
        <v>118</v>
      </c>
      <c r="C167" s="18" t="s">
        <v>120</v>
      </c>
      <c r="D167" s="18" t="s">
        <v>63</v>
      </c>
      <c r="E167" s="18" t="s">
        <v>121</v>
      </c>
      <c r="F167" s="45" t="s">
        <v>63</v>
      </c>
      <c r="G167" s="46" t="s">
        <v>122</v>
      </c>
      <c r="H167" s="18" t="s">
        <v>123</v>
      </c>
      <c r="I167" s="18" t="s">
        <v>67</v>
      </c>
      <c r="J167" s="18">
        <v>3</v>
      </c>
      <c r="K167" s="18" t="e">
        <f>VLOOKUP(A167,Model!C$2:D$208,2,FALSE)=B167</f>
        <v>#N/A</v>
      </c>
      <c r="L167" s="18" t="e">
        <f>VLOOKUP(A167,Model!C$2:G$208,5,FALSE)=C167</f>
        <v>#N/A</v>
      </c>
      <c r="M167" s="18" t="b">
        <f>VLOOKUP(Table1[[#This Row],[Physical Name of Attribute (Name of column in Table)
Supplied by DA Team]],Table!A$2:H$323,1,FALSE)=Table1[[#This Row],[Physical Name of Attribute (Name of column in Table)
Supplied by DA Team]]</f>
        <v>1</v>
      </c>
      <c r="N167" s="18" t="b">
        <f>VLOOKUP(B167,Table!A$2:F$319,2,FALSE)=Table1[[#This Row],[Data type in Oracle
VARCHAR2(n), DATE, NUMBER(m,n), TIMETSTAMP(6)]]</f>
        <v>0</v>
      </c>
      <c r="O167" s="18" t="b">
        <f>VLOOKUP(B167,Table!A$2:F$231,3,FALSE)=Table1[[#This Row],[Nullable in Table and in Oracle View
NULL, NOT NULL]]</f>
        <v>1</v>
      </c>
      <c r="P167" s="18" t="b">
        <f>VLOOKUP(B167,Table!A$2:H$228,6,FALSE)=Table1[[#This Row],[Business Definition (To go into comments and into Meta Data Hub)]]</f>
        <v>0</v>
      </c>
      <c r="Q167" s="18" t="s">
        <v>68</v>
      </c>
      <c r="R167" s="18" t="s">
        <v>69</v>
      </c>
      <c r="S167" s="18" t="s">
        <v>124</v>
      </c>
      <c r="T167" s="18"/>
      <c r="U167" s="18"/>
      <c r="V167" s="46"/>
      <c r="W167" s="46"/>
      <c r="X167" s="18"/>
      <c r="Y167" s="1" t="e">
        <f>VLOOKUP(A167,Model!A$2:J$210,2,FALSE)</f>
        <v>#N/A</v>
      </c>
      <c r="Z167" s="1"/>
      <c r="AA167" s="1"/>
      <c r="AB167" s="1"/>
      <c r="AC167" s="1"/>
      <c r="AD167" s="32" t="e">
        <f>VLOOKUP(B167,AVY_FACT!A$2:A$153,1,FALSE)=B167</f>
        <v>#N/A</v>
      </c>
      <c r="AE167" s="32" t="e">
        <f>VLOOKUP(B167,AVY_FACT!A$2:F$153,2,FALSE)=C167</f>
        <v>#N/A</v>
      </c>
      <c r="AF167" s="32" t="str">
        <f>B167&amp;"  "&amp;C167&amp;","</f>
        <v>SIS_USR_ID  VARCHAR2(255),</v>
      </c>
      <c r="AG167" s="33" t="str">
        <f t="shared" si="10"/>
        <v>COMMENT ON COLUMN TRANSACTIONS_OWNER.AVY_FACT.SIS_USR_ID IS 'Identifier of the process or user that creates the records sourced from SIS Money Movement';</v>
      </c>
    </row>
    <row r="168" spans="1:33" ht="22.5" hidden="1" customHeight="1">
      <c r="A168" s="18" t="s">
        <v>265</v>
      </c>
      <c r="B168" s="18" t="s">
        <v>266</v>
      </c>
      <c r="C168" s="51" t="s">
        <v>268</v>
      </c>
      <c r="D168" s="18" t="s">
        <v>63</v>
      </c>
      <c r="E168" s="18" t="s">
        <v>269</v>
      </c>
      <c r="F168" s="45" t="s">
        <v>63</v>
      </c>
      <c r="G168" s="46" t="s">
        <v>270</v>
      </c>
      <c r="H168" s="18" t="s">
        <v>271</v>
      </c>
      <c r="I168" s="18" t="s">
        <v>67</v>
      </c>
      <c r="J168" s="18">
        <v>3</v>
      </c>
      <c r="K168" s="18" t="e">
        <f>VLOOKUP(A168,Model!C$2:D$208,2,FALSE)=B168</f>
        <v>#N/A</v>
      </c>
      <c r="L168" s="18" t="e">
        <f>VLOOKUP(A168,Model!C$2:G$208,5,FALSE)=C168</f>
        <v>#N/A</v>
      </c>
      <c r="M168" s="18" t="b">
        <f>VLOOKUP(Table1[[#This Row],[Physical Name of Attribute (Name of column in Table)
Supplied by DA Team]],Table!A$2:H$323,1,FALSE)=Table1[[#This Row],[Physical Name of Attribute (Name of column in Table)
Supplied by DA Team]]</f>
        <v>1</v>
      </c>
      <c r="N168" s="18" t="b">
        <f>VLOOKUP(B168,Table!A$2:F$319,2,FALSE)=Table1[[#This Row],[Data type in Oracle
VARCHAR2(n), DATE, NUMBER(m,n), TIMETSTAMP(6)]]</f>
        <v>0</v>
      </c>
      <c r="O168" s="18" t="b">
        <f>VLOOKUP(B168,Table!A$2:F$231,3,FALSE)=Table1[[#This Row],[Nullable in Table and in Oracle View
NULL, NOT NULL]]</f>
        <v>1</v>
      </c>
      <c r="P168" s="18" t="b">
        <f>VLOOKUP(B168,Table!A$2:H$228,6,FALSE)=Table1[[#This Row],[Business Definition (To go into comments and into Meta Data Hub)]]</f>
        <v>0</v>
      </c>
      <c r="Q168" s="18" t="s">
        <v>68</v>
      </c>
      <c r="R168" s="18" t="s">
        <v>69</v>
      </c>
      <c r="S168" s="18" t="s">
        <v>272</v>
      </c>
      <c r="T168" s="18"/>
      <c r="U168" s="18"/>
      <c r="V168" s="46"/>
      <c r="W168" s="46" t="s">
        <v>273</v>
      </c>
      <c r="X168" s="18"/>
      <c r="Y168" s="1" t="e">
        <f>VLOOKUP(A168,Model!A$2:J$210,2,FALSE)</f>
        <v>#N/A</v>
      </c>
      <c r="Z168" s="1"/>
      <c r="AA168" s="1"/>
      <c r="AB168" s="1"/>
      <c r="AC168" s="1"/>
      <c r="AD168" s="32" t="e">
        <f>VLOOKUP(B168,AVY_FACT!A$2:A$153,1,FALSE)=B168</f>
        <v>#N/A</v>
      </c>
      <c r="AE168" s="32" t="e">
        <f>VLOOKUP(B168,AVY_FACT!A$2:F$153,2,FALSE)=C168</f>
        <v>#N/A</v>
      </c>
      <c r="AF168" s="32" t="e">
        <f>K168&amp;"  "&amp;C168&amp;","</f>
        <v>#N/A</v>
      </c>
      <c r="AG168" s="33" t="str">
        <f t="shared" si="10"/>
        <v>COMMENT ON COLUMN TRANSACTIONS_OWNER.AVY_FACT.SRC_CNCL_X_RVSN_CD IS 'Cancel or Revise Code in the source system';</v>
      </c>
    </row>
    <row r="169" spans="1:33" ht="22.5" hidden="1" customHeight="1">
      <c r="A169" s="18" t="s">
        <v>136</v>
      </c>
      <c r="B169" s="18" t="s">
        <v>137</v>
      </c>
      <c r="C169" s="18" t="s">
        <v>139</v>
      </c>
      <c r="D169" s="18" t="s">
        <v>63</v>
      </c>
      <c r="E169" s="18" t="s">
        <v>140</v>
      </c>
      <c r="F169" s="45" t="s">
        <v>63</v>
      </c>
      <c r="G169" s="53" t="s">
        <v>141</v>
      </c>
      <c r="H169" s="18" t="s">
        <v>142</v>
      </c>
      <c r="I169" s="18" t="s">
        <v>67</v>
      </c>
      <c r="J169" s="18">
        <v>3</v>
      </c>
      <c r="K169" s="18" t="e">
        <f>VLOOKUP(A169,Model!C$2:D$208,2,FALSE)=B169</f>
        <v>#N/A</v>
      </c>
      <c r="L169" s="18" t="e">
        <f>VLOOKUP(A169,Model!C$2:G$208,5,FALSE)=C169</f>
        <v>#N/A</v>
      </c>
      <c r="M169" s="18" t="b">
        <f>VLOOKUP(Table1[[#This Row],[Physical Name of Attribute (Name of column in Table)
Supplied by DA Team]],Table!A$2:H$323,1,FALSE)=Table1[[#This Row],[Physical Name of Attribute (Name of column in Table)
Supplied by DA Team]]</f>
        <v>1</v>
      </c>
      <c r="N169" s="18" t="b">
        <f>VLOOKUP(B169,Table!A$2:F$319,2,FALSE)=Table1[[#This Row],[Data type in Oracle
VARCHAR2(n), DATE, NUMBER(m,n), TIMETSTAMP(6)]]</f>
        <v>0</v>
      </c>
      <c r="O169" s="18" t="b">
        <f>VLOOKUP(B169,Table!A$2:F$231,3,FALSE)=Table1[[#This Row],[Nullable in Table and in Oracle View
NULL, NOT NULL]]</f>
        <v>1</v>
      </c>
      <c r="P169" s="55" t="b">
        <f>VLOOKUP(B169,Table!A$2:H$228,6,FALSE)=Table1[[#This Row],[Business Definition (To go into comments and into Meta Data Hub)]]</f>
        <v>0</v>
      </c>
      <c r="Q169" s="18" t="s">
        <v>68</v>
      </c>
      <c r="R169" s="18" t="s">
        <v>113</v>
      </c>
      <c r="S169" s="18" t="s">
        <v>143</v>
      </c>
      <c r="T169" s="18"/>
      <c r="U169" s="18"/>
      <c r="V169" s="46" t="s">
        <v>144</v>
      </c>
      <c r="W169" s="46" t="s">
        <v>105</v>
      </c>
      <c r="X169" s="18"/>
      <c r="Y169" s="1" t="e">
        <f>VLOOKUP(A169,Model!A$2:J$210,2,FALSE)</f>
        <v>#N/A</v>
      </c>
      <c r="Z169" s="1"/>
      <c r="AA169" s="1"/>
      <c r="AB169" s="1"/>
      <c r="AC169" s="1"/>
      <c r="AD169" s="32" t="e">
        <f>VLOOKUP(B169,AVY_FACT!A$2:A$153,1,FALSE)=B169</f>
        <v>#N/A</v>
      </c>
      <c r="AE169" s="32" t="e">
        <f>VLOOKUP(B169,AVY_FACT!A$2:F$153,2,FALSE)=C169</f>
        <v>#N/A</v>
      </c>
      <c r="AF169" s="32" t="e">
        <f>K169&amp;"  "&amp;C169&amp;","</f>
        <v>#N/A</v>
      </c>
      <c r="AG169" s="33" t="str">
        <f t="shared" si="10"/>
        <v>COMMENT ON COLUMN TRANSACTIONS_OWNER.AVY_FACT.SRC_CNCL_RSN_CD IS 'Code representing Reason for cancellation in source system
Valid Values - A ,N, Y, null/blank
Valid values include:
''Y'' - Trade is cancelled due to correction, and will not be processed as a new trade
''N'' - Trade is an outright cancel.
''A'' - Trade is a cancel/correction due to allocation, and will be processed as allocated trade.';</v>
      </c>
    </row>
    <row r="170" spans="1:33" ht="22.5" hidden="1" customHeight="1">
      <c r="A170" s="18" t="s">
        <v>131</v>
      </c>
      <c r="B170" s="18" t="s">
        <v>132</v>
      </c>
      <c r="C170" s="18" t="s">
        <v>101</v>
      </c>
      <c r="D170" s="18" t="s">
        <v>63</v>
      </c>
      <c r="E170" s="18" t="s">
        <v>133</v>
      </c>
      <c r="F170" s="45" t="s">
        <v>63</v>
      </c>
      <c r="G170" s="46" t="s">
        <v>134</v>
      </c>
      <c r="H170" s="46" t="s">
        <v>135</v>
      </c>
      <c r="I170" s="18" t="s">
        <v>67</v>
      </c>
      <c r="J170" s="18">
        <v>3</v>
      </c>
      <c r="K170" s="18" t="e">
        <f>VLOOKUP(A170,Model!C$2:D$208,2,FALSE)=B170</f>
        <v>#N/A</v>
      </c>
      <c r="L170" s="18" t="e">
        <f>VLOOKUP(A170,Model!C$2:G$208,5,FALSE)=C170</f>
        <v>#N/A</v>
      </c>
      <c r="M170" s="18" t="b">
        <f>VLOOKUP(Table1[[#This Row],[Physical Name of Attribute (Name of column in Table)
Supplied by DA Team]],Table!A$2:H$323,1,FALSE)=Table1[[#This Row],[Physical Name of Attribute (Name of column in Table)
Supplied by DA Team]]</f>
        <v>1</v>
      </c>
      <c r="N170" s="18" t="b">
        <f>VLOOKUP(B170,Table!A$2:F$319,2,FALSE)=Table1[[#This Row],[Data type in Oracle
VARCHAR2(n), DATE, NUMBER(m,n), TIMETSTAMP(6)]]</f>
        <v>1</v>
      </c>
      <c r="O170" s="18" t="b">
        <f>VLOOKUP(B170,Table!A$2:F$231,3,FALSE)=Table1[[#This Row],[Nullable in Table and in Oracle View
NULL, NOT NULL]]</f>
        <v>0</v>
      </c>
      <c r="P170" s="18" t="b">
        <f>VLOOKUP(B170,Table!A$2:H$228,6,FALSE)=Table1[[#This Row],[Business Definition (To go into comments and into Meta Data Hub)]]</f>
        <v>0</v>
      </c>
      <c r="Q170" s="18" t="s">
        <v>68</v>
      </c>
      <c r="R170" s="47" t="s">
        <v>69</v>
      </c>
      <c r="S170" s="18" t="s">
        <v>132</v>
      </c>
      <c r="T170" s="18"/>
      <c r="U170" s="18"/>
      <c r="V170" s="46"/>
      <c r="W170" s="46"/>
      <c r="X170" s="18"/>
      <c r="Y170" s="1" t="e">
        <f>VLOOKUP(A170,Model!A$2:J$210,2,FALSE)</f>
        <v>#N/A</v>
      </c>
      <c r="Z170" s="1"/>
      <c r="AA170" s="1"/>
      <c r="AB170" s="1"/>
      <c r="AC170" s="1"/>
      <c r="AD170" s="32" t="e">
        <f>VLOOKUP(B170,AVY_FACT!A$2:A$153,1,FALSE)=B170</f>
        <v>#N/A</v>
      </c>
      <c r="AE170" s="32" t="e">
        <f>VLOOKUP(B170,AVY_FACT!A$2:F$153,2,FALSE)=C170</f>
        <v>#N/A</v>
      </c>
      <c r="AF170" s="32" t="e">
        <f>K170&amp;"  "&amp;C170&amp;","</f>
        <v>#N/A</v>
      </c>
      <c r="AG170" s="33" t="str">
        <f t="shared" si="10"/>
        <v>COMMENT ON COLUMN TRANSACTIONS_OWNER.AVY_FACT.SRC_CNCL_RSN_ID IS 'Id representing Reason for cancellation in source system';</v>
      </c>
    </row>
    <row r="171" spans="1:33" ht="22.5" hidden="1" customHeight="1">
      <c r="A171" s="18" t="s">
        <v>145</v>
      </c>
      <c r="B171" s="18" t="s">
        <v>146</v>
      </c>
      <c r="C171" s="18" t="s">
        <v>109</v>
      </c>
      <c r="D171" s="18" t="s">
        <v>63</v>
      </c>
      <c r="E171" s="18" t="s">
        <v>110</v>
      </c>
      <c r="F171" s="45" t="s">
        <v>63</v>
      </c>
      <c r="G171" s="46" t="s">
        <v>148</v>
      </c>
      <c r="H171" s="18" t="s">
        <v>149</v>
      </c>
      <c r="I171" s="18" t="s">
        <v>67</v>
      </c>
      <c r="J171" s="18">
        <v>3</v>
      </c>
      <c r="K171" s="18" t="e">
        <f>VLOOKUP(A171,Model!C$2:D$208,2,FALSE)=B171</f>
        <v>#N/A</v>
      </c>
      <c r="L171" s="18" t="e">
        <f>VLOOKUP(A171,Model!C$2:G$208,5,FALSE)=C171</f>
        <v>#N/A</v>
      </c>
      <c r="M171" s="18" t="b">
        <f>VLOOKUP(Table1[[#This Row],[Physical Name of Attribute (Name of column in Table)
Supplied by DA Team]],Table!A$2:H$323,1,FALSE)=Table1[[#This Row],[Physical Name of Attribute (Name of column in Table)
Supplied by DA Team]]</f>
        <v>1</v>
      </c>
      <c r="N171" s="18" t="b">
        <f>VLOOKUP(B171,Table!A$2:F$319,2,FALSE)=Table1[[#This Row],[Data type in Oracle
VARCHAR2(n), DATE, NUMBER(m,n), TIMETSTAMP(6)]]</f>
        <v>0</v>
      </c>
      <c r="O171" s="18" t="b">
        <f>VLOOKUP(B171,Table!A$2:F$231,3,FALSE)=Table1[[#This Row],[Nullable in Table and in Oracle View
NULL, NOT NULL]]</f>
        <v>1</v>
      </c>
      <c r="P171" s="18" t="b">
        <f>VLOOKUP(B171,Table!A$2:H$228,6,FALSE)=Table1[[#This Row],[Business Definition (To go into comments and into Meta Data Hub)]]</f>
        <v>0</v>
      </c>
      <c r="Q171" s="18" t="s">
        <v>68</v>
      </c>
      <c r="R171" s="18" t="s">
        <v>113</v>
      </c>
      <c r="S171" s="51" t="s">
        <v>114</v>
      </c>
      <c r="T171" s="18"/>
      <c r="U171" s="18"/>
      <c r="V171" s="46" t="s">
        <v>144</v>
      </c>
      <c r="W171" s="46"/>
      <c r="X171" s="18"/>
      <c r="Y171" s="1" t="e">
        <f>VLOOKUP(A171,Model!A$2:J$210,2,FALSE)</f>
        <v>#N/A</v>
      </c>
      <c r="Z171" s="1"/>
      <c r="AA171" s="1"/>
      <c r="AB171" s="1"/>
      <c r="AC171" s="1"/>
      <c r="AD171" s="32" t="e">
        <f>VLOOKUP(B171,AVY_FACT!A$2:A$153,1,FALSE)=B171</f>
        <v>#N/A</v>
      </c>
      <c r="AE171" s="32" t="e">
        <f>VLOOKUP(B171,AVY_FACT!A$2:F$153,2,FALSE)=C171</f>
        <v>#N/A</v>
      </c>
      <c r="AF171" s="32" t="e">
        <f>K171&amp;"  "&amp;C171&amp;","</f>
        <v>#N/A</v>
      </c>
      <c r="AG171" s="33" t="str">
        <f t="shared" si="10"/>
        <v>COMMENT ON COLUMN TRANSACTIONS_OWNER.AVY_FACT.SRC_CNCL_RSN_NM IS 'Name representing Reason for cancellation in source system';</v>
      </c>
    </row>
    <row r="172" spans="1:33" ht="22.5" hidden="1" customHeight="1">
      <c r="A172" s="18" t="s">
        <v>2678</v>
      </c>
      <c r="B172" s="18" t="s">
        <v>957</v>
      </c>
      <c r="C172" s="18" t="s">
        <v>62</v>
      </c>
      <c r="D172" s="18" t="s">
        <v>63</v>
      </c>
      <c r="E172" s="18" t="s">
        <v>64</v>
      </c>
      <c r="F172" s="45" t="s">
        <v>63</v>
      </c>
      <c r="G172" s="46" t="s">
        <v>959</v>
      </c>
      <c r="H172" s="18"/>
      <c r="I172" s="18" t="s">
        <v>347</v>
      </c>
      <c r="J172" s="18">
        <v>3</v>
      </c>
      <c r="K172" s="18" t="e">
        <f>VLOOKUP(A172,Model!C$2:D$208,2,FALSE)=B172</f>
        <v>#N/A</v>
      </c>
      <c r="L172" s="18" t="e">
        <f>VLOOKUP(A172,Model!C$2:G$208,5,FALSE)=C172</f>
        <v>#N/A</v>
      </c>
      <c r="M172" s="18" t="b">
        <f>VLOOKUP(Table1[[#This Row],[Physical Name of Attribute (Name of column in Table)
Supplied by DA Team]],Table!A$2:H$323,1,FALSE)=Table1[[#This Row],[Physical Name of Attribute (Name of column in Table)
Supplied by DA Team]]</f>
        <v>1</v>
      </c>
      <c r="N172" s="18" t="b">
        <f>VLOOKUP(B172,Table!A$2:F$319,2,FALSE)=Table1[[#This Row],[Data type in Oracle
VARCHAR2(n), DATE, NUMBER(m,n), TIMETSTAMP(6)]]</f>
        <v>0</v>
      </c>
      <c r="O172" s="18" t="b">
        <f>VLOOKUP(B172,Table!A$2:F$231,3,FALSE)=Table1[[#This Row],[Nullable in Table and in Oracle View
NULL, NOT NULL]]</f>
        <v>1</v>
      </c>
      <c r="P172" s="55" t="b">
        <f>VLOOKUP(B172,Table!A$2:H$228,6,FALSE)=Table1[[#This Row],[Business Definition (To go into comments and into Meta Data Hub)]]</f>
        <v>0</v>
      </c>
      <c r="Q172" s="18" t="s">
        <v>68</v>
      </c>
      <c r="R172" s="18" t="s">
        <v>69</v>
      </c>
      <c r="S172" s="18" t="s">
        <v>957</v>
      </c>
      <c r="T172" s="18"/>
      <c r="U172" s="18"/>
      <c r="V172" s="46"/>
      <c r="W172" s="46"/>
      <c r="X172" s="18"/>
      <c r="Y172" s="1" t="e">
        <f>VLOOKUP(A172,Model!A$2:J$210,2,FALSE)</f>
        <v>#N/A</v>
      </c>
      <c r="Z172" s="1"/>
      <c r="AA172" s="1"/>
      <c r="AB172" s="1"/>
      <c r="AC172" s="1"/>
      <c r="AD172" s="32" t="b">
        <f>VLOOKUP(B172,AVY_FACT!A$2:A$153,1,FALSE)=B172</f>
        <v>1</v>
      </c>
      <c r="AE172" s="32" t="b">
        <f>VLOOKUP(B172,AVY_FACT!A$2:F$153,2,FALSE)=C172</f>
        <v>1</v>
      </c>
      <c r="AF172" s="32" t="str">
        <f>B172&amp;"  "&amp;C172&amp;","</f>
        <v>SRC_CRT_USRNM  VARCHAR2(50),</v>
      </c>
      <c r="AG172" s="33" t="str">
        <f t="shared" si="10"/>
        <v>COMMENT ON COLUMN TRANSACTIONS_OWNER.AVY_FACT.SRC_CRT_USRNM IS 'The name that represents the user/process that created row in the primary source table';</v>
      </c>
    </row>
    <row r="173" spans="1:33" ht="22.5" hidden="1" customHeight="1">
      <c r="A173" s="18" t="s">
        <v>960</v>
      </c>
      <c r="B173" s="18" t="s">
        <v>961</v>
      </c>
      <c r="C173" s="18" t="s">
        <v>157</v>
      </c>
      <c r="D173" s="18" t="s">
        <v>63</v>
      </c>
      <c r="E173" s="18" t="s">
        <v>158</v>
      </c>
      <c r="F173" s="45" t="s">
        <v>63</v>
      </c>
      <c r="G173" s="46" t="s">
        <v>963</v>
      </c>
      <c r="H173" s="18"/>
      <c r="I173" s="18" t="s">
        <v>347</v>
      </c>
      <c r="J173" s="18">
        <v>3</v>
      </c>
      <c r="K173" s="18" t="e">
        <f>VLOOKUP(A173,Model!C$2:D$208,2,FALSE)=B173</f>
        <v>#N/A</v>
      </c>
      <c r="L173" s="18" t="e">
        <f>VLOOKUP(A173,Model!C$2:G$208,5,FALSE)=C173</f>
        <v>#N/A</v>
      </c>
      <c r="M173" s="18" t="b">
        <f>VLOOKUP(Table1[[#This Row],[Physical Name of Attribute (Name of column in Table)
Supplied by DA Team]],Table!A$2:H$323,1,FALSE)=Table1[[#This Row],[Physical Name of Attribute (Name of column in Table)
Supplied by DA Team]]</f>
        <v>1</v>
      </c>
      <c r="N173" s="18" t="b">
        <f>VLOOKUP(B173,Table!A$2:F$319,2,FALSE)=Table1[[#This Row],[Data type in Oracle
VARCHAR2(n), DATE, NUMBER(m,n), TIMETSTAMP(6)]]</f>
        <v>0</v>
      </c>
      <c r="O173" s="18" t="b">
        <f>VLOOKUP(B173,Table!A$2:F$231,3,FALSE)=Table1[[#This Row],[Nullable in Table and in Oracle View
NULL, NOT NULL]]</f>
        <v>1</v>
      </c>
      <c r="P173" s="55" t="b">
        <f>VLOOKUP(B173,Table!A$2:H$228,6,FALSE)=Table1[[#This Row],[Business Definition (To go into comments and into Meta Data Hub)]]</f>
        <v>0</v>
      </c>
      <c r="Q173" s="18" t="s">
        <v>68</v>
      </c>
      <c r="R173" s="18" t="s">
        <v>375</v>
      </c>
      <c r="S173" s="18" t="s">
        <v>961</v>
      </c>
      <c r="T173" s="18"/>
      <c r="U173" s="18"/>
      <c r="V173" s="46" t="s">
        <v>539</v>
      </c>
      <c r="W173" s="46"/>
      <c r="X173" s="18"/>
      <c r="Y173" s="1" t="e">
        <f>VLOOKUP(A173,Model!A$2:J$210,2,FALSE)</f>
        <v>#N/A</v>
      </c>
      <c r="Z173" s="1"/>
      <c r="AA173" s="1"/>
      <c r="AB173" s="1"/>
      <c r="AC173" s="1"/>
      <c r="AD173" s="32" t="b">
        <f>VLOOKUP(B173,AVY_FACT!A$2:A$153,1,FALSE)=B173</f>
        <v>1</v>
      </c>
      <c r="AE173" s="32" t="b">
        <f>VLOOKUP(B173,AVY_FACT!A$2:F$153,2,FALSE)=C173</f>
        <v>1</v>
      </c>
      <c r="AF173" s="32" t="str">
        <f>B173&amp;"  "&amp;C173&amp;","</f>
        <v>SRC_EFF_DT  DATE,</v>
      </c>
      <c r="AG173" s="33" t="str">
        <f t="shared" si="10"/>
        <v>COMMENT ON COLUMN TRANSACTIONS_OWNER.AVY_FACT.SRC_EFF_DT IS 'Effective date of the APA in the source system';</v>
      </c>
    </row>
    <row r="174" spans="1:33" ht="22.5" hidden="1" customHeight="1">
      <c r="A174" s="18" t="s">
        <v>965</v>
      </c>
      <c r="B174" s="18" t="s">
        <v>966</v>
      </c>
      <c r="C174" s="18" t="s">
        <v>139</v>
      </c>
      <c r="D174" s="18" t="s">
        <v>63</v>
      </c>
      <c r="E174" s="18" t="s">
        <v>140</v>
      </c>
      <c r="F174" s="45" t="s">
        <v>63</v>
      </c>
      <c r="G174" s="46" t="s">
        <v>968</v>
      </c>
      <c r="H174" s="18"/>
      <c r="I174" s="18" t="s">
        <v>347</v>
      </c>
      <c r="J174" s="18">
        <v>3</v>
      </c>
      <c r="K174" s="18" t="e">
        <f>VLOOKUP(A174,Model!C$2:D$208,2,FALSE)=B174</f>
        <v>#N/A</v>
      </c>
      <c r="L174" s="18" t="e">
        <f>VLOOKUP(A174,Model!C$2:G$208,5,FALSE)=C174</f>
        <v>#N/A</v>
      </c>
      <c r="M174" s="18" t="b">
        <f>VLOOKUP(Table1[[#This Row],[Physical Name of Attribute (Name of column in Table)
Supplied by DA Team]],Table!A$2:H$323,1,FALSE)=Table1[[#This Row],[Physical Name of Attribute (Name of column in Table)
Supplied by DA Team]]</f>
        <v>1</v>
      </c>
      <c r="N174" s="18" t="b">
        <f>VLOOKUP(B174,Table!A$2:F$319,2,FALSE)=Table1[[#This Row],[Data type in Oracle
VARCHAR2(n), DATE, NUMBER(m,n), TIMETSTAMP(6)]]</f>
        <v>0</v>
      </c>
      <c r="O174" s="18" t="b">
        <f>VLOOKUP(B174,Table!A$2:F$231,3,FALSE)=Table1[[#This Row],[Nullable in Table and in Oracle View
NULL, NOT NULL]]</f>
        <v>1</v>
      </c>
      <c r="P174" s="55" t="b">
        <f>VLOOKUP(B174,Table!A$2:H$228,6,FALSE)=Table1[[#This Row],[Business Definition (To go into comments and into Meta Data Hub)]]</f>
        <v>0</v>
      </c>
      <c r="Q174" s="18" t="s">
        <v>8</v>
      </c>
      <c r="R174" s="18" t="s">
        <v>969</v>
      </c>
      <c r="S174" s="18" t="s">
        <v>966</v>
      </c>
      <c r="T174" s="18"/>
      <c r="U174" s="18"/>
      <c r="V174" s="46" t="s">
        <v>970</v>
      </c>
      <c r="W174" s="46"/>
      <c r="X174" s="18"/>
      <c r="Y174" s="1" t="e">
        <f>VLOOKUP(A174,Model!A$2:J$210,2,FALSE)</f>
        <v>#N/A</v>
      </c>
      <c r="Z174" s="1"/>
      <c r="AA174" s="1"/>
      <c r="AB174" s="1"/>
      <c r="AC174" s="1"/>
      <c r="AD174" s="32" t="b">
        <f>VLOOKUP(B174,AVY_FACT!A$2:A$153,1,FALSE)=B174</f>
        <v>1</v>
      </c>
      <c r="AE174" s="32" t="b">
        <f>VLOOKUP(B174,AVY_FACT!A$2:F$153,2,FALSE)=C174</f>
        <v>1</v>
      </c>
      <c r="AF174" s="32" t="e">
        <f>K174&amp;"  "&amp;C174&amp;","</f>
        <v>#N/A</v>
      </c>
      <c r="AG174" s="33" t="str">
        <f t="shared" si="10"/>
        <v>COMMENT ON COLUMN TRANSACTIONS_OWNER.AVY_FACT.SRC_ENTR_CNL_TP_CD IS 'A code for the communication channel through which the order is placed. If client called to place order, this value could be phone order, if a transaction is system-generated, it could be system, if written instruction was provided by client, it could be written order, etc.';</v>
      </c>
    </row>
    <row r="175" spans="1:33" ht="22.5" customHeight="1">
      <c r="A175" s="56" t="s">
        <v>972</v>
      </c>
      <c r="B175" s="18" t="s">
        <v>973</v>
      </c>
      <c r="C175" s="18" t="s">
        <v>101</v>
      </c>
      <c r="D175" s="18" t="s">
        <v>345</v>
      </c>
      <c r="E175" s="18" t="s">
        <v>133</v>
      </c>
      <c r="F175" s="45" t="s">
        <v>63</v>
      </c>
      <c r="G175" s="46" t="s">
        <v>974</v>
      </c>
      <c r="H175" s="18"/>
      <c r="I175" s="18" t="s">
        <v>347</v>
      </c>
      <c r="J175" s="18">
        <v>3</v>
      </c>
      <c r="K175" s="18" t="e">
        <f>VLOOKUP(A175,Model!C$2:D$208,2,FALSE)=B175</f>
        <v>#N/A</v>
      </c>
      <c r="L175" s="18" t="e">
        <f>VLOOKUP(A175,Model!C$2:G$208,5,FALSE)=C175</f>
        <v>#N/A</v>
      </c>
      <c r="M175" s="18" t="b">
        <f>VLOOKUP(Table1[[#This Row],[Physical Name of Attribute (Name of column in Table)
Supplied by DA Team]],Table!A$2:H$323,1,FALSE)=Table1[[#This Row],[Physical Name of Attribute (Name of column in Table)
Supplied by DA Team]]</f>
        <v>1</v>
      </c>
      <c r="N175" s="18" t="b">
        <f>VLOOKUP(B175,Table!A$2:F$319,2,FALSE)=Table1[[#This Row],[Data type in Oracle
VARCHAR2(n), DATE, NUMBER(m,n), TIMETSTAMP(6)]]</f>
        <v>0</v>
      </c>
      <c r="O175" s="18" t="b">
        <f>VLOOKUP(B175,Table!A$2:F$231,3,FALSE)=Table1[[#This Row],[Nullable in Table and in Oracle View
NULL, NOT NULL]]</f>
        <v>0</v>
      </c>
      <c r="P175" s="18" t="b">
        <f>VLOOKUP(B175,Table!A$2:H$228,6,FALSE)=Table1[[#This Row],[Business Definition (To go into comments and into Meta Data Hub)]]</f>
        <v>0</v>
      </c>
      <c r="Q175" s="18" t="s">
        <v>8</v>
      </c>
      <c r="R175" s="18" t="s">
        <v>969</v>
      </c>
      <c r="S175" s="18" t="s">
        <v>973</v>
      </c>
      <c r="T175" s="18"/>
      <c r="U175" s="18"/>
      <c r="V175" s="46" t="s">
        <v>970</v>
      </c>
      <c r="W175" s="46"/>
      <c r="X175" s="18"/>
      <c r="Y175" s="1" t="e">
        <f>VLOOKUP(A175,Model!A$2:J$210,2,FALSE)</f>
        <v>#N/A</v>
      </c>
      <c r="Z175" s="1"/>
      <c r="AA175" s="1"/>
      <c r="AB175" s="1"/>
      <c r="AC175" s="1"/>
      <c r="AD175" s="32" t="b">
        <f>VLOOKUP(B175,AVY_FACT!A$2:A$153,1,FALSE)=B175</f>
        <v>1</v>
      </c>
      <c r="AE175" s="32" t="b">
        <f>VLOOKUP(B175,AVY_FACT!A$2:F$153,2,FALSE)=C175</f>
        <v>1</v>
      </c>
      <c r="AF175" s="32" t="e">
        <f>K175&amp;"  "&amp;C175&amp;","</f>
        <v>#N/A</v>
      </c>
      <c r="AG175" s="33" t="str">
        <f t="shared" si="10"/>
        <v>COMMENT ON COLUMN TRANSACTIONS_OWNER.AVY_FACT.SRC_ENTR_CNL_TP_DIM_ID IS 'Surrogate key for the Source Entry Channel Type Dimension';</v>
      </c>
    </row>
    <row r="176" spans="1:33" ht="22.5" hidden="1" customHeight="1">
      <c r="A176" s="18" t="s">
        <v>2679</v>
      </c>
      <c r="B176" s="18" t="s">
        <v>980</v>
      </c>
      <c r="C176" s="18" t="s">
        <v>101</v>
      </c>
      <c r="D176" s="18" t="s">
        <v>63</v>
      </c>
      <c r="E176" s="18" t="s">
        <v>133</v>
      </c>
      <c r="F176" s="45" t="s">
        <v>63</v>
      </c>
      <c r="G176" s="46" t="s">
        <v>981</v>
      </c>
      <c r="H176" s="18"/>
      <c r="I176" s="18" t="s">
        <v>67</v>
      </c>
      <c r="J176" s="18">
        <v>3</v>
      </c>
      <c r="K176" s="18" t="e">
        <f>VLOOKUP(A176,Model!C$2:D$208,2,FALSE)=B176</f>
        <v>#N/A</v>
      </c>
      <c r="L176" s="18" t="e">
        <f>VLOOKUP(A176,Model!C$2:G$208,5,FALSE)=C176</f>
        <v>#N/A</v>
      </c>
      <c r="M176" s="18" t="b">
        <f>VLOOKUP(Table1[[#This Row],[Physical Name of Attribute (Name of column in Table)
Supplied by DA Team]],Table!A$2:H$323,1,FALSE)=Table1[[#This Row],[Physical Name of Attribute (Name of column in Table)
Supplied by DA Team]]</f>
        <v>1</v>
      </c>
      <c r="N176" s="18" t="b">
        <f>VLOOKUP(B176,Table!A$2:F$319,2,FALSE)=Table1[[#This Row],[Data type in Oracle
VARCHAR2(n), DATE, NUMBER(m,n), TIMETSTAMP(6)]]</f>
        <v>0</v>
      </c>
      <c r="O176" s="18" t="b">
        <f>VLOOKUP(B176,Table!A$2:F$231,3,FALSE)=Table1[[#This Row],[Nullable in Table and in Oracle View
NULL, NOT NULL]]</f>
        <v>1</v>
      </c>
      <c r="P176" s="18" t="b">
        <f>VLOOKUP(B176,Table!A$2:H$228,6,FALSE)=Table1[[#This Row],[Business Definition (To go into comments and into Meta Data Hub)]]</f>
        <v>0</v>
      </c>
      <c r="Q176" s="18" t="s">
        <v>68</v>
      </c>
      <c r="R176" s="18" t="s">
        <v>69</v>
      </c>
      <c r="S176" s="18" t="s">
        <v>980</v>
      </c>
      <c r="T176" s="18"/>
      <c r="U176" s="18"/>
      <c r="V176" s="46"/>
      <c r="W176" s="46"/>
      <c r="X176" s="18"/>
      <c r="Y176" s="1" t="e">
        <f>VLOOKUP(A176,Model!A$2:J$210,2,FALSE)</f>
        <v>#N/A</v>
      </c>
      <c r="Z176" s="1"/>
      <c r="AA176" s="1"/>
      <c r="AB176" s="1"/>
      <c r="AC176" s="1"/>
      <c r="AD176" s="32" t="e">
        <f>VLOOKUP(B176,AVY_FACT!A$2:A$153,1,FALSE)=B176</f>
        <v>#N/A</v>
      </c>
      <c r="AE176" s="32" t="e">
        <f>VLOOKUP(B176,AVY_FACT!A$2:F$153,2,FALSE)=C176</f>
        <v>#N/A</v>
      </c>
      <c r="AF176" s="32" t="e">
        <f>K176&amp;"  "&amp;C176&amp;","</f>
        <v>#N/A</v>
      </c>
      <c r="AG176" s="33" t="str">
        <f t="shared" si="10"/>
        <v>COMMENT ON COLUMN TRANSACTIONS_OWNER.AVY_FACT.SRC_ENTR_CNL_TP_ID IS 'Identifier for the Source Entry Channel Type';</v>
      </c>
    </row>
    <row r="177" spans="1:33" ht="22.5" hidden="1" customHeight="1">
      <c r="A177" s="18" t="s">
        <v>2680</v>
      </c>
      <c r="B177" s="18" t="s">
        <v>976</v>
      </c>
      <c r="C177" s="18" t="s">
        <v>109</v>
      </c>
      <c r="D177" s="18" t="s">
        <v>63</v>
      </c>
      <c r="E177" s="18" t="s">
        <v>110</v>
      </c>
      <c r="F177" s="45" t="s">
        <v>63</v>
      </c>
      <c r="G177" s="46" t="s">
        <v>978</v>
      </c>
      <c r="H177" s="18"/>
      <c r="I177" s="18" t="s">
        <v>347</v>
      </c>
      <c r="J177" s="18">
        <v>3</v>
      </c>
      <c r="K177" s="18" t="e">
        <f>VLOOKUP(A177,Model!C$2:D$208,2,FALSE)=B177</f>
        <v>#N/A</v>
      </c>
      <c r="L177" s="18" t="e">
        <f>VLOOKUP(A177,Model!C$2:G$208,5,FALSE)=C177</f>
        <v>#N/A</v>
      </c>
      <c r="M177" s="18" t="b">
        <f>VLOOKUP(Table1[[#This Row],[Physical Name of Attribute (Name of column in Table)
Supplied by DA Team]],Table!A$2:H$323,1,FALSE)=Table1[[#This Row],[Physical Name of Attribute (Name of column in Table)
Supplied by DA Team]]</f>
        <v>1</v>
      </c>
      <c r="N177" s="18" t="b">
        <f>VLOOKUP(B177,Table!A$2:F$319,2,FALSE)=Table1[[#This Row],[Data type in Oracle
VARCHAR2(n), DATE, NUMBER(m,n), TIMETSTAMP(6)]]</f>
        <v>0</v>
      </c>
      <c r="O177" s="18" t="b">
        <f>VLOOKUP(B177,Table!A$2:F$231,3,FALSE)=Table1[[#This Row],[Nullable in Table and in Oracle View
NULL, NOT NULL]]</f>
        <v>0</v>
      </c>
      <c r="P177" s="55" t="b">
        <f>VLOOKUP(B177,Table!A$2:H$228,6,FALSE)=Table1[[#This Row],[Business Definition (To go into comments and into Meta Data Hub)]]</f>
        <v>0</v>
      </c>
      <c r="Q177" s="18" t="s">
        <v>8</v>
      </c>
      <c r="R177" s="18" t="s">
        <v>969</v>
      </c>
      <c r="S177" s="18" t="s">
        <v>976</v>
      </c>
      <c r="T177" s="18"/>
      <c r="U177" s="18"/>
      <c r="V177" s="46" t="s">
        <v>970</v>
      </c>
      <c r="W177" s="46"/>
      <c r="X177" s="18"/>
      <c r="Y177" s="1" t="e">
        <f>VLOOKUP(A177,Model!A$2:J$210,2,FALSE)</f>
        <v>#N/A</v>
      </c>
      <c r="Z177" s="1"/>
      <c r="AA177" s="1"/>
      <c r="AB177" s="1"/>
      <c r="AC177" s="1"/>
      <c r="AD177" s="32" t="b">
        <f>VLOOKUP(B177,AVY_FACT!A$2:A$153,1,FALSE)=B177</f>
        <v>1</v>
      </c>
      <c r="AE177" s="32" t="b">
        <f>VLOOKUP(B177,AVY_FACT!A$2:F$153,2,FALSE)=C177</f>
        <v>1</v>
      </c>
      <c r="AF177" s="32" t="e">
        <f>"ALTER TABLE TRANSACTIONS_OWNER.AVY_FACT DROP COLUMN "&amp;K177&amp;";"</f>
        <v>#N/A</v>
      </c>
      <c r="AG177" s="33" t="str">
        <f t="shared" si="10"/>
        <v>COMMENT ON COLUMN TRANSACTIONS_OWNER.AVY_FACT.SRC_ENTR_CNL_TP_NM IS 'Name for the communication channel through which the order is placed. If client called to place order, this value could be phone order, if a transaction is system-generated, it could be system, if written instruction was provided by client, it could be written order, etc.';</v>
      </c>
    </row>
    <row r="178" spans="1:33" ht="22.5" hidden="1" customHeight="1">
      <c r="A178" s="18" t="s">
        <v>982</v>
      </c>
      <c r="B178" s="18" t="s">
        <v>983</v>
      </c>
      <c r="C178" s="18" t="s">
        <v>624</v>
      </c>
      <c r="D178" s="18" t="s">
        <v>63</v>
      </c>
      <c r="E178" s="18" t="s">
        <v>624</v>
      </c>
      <c r="F178" s="45" t="s">
        <v>63</v>
      </c>
      <c r="G178" s="46" t="s">
        <v>985</v>
      </c>
      <c r="H178" s="18"/>
      <c r="I178" s="18" t="s">
        <v>347</v>
      </c>
      <c r="J178" s="18">
        <v>3</v>
      </c>
      <c r="K178" s="18" t="e">
        <f>VLOOKUP(A178,Model!C$2:D$208,2,FALSE)=B178</f>
        <v>#N/A</v>
      </c>
      <c r="L178" s="18" t="e">
        <f>VLOOKUP(A178,Model!C$2:G$208,5,FALSE)=C178</f>
        <v>#N/A</v>
      </c>
      <c r="M178" s="18" t="b">
        <f>VLOOKUP(Table1[[#This Row],[Physical Name of Attribute (Name of column in Table)
Supplied by DA Team]],Table!A$2:H$323,1,FALSE)=Table1[[#This Row],[Physical Name of Attribute (Name of column in Table)
Supplied by DA Team]]</f>
        <v>1</v>
      </c>
      <c r="N178" s="18" t="b">
        <f>VLOOKUP(B178,Table!A$2:F$319,2,FALSE)=Table1[[#This Row],[Data type in Oracle
VARCHAR2(n), DATE, NUMBER(m,n), TIMETSTAMP(6)]]</f>
        <v>0</v>
      </c>
      <c r="O178" s="18" t="b">
        <f>VLOOKUP(B178,Table!A$2:F$231,3,FALSE)=Table1[[#This Row],[Nullable in Table and in Oracle View
NULL, NOT NULL]]</f>
        <v>1</v>
      </c>
      <c r="P178" s="18" t="b">
        <f>VLOOKUP(B178,Table!A$2:H$228,6,FALSE)=Table1[[#This Row],[Business Definition (To go into comments and into Meta Data Hub)]]</f>
        <v>0</v>
      </c>
      <c r="Q178" s="18" t="s">
        <v>68</v>
      </c>
      <c r="R178" s="18" t="s">
        <v>69</v>
      </c>
      <c r="S178" s="18" t="s">
        <v>983</v>
      </c>
      <c r="T178" s="18"/>
      <c r="U178" s="18"/>
      <c r="V178" s="46"/>
      <c r="W178" s="46"/>
      <c r="X178" s="18"/>
      <c r="Y178" s="1" t="e">
        <f>VLOOKUP(A178,Model!A$2:J$210,2,FALSE)</f>
        <v>#N/A</v>
      </c>
      <c r="Z178" s="1"/>
      <c r="AA178" s="1"/>
      <c r="AB178" s="1"/>
      <c r="AC178" s="1"/>
      <c r="AD178" s="32" t="b">
        <f>VLOOKUP(B178,AVY_FACT!A$2:A$153,1,FALSE)=B178</f>
        <v>1</v>
      </c>
      <c r="AE178" s="32" t="b">
        <f>VLOOKUP(B178,AVY_FACT!A$2:F$153,2,FALSE)=C178</f>
        <v>1</v>
      </c>
      <c r="AF178" s="32" t="str">
        <f>B178&amp;"  "&amp;C178&amp;","</f>
        <v>SRC_ENTR_DTM  TIMESTAMP(6),</v>
      </c>
      <c r="AG178" s="33" t="str">
        <f t="shared" si="10"/>
        <v>COMMENT ON COLUMN TRANSACTIONS_OWNER.AVY_FACT.SRC_ENTR_DTM IS 'Time stamp of first occurrence of the transaction in the order entry system.';</v>
      </c>
    </row>
    <row r="179" spans="1:33" ht="22.5" hidden="1" customHeight="1">
      <c r="A179" s="18" t="s">
        <v>2681</v>
      </c>
      <c r="B179" s="18" t="s">
        <v>275</v>
      </c>
      <c r="C179" s="18" t="s">
        <v>62</v>
      </c>
      <c r="D179" s="18" t="s">
        <v>63</v>
      </c>
      <c r="E179" s="18" t="s">
        <v>64</v>
      </c>
      <c r="F179" s="45" t="s">
        <v>63</v>
      </c>
      <c r="G179" s="46" t="s">
        <v>277</v>
      </c>
      <c r="H179" s="46" t="s">
        <v>278</v>
      </c>
      <c r="I179" s="18" t="s">
        <v>67</v>
      </c>
      <c r="J179" s="18">
        <v>3</v>
      </c>
      <c r="K179" s="18" t="e">
        <f>VLOOKUP(A179,Model!C$2:D$208,2,FALSE)=B179</f>
        <v>#N/A</v>
      </c>
      <c r="L179" s="18" t="e">
        <f>VLOOKUP(A179,Model!C$2:G$208,5,FALSE)=C179</f>
        <v>#N/A</v>
      </c>
      <c r="M179" s="18" t="b">
        <f>VLOOKUP(Table1[[#This Row],[Physical Name of Attribute (Name of column in Table)
Supplied by DA Team]],Table!A$2:H$323,1,FALSE)=Table1[[#This Row],[Physical Name of Attribute (Name of column in Table)
Supplied by DA Team]]</f>
        <v>1</v>
      </c>
      <c r="N179" s="18" t="b">
        <f>VLOOKUP(B179,Table!A$2:F$319,2,FALSE)=Table1[[#This Row],[Data type in Oracle
VARCHAR2(n), DATE, NUMBER(m,n), TIMETSTAMP(6)]]</f>
        <v>0</v>
      </c>
      <c r="O179" s="18" t="b">
        <f>VLOOKUP(B179,Table!A$2:F$231,3,FALSE)=Table1[[#This Row],[Nullable in Table and in Oracle View
NULL, NOT NULL]]</f>
        <v>1</v>
      </c>
      <c r="P179" s="18" t="b">
        <f>VLOOKUP(B179,Table!A$2:H$228,6,FALSE)=Table1[[#This Row],[Business Definition (To go into comments and into Meta Data Hub)]]</f>
        <v>0</v>
      </c>
      <c r="Q179" s="18" t="s">
        <v>68</v>
      </c>
      <c r="R179" s="18" t="s">
        <v>69</v>
      </c>
      <c r="S179" s="18" t="s">
        <v>279</v>
      </c>
      <c r="T179" s="18"/>
      <c r="U179" s="18"/>
      <c r="V179" s="46"/>
      <c r="W179" s="46"/>
      <c r="X179" s="18"/>
      <c r="Y179" s="1" t="e">
        <f>VLOOKUP(A179,Model!A$2:J$210,2,FALSE)</f>
        <v>#N/A</v>
      </c>
      <c r="Z179" s="1"/>
      <c r="AA179" s="1"/>
      <c r="AB179" s="1"/>
      <c r="AC179" s="1"/>
      <c r="AD179" s="32" t="e">
        <f>VLOOKUP(B179,AVY_FACT!A$2:A$153,1,FALSE)=B179</f>
        <v>#N/A</v>
      </c>
      <c r="AE179" s="32" t="e">
        <f>VLOOKUP(B179,AVY_FACT!A$2:F$153,2,FALSE)=C179</f>
        <v>#N/A</v>
      </c>
      <c r="AF179" s="32" t="e">
        <f>K179&amp;"  "&amp;C179&amp;","</f>
        <v>#N/A</v>
      </c>
      <c r="AG179" s="33" t="str">
        <f t="shared" si="10"/>
        <v>COMMENT ON COLUMN TRANSACTIONS_OWNER.AVY_FACT.SRC_OPT_CLSS_CD IS 'The code that determines what type of transaction the record contains. For SIS activity the values depend on the record type.';</v>
      </c>
    </row>
    <row r="180" spans="1:33" ht="22.5" hidden="1" customHeight="1">
      <c r="A180" s="18" t="s">
        <v>2682</v>
      </c>
      <c r="B180" s="18" t="s">
        <v>995</v>
      </c>
      <c r="C180" s="18" t="s">
        <v>139</v>
      </c>
      <c r="D180" s="18" t="s">
        <v>63</v>
      </c>
      <c r="E180" s="18" t="s">
        <v>140</v>
      </c>
      <c r="F180" s="45" t="s">
        <v>63</v>
      </c>
      <c r="G180" s="46" t="s">
        <v>997</v>
      </c>
      <c r="H180" s="18"/>
      <c r="I180" s="18" t="s">
        <v>347</v>
      </c>
      <c r="J180" s="18">
        <v>3</v>
      </c>
      <c r="K180" s="18" t="e">
        <f>VLOOKUP(A180,Model!C$2:D$208,2,FALSE)=B180</f>
        <v>#N/A</v>
      </c>
      <c r="L180" s="18" t="e">
        <f>VLOOKUP(A180,Model!C$2:G$208,5,FALSE)=C180</f>
        <v>#N/A</v>
      </c>
      <c r="M180" s="18" t="b">
        <f>VLOOKUP(Table1[[#This Row],[Physical Name of Attribute (Name of column in Table)
Supplied by DA Team]],Table!A$2:H$323,1,FALSE)=Table1[[#This Row],[Physical Name of Attribute (Name of column in Table)
Supplied by DA Team]]</f>
        <v>1</v>
      </c>
      <c r="N180" s="18" t="b">
        <f>VLOOKUP(B180,Table!A$2:F$319,2,FALSE)=Table1[[#This Row],[Data type in Oracle
VARCHAR2(n), DATE, NUMBER(m,n), TIMETSTAMP(6)]]</f>
        <v>0</v>
      </c>
      <c r="O180" s="18" t="b">
        <f>VLOOKUP(B180,Table!A$2:F$231,3,FALSE)=Table1[[#This Row],[Nullable in Table and in Oracle View
NULL, NOT NULL]]</f>
        <v>1</v>
      </c>
      <c r="P180" s="55" t="b">
        <f>VLOOKUP(B180,Table!A$2:H$228,6,FALSE)=Table1[[#This Row],[Business Definition (To go into comments and into Meta Data Hub)]]</f>
        <v>0</v>
      </c>
      <c r="Q180" s="18" t="s">
        <v>8</v>
      </c>
      <c r="R180" s="18" t="s">
        <v>989</v>
      </c>
      <c r="S180" s="18" t="s">
        <v>995</v>
      </c>
      <c r="T180" s="18"/>
      <c r="U180" s="18"/>
      <c r="V180" s="46" t="s">
        <v>990</v>
      </c>
      <c r="W180" s="46"/>
      <c r="X180" s="18"/>
      <c r="Y180" s="1" t="e">
        <f>VLOOKUP(A180,Model!A$2:J$210,2,FALSE)</f>
        <v>#N/A</v>
      </c>
      <c r="Z180" s="1"/>
      <c r="AA180" s="1"/>
      <c r="AB180" s="1"/>
      <c r="AC180" s="1"/>
      <c r="AD180" s="32" t="b">
        <f>VLOOKUP(B180,AVY_FACT!A$2:A$153,1,FALSE)=B180</f>
        <v>1</v>
      </c>
      <c r="AE180" s="32" t="b">
        <f>VLOOKUP(B180,AVY_FACT!A$2:F$153,2,FALSE)=C180</f>
        <v>1</v>
      </c>
      <c r="AF180" s="32" t="str">
        <f>B180&amp;"  "&amp;C180&amp;","</f>
        <v>SRC_PCS_TP_CD  VARCHAR2(20),</v>
      </c>
      <c r="AG180" s="33" t="str">
        <f t="shared" si="10"/>
        <v>COMMENT ON COLUMN TRANSACTIONS_OWNER.AVY_FACT.SRC_PCS_TP_CD IS 'A code for the source processing type, values include backdated, initial, cancel, correction or reversal.';</v>
      </c>
    </row>
    <row r="181" spans="1:33" ht="22.5" customHeight="1">
      <c r="A181" s="56" t="s">
        <v>986</v>
      </c>
      <c r="B181" s="18" t="s">
        <v>987</v>
      </c>
      <c r="C181" s="18" t="s">
        <v>101</v>
      </c>
      <c r="D181" s="18" t="s">
        <v>345</v>
      </c>
      <c r="E181" s="18" t="s">
        <v>133</v>
      </c>
      <c r="F181" s="45" t="s">
        <v>63</v>
      </c>
      <c r="G181" s="18" t="s">
        <v>988</v>
      </c>
      <c r="H181" s="18"/>
      <c r="I181" s="18" t="s">
        <v>347</v>
      </c>
      <c r="J181" s="18">
        <v>3</v>
      </c>
      <c r="K181" s="18" t="e">
        <f>VLOOKUP(A181,Model!C$2:D$208,2,FALSE)=B181</f>
        <v>#N/A</v>
      </c>
      <c r="L181" s="18" t="e">
        <f>VLOOKUP(A181,Model!C$2:G$208,5,FALSE)=C181</f>
        <v>#N/A</v>
      </c>
      <c r="M181" s="18" t="b">
        <f>VLOOKUP(Table1[[#This Row],[Physical Name of Attribute (Name of column in Table)
Supplied by DA Team]],Table!A$2:H$323,1,FALSE)=Table1[[#This Row],[Physical Name of Attribute (Name of column in Table)
Supplied by DA Team]]</f>
        <v>1</v>
      </c>
      <c r="N181" s="18" t="b">
        <f>VLOOKUP(B181,Table!A$2:F$319,2,FALSE)=Table1[[#This Row],[Data type in Oracle
VARCHAR2(n), DATE, NUMBER(m,n), TIMETSTAMP(6)]]</f>
        <v>1</v>
      </c>
      <c r="O181" s="18" t="b">
        <f>VLOOKUP(B181,Table!A$2:F$231,3,FALSE)=Table1[[#This Row],[Nullable in Table and in Oracle View
NULL, NOT NULL]]</f>
        <v>1</v>
      </c>
      <c r="P181" s="55" t="b">
        <f>VLOOKUP(B181,Table!A$2:H$228,6,FALSE)=Table1[[#This Row],[Business Definition (To go into comments and into Meta Data Hub)]]</f>
        <v>0</v>
      </c>
      <c r="Q181" s="18" t="s">
        <v>8</v>
      </c>
      <c r="R181" s="18" t="s">
        <v>989</v>
      </c>
      <c r="S181" s="18" t="s">
        <v>987</v>
      </c>
      <c r="T181" s="18"/>
      <c r="U181" s="18"/>
      <c r="V181" s="46" t="s">
        <v>990</v>
      </c>
      <c r="W181" s="46"/>
      <c r="X181" s="18"/>
      <c r="Y181" s="1" t="e">
        <f>VLOOKUP(A181,Model!A$2:J$210,2,FALSE)</f>
        <v>#N/A</v>
      </c>
      <c r="Z181" s="1"/>
      <c r="AA181" s="1"/>
      <c r="AB181" s="1"/>
      <c r="AC181" s="1"/>
      <c r="AD181" s="32" t="b">
        <f>VLOOKUP(B181,AVY_FACT!A$2:A$153,1,FALSE)=B181</f>
        <v>1</v>
      </c>
      <c r="AE181" s="32" t="b">
        <f>VLOOKUP(B181,AVY_FACT!A$2:F$153,2,FALSE)=C181</f>
        <v>1</v>
      </c>
      <c r="AF181" s="32" t="e">
        <f>"ALTER TABLE TRANSACTIONS_OWNER.AVY_FACT DROP COLUMN "&amp;K181&amp;";"</f>
        <v>#N/A</v>
      </c>
      <c r="AG181" s="33" t="str">
        <f t="shared" si="10"/>
        <v>COMMENT ON COLUMN TRANSACTIONS_OWNER.AVY_FACT.SRC_PCS_TP_DIM_ID IS 'Surrogate key for Source Processing Type Dimension.';</v>
      </c>
    </row>
    <row r="182" spans="1:33" ht="22.5" hidden="1" customHeight="1">
      <c r="A182" s="18" t="s">
        <v>2683</v>
      </c>
      <c r="B182" s="18" t="s">
        <v>992</v>
      </c>
      <c r="C182" s="18" t="s">
        <v>101</v>
      </c>
      <c r="D182" s="18" t="s">
        <v>63</v>
      </c>
      <c r="E182" s="18" t="s">
        <v>133</v>
      </c>
      <c r="F182" s="45" t="s">
        <v>63</v>
      </c>
      <c r="G182" s="46" t="s">
        <v>993</v>
      </c>
      <c r="H182" s="18"/>
      <c r="I182" s="18" t="s">
        <v>67</v>
      </c>
      <c r="J182" s="18">
        <v>3</v>
      </c>
      <c r="K182" s="18" t="e">
        <f>VLOOKUP(A182,Model!C$2:D$208,2,FALSE)=B182</f>
        <v>#N/A</v>
      </c>
      <c r="L182" s="18" t="e">
        <f>VLOOKUP(A182,Model!C$2:G$208,5,FALSE)=C182</f>
        <v>#N/A</v>
      </c>
      <c r="M182" s="18" t="b">
        <f>VLOOKUP(Table1[[#This Row],[Physical Name of Attribute (Name of column in Table)
Supplied by DA Team]],Table!A$2:H$323,1,FALSE)=Table1[[#This Row],[Physical Name of Attribute (Name of column in Table)
Supplied by DA Team]]</f>
        <v>1</v>
      </c>
      <c r="N182" s="18" t="b">
        <f>VLOOKUP(B182,Table!A$2:F$319,2,FALSE)=Table1[[#This Row],[Data type in Oracle
VARCHAR2(n), DATE, NUMBER(m,n), TIMETSTAMP(6)]]</f>
        <v>0</v>
      </c>
      <c r="O182" s="18" t="b">
        <f>VLOOKUP(B182,Table!A$2:F$231,3,FALSE)=Table1[[#This Row],[Nullable in Table and in Oracle View
NULL, NOT NULL]]</f>
        <v>1</v>
      </c>
      <c r="P182" s="18" t="b">
        <f>VLOOKUP(B182,Table!A$2:H$228,6,FALSE)=Table1[[#This Row],[Business Definition (To go into comments and into Meta Data Hub)]]</f>
        <v>0</v>
      </c>
      <c r="Q182" s="18" t="s">
        <v>68</v>
      </c>
      <c r="R182" s="18" t="s">
        <v>69</v>
      </c>
      <c r="S182" s="18" t="s">
        <v>992</v>
      </c>
      <c r="T182" s="18"/>
      <c r="U182" s="18"/>
      <c r="V182" s="46" t="s">
        <v>990</v>
      </c>
      <c r="W182" s="46"/>
      <c r="X182" s="18"/>
      <c r="Y182" s="1" t="e">
        <f>VLOOKUP(A182,Model!A$2:J$210,2,FALSE)</f>
        <v>#N/A</v>
      </c>
      <c r="Z182" s="1"/>
      <c r="AA182" s="1"/>
      <c r="AB182" s="1"/>
      <c r="AC182" s="1"/>
      <c r="AD182" s="32" t="e">
        <f>VLOOKUP(B182,AVY_FACT!A$2:A$153,1,FALSE)=B182</f>
        <v>#N/A</v>
      </c>
      <c r="AE182" s="32" t="e">
        <f>VLOOKUP(B182,AVY_FACT!A$2:F$153,2,FALSE)=C182</f>
        <v>#N/A</v>
      </c>
      <c r="AF182" s="32" t="e">
        <f t="shared" ref="AF182:AF187" si="11">K182&amp;"  "&amp;C182&amp;","</f>
        <v>#N/A</v>
      </c>
      <c r="AG182" s="33" t="str">
        <f t="shared" si="10"/>
        <v>COMMENT ON COLUMN TRANSACTIONS_OWNER.AVY_FACT.SRC_PCS_TP_ID IS 'Identifier for the Source Processing Type';</v>
      </c>
    </row>
    <row r="183" spans="1:33" ht="22.5" hidden="1" customHeight="1">
      <c r="A183" s="18" t="s">
        <v>2684</v>
      </c>
      <c r="B183" s="18" t="s">
        <v>999</v>
      </c>
      <c r="C183" s="18" t="s">
        <v>109</v>
      </c>
      <c r="D183" s="18" t="s">
        <v>63</v>
      </c>
      <c r="E183" s="18" t="s">
        <v>110</v>
      </c>
      <c r="F183" s="45" t="s">
        <v>63</v>
      </c>
      <c r="G183" s="46" t="s">
        <v>1001</v>
      </c>
      <c r="H183" s="18"/>
      <c r="I183" s="18" t="s">
        <v>347</v>
      </c>
      <c r="J183" s="18">
        <v>3</v>
      </c>
      <c r="K183" s="18" t="e">
        <f>VLOOKUP(A183,Model!C$2:D$208,2,FALSE)=B183</f>
        <v>#N/A</v>
      </c>
      <c r="L183" s="18" t="e">
        <f>VLOOKUP(A183,Model!C$2:G$208,5,FALSE)=C183</f>
        <v>#N/A</v>
      </c>
      <c r="M183" s="18" t="b">
        <f>VLOOKUP(Table1[[#This Row],[Physical Name of Attribute (Name of column in Table)
Supplied by DA Team]],Table!A$2:H$323,1,FALSE)=Table1[[#This Row],[Physical Name of Attribute (Name of column in Table)
Supplied by DA Team]]</f>
        <v>1</v>
      </c>
      <c r="N183" s="18" t="b">
        <f>VLOOKUP(B183,Table!A$2:F$319,2,FALSE)=Table1[[#This Row],[Data type in Oracle
VARCHAR2(n), DATE, NUMBER(m,n), TIMETSTAMP(6)]]</f>
        <v>0</v>
      </c>
      <c r="O183" s="18" t="b">
        <f>VLOOKUP(B183,Table!A$2:F$231,3,FALSE)=Table1[[#This Row],[Nullable in Table and in Oracle View
NULL, NOT NULL]]</f>
        <v>1</v>
      </c>
      <c r="P183" s="55" t="b">
        <f>VLOOKUP(B183,Table!A$2:H$228,6,FALSE)=Table1[[#This Row],[Business Definition (To go into comments and into Meta Data Hub)]]</f>
        <v>0</v>
      </c>
      <c r="Q183" s="18" t="s">
        <v>8</v>
      </c>
      <c r="R183" s="18" t="s">
        <v>989</v>
      </c>
      <c r="S183" s="18" t="s">
        <v>999</v>
      </c>
      <c r="T183" s="18"/>
      <c r="U183" s="18"/>
      <c r="V183" s="46" t="s">
        <v>990</v>
      </c>
      <c r="W183" s="46"/>
      <c r="X183" s="18"/>
      <c r="Y183" s="1" t="e">
        <f>VLOOKUP(A183,Model!A$2:J$210,2,FALSE)</f>
        <v>#N/A</v>
      </c>
      <c r="Z183" s="1"/>
      <c r="AA183" s="1"/>
      <c r="AB183" s="1"/>
      <c r="AC183" s="1"/>
      <c r="AD183" s="32" t="b">
        <f>VLOOKUP(B183,AVY_FACT!A$2:A$153,1,FALSE)=B183</f>
        <v>1</v>
      </c>
      <c r="AE183" s="32" t="b">
        <f>VLOOKUP(B183,AVY_FACT!A$2:F$153,2,FALSE)=C183</f>
        <v>1</v>
      </c>
      <c r="AF183" s="32" t="e">
        <f t="shared" si="11"/>
        <v>#N/A</v>
      </c>
      <c r="AG183" s="33" t="str">
        <f t="shared" si="10"/>
        <v>COMMENT ON COLUMN TRANSACTIONS_OWNER.AVY_FACT.SRC_PCS_TP_NM IS 'Name of the source processing type, values include backdated, initial, cancel, correction or reversal.';</v>
      </c>
    </row>
    <row r="184" spans="1:33" ht="22.5" hidden="1" customHeight="1">
      <c r="A184" s="18" t="s">
        <v>1002</v>
      </c>
      <c r="B184" s="18" t="s">
        <v>792</v>
      </c>
      <c r="C184" s="18" t="s">
        <v>139</v>
      </c>
      <c r="D184" s="18" t="s">
        <v>63</v>
      </c>
      <c r="E184" s="18" t="s">
        <v>140</v>
      </c>
      <c r="F184" s="45" t="s">
        <v>63</v>
      </c>
      <c r="G184" s="46" t="s">
        <v>1004</v>
      </c>
      <c r="H184" s="18"/>
      <c r="I184" s="18" t="s">
        <v>347</v>
      </c>
      <c r="J184" s="18">
        <v>3</v>
      </c>
      <c r="K184" s="18" t="e">
        <f>VLOOKUP(A184,Model!C$2:D$208,2,FALSE)=B184</f>
        <v>#N/A</v>
      </c>
      <c r="L184" s="18" t="e">
        <f>VLOOKUP(A184,Model!C$2:G$208,5,FALSE)=C184</f>
        <v>#N/A</v>
      </c>
      <c r="M184" s="18" t="b">
        <f>VLOOKUP(Table1[[#This Row],[Physical Name of Attribute (Name of column in Table)
Supplied by DA Team]],Table!A$2:H$323,1,FALSE)=Table1[[#This Row],[Physical Name of Attribute (Name of column in Table)
Supplied by DA Team]]</f>
        <v>1</v>
      </c>
      <c r="N184" s="18" t="b">
        <f>VLOOKUP(B184,Table!A$2:F$319,2,FALSE)=Table1[[#This Row],[Data type in Oracle
VARCHAR2(n), DATE, NUMBER(m,n), TIMETSTAMP(6)]]</f>
        <v>0</v>
      </c>
      <c r="O184" s="18" t="b">
        <f>VLOOKUP(B184,Table!A$2:F$231,3,FALSE)=Table1[[#This Row],[Nullable in Table and in Oracle View
NULL, NOT NULL]]</f>
        <v>1</v>
      </c>
      <c r="P184" s="55" t="b">
        <f>VLOOKUP(B184,Table!A$2:H$228,6,FALSE)=Table1[[#This Row],[Business Definition (To go into comments and into Meta Data Hub)]]</f>
        <v>0</v>
      </c>
      <c r="Q184" s="18" t="s">
        <v>262</v>
      </c>
      <c r="R184" s="18" t="s">
        <v>263</v>
      </c>
      <c r="S184" s="18" t="s">
        <v>792</v>
      </c>
      <c r="T184" s="18"/>
      <c r="U184" s="18"/>
      <c r="V184" s="46" t="s">
        <v>1005</v>
      </c>
      <c r="W184" s="46"/>
      <c r="X184" s="18"/>
      <c r="Y184" s="1" t="e">
        <f>VLOOKUP(A184,Model!A$2:J$210,2,FALSE)</f>
        <v>#N/A</v>
      </c>
      <c r="Z184" s="1"/>
      <c r="AA184" s="1"/>
      <c r="AB184" s="1"/>
      <c r="AC184" s="1"/>
      <c r="AD184" s="32" t="b">
        <f>VLOOKUP(B184,AVY_FACT!A$2:A$153,1,FALSE)=B184</f>
        <v>1</v>
      </c>
      <c r="AE184" s="32" t="b">
        <f>VLOOKUP(B184,AVY_FACT!A$2:F$153,2,FALSE)=C184</f>
        <v>1</v>
      </c>
      <c r="AF184" s="32" t="e">
        <f t="shared" si="11"/>
        <v>#N/A</v>
      </c>
      <c r="AG184" s="33" t="str">
        <f t="shared" si="10"/>
        <v>COMMENT ON COLUMN TRANSACTIONS_OWNER.AVY_FACT.SRC_STM_CD IS 'Code for the source system information coming from Transaction. e.g., BKRBO1, BKRBO2, RJBNK1, ISO';</v>
      </c>
    </row>
    <row r="185" spans="1:33" ht="22.5" hidden="1" customHeight="1">
      <c r="A185" s="18" t="s">
        <v>2685</v>
      </c>
      <c r="B185" s="18" t="s">
        <v>253</v>
      </c>
      <c r="C185" s="18" t="s">
        <v>101</v>
      </c>
      <c r="D185" s="18" t="s">
        <v>63</v>
      </c>
      <c r="E185" s="18" t="s">
        <v>133</v>
      </c>
      <c r="F185" s="45" t="s">
        <v>63</v>
      </c>
      <c r="G185" s="46" t="s">
        <v>254</v>
      </c>
      <c r="H185" s="18">
        <v>3</v>
      </c>
      <c r="I185" s="18" t="s">
        <v>67</v>
      </c>
      <c r="J185" s="18">
        <v>3</v>
      </c>
      <c r="K185" s="18" t="e">
        <f>VLOOKUP(A185,Model!C$2:D$208,2,FALSE)=B185</f>
        <v>#N/A</v>
      </c>
      <c r="L185" s="18" t="e">
        <f>VLOOKUP(A185,Model!C$2:G$208,5,FALSE)=C185</f>
        <v>#N/A</v>
      </c>
      <c r="M185" s="18" t="b">
        <f>VLOOKUP(Table1[[#This Row],[Physical Name of Attribute (Name of column in Table)
Supplied by DA Team]],Table!A$2:H$323,1,FALSE)=Table1[[#This Row],[Physical Name of Attribute (Name of column in Table)
Supplied by DA Team]]</f>
        <v>1</v>
      </c>
      <c r="N185" s="18" t="b">
        <f>VLOOKUP(B185,Table!A$2:F$319,2,FALSE)=Table1[[#This Row],[Data type in Oracle
VARCHAR2(n), DATE, NUMBER(m,n), TIMETSTAMP(6)]]</f>
        <v>1</v>
      </c>
      <c r="O185" s="18" t="b">
        <f>VLOOKUP(B185,Table!A$2:F$231,3,FALSE)=Table1[[#This Row],[Nullable in Table and in Oracle View
NULL, NOT NULL]]</f>
        <v>0</v>
      </c>
      <c r="P185" s="18" t="b">
        <f>VLOOKUP(B185,Table!A$2:H$228,6,FALSE)=Table1[[#This Row],[Business Definition (To go into comments and into Meta Data Hub)]]</f>
        <v>0</v>
      </c>
      <c r="Q185" s="18" t="s">
        <v>68</v>
      </c>
      <c r="R185" s="18" t="s">
        <v>69</v>
      </c>
      <c r="S185" s="18" t="s">
        <v>253</v>
      </c>
      <c r="T185" s="18"/>
      <c r="U185" s="18"/>
      <c r="V185" s="46"/>
      <c r="W185" s="46"/>
      <c r="X185" s="18"/>
      <c r="Y185" s="1" t="e">
        <f>VLOOKUP(A185,Model!A$2:J$210,2,FALSE)</f>
        <v>#N/A</v>
      </c>
      <c r="Z185" s="1"/>
      <c r="AA185" s="1"/>
      <c r="AB185" s="1"/>
      <c r="AC185" s="1"/>
      <c r="AD185" s="32" t="e">
        <f>VLOOKUP(B185,AVY_FACT!A$2:A$153,1,FALSE)=B185</f>
        <v>#N/A</v>
      </c>
      <c r="AE185" s="32" t="e">
        <f>VLOOKUP(B185,AVY_FACT!A$2:F$153,2,FALSE)=C185</f>
        <v>#N/A</v>
      </c>
      <c r="AF185" s="32" t="e">
        <f t="shared" si="11"/>
        <v>#N/A</v>
      </c>
      <c r="AG185" s="33" t="str">
        <f t="shared" si="10"/>
        <v>COMMENT ON COLUMN TRANSACTIONS_OWNER.AVY_FACT.SRC_STM_ID IS 'Source system Id coming from Transaction. This could be different from Source system Id coming from Arrangement information.';</v>
      </c>
    </row>
    <row r="186" spans="1:33" ht="22.5" hidden="1" customHeight="1">
      <c r="A186" s="18" t="s">
        <v>255</v>
      </c>
      <c r="B186" s="18" t="s">
        <v>256</v>
      </c>
      <c r="C186" s="18" t="s">
        <v>258</v>
      </c>
      <c r="D186" s="18" t="s">
        <v>63</v>
      </c>
      <c r="E186" s="18" t="s">
        <v>259</v>
      </c>
      <c r="F186" s="45" t="s">
        <v>63</v>
      </c>
      <c r="G186" s="46" t="s">
        <v>260</v>
      </c>
      <c r="H186" s="18" t="s">
        <v>261</v>
      </c>
      <c r="I186" s="18" t="s">
        <v>67</v>
      </c>
      <c r="J186" s="18">
        <v>3</v>
      </c>
      <c r="K186" s="18" t="e">
        <f>VLOOKUP(A186,Model!C$2:D$208,2,FALSE)=B186</f>
        <v>#N/A</v>
      </c>
      <c r="L186" s="18" t="e">
        <f>VLOOKUP(A186,Model!C$2:G$208,5,FALSE)=C186</f>
        <v>#N/A</v>
      </c>
      <c r="M186" s="18" t="b">
        <f>VLOOKUP(Table1[[#This Row],[Physical Name of Attribute (Name of column in Table)
Supplied by DA Team]],Table!A$2:H$323,1,FALSE)=Table1[[#This Row],[Physical Name of Attribute (Name of column in Table)
Supplied by DA Team]]</f>
        <v>1</v>
      </c>
      <c r="N186" s="18" t="b">
        <f>VLOOKUP(B186,Table!A$2:F$319,2,FALSE)=Table1[[#This Row],[Data type in Oracle
VARCHAR2(n), DATE, NUMBER(m,n), TIMETSTAMP(6)]]</f>
        <v>0</v>
      </c>
      <c r="O186" s="18" t="b">
        <f>VLOOKUP(B186,Table!A$2:F$231,3,FALSE)=Table1[[#This Row],[Nullable in Table and in Oracle View
NULL, NOT NULL]]</f>
        <v>1</v>
      </c>
      <c r="P186" s="18" t="b">
        <f>VLOOKUP(B186,Table!A$2:H$228,6,FALSE)=Table1[[#This Row],[Business Definition (To go into comments and into Meta Data Hub)]]</f>
        <v>0</v>
      </c>
      <c r="Q186" s="18" t="s">
        <v>262</v>
      </c>
      <c r="R186" s="18" t="s">
        <v>263</v>
      </c>
      <c r="S186" s="18" t="s">
        <v>256</v>
      </c>
      <c r="T186" s="18"/>
      <c r="U186" s="18"/>
      <c r="V186" s="46" t="s">
        <v>264</v>
      </c>
      <c r="W186" s="46"/>
      <c r="X186" s="18"/>
      <c r="Y186" s="1" t="e">
        <f>VLOOKUP(A186,Model!A$2:J$210,2,FALSE)</f>
        <v>#N/A</v>
      </c>
      <c r="Z186" s="1"/>
      <c r="AA186" s="1"/>
      <c r="AB186" s="1"/>
      <c r="AC186" s="1"/>
      <c r="AD186" s="32" t="e">
        <f>VLOOKUP(B186,AVY_FACT!A$2:A$153,1,FALSE)=B186</f>
        <v>#N/A</v>
      </c>
      <c r="AE186" s="32" t="e">
        <f>VLOOKUP(B186,AVY_FACT!A$2:F$153,2,FALSE)=C186</f>
        <v>#N/A</v>
      </c>
      <c r="AF186" s="32" t="e">
        <f t="shared" si="11"/>
        <v>#N/A</v>
      </c>
      <c r="AG186" s="33" t="str">
        <f t="shared" si="10"/>
        <v>COMMENT ON COLUMN TRANSACTIONS_OWNER.AVY_FACT.SRC_STM_NM IS 'Name of the source system information coming from Transaction. e.g., SIS - Securities Industry Software, Raymond James, Raymond James Bank, Shadow Suite';</v>
      </c>
    </row>
    <row r="187" spans="1:33" ht="22.5" hidden="1" customHeight="1">
      <c r="A187" s="18" t="s">
        <v>1009</v>
      </c>
      <c r="B187" s="18" t="s">
        <v>1010</v>
      </c>
      <c r="C187" s="18" t="s">
        <v>101</v>
      </c>
      <c r="D187" s="18" t="s">
        <v>63</v>
      </c>
      <c r="E187" s="18" t="s">
        <v>133</v>
      </c>
      <c r="F187" s="45" t="s">
        <v>63</v>
      </c>
      <c r="G187" s="46" t="s">
        <v>1012</v>
      </c>
      <c r="H187" s="18"/>
      <c r="I187" s="18" t="s">
        <v>347</v>
      </c>
      <c r="J187" s="18">
        <v>3</v>
      </c>
      <c r="K187" s="18" t="e">
        <f>VLOOKUP(A187,Model!C$2:D$208,2,FALSE)=B187</f>
        <v>#N/A</v>
      </c>
      <c r="L187" s="18" t="e">
        <f>VLOOKUP(A187,Model!C$2:G$208,5,FALSE)=C187</f>
        <v>#N/A</v>
      </c>
      <c r="M187" s="18" t="b">
        <f>VLOOKUP(Table1[[#This Row],[Physical Name of Attribute (Name of column in Table)
Supplied by DA Team]],Table!A$2:H$323,1,FALSE)=Table1[[#This Row],[Physical Name of Attribute (Name of column in Table)
Supplied by DA Team]]</f>
        <v>1</v>
      </c>
      <c r="N187" s="18" t="b">
        <f>VLOOKUP(B187,Table!A$2:F$319,2,FALSE)=Table1[[#This Row],[Data type in Oracle
VARCHAR2(n), DATE, NUMBER(m,n), TIMETSTAMP(6)]]</f>
        <v>0</v>
      </c>
      <c r="O187" s="18" t="b">
        <f>VLOOKUP(B187,Table!A$2:F$231,3,FALSE)=Table1[[#This Row],[Nullable in Table and in Oracle View
NULL, NOT NULL]]</f>
        <v>1</v>
      </c>
      <c r="P187" s="55" t="b">
        <f>VLOOKUP(B187,Table!A$2:H$228,6,FALSE)=Table1[[#This Row],[Business Definition (To go into comments and into Meta Data Hub)]]</f>
        <v>0</v>
      </c>
      <c r="Q187" s="18" t="s">
        <v>68</v>
      </c>
      <c r="R187" s="18" t="s">
        <v>69</v>
      </c>
      <c r="S187" s="18" t="s">
        <v>1010</v>
      </c>
      <c r="T187" s="18"/>
      <c r="U187" s="18"/>
      <c r="V187" s="46" t="s">
        <v>1013</v>
      </c>
      <c r="W187" s="46"/>
      <c r="X187" s="18"/>
      <c r="Y187" s="1" t="e">
        <f>VLOOKUP(A187,Model!A$2:J$210,2,FALSE)</f>
        <v>#N/A</v>
      </c>
      <c r="Z187" s="1"/>
      <c r="AA187" s="1"/>
      <c r="AB187" s="1"/>
      <c r="AC187" s="1"/>
      <c r="AD187" s="32" t="b">
        <f>VLOOKUP(B187,AVY_FACT!A$2:A$153,1,FALSE)=B187</f>
        <v>1</v>
      </c>
      <c r="AE187" s="32" t="b">
        <f>VLOOKUP(B187,AVY_FACT!A$2:F$153,2,FALSE)=C187</f>
        <v>1</v>
      </c>
      <c r="AF187" s="32" t="e">
        <f t="shared" si="11"/>
        <v>#N/A</v>
      </c>
      <c r="AG187" s="33" t="str">
        <f t="shared" si="10"/>
        <v>COMMENT ON COLUMN TRANSACTIONS_OWNER.AVY_FACT.SRC_TXN_CODE IS 'A code that represents the source of the transaction.  Possible values of transaction code include CD Adjustment, Interest Adjustment, and Withdrawal/Redemption.';</v>
      </c>
    </row>
    <row r="188" spans="1:33" ht="22.5" hidden="1" customHeight="1">
      <c r="A188" s="18" t="s">
        <v>150</v>
      </c>
      <c r="B188" s="18" t="s">
        <v>151</v>
      </c>
      <c r="C188" s="18" t="s">
        <v>101</v>
      </c>
      <c r="D188" s="18" t="s">
        <v>63</v>
      </c>
      <c r="E188" s="18" t="s">
        <v>133</v>
      </c>
      <c r="F188" s="45" t="s">
        <v>63</v>
      </c>
      <c r="G188" s="46" t="s">
        <v>153</v>
      </c>
      <c r="H188" s="46">
        <v>2878</v>
      </c>
      <c r="I188" s="18" t="s">
        <v>67</v>
      </c>
      <c r="J188" s="18">
        <v>3</v>
      </c>
      <c r="K188" s="18" t="e">
        <f>VLOOKUP(A188,Model!C$2:D$208,2,FALSE)=B188</f>
        <v>#N/A</v>
      </c>
      <c r="L188" s="18" t="e">
        <f>VLOOKUP(A188,Model!C$2:G$208,5,FALSE)=C188</f>
        <v>#N/A</v>
      </c>
      <c r="M188" s="18" t="b">
        <f>VLOOKUP(Table1[[#This Row],[Physical Name of Attribute (Name of column in Table)
Supplied by DA Team]],Table!A$2:H$323,1,FALSE)=Table1[[#This Row],[Physical Name of Attribute (Name of column in Table)
Supplied by DA Team]]</f>
        <v>1</v>
      </c>
      <c r="N188" s="18" t="b">
        <f>VLOOKUP(B188,Table!A$2:F$319,2,FALSE)=Table1[[#This Row],[Data type in Oracle
VARCHAR2(n), DATE, NUMBER(m,n), TIMETSTAMP(6)]]</f>
        <v>0</v>
      </c>
      <c r="O188" s="18" t="b">
        <f>VLOOKUP(B188,Table!A$2:F$231,3,FALSE)=Table1[[#This Row],[Nullable in Table and in Oracle View
NULL, NOT NULL]]</f>
        <v>1</v>
      </c>
      <c r="P188" s="18" t="b">
        <f>VLOOKUP(B188,Table!A$2:H$228,6,FALSE)=Table1[[#This Row],[Business Definition (To go into comments and into Meta Data Hub)]]</f>
        <v>0</v>
      </c>
      <c r="Q188" s="18" t="s">
        <v>68</v>
      </c>
      <c r="R188" s="18" t="s">
        <v>69</v>
      </c>
      <c r="S188" s="18" t="s">
        <v>151</v>
      </c>
      <c r="T188" s="18"/>
      <c r="U188" s="18"/>
      <c r="V188" s="46"/>
      <c r="W188" s="46"/>
      <c r="X188" s="18"/>
      <c r="Y188" s="1" t="e">
        <f>VLOOKUP(A188,Model!A$2:J$210,2,FALSE)</f>
        <v>#N/A</v>
      </c>
      <c r="Z188" s="1"/>
      <c r="AA188" s="1"/>
      <c r="AB188" s="1"/>
      <c r="AC188" s="1"/>
      <c r="AD188" s="32" t="e">
        <f>VLOOKUP(B188,AVY_FACT!A$2:A$153,1,FALSE)=B188</f>
        <v>#N/A</v>
      </c>
      <c r="AE188" s="32" t="e">
        <f>VLOOKUP(B188,AVY_FACT!A$2:F$153,2,FALSE)=C188</f>
        <v>#N/A</v>
      </c>
      <c r="AF188" s="32" t="str">
        <f>B188&amp;"  "&amp;C188&amp;","</f>
        <v>SRC_TXN_SEQ_NUM  NUMBER(38,0),</v>
      </c>
      <c r="AG188" s="33" t="str">
        <f t="shared" si="10"/>
        <v>COMMENT ON COLUMN TRANSACTIONS_OWNER.AVY_FACT.SRC_TXN_SEQ_NUM IS 'Transaction number assigned to the transaction in the source system.';</v>
      </c>
    </row>
    <row r="189" spans="1:33" ht="22.5" customHeight="1">
      <c r="A189" s="61" t="s">
        <v>1014</v>
      </c>
      <c r="B189" s="18" t="s">
        <v>1015</v>
      </c>
      <c r="C189" s="18" t="s">
        <v>157</v>
      </c>
      <c r="D189" s="18" t="s">
        <v>63</v>
      </c>
      <c r="E189" s="18" t="s">
        <v>158</v>
      </c>
      <c r="F189" s="45" t="s">
        <v>63</v>
      </c>
      <c r="G189" s="46" t="s">
        <v>1017</v>
      </c>
      <c r="H189" s="18"/>
      <c r="I189" s="18" t="s">
        <v>347</v>
      </c>
      <c r="J189" s="18">
        <v>3</v>
      </c>
      <c r="K189" s="18" t="e">
        <f>VLOOKUP(A189,Model!C$2:D$208,2,FALSE)=B189</f>
        <v>#N/A</v>
      </c>
      <c r="L189" s="18" t="e">
        <f>VLOOKUP(A189,Model!C$2:G$208,5,FALSE)=C189</f>
        <v>#N/A</v>
      </c>
      <c r="M189" s="18" t="b">
        <f>VLOOKUP(Table1[[#This Row],[Physical Name of Attribute (Name of column in Table)
Supplied by DA Team]],Table!A$2:H$323,1,FALSE)=Table1[[#This Row],[Physical Name of Attribute (Name of column in Table)
Supplied by DA Team]]</f>
        <v>1</v>
      </c>
      <c r="N189" s="18" t="b">
        <f>VLOOKUP(B189,Table!A$2:F$319,2,FALSE)=Table1[[#This Row],[Data type in Oracle
VARCHAR2(n), DATE, NUMBER(m,n), TIMETSTAMP(6)]]</f>
        <v>0</v>
      </c>
      <c r="O189" s="18" t="b">
        <f>VLOOKUP(B189,Table!A$2:F$231,3,FALSE)=Table1[[#This Row],[Nullable in Table and in Oracle View
NULL, NOT NULL]]</f>
        <v>1</v>
      </c>
      <c r="P189" s="55" t="b">
        <f>VLOOKUP(B189,Table!A$2:H$228,6,FALSE)=Table1[[#This Row],[Business Definition (To go into comments and into Meta Data Hub)]]</f>
        <v>0</v>
      </c>
      <c r="Q189" s="18" t="s">
        <v>68</v>
      </c>
      <c r="R189" s="18" t="s">
        <v>375</v>
      </c>
      <c r="S189" s="18" t="s">
        <v>1018</v>
      </c>
      <c r="T189" s="18"/>
      <c r="U189" s="18"/>
      <c r="V189" s="46" t="s">
        <v>539</v>
      </c>
      <c r="W189" s="46"/>
      <c r="X189" s="18"/>
      <c r="Y189" s="1" t="e">
        <f>VLOOKUP(A189,Model!A$2:J$210,2,FALSE)</f>
        <v>#N/A</v>
      </c>
      <c r="Z189" s="1"/>
      <c r="AA189" s="1"/>
      <c r="AB189" s="1"/>
      <c r="AC189" s="1"/>
      <c r="AD189" s="32" t="b">
        <f>VLOOKUP(B189,AVY_FACT!A$2:A$153,1,FALSE)=B189</f>
        <v>1</v>
      </c>
      <c r="AE189" s="32" t="b">
        <f>VLOOKUP(B189,AVY_FACT!A$2:F$153,2,FALSE)=C189</f>
        <v>1</v>
      </c>
      <c r="AF189" s="32" t="e">
        <f>K189&amp;"  "&amp;C189&amp;","</f>
        <v>#N/A</v>
      </c>
      <c r="AG189" s="33" t="str">
        <f t="shared" si="10"/>
        <v>COMMENT ON COLUMN TRANSACTIONS_OWNER.AVY_FACT.SBC_CCY_CALC_DT IS 'Date and time  when transaction amount was converted to system base currency';</v>
      </c>
    </row>
    <row r="190" spans="1:33" ht="22.5" hidden="1" customHeight="1">
      <c r="A190" s="18" t="s">
        <v>1019</v>
      </c>
      <c r="B190" s="18" t="s">
        <v>1020</v>
      </c>
      <c r="C190" s="18" t="s">
        <v>268</v>
      </c>
      <c r="D190" s="18" t="s">
        <v>63</v>
      </c>
      <c r="E190" s="18" t="s">
        <v>269</v>
      </c>
      <c r="F190" s="45" t="s">
        <v>63</v>
      </c>
      <c r="G190" s="46" t="s">
        <v>1022</v>
      </c>
      <c r="H190" s="18"/>
      <c r="I190" s="18" t="s">
        <v>347</v>
      </c>
      <c r="J190" s="18">
        <v>3</v>
      </c>
      <c r="K190" s="18" t="e">
        <f>VLOOKUP(A190,Model!C$2:D$208,2,FALSE)=B190</f>
        <v>#N/A</v>
      </c>
      <c r="L190" s="18" t="e">
        <f>VLOOKUP(A190,Model!C$2:G$208,5,FALSE)=C190</f>
        <v>#N/A</v>
      </c>
      <c r="M190" s="18" t="b">
        <f>VLOOKUP(Table1[[#This Row],[Physical Name of Attribute (Name of column in Table)
Supplied by DA Team]],Table!A$2:H$323,1,FALSE)=Table1[[#This Row],[Physical Name of Attribute (Name of column in Table)
Supplied by DA Team]]</f>
        <v>1</v>
      </c>
      <c r="N190" s="18" t="b">
        <f>VLOOKUP(B190,Table!A$2:F$319,2,FALSE)=Table1[[#This Row],[Data type in Oracle
VARCHAR2(n), DATE, NUMBER(m,n), TIMETSTAMP(6)]]</f>
        <v>0</v>
      </c>
      <c r="O190" s="18" t="b">
        <f>VLOOKUP(B190,Table!A$2:F$231,3,FALSE)=Table1[[#This Row],[Nullable in Table and in Oracle View
NULL, NOT NULL]]</f>
        <v>0</v>
      </c>
      <c r="P190" s="55" t="b">
        <f>VLOOKUP(B190,Table!A$2:H$228,6,FALSE)=Table1[[#This Row],[Business Definition (To go into comments and into Meta Data Hub)]]</f>
        <v>0</v>
      </c>
      <c r="Q190" s="18" t="s">
        <v>68</v>
      </c>
      <c r="R190" s="18" t="s">
        <v>375</v>
      </c>
      <c r="S190" s="18" t="s">
        <v>1023</v>
      </c>
      <c r="T190" s="18"/>
      <c r="U190" s="18"/>
      <c r="V190" s="46" t="s">
        <v>539</v>
      </c>
      <c r="W190" s="46"/>
      <c r="X190" s="18"/>
      <c r="Y190" s="1" t="e">
        <f>VLOOKUP(A190,Model!A$2:J$210,2,FALSE)</f>
        <v>#N/A</v>
      </c>
      <c r="Z190" s="1"/>
      <c r="AA190" s="1"/>
      <c r="AB190" s="1"/>
      <c r="AC190" s="1"/>
      <c r="AD190" s="32" t="b">
        <f>VLOOKUP(B190,AVY_FACT!A$2:A$153,1,FALSE)=B190</f>
        <v>1</v>
      </c>
      <c r="AE190" s="32" t="b">
        <f>VLOOKUP(B190,AVY_FACT!A$2:F$153,2,FALSE)=C190</f>
        <v>1</v>
      </c>
      <c r="AF190" s="32" t="str">
        <f>B190&amp;"  "&amp;C190&amp;","</f>
        <v>SBC_CCY_CD  VARCHAR2(3),</v>
      </c>
      <c r="AG190" s="33" t="str">
        <f t="shared" si="10"/>
        <v>COMMENT ON COLUMN TRANSACTIONS_OWNER.AVY_FACT.SBC_CCY_CD IS 'Product identifier of the system base currency. This is USD for data coming from CDS currently..';</v>
      </c>
    </row>
    <row r="191" spans="1:33" ht="22.5" customHeight="1">
      <c r="A191" s="56" t="s">
        <v>1024</v>
      </c>
      <c r="B191" s="18" t="s">
        <v>1025</v>
      </c>
      <c r="C191" s="18" t="s">
        <v>101</v>
      </c>
      <c r="D191" s="18" t="s">
        <v>345</v>
      </c>
      <c r="E191" s="18" t="s">
        <v>133</v>
      </c>
      <c r="F191" s="45" t="s">
        <v>63</v>
      </c>
      <c r="G191" s="46" t="s">
        <v>1026</v>
      </c>
      <c r="H191" s="18"/>
      <c r="I191" s="18" t="s">
        <v>347</v>
      </c>
      <c r="J191" s="18">
        <v>3</v>
      </c>
      <c r="K191" s="18" t="e">
        <f>VLOOKUP(A191,Model!C$2:D$208,2,FALSE)=B191</f>
        <v>#N/A</v>
      </c>
      <c r="L191" s="18" t="e">
        <f>VLOOKUP(A191,Model!C$2:G$208,5,FALSE)=C191</f>
        <v>#N/A</v>
      </c>
      <c r="M191" s="18" t="b">
        <f>VLOOKUP(Table1[[#This Row],[Physical Name of Attribute (Name of column in Table)
Supplied by DA Team]],Table!A$2:H$323,1,FALSE)=Table1[[#This Row],[Physical Name of Attribute (Name of column in Table)
Supplied by DA Team]]</f>
        <v>1</v>
      </c>
      <c r="N191" s="18" t="b">
        <f>VLOOKUP(B191,Table!A$2:F$319,2,FALSE)=Table1[[#This Row],[Data type in Oracle
VARCHAR2(n), DATE, NUMBER(m,n), TIMETSTAMP(6)]]</f>
        <v>1</v>
      </c>
      <c r="O191" s="18" t="b">
        <f>VLOOKUP(B191,Table!A$2:F$231,3,FALSE)=Table1[[#This Row],[Nullable in Table and in Oracle View
NULL, NOT NULL]]</f>
        <v>0</v>
      </c>
      <c r="P191" s="55" t="b">
        <f>VLOOKUP(B191,Table!A$2:H$228,6,FALSE)=Table1[[#This Row],[Business Definition (To go into comments and into Meta Data Hub)]]</f>
        <v>0</v>
      </c>
      <c r="Q191" s="18" t="s">
        <v>355</v>
      </c>
      <c r="R191" s="18" t="s">
        <v>592</v>
      </c>
      <c r="S191" s="15" t="s">
        <v>590</v>
      </c>
      <c r="T191" s="18"/>
      <c r="U191" s="18"/>
      <c r="V191" s="46" t="s">
        <v>1027</v>
      </c>
      <c r="W191" s="46"/>
      <c r="X191" s="18"/>
      <c r="Y191" s="1" t="e">
        <f>VLOOKUP(A191,Model!A$2:J$210,2,FALSE)</f>
        <v>#N/A</v>
      </c>
      <c r="Z191" s="1"/>
      <c r="AA191" s="1"/>
      <c r="AB191" s="1"/>
      <c r="AC191" s="1"/>
      <c r="AD191" s="32" t="b">
        <f>VLOOKUP(B191,AVY_FACT!A$2:A$153,1,FALSE)=B191</f>
        <v>1</v>
      </c>
      <c r="AE191" s="32" t="b">
        <f>VLOOKUP(B191,AVY_FACT!A$2:F$153,2,FALSE)=C191</f>
        <v>1</v>
      </c>
      <c r="AF191" s="32" t="str">
        <f>B191&amp;"  "&amp;C191&amp;","</f>
        <v>SBC_CCY_DIM_ID  NUMBER(38,0),</v>
      </c>
      <c r="AG191" s="33" t="str">
        <f t="shared" si="10"/>
        <v>COMMENT ON COLUMN TRANSACTIONS_OWNER.AVY_FACT.SBC_CCY_DIM_ID IS 'Surrogate key for Currency dimension';</v>
      </c>
    </row>
    <row r="192" spans="1:33" ht="22.5" hidden="1" customHeight="1">
      <c r="A192" s="18" t="s">
        <v>1028</v>
      </c>
      <c r="B192" s="18" t="s">
        <v>1029</v>
      </c>
      <c r="C192" s="55" t="s">
        <v>559</v>
      </c>
      <c r="D192" s="18" t="s">
        <v>63</v>
      </c>
      <c r="E192" s="18" t="s">
        <v>560</v>
      </c>
      <c r="F192" s="45" t="s">
        <v>63</v>
      </c>
      <c r="G192" s="46" t="s">
        <v>1031</v>
      </c>
      <c r="H192" s="18"/>
      <c r="I192" s="18" t="s">
        <v>381</v>
      </c>
      <c r="J192" s="18">
        <v>3</v>
      </c>
      <c r="K192" s="18" t="e">
        <f>VLOOKUP(A192,Model!C$2:D$208,2,FALSE)=B192</f>
        <v>#N/A</v>
      </c>
      <c r="L192" s="18" t="e">
        <f>VLOOKUP(A192,Model!C$2:G$208,5,FALSE)=C192</f>
        <v>#N/A</v>
      </c>
      <c r="M192" s="18" t="b">
        <f>VLOOKUP(Table1[[#This Row],[Physical Name of Attribute (Name of column in Table)
Supplied by DA Team]],Table!A$2:H$323,1,FALSE)=Table1[[#This Row],[Physical Name of Attribute (Name of column in Table)
Supplied by DA Team]]</f>
        <v>1</v>
      </c>
      <c r="N192" s="18" t="b">
        <f>VLOOKUP(B192,Table!A$2:F$319,2,FALSE)=Table1[[#This Row],[Data type in Oracle
VARCHAR2(n), DATE, NUMBER(m,n), TIMETSTAMP(6)]]</f>
        <v>0</v>
      </c>
      <c r="O192" s="18" t="b">
        <f>VLOOKUP(B192,Table!A$2:F$231,3,FALSE)=Table1[[#This Row],[Nullable in Table and in Oracle View
NULL, NOT NULL]]</f>
        <v>1</v>
      </c>
      <c r="P192" s="55" t="b">
        <f>VLOOKUP(B192,Table!A$2:H$228,6,FALSE)=Table1[[#This Row],[Business Definition (To go into comments and into Meta Data Hub)]]</f>
        <v>0</v>
      </c>
      <c r="Q192" s="18" t="s">
        <v>68</v>
      </c>
      <c r="R192" s="18" t="s">
        <v>375</v>
      </c>
      <c r="S192" s="18" t="s">
        <v>1032</v>
      </c>
      <c r="T192" s="18"/>
      <c r="U192" s="18"/>
      <c r="V192" s="46" t="s">
        <v>539</v>
      </c>
      <c r="W192" s="46"/>
      <c r="X192" s="18"/>
      <c r="Y192" s="1" t="e">
        <f>VLOOKUP(A192,Model!A$2:J$210,2,FALSE)</f>
        <v>#N/A</v>
      </c>
      <c r="Z192" s="1"/>
      <c r="AA192" s="1"/>
      <c r="AB192" s="1"/>
      <c r="AC192" s="1"/>
      <c r="AD192" s="32" t="b">
        <f>VLOOKUP(B192,AVY_FACT!A$2:A$153,1,FALSE)=B192</f>
        <v>1</v>
      </c>
      <c r="AE192" s="32" t="b">
        <f>VLOOKUP(B192,AVY_FACT!A$2:F$153,2,FALSE)=C192</f>
        <v>0</v>
      </c>
      <c r="AF192" s="32" t="e">
        <f>K192&amp;"  "&amp;C192&amp;","</f>
        <v>#N/A</v>
      </c>
      <c r="AG192" s="33" t="str">
        <f t="shared" ref="AG192:AG216" si="12">"COMMENT ON COLUMN TRANSACTIONS_OWNER.AVY_FACT."&amp;B192&amp;" IS '"&amp;SUBSTITUTE(G192,"'","''")&amp;"';"</f>
        <v>COMMENT ON COLUMN TRANSACTIONS_OWNER.AVY_FACT.SBC_EXG_RATE IS 'Exchange rate used to calculate transaction amount in system base currency';</v>
      </c>
    </row>
    <row r="193" spans="1:33" ht="22.5" customHeight="1">
      <c r="A193" s="63" t="s">
        <v>1033</v>
      </c>
      <c r="B193" s="18" t="s">
        <v>1034</v>
      </c>
      <c r="C193" s="18" t="s">
        <v>101</v>
      </c>
      <c r="D193" s="18" t="s">
        <v>63</v>
      </c>
      <c r="E193" s="18" t="s">
        <v>133</v>
      </c>
      <c r="F193" s="45" t="s">
        <v>63</v>
      </c>
      <c r="G193" s="46" t="s">
        <v>1036</v>
      </c>
      <c r="H193" s="18"/>
      <c r="I193" s="18" t="s">
        <v>381</v>
      </c>
      <c r="J193" s="18">
        <v>3</v>
      </c>
      <c r="K193" s="18" t="e">
        <f>VLOOKUP(A193,Model!C$2:D$208,2,FALSE)=B193</f>
        <v>#N/A</v>
      </c>
      <c r="L193" s="18" t="e">
        <f>VLOOKUP(A193,Model!C$2:G$208,5,FALSE)=C193</f>
        <v>#N/A</v>
      </c>
      <c r="M193" s="18" t="b">
        <f>VLOOKUP(Table1[[#This Row],[Physical Name of Attribute (Name of column in Table)
Supplied by DA Team]],Table!A$2:H$323,1,FALSE)=Table1[[#This Row],[Physical Name of Attribute (Name of column in Table)
Supplied by DA Team]]</f>
        <v>1</v>
      </c>
      <c r="N193" s="18" t="b">
        <f>VLOOKUP(B193,Table!A$2:F$319,2,FALSE)=Table1[[#This Row],[Data type in Oracle
VARCHAR2(n), DATE, NUMBER(m,n), TIMETSTAMP(6)]]</f>
        <v>0</v>
      </c>
      <c r="O193" s="18" t="b">
        <f>VLOOKUP(B193,Table!A$2:F$231,3,FALSE)=Table1[[#This Row],[Nullable in Table and in Oracle View
NULL, NOT NULL]]</f>
        <v>1</v>
      </c>
      <c r="P193" s="55" t="b">
        <f>VLOOKUP(B193,Table!A$2:H$228,6,FALSE)=Table1[[#This Row],[Business Definition (To go into comments and into Meta Data Hub)]]</f>
        <v>0</v>
      </c>
      <c r="Q193" s="18" t="s">
        <v>68</v>
      </c>
      <c r="R193" s="18" t="s">
        <v>796</v>
      </c>
      <c r="S193" s="18" t="s">
        <v>1037</v>
      </c>
      <c r="T193" s="18"/>
      <c r="U193" s="18"/>
      <c r="V193" s="46" t="s">
        <v>1038</v>
      </c>
      <c r="W193" s="57" t="s">
        <v>1039</v>
      </c>
      <c r="X193" s="18"/>
      <c r="Y193" s="1" t="e">
        <f>VLOOKUP(A193,Model!A$2:J$210,2,FALSE)</f>
        <v>#N/A</v>
      </c>
      <c r="Z193" s="1"/>
      <c r="AA193" s="1"/>
      <c r="AB193" s="1"/>
      <c r="AC193" s="1"/>
      <c r="AD193" s="32" t="e">
        <f>VLOOKUP(B193,AVY_FACT!A$2:A$153,1,FALSE)=B193</f>
        <v>#N/A</v>
      </c>
      <c r="AE193" s="32" t="e">
        <f>VLOOKUP(B193,AVY_FACT!A$2:F$153,2,FALSE)=C193</f>
        <v>#N/A</v>
      </c>
      <c r="AF193" s="32" t="str">
        <f>B193&amp;"  "&amp;C193&amp;","</f>
        <v>REL_TXN_ID  NUMBER(38,0),</v>
      </c>
      <c r="AG193" s="33" t="str">
        <f t="shared" si="12"/>
        <v>COMMENT ON COLUMN TRANSACTIONS_OWNER.AVY_FACT.REL_TXN_ID IS 'The CDS assigned numeric identfier of the related (target) transaction that this current transaction is cancelling/correcting/reversing.';</v>
      </c>
    </row>
    <row r="194" spans="1:33" ht="22.5" hidden="1" customHeight="1">
      <c r="A194" s="18" t="s">
        <v>1040</v>
      </c>
      <c r="B194" s="18" t="s">
        <v>1041</v>
      </c>
      <c r="C194" s="18" t="s">
        <v>157</v>
      </c>
      <c r="D194" s="55" t="s">
        <v>345</v>
      </c>
      <c r="E194" s="18" t="s">
        <v>158</v>
      </c>
      <c r="F194" s="45" t="s">
        <v>63</v>
      </c>
      <c r="G194" s="46" t="s">
        <v>1043</v>
      </c>
      <c r="H194" s="18"/>
      <c r="I194" s="18" t="s">
        <v>381</v>
      </c>
      <c r="J194" s="18">
        <v>3</v>
      </c>
      <c r="K194" s="18" t="e">
        <f>VLOOKUP(A194,Model!C$2:D$208,2,FALSE)=B194</f>
        <v>#N/A</v>
      </c>
      <c r="L194" s="18" t="e">
        <f>VLOOKUP(A194,Model!C$2:G$208,5,FALSE)=C194</f>
        <v>#N/A</v>
      </c>
      <c r="M194" s="18" t="b">
        <f>VLOOKUP(Table1[[#This Row],[Physical Name of Attribute (Name of column in Table)
Supplied by DA Team]],Table!A$2:H$323,1,FALSE)=Table1[[#This Row],[Physical Name of Attribute (Name of column in Table)
Supplied by DA Team]]</f>
        <v>1</v>
      </c>
      <c r="N194" s="18" t="b">
        <f>VLOOKUP(B194,Table!A$2:F$319,2,FALSE)=Table1[[#This Row],[Data type in Oracle
VARCHAR2(n), DATE, NUMBER(m,n), TIMETSTAMP(6)]]</f>
        <v>0</v>
      </c>
      <c r="O194" s="18" t="b">
        <f>VLOOKUP(B194,Table!A$2:F$231,3,FALSE)=Table1[[#This Row],[Nullable in Table and in Oracle View
NULL, NOT NULL]]</f>
        <v>1</v>
      </c>
      <c r="P194" s="55" t="b">
        <f>VLOOKUP(B194,Table!A$2:H$228,6,FALSE)=Table1[[#This Row],[Business Definition (To go into comments and into Meta Data Hub)]]</f>
        <v>0</v>
      </c>
      <c r="Q194" s="18" t="s">
        <v>68</v>
      </c>
      <c r="R194" s="18" t="s">
        <v>69</v>
      </c>
      <c r="S194" s="18" t="s">
        <v>1041</v>
      </c>
      <c r="T194" s="18"/>
      <c r="U194" s="18"/>
      <c r="V194" s="46"/>
      <c r="W194" s="46"/>
      <c r="X194" s="18"/>
      <c r="Y194" s="1" t="e">
        <f>VLOOKUP(A194,Model!A$2:J$210,2,FALSE)</f>
        <v>#N/A</v>
      </c>
      <c r="Z194" s="1"/>
      <c r="AA194" s="1"/>
      <c r="AB194" s="1"/>
      <c r="AC194" s="1"/>
      <c r="AD194" s="32" t="b">
        <f>VLOOKUP(B194,AVY_FACT!A$2:A$153,1,FALSE)=B194</f>
        <v>1</v>
      </c>
      <c r="AE194" s="32" t="b">
        <f>VLOOKUP(B194,AVY_FACT!A$2:F$153,2,FALSE)=C194</f>
        <v>1</v>
      </c>
      <c r="AF194" s="32" t="e">
        <f t="shared" ref="AF194:AF199" si="13">K194&amp;"  "&amp;C194&amp;","</f>
        <v>#N/A</v>
      </c>
      <c r="AG194" s="33" t="str">
        <f t="shared" si="12"/>
        <v>COMMENT ON COLUMN TRANSACTIONS_OWNER.AVY_FACT.TD IS 'Trade date of the transaction';</v>
      </c>
    </row>
    <row r="195" spans="1:33" ht="22.5" customHeight="1">
      <c r="A195" s="56" t="s">
        <v>343</v>
      </c>
      <c r="B195" s="18" t="s">
        <v>344</v>
      </c>
      <c r="C195" s="18" t="s">
        <v>101</v>
      </c>
      <c r="D195" s="18" t="s">
        <v>345</v>
      </c>
      <c r="E195" s="18" t="s">
        <v>133</v>
      </c>
      <c r="F195" s="45" t="s">
        <v>63</v>
      </c>
      <c r="G195" s="46" t="s">
        <v>346</v>
      </c>
      <c r="H195" s="18"/>
      <c r="I195" s="18" t="s">
        <v>347</v>
      </c>
      <c r="J195" s="18">
        <v>3</v>
      </c>
      <c r="K195" s="18" t="e">
        <f>VLOOKUP(A195,Model!C$2:D$208,2,FALSE)=B195</f>
        <v>#N/A</v>
      </c>
      <c r="L195" s="18" t="e">
        <f>VLOOKUP(A195,Model!C$2:G$208,5,FALSE)=C195</f>
        <v>#N/A</v>
      </c>
      <c r="M195" s="18" t="b">
        <f>VLOOKUP(Table1[[#This Row],[Physical Name of Attribute (Name of column in Table)
Supplied by DA Team]],Table!A$2:H$323,1,FALSE)=Table1[[#This Row],[Physical Name of Attribute (Name of column in Table)
Supplied by DA Team]]</f>
        <v>1</v>
      </c>
      <c r="N195" s="18" t="b">
        <f>VLOOKUP(B195,Table!A$2:F$319,2,FALSE)=Table1[[#This Row],[Data type in Oracle
VARCHAR2(n), DATE, NUMBER(m,n), TIMETSTAMP(6)]]</f>
        <v>0</v>
      </c>
      <c r="O195" s="18" t="b">
        <f>VLOOKUP(B195,Table!A$2:F$231,3,FALSE)=Table1[[#This Row],[Nullable in Table and in Oracle View
NULL, NOT NULL]]</f>
        <v>0</v>
      </c>
      <c r="P195" s="55" t="b">
        <f>VLOOKUP(B195,Table!A$2:H$228,6,FALSE)=Table1[[#This Row],[Business Definition (To go into comments and into Meta Data Hub)]]</f>
        <v>0</v>
      </c>
      <c r="Q195" s="18" t="s">
        <v>262</v>
      </c>
      <c r="R195" s="18" t="s">
        <v>348</v>
      </c>
      <c r="S195" s="18" t="s">
        <v>349</v>
      </c>
      <c r="T195" s="18"/>
      <c r="U195" s="18"/>
      <c r="V195" s="46" t="s">
        <v>350</v>
      </c>
      <c r="W195" s="46"/>
      <c r="X195" s="18"/>
      <c r="Y195" s="1" t="e">
        <f>VLOOKUP(A195,Model!A$2:J$210,2,FALSE)</f>
        <v>#N/A</v>
      </c>
      <c r="Z195" s="1"/>
      <c r="AA195" s="1"/>
      <c r="AB195" s="1"/>
      <c r="AC195" s="1"/>
      <c r="AD195" s="32" t="b">
        <f>VLOOKUP(B195,AVY_FACT!A$2:A$153,1,FALSE)=B195</f>
        <v>1</v>
      </c>
      <c r="AE195" s="32" t="b">
        <f>VLOOKUP(B195,AVY_FACT!A$2:F$153,2,FALSE)=C195</f>
        <v>1</v>
      </c>
      <c r="AF195" s="32" t="e">
        <f t="shared" si="13"/>
        <v>#N/A</v>
      </c>
      <c r="AG195" s="33" t="str">
        <f t="shared" si="12"/>
        <v>COMMENT ON COLUMN TRANSACTIONS_OWNER.AVY_FACT.TD_DIM_ID IS 'Synthetic Key identifying a single date in the DATE Dimension, based on Trade date';</v>
      </c>
    </row>
    <row r="196" spans="1:33" ht="22.5" hidden="1" customHeight="1">
      <c r="A196" s="18" t="s">
        <v>2686</v>
      </c>
      <c r="B196" s="18" t="s">
        <v>1045</v>
      </c>
      <c r="C196" s="18" t="s">
        <v>227</v>
      </c>
      <c r="D196" s="18" t="s">
        <v>63</v>
      </c>
      <c r="E196" s="18" t="s">
        <v>228</v>
      </c>
      <c r="F196" s="45" t="s">
        <v>63</v>
      </c>
      <c r="G196" s="46" t="s">
        <v>1047</v>
      </c>
      <c r="H196" s="18"/>
      <c r="I196" s="18" t="s">
        <v>347</v>
      </c>
      <c r="J196" s="18">
        <v>3</v>
      </c>
      <c r="K196" s="18" t="e">
        <f>VLOOKUP(A196,Model!C$2:D$208,2,FALSE)=B196</f>
        <v>#N/A</v>
      </c>
      <c r="L196" s="18" t="e">
        <f>VLOOKUP(A196,Model!C$2:G$208,5,FALSE)=C196</f>
        <v>#N/A</v>
      </c>
      <c r="M196" s="18" t="b">
        <f>VLOOKUP(Table1[[#This Row],[Physical Name of Attribute (Name of column in Table)
Supplied by DA Team]],Table!A$2:H$323,1,FALSE)=Table1[[#This Row],[Physical Name of Attribute (Name of column in Table)
Supplied by DA Team]]</f>
        <v>1</v>
      </c>
      <c r="N196" s="18" t="b">
        <f>VLOOKUP(B196,Table!A$2:F$319,2,FALSE)=Table1[[#This Row],[Data type in Oracle
VARCHAR2(n), DATE, NUMBER(m,n), TIMETSTAMP(6)]]</f>
        <v>0</v>
      </c>
      <c r="O196" s="18" t="b">
        <f>VLOOKUP(B196,Table!A$2:F$231,3,FALSE)=Table1[[#This Row],[Nullable in Table and in Oracle View
NULL, NOT NULL]]</f>
        <v>1</v>
      </c>
      <c r="P196" s="18" t="b">
        <f>VLOOKUP(B196,Table!A$2:H$228,6,FALSE)=Table1[[#This Row],[Business Definition (To go into comments and into Meta Data Hub)]]</f>
        <v>0</v>
      </c>
      <c r="Q196" s="18" t="s">
        <v>68</v>
      </c>
      <c r="R196" s="18" t="s">
        <v>69</v>
      </c>
      <c r="S196" s="18" t="s">
        <v>1045</v>
      </c>
      <c r="T196" s="18"/>
      <c r="U196" s="18"/>
      <c r="V196" s="46"/>
      <c r="W196" s="46"/>
      <c r="X196" s="18"/>
      <c r="Y196" s="1" t="e">
        <f>VLOOKUP(A196,Model!A$2:J$210,2,FALSE)</f>
        <v>#N/A</v>
      </c>
      <c r="Z196" s="1"/>
      <c r="AA196" s="1"/>
      <c r="AB196" s="1"/>
      <c r="AC196" s="1"/>
      <c r="AD196" s="32" t="b">
        <f>VLOOKUP(B196,AVY_FACT!A$2:A$153,1,FALSE)=B196</f>
        <v>1</v>
      </c>
      <c r="AE196" s="32" t="b">
        <f>VLOOKUP(B196,AVY_FACT!A$2:F$153,2,FALSE)=C196</f>
        <v>1</v>
      </c>
      <c r="AF196" s="32" t="e">
        <f t="shared" si="13"/>
        <v>#N/A</v>
      </c>
      <c r="AG196" s="33" t="str">
        <f t="shared" si="12"/>
        <v>COMMENT ON COLUMN TRANSACTIONS_OWNER.AVY_FACT.TRD_NUM IS 'An identification number of the trade (transaction number) that represents an executed FMI trade transaction.';</v>
      </c>
    </row>
    <row r="197" spans="1:33" ht="22.5" hidden="1" customHeight="1">
      <c r="A197" s="18" t="s">
        <v>2687</v>
      </c>
      <c r="B197" s="18" t="s">
        <v>1058</v>
      </c>
      <c r="C197" s="18" t="s">
        <v>139</v>
      </c>
      <c r="D197" s="18" t="s">
        <v>63</v>
      </c>
      <c r="E197" s="18" t="s">
        <v>140</v>
      </c>
      <c r="F197" s="45" t="s">
        <v>63</v>
      </c>
      <c r="G197" s="46" t="s">
        <v>1060</v>
      </c>
      <c r="H197" s="18"/>
      <c r="I197" s="18" t="s">
        <v>347</v>
      </c>
      <c r="J197" s="18">
        <v>3</v>
      </c>
      <c r="K197" s="18" t="e">
        <f>VLOOKUP(A197,Model!C$2:D$208,2,FALSE)=B197</f>
        <v>#N/A</v>
      </c>
      <c r="L197" s="18" t="e">
        <f>VLOOKUP(A197,Model!C$2:G$208,5,FALSE)=C197</f>
        <v>#N/A</v>
      </c>
      <c r="M197" s="18" t="b">
        <f>VLOOKUP(Table1[[#This Row],[Physical Name of Attribute (Name of column in Table)
Supplied by DA Team]],Table!A$2:H$323,1,FALSE)=Table1[[#This Row],[Physical Name of Attribute (Name of column in Table)
Supplied by DA Team]]</f>
        <v>1</v>
      </c>
      <c r="N197" s="18" t="b">
        <f>VLOOKUP(B197,Table!A$2:F$319,2,FALSE)=Table1[[#This Row],[Data type in Oracle
VARCHAR2(n), DATE, NUMBER(m,n), TIMETSTAMP(6)]]</f>
        <v>0</v>
      </c>
      <c r="O197" s="18" t="b">
        <f>VLOOKUP(B197,Table!A$2:F$231,3,FALSE)=Table1[[#This Row],[Nullable in Table and in Oracle View
NULL, NOT NULL]]</f>
        <v>0</v>
      </c>
      <c r="P197" s="55" t="b">
        <f>VLOOKUP(B197,Table!A$2:H$228,6,FALSE)=Table1[[#This Row],[Business Definition (To go into comments and into Meta Data Hub)]]</f>
        <v>0</v>
      </c>
      <c r="Q197" s="18" t="s">
        <v>8</v>
      </c>
      <c r="R197" s="18" t="s">
        <v>1051</v>
      </c>
      <c r="S197" s="18" t="s">
        <v>1058</v>
      </c>
      <c r="T197" s="18"/>
      <c r="U197" s="18"/>
      <c r="V197" s="46" t="s">
        <v>1052</v>
      </c>
      <c r="W197" s="46" t="s">
        <v>1053</v>
      </c>
      <c r="X197" s="18"/>
      <c r="Y197" s="1" t="e">
        <f>VLOOKUP(A197,Model!A$2:J$210,2,FALSE)</f>
        <v>#N/A</v>
      </c>
      <c r="Z197" s="1"/>
      <c r="AA197" s="1"/>
      <c r="AB197" s="1"/>
      <c r="AC197" s="1"/>
      <c r="AD197" s="32" t="b">
        <f>VLOOKUP(B197,AVY_FACT!A$2:A$153,1,FALSE)=B197</f>
        <v>1</v>
      </c>
      <c r="AE197" s="32" t="b">
        <f>VLOOKUP(B197,AVY_FACT!A$2:F$153,2,FALSE)=C197</f>
        <v>1</v>
      </c>
      <c r="AF197" s="32" t="e">
        <f t="shared" si="13"/>
        <v>#N/A</v>
      </c>
      <c r="AG197" s="33" t="str">
        <f t="shared" si="12"/>
        <v>COMMENT ON COLUMN TRANSACTIONS_OWNER.AVY_FACT.TRD_SLCT_TP_CD IS 'A code for the solicitation method in which the trade was executed.  A trade can be initiated by the broker, the client, or done at discretion of broker in discretionary accounts.';</v>
      </c>
    </row>
    <row r="198" spans="1:33" ht="22.5" customHeight="1">
      <c r="A198" s="56" t="s">
        <v>1048</v>
      </c>
      <c r="B198" s="18" t="s">
        <v>1049</v>
      </c>
      <c r="C198" s="18" t="s">
        <v>101</v>
      </c>
      <c r="D198" s="18" t="s">
        <v>345</v>
      </c>
      <c r="E198" s="18" t="s">
        <v>133</v>
      </c>
      <c r="F198" s="45" t="s">
        <v>63</v>
      </c>
      <c r="G198" s="46" t="s">
        <v>1050</v>
      </c>
      <c r="H198" s="18"/>
      <c r="I198" s="18" t="s">
        <v>347</v>
      </c>
      <c r="J198" s="18">
        <v>3</v>
      </c>
      <c r="K198" s="18" t="e">
        <f>VLOOKUP(A198,Model!C$2:D$208,2,FALSE)=B198</f>
        <v>#N/A</v>
      </c>
      <c r="L198" s="18" t="e">
        <f>VLOOKUP(A198,Model!C$2:G$208,5,FALSE)=C198</f>
        <v>#N/A</v>
      </c>
      <c r="M198" s="18" t="b">
        <f>VLOOKUP(Table1[[#This Row],[Physical Name of Attribute (Name of column in Table)
Supplied by DA Team]],Table!A$2:H$323,1,FALSE)=Table1[[#This Row],[Physical Name of Attribute (Name of column in Table)
Supplied by DA Team]]</f>
        <v>1</v>
      </c>
      <c r="N198" s="18" t="b">
        <f>VLOOKUP(B198,Table!A$2:F$319,2,FALSE)=Table1[[#This Row],[Data type in Oracle
VARCHAR2(n), DATE, NUMBER(m,n), TIMETSTAMP(6)]]</f>
        <v>0</v>
      </c>
      <c r="O198" s="18" t="b">
        <f>VLOOKUP(B198,Table!A$2:F$231,3,FALSE)=Table1[[#This Row],[Nullable in Table and in Oracle View
NULL, NOT NULL]]</f>
        <v>0</v>
      </c>
      <c r="P198" s="18" t="b">
        <f>VLOOKUP(B198,Table!A$2:H$228,6,FALSE)=Table1[[#This Row],[Business Definition (To go into comments and into Meta Data Hub)]]</f>
        <v>0</v>
      </c>
      <c r="Q198" s="18" t="s">
        <v>8</v>
      </c>
      <c r="R198" s="18" t="s">
        <v>1051</v>
      </c>
      <c r="S198" s="18" t="s">
        <v>1049</v>
      </c>
      <c r="T198" s="18"/>
      <c r="U198" s="18"/>
      <c r="V198" s="46" t="s">
        <v>1052</v>
      </c>
      <c r="W198" s="46" t="s">
        <v>1053</v>
      </c>
      <c r="X198" s="18"/>
      <c r="Y198" s="1" t="e">
        <f>VLOOKUP(A198,Model!A$2:J$210,2,FALSE)</f>
        <v>#N/A</v>
      </c>
      <c r="Z198" s="1"/>
      <c r="AA198" s="1"/>
      <c r="AB198" s="1"/>
      <c r="AC198" s="1"/>
      <c r="AD198" s="32" t="b">
        <f>VLOOKUP(B198,AVY_FACT!A$2:A$153,1,FALSE)=B198</f>
        <v>1</v>
      </c>
      <c r="AE198" s="32" t="b">
        <f>VLOOKUP(B198,AVY_FACT!A$2:F$153,2,FALSE)=C198</f>
        <v>1</v>
      </c>
      <c r="AF198" s="32" t="e">
        <f t="shared" si="13"/>
        <v>#N/A</v>
      </c>
      <c r="AG198" s="33" t="str">
        <f t="shared" si="12"/>
        <v>COMMENT ON COLUMN TRANSACTIONS_OWNER.AVY_FACT.TRD_SLCT_TP_DIM_ID IS 'Surrogate key for the Trade Solicitation Type Dimension';</v>
      </c>
    </row>
    <row r="199" spans="1:33" ht="22.5" hidden="1" customHeight="1">
      <c r="A199" s="18" t="s">
        <v>2688</v>
      </c>
      <c r="B199" s="18" t="s">
        <v>1055</v>
      </c>
      <c r="C199" s="18" t="s">
        <v>101</v>
      </c>
      <c r="D199" s="18" t="s">
        <v>63</v>
      </c>
      <c r="E199" s="18" t="s">
        <v>133</v>
      </c>
      <c r="F199" s="45" t="s">
        <v>63</v>
      </c>
      <c r="G199" s="46" t="s">
        <v>1056</v>
      </c>
      <c r="H199" s="18"/>
      <c r="I199" s="18" t="s">
        <v>67</v>
      </c>
      <c r="J199" s="18">
        <v>3</v>
      </c>
      <c r="K199" s="18" t="e">
        <f>VLOOKUP(A199,Model!C$2:D$208,2,FALSE)=B199</f>
        <v>#N/A</v>
      </c>
      <c r="L199" s="18" t="e">
        <f>VLOOKUP(A199,Model!C$2:G$208,5,FALSE)=C199</f>
        <v>#N/A</v>
      </c>
      <c r="M199" s="18" t="b">
        <f>VLOOKUP(Table1[[#This Row],[Physical Name of Attribute (Name of column in Table)
Supplied by DA Team]],Table!A$2:H$323,1,FALSE)=Table1[[#This Row],[Physical Name of Attribute (Name of column in Table)
Supplied by DA Team]]</f>
        <v>1</v>
      </c>
      <c r="N199" s="18" t="b">
        <f>VLOOKUP(B199,Table!A$2:F$319,2,FALSE)=Table1[[#This Row],[Data type in Oracle
VARCHAR2(n), DATE, NUMBER(m,n), TIMETSTAMP(6)]]</f>
        <v>1</v>
      </c>
      <c r="O199" s="18" t="b">
        <f>VLOOKUP(B199,Table!A$2:F$231,3,FALSE)=Table1[[#This Row],[Nullable in Table and in Oracle View
NULL, NOT NULL]]</f>
        <v>0</v>
      </c>
      <c r="P199" s="18" t="b">
        <f>VLOOKUP(B199,Table!A$2:H$228,6,FALSE)=Table1[[#This Row],[Business Definition (To go into comments and into Meta Data Hub)]]</f>
        <v>0</v>
      </c>
      <c r="Q199" s="18" t="s">
        <v>68</v>
      </c>
      <c r="R199" s="18" t="s">
        <v>69</v>
      </c>
      <c r="S199" s="18" t="s">
        <v>1055</v>
      </c>
      <c r="T199" s="18"/>
      <c r="U199" s="18"/>
      <c r="V199" s="46"/>
      <c r="W199" s="46" t="s">
        <v>1053</v>
      </c>
      <c r="X199" s="18"/>
      <c r="Y199" s="1" t="e">
        <f>VLOOKUP(A199,Model!A$2:J$210,2,FALSE)</f>
        <v>#N/A</v>
      </c>
      <c r="Z199" s="1"/>
      <c r="AA199" s="1"/>
      <c r="AB199" s="1"/>
      <c r="AC199" s="1"/>
      <c r="AD199" s="32" t="e">
        <f>VLOOKUP(B199,AVY_FACT!A$2:A$153,1,FALSE)=B199</f>
        <v>#N/A</v>
      </c>
      <c r="AE199" s="32" t="e">
        <f>VLOOKUP(B199,AVY_FACT!A$2:F$153,2,FALSE)=C199</f>
        <v>#N/A</v>
      </c>
      <c r="AF199" s="32" t="e">
        <f t="shared" si="13"/>
        <v>#N/A</v>
      </c>
      <c r="AG199" s="33" t="str">
        <f t="shared" si="12"/>
        <v>COMMENT ON COLUMN TRANSACTIONS_OWNER.AVY_FACT.TRD_SLCT_TP_ID IS 'Identifier for the Trade Solicitation Type';</v>
      </c>
    </row>
    <row r="200" spans="1:33" ht="22.5" hidden="1" customHeight="1">
      <c r="A200" s="18" t="s">
        <v>2689</v>
      </c>
      <c r="B200" s="18" t="s">
        <v>1062</v>
      </c>
      <c r="C200" s="18" t="s">
        <v>109</v>
      </c>
      <c r="D200" s="18" t="s">
        <v>63</v>
      </c>
      <c r="E200" s="18" t="s">
        <v>110</v>
      </c>
      <c r="F200" s="45" t="s">
        <v>63</v>
      </c>
      <c r="G200" s="46" t="s">
        <v>1064</v>
      </c>
      <c r="H200" s="18"/>
      <c r="I200" s="18" t="s">
        <v>347</v>
      </c>
      <c r="J200" s="18">
        <v>3</v>
      </c>
      <c r="K200" s="18" t="e">
        <f>VLOOKUP(A200,Model!C$2:D$208,2,FALSE)=B200</f>
        <v>#N/A</v>
      </c>
      <c r="L200" s="18" t="e">
        <f>VLOOKUP(A200,Model!C$2:G$208,5,FALSE)=C200</f>
        <v>#N/A</v>
      </c>
      <c r="M200" s="18" t="b">
        <f>VLOOKUP(Table1[[#This Row],[Physical Name of Attribute (Name of column in Table)
Supplied by DA Team]],Table!A$2:H$323,1,FALSE)=Table1[[#This Row],[Physical Name of Attribute (Name of column in Table)
Supplied by DA Team]]</f>
        <v>1</v>
      </c>
      <c r="N200" s="18" t="b">
        <f>VLOOKUP(B200,Table!A$2:F$319,2,FALSE)=Table1[[#This Row],[Data type in Oracle
VARCHAR2(n), DATE, NUMBER(m,n), TIMETSTAMP(6)]]</f>
        <v>0</v>
      </c>
      <c r="O200" s="18" t="b">
        <f>VLOOKUP(B200,Table!A$2:F$231,3,FALSE)=Table1[[#This Row],[Nullable in Table and in Oracle View
NULL, NOT NULL]]</f>
        <v>1</v>
      </c>
      <c r="P200" s="55" t="b">
        <f>VLOOKUP(B200,Table!A$2:H$228,6,FALSE)=Table1[[#This Row],[Business Definition (To go into comments and into Meta Data Hub)]]</f>
        <v>0</v>
      </c>
      <c r="Q200" s="18" t="s">
        <v>8</v>
      </c>
      <c r="R200" s="18" t="s">
        <v>1051</v>
      </c>
      <c r="S200" s="18" t="s">
        <v>1062</v>
      </c>
      <c r="T200" s="18"/>
      <c r="U200" s="18"/>
      <c r="V200" s="46" t="s">
        <v>1052</v>
      </c>
      <c r="W200" s="46"/>
      <c r="X200" s="18"/>
      <c r="Y200" s="1" t="e">
        <f>VLOOKUP(A200,Model!A$2:J$210,2,FALSE)</f>
        <v>#N/A</v>
      </c>
      <c r="Z200" s="1"/>
      <c r="AA200" s="1"/>
      <c r="AB200" s="1"/>
      <c r="AC200" s="1"/>
      <c r="AD200" s="32" t="b">
        <f>VLOOKUP(B200,AVY_FACT!A$2:A$153,1,FALSE)=B200</f>
        <v>1</v>
      </c>
      <c r="AE200" s="32" t="b">
        <f>VLOOKUP(B200,AVY_FACT!A$2:F$153,2,FALSE)=C200</f>
        <v>1</v>
      </c>
      <c r="AF200" s="32" t="str">
        <f>B200&amp;"  "&amp;C200&amp;","</f>
        <v>TRD_SLCT_TP_NM  VARCHAR2(200),</v>
      </c>
      <c r="AG200" s="33" t="str">
        <f t="shared" si="12"/>
        <v>COMMENT ON COLUMN TRANSACTIONS_OWNER.AVY_FACT.TRD_SLCT_TP_NM IS 'Tname of the solicitation method in which the trade was executed.  A trade can be initiated by the broker, the client, or done at discretion of broker in discretionary accounts.';</v>
      </c>
    </row>
    <row r="201" spans="1:33" ht="22.5" hidden="1" customHeight="1">
      <c r="A201" s="18" t="s">
        <v>1065</v>
      </c>
      <c r="B201" s="18" t="s">
        <v>1066</v>
      </c>
      <c r="C201" s="18" t="s">
        <v>519</v>
      </c>
      <c r="D201" s="18" t="s">
        <v>63</v>
      </c>
      <c r="E201" s="18" t="s">
        <v>520</v>
      </c>
      <c r="F201" s="45" t="s">
        <v>63</v>
      </c>
      <c r="G201" s="46" t="s">
        <v>1065</v>
      </c>
      <c r="H201" s="18"/>
      <c r="I201" s="18" t="s">
        <v>347</v>
      </c>
      <c r="J201" s="18">
        <v>3</v>
      </c>
      <c r="K201" s="18" t="e">
        <f>VLOOKUP(A201,Model!C$2:D$208,2,FALSE)=B201</f>
        <v>#N/A</v>
      </c>
      <c r="L201" s="18" t="e">
        <f>VLOOKUP(A201,Model!C$2:G$208,5,FALSE)=C201</f>
        <v>#N/A</v>
      </c>
      <c r="M201" s="18" t="b">
        <f>VLOOKUP(Table1[[#This Row],[Physical Name of Attribute (Name of column in Table)
Supplied by DA Team]],Table!A$2:H$323,1,FALSE)=Table1[[#This Row],[Physical Name of Attribute (Name of column in Table)
Supplied by DA Team]]</f>
        <v>1</v>
      </c>
      <c r="N201" s="18" t="b">
        <f>VLOOKUP(B201,Table!A$2:F$319,2,FALSE)=Table1[[#This Row],[Data type in Oracle
VARCHAR2(n), DATE, NUMBER(m,n), TIMETSTAMP(6)]]</f>
        <v>0</v>
      </c>
      <c r="O201" s="18" t="b">
        <f>VLOOKUP(B201,Table!A$2:F$231,3,FALSE)=Table1[[#This Row],[Nullable in Table and in Oracle View
NULL, NOT NULL]]</f>
        <v>1</v>
      </c>
      <c r="P201" s="18" t="b">
        <f>VLOOKUP(B201,Table!A$2:H$228,6,FALSE)=Table1[[#This Row],[Business Definition (To go into comments and into Meta Data Hub)]]</f>
        <v>0</v>
      </c>
      <c r="Q201" s="18" t="s">
        <v>68</v>
      </c>
      <c r="R201" s="18" t="s">
        <v>69</v>
      </c>
      <c r="S201" s="18" t="s">
        <v>1066</v>
      </c>
      <c r="T201" s="18"/>
      <c r="U201" s="18"/>
      <c r="V201" s="46"/>
      <c r="W201" s="46"/>
      <c r="X201" s="18"/>
      <c r="Y201" s="1" t="e">
        <f>VLOOKUP(A201,Model!A$2:J$210,2,FALSE)</f>
        <v>#N/A</v>
      </c>
      <c r="Z201" s="1"/>
      <c r="AA201" s="1"/>
      <c r="AB201" s="1"/>
      <c r="AC201" s="1"/>
      <c r="AD201" s="32" t="b">
        <f>VLOOKUP(B201,AVY_FACT!A$2:A$153,1,FALSE)=B201</f>
        <v>1</v>
      </c>
      <c r="AE201" s="32" t="b">
        <f>VLOOKUP(B201,AVY_FACT!A$2:F$153,2,FALSE)=C201</f>
        <v>1</v>
      </c>
      <c r="AF201" s="32" t="e">
        <f t="shared" ref="AF201:AF207" si="14">K201&amp;"  "&amp;C201&amp;","</f>
        <v>#N/A</v>
      </c>
      <c r="AG201" s="33" t="str">
        <f t="shared" si="12"/>
        <v>COMMENT ON COLUMN TRANSACTIONS_OWNER.AVY_FACT.TXN_CL_F IS 'Transaction Classification Flag';</v>
      </c>
    </row>
    <row r="202" spans="1:33" ht="22.5" hidden="1" customHeight="1">
      <c r="A202" s="18" t="s">
        <v>2690</v>
      </c>
      <c r="B202" s="18" t="s">
        <v>1069</v>
      </c>
      <c r="C202" s="18" t="s">
        <v>101</v>
      </c>
      <c r="D202" s="18" t="s">
        <v>345</v>
      </c>
      <c r="E202" s="18" t="s">
        <v>133</v>
      </c>
      <c r="F202" s="45" t="s">
        <v>63</v>
      </c>
      <c r="G202" s="46" t="s">
        <v>1071</v>
      </c>
      <c r="H202" s="18"/>
      <c r="I202" s="18" t="s">
        <v>347</v>
      </c>
      <c r="J202" s="18">
        <v>3</v>
      </c>
      <c r="K202" s="18" t="e">
        <f>VLOOKUP(A202,Model!C$2:D$208,2,FALSE)=B202</f>
        <v>#N/A</v>
      </c>
      <c r="L202" s="18" t="e">
        <f>VLOOKUP(A202,Model!C$2:G$208,5,FALSE)=C202</f>
        <v>#N/A</v>
      </c>
      <c r="M202" s="18" t="b">
        <f>VLOOKUP(Table1[[#This Row],[Physical Name of Attribute (Name of column in Table)
Supplied by DA Team]],Table!A$2:H$323,1,FALSE)=Table1[[#This Row],[Physical Name of Attribute (Name of column in Table)
Supplied by DA Team]]</f>
        <v>1</v>
      </c>
      <c r="N202" s="18" t="b">
        <f>VLOOKUP(B202,Table!A$2:F$319,2,FALSE)=Table1[[#This Row],[Data type in Oracle
VARCHAR2(n), DATE, NUMBER(m,n), TIMETSTAMP(6)]]</f>
        <v>0</v>
      </c>
      <c r="O202" s="18" t="b">
        <f>VLOOKUP(B202,Table!A$2:F$231,3,FALSE)=Table1[[#This Row],[Nullable in Table and in Oracle View
NULL, NOT NULL]]</f>
        <v>0</v>
      </c>
      <c r="P202" s="18" t="b">
        <f>VLOOKUP(B202,Table!A$2:H$228,6,FALSE)=Table1[[#This Row],[Business Definition (To go into comments and into Meta Data Hub)]]</f>
        <v>0</v>
      </c>
      <c r="Q202" s="18" t="s">
        <v>68</v>
      </c>
      <c r="R202" s="18" t="s">
        <v>69</v>
      </c>
      <c r="S202" s="18" t="s">
        <v>1069</v>
      </c>
      <c r="T202" s="18"/>
      <c r="U202" s="18"/>
      <c r="V202" s="46"/>
      <c r="W202" s="46"/>
      <c r="X202" s="18"/>
      <c r="Y202" s="1" t="e">
        <f>VLOOKUP(A202,Model!A$2:J$210,2,FALSE)</f>
        <v>#N/A</v>
      </c>
      <c r="Z202" s="1"/>
      <c r="AA202" s="1"/>
      <c r="AB202" s="1"/>
      <c r="AC202" s="1"/>
      <c r="AD202" s="32" t="b">
        <f>VLOOKUP(B202,AVY_FACT!A$2:A$153,1,FALSE)=B202</f>
        <v>1</v>
      </c>
      <c r="AE202" s="32" t="b">
        <f>VLOOKUP(B202,AVY_FACT!A$2:F$153,2,FALSE)=C202</f>
        <v>1</v>
      </c>
      <c r="AF202" s="32" t="e">
        <f t="shared" si="14"/>
        <v>#N/A</v>
      </c>
      <c r="AG202" s="33" t="str">
        <f t="shared" si="12"/>
        <v>COMMENT ON COLUMN TRANSACTIONS_OWNER.AVY_FACT.TXN_ID IS 'CDS assigned numeric identfier of the transaction';</v>
      </c>
    </row>
    <row r="203" spans="1:33" ht="22.5" hidden="1" customHeight="1">
      <c r="A203" s="54" t="s">
        <v>2691</v>
      </c>
      <c r="B203" s="18" t="s">
        <v>281</v>
      </c>
      <c r="C203" s="18" t="s">
        <v>101</v>
      </c>
      <c r="D203" s="18" t="s">
        <v>63</v>
      </c>
      <c r="E203" s="18" t="s">
        <v>133</v>
      </c>
      <c r="F203" s="45" t="s">
        <v>63</v>
      </c>
      <c r="G203" s="46" t="s">
        <v>282</v>
      </c>
      <c r="H203" s="18">
        <v>3</v>
      </c>
      <c r="I203" s="18" t="s">
        <v>67</v>
      </c>
      <c r="J203" s="18">
        <v>3</v>
      </c>
      <c r="K203" s="18" t="e">
        <f>VLOOKUP(A203,Model!C$2:D$208,2,FALSE)=B203</f>
        <v>#N/A</v>
      </c>
      <c r="L203" s="18" t="e">
        <f>VLOOKUP(A203,Model!C$2:G$208,5,FALSE)=C203</f>
        <v>#N/A</v>
      </c>
      <c r="M203" s="18" t="b">
        <f>VLOOKUP(Table1[[#This Row],[Physical Name of Attribute (Name of column in Table)
Supplied by DA Team]],Table!A$2:H$323,1,FALSE)=Table1[[#This Row],[Physical Name of Attribute (Name of column in Table)
Supplied by DA Team]]</f>
        <v>1</v>
      </c>
      <c r="N203" s="18" t="b">
        <f>VLOOKUP(B203,Table!A$2:F$319,2,FALSE)=Table1[[#This Row],[Data type in Oracle
VARCHAR2(n), DATE, NUMBER(m,n), TIMETSTAMP(6)]]</f>
        <v>0</v>
      </c>
      <c r="O203" s="18" t="b">
        <f>VLOOKUP(B203,Table!A$2:F$231,3,FALSE)=Table1[[#This Row],[Nullable in Table and in Oracle View
NULL, NOT NULL]]</f>
        <v>1</v>
      </c>
      <c r="P203" s="55" t="b">
        <f>VLOOKUP(B203,Table!A$2:H$228,6,FALSE)=Table1[[#This Row],[Business Definition (To go into comments and into Meta Data Hub)]]</f>
        <v>0</v>
      </c>
      <c r="Q203" s="18" t="s">
        <v>68</v>
      </c>
      <c r="R203" s="18" t="s">
        <v>69</v>
      </c>
      <c r="S203" s="18" t="s">
        <v>283</v>
      </c>
      <c r="T203" s="18"/>
      <c r="U203" s="18"/>
      <c r="V203" s="46"/>
      <c r="W203" s="46" t="s">
        <v>284</v>
      </c>
      <c r="X203" s="18"/>
      <c r="Y203" s="1" t="e">
        <f>VLOOKUP(A203,Model!A$2:J$210,2,FALSE)</f>
        <v>#N/A</v>
      </c>
      <c r="Z203" s="1"/>
      <c r="AA203" s="1"/>
      <c r="AB203" s="1"/>
      <c r="AC203" s="1"/>
      <c r="AD203" s="32" t="e">
        <f>VLOOKUP(B203,AVY_FACT!A$2:A$153,1,FALSE)=B203</f>
        <v>#N/A</v>
      </c>
      <c r="AE203" s="32" t="e">
        <f>VLOOKUP(B203,AVY_FACT!A$2:F$153,2,FALSE)=C203</f>
        <v>#N/A</v>
      </c>
      <c r="AF203" s="32" t="e">
        <f t="shared" si="14"/>
        <v>#N/A</v>
      </c>
      <c r="AG203" s="33" t="str">
        <f t="shared" si="12"/>
        <v>COMMENT ON COLUMN TRANSACTIONS_OWNER.AVY_FACT.TXN_RCNCL_REPL_CNT IS 'Numeric counter to show how many attempts were done to reconcile transactions on this account/product/type with the corresponding EOD positions. 
The default value load is ''0'' and counter is incremented by ''1'' as transaction is replayed.';</v>
      </c>
    </row>
    <row r="204" spans="1:33" ht="22.5" hidden="1" customHeight="1">
      <c r="A204" s="18" t="s">
        <v>289</v>
      </c>
      <c r="B204" s="18" t="s">
        <v>290</v>
      </c>
      <c r="C204" s="18" t="s">
        <v>139</v>
      </c>
      <c r="D204" s="18" t="s">
        <v>63</v>
      </c>
      <c r="E204" s="18" t="s">
        <v>140</v>
      </c>
      <c r="F204" s="45" t="s">
        <v>63</v>
      </c>
      <c r="G204" s="46" t="s">
        <v>291</v>
      </c>
      <c r="H204" s="18" t="s">
        <v>292</v>
      </c>
      <c r="I204" s="18" t="s">
        <v>67</v>
      </c>
      <c r="J204" s="18">
        <v>3</v>
      </c>
      <c r="K204" s="18" t="e">
        <f>VLOOKUP(A204,Model!C$2:D$208,2,FALSE)=B204</f>
        <v>#N/A</v>
      </c>
      <c r="L204" s="18" t="e">
        <f>VLOOKUP(A204,Model!C$2:G$208,5,FALSE)=C204</f>
        <v>#N/A</v>
      </c>
      <c r="M204" s="18" t="b">
        <f>VLOOKUP(Table1[[#This Row],[Physical Name of Attribute (Name of column in Table)
Supplied by DA Team]],Table!A$2:H$323,1,FALSE)=Table1[[#This Row],[Physical Name of Attribute (Name of column in Table)
Supplied by DA Team]]</f>
        <v>1</v>
      </c>
      <c r="N204" s="18" t="b">
        <f>VLOOKUP(B204,Table!A$2:F$319,2,FALSE)=Table1[[#This Row],[Data type in Oracle
VARCHAR2(n), DATE, NUMBER(m,n), TIMETSTAMP(6)]]</f>
        <v>0</v>
      </c>
      <c r="O204" s="18" t="b">
        <f>VLOOKUP(B204,Table!A$2:F$231,3,FALSE)=Table1[[#This Row],[Nullable in Table and in Oracle View
NULL, NOT NULL]]</f>
        <v>0</v>
      </c>
      <c r="P204" s="18" t="b">
        <f>VLOOKUP(B204,Table!A$2:H$228,6,FALSE)=Table1[[#This Row],[Business Definition (To go into comments and into Meta Data Hub)]]</f>
        <v>0</v>
      </c>
      <c r="Q204" s="18" t="s">
        <v>68</v>
      </c>
      <c r="R204" s="18" t="s">
        <v>113</v>
      </c>
      <c r="S204" s="18" t="s">
        <v>143</v>
      </c>
      <c r="T204" s="18"/>
      <c r="U204" s="18"/>
      <c r="V204" s="46" t="s">
        <v>293</v>
      </c>
      <c r="W204" s="46" t="s">
        <v>284</v>
      </c>
      <c r="X204" s="18"/>
      <c r="Y204" s="1" t="e">
        <f>VLOOKUP(A204,Model!A$2:J$210,2,FALSE)</f>
        <v>#N/A</v>
      </c>
      <c r="Z204" s="1"/>
      <c r="AA204" s="1"/>
      <c r="AB204" s="1"/>
      <c r="AC204" s="1"/>
      <c r="AD204" s="32" t="e">
        <f>VLOOKUP(B204,AVY_FACT!A$2:A$153,1,FALSE)=B204</f>
        <v>#N/A</v>
      </c>
      <c r="AE204" s="32" t="e">
        <f>VLOOKUP(B204,AVY_FACT!A$2:F$153,2,FALSE)=C204</f>
        <v>#N/A</v>
      </c>
      <c r="AF204" s="32" t="e">
        <f t="shared" si="14"/>
        <v>#N/A</v>
      </c>
      <c r="AG204" s="33" t="str">
        <f t="shared" si="12"/>
        <v>COMMENT ON COLUMN TRANSACTIONS_OWNER.AVY_FACT.TXN_RCNCL_ST_CD IS 'Processing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code';</v>
      </c>
    </row>
    <row r="205" spans="1:33" ht="22.5" hidden="1" customHeight="1">
      <c r="A205" s="18" t="s">
        <v>285</v>
      </c>
      <c r="B205" s="18" t="s">
        <v>286</v>
      </c>
      <c r="C205" s="18" t="s">
        <v>101</v>
      </c>
      <c r="D205" s="18" t="s">
        <v>63</v>
      </c>
      <c r="E205" s="18" t="s">
        <v>133</v>
      </c>
      <c r="F205" s="45" t="s">
        <v>63</v>
      </c>
      <c r="G205" s="46" t="s">
        <v>287</v>
      </c>
      <c r="H205" s="18">
        <v>1029</v>
      </c>
      <c r="I205" s="18" t="s">
        <v>67</v>
      </c>
      <c r="J205" s="18">
        <v>3</v>
      </c>
      <c r="K205" s="18" t="e">
        <f>VLOOKUP(A205,Model!C$2:D$208,2,FALSE)=B205</f>
        <v>#N/A</v>
      </c>
      <c r="L205" s="18" t="e">
        <f>VLOOKUP(A205,Model!C$2:G$208,5,FALSE)=C205</f>
        <v>#N/A</v>
      </c>
      <c r="M205" s="18" t="b">
        <f>VLOOKUP(Table1[[#This Row],[Physical Name of Attribute (Name of column in Table)
Supplied by DA Team]],Table!A$2:H$323,1,FALSE)=Table1[[#This Row],[Physical Name of Attribute (Name of column in Table)
Supplied by DA Team]]</f>
        <v>1</v>
      </c>
      <c r="N205" s="18" t="b">
        <f>VLOOKUP(B205,Table!A$2:F$319,2,FALSE)=Table1[[#This Row],[Data type in Oracle
VARCHAR2(n), DATE, NUMBER(m,n), TIMETSTAMP(6)]]</f>
        <v>0</v>
      </c>
      <c r="O205" s="18" t="b">
        <f>VLOOKUP(B205,Table!A$2:F$231,3,FALSE)=Table1[[#This Row],[Nullable in Table and in Oracle View
NULL, NOT NULL]]</f>
        <v>1</v>
      </c>
      <c r="P205" s="18" t="b">
        <f>VLOOKUP(B205,Table!A$2:H$228,6,FALSE)=Table1[[#This Row],[Business Definition (To go into comments and into Meta Data Hub)]]</f>
        <v>0</v>
      </c>
      <c r="Q205" s="18" t="s">
        <v>68</v>
      </c>
      <c r="R205" s="18" t="s">
        <v>69</v>
      </c>
      <c r="S205" s="18" t="s">
        <v>288</v>
      </c>
      <c r="T205" s="18"/>
      <c r="U205" s="18"/>
      <c r="V205" s="46"/>
      <c r="W205" s="46" t="s">
        <v>284</v>
      </c>
      <c r="X205" s="18"/>
      <c r="Y205" s="1" t="e">
        <f>VLOOKUP(A205,Model!A$2:J$210,2,FALSE)</f>
        <v>#N/A</v>
      </c>
      <c r="Z205" s="1"/>
      <c r="AA205" s="1"/>
      <c r="AB205" s="1"/>
      <c r="AC205" s="1"/>
      <c r="AD205" s="32" t="e">
        <f>VLOOKUP(B205,AVY_FACT!A$2:A$153,1,FALSE)=B205</f>
        <v>#N/A</v>
      </c>
      <c r="AE205" s="32" t="e">
        <f>VLOOKUP(B205,AVY_FACT!A$2:F$153,2,FALSE)=C205</f>
        <v>#N/A</v>
      </c>
      <c r="AF205" s="32" t="e">
        <f t="shared" si="14"/>
        <v>#N/A</v>
      </c>
      <c r="AG205" s="33" t="str">
        <f t="shared" si="12"/>
        <v>COMMENT ON COLUMN TRANSACTIONS_OWNER.AVY_FACT.TXN_RCNCL_ST_ID IS 'Processing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identifier';</v>
      </c>
    </row>
    <row r="206" spans="1:33" ht="22.5" hidden="1" customHeight="1">
      <c r="A206" s="18" t="s">
        <v>295</v>
      </c>
      <c r="B206" s="18" t="s">
        <v>296</v>
      </c>
      <c r="C206" s="18" t="s">
        <v>109</v>
      </c>
      <c r="D206" s="18" t="s">
        <v>63</v>
      </c>
      <c r="E206" s="18" t="s">
        <v>110</v>
      </c>
      <c r="F206" s="45" t="s">
        <v>63</v>
      </c>
      <c r="G206" s="46" t="s">
        <v>297</v>
      </c>
      <c r="H206" s="18" t="s">
        <v>298</v>
      </c>
      <c r="I206" s="18" t="s">
        <v>67</v>
      </c>
      <c r="J206" s="18">
        <v>3</v>
      </c>
      <c r="K206" s="18" t="e">
        <f>VLOOKUP(A206,Model!C$2:D$208,2,FALSE)=B206</f>
        <v>#N/A</v>
      </c>
      <c r="L206" s="18" t="e">
        <f>VLOOKUP(A206,Model!C$2:G$208,5,FALSE)=C206</f>
        <v>#N/A</v>
      </c>
      <c r="M206" s="18" t="b">
        <f>VLOOKUP(Table1[[#This Row],[Physical Name of Attribute (Name of column in Table)
Supplied by DA Team]],Table!A$2:H$323,1,FALSE)=Table1[[#This Row],[Physical Name of Attribute (Name of column in Table)
Supplied by DA Team]]</f>
        <v>1</v>
      </c>
      <c r="N206" s="18" t="b">
        <f>VLOOKUP(B206,Table!A$2:F$319,2,FALSE)=Table1[[#This Row],[Data type in Oracle
VARCHAR2(n), DATE, NUMBER(m,n), TIMETSTAMP(6)]]</f>
        <v>0</v>
      </c>
      <c r="O206" s="18" t="b">
        <f>VLOOKUP(B206,Table!A$2:F$231,3,FALSE)=Table1[[#This Row],[Nullable in Table and in Oracle View
NULL, NOT NULL]]</f>
        <v>1</v>
      </c>
      <c r="P206" s="18" t="b">
        <f>VLOOKUP(B206,Table!A$2:H$228,6,FALSE)=Table1[[#This Row],[Business Definition (To go into comments and into Meta Data Hub)]]</f>
        <v>0</v>
      </c>
      <c r="Q206" s="18" t="s">
        <v>68</v>
      </c>
      <c r="R206" s="18" t="s">
        <v>113</v>
      </c>
      <c r="S206" s="18" t="s">
        <v>114</v>
      </c>
      <c r="T206" s="18"/>
      <c r="U206" s="18"/>
      <c r="V206" s="46" t="s">
        <v>293</v>
      </c>
      <c r="W206" s="46" t="s">
        <v>284</v>
      </c>
      <c r="X206" s="18"/>
      <c r="Y206" s="1" t="e">
        <f>VLOOKUP(A206,Model!A$2:J$210,2,FALSE)</f>
        <v>#N/A</v>
      </c>
      <c r="Z206" s="1"/>
      <c r="AA206" s="1"/>
      <c r="AB206" s="1"/>
      <c r="AC206" s="1"/>
      <c r="AD206" s="32" t="e">
        <f>VLOOKUP(B206,AVY_FACT!A$2:A$153,1,FALSE)=B206</f>
        <v>#N/A</v>
      </c>
      <c r="AE206" s="32" t="e">
        <f>VLOOKUP(B206,AVY_FACT!A$2:F$153,2,FALSE)=C206</f>
        <v>#N/A</v>
      </c>
      <c r="AF206" s="32" t="e">
        <f t="shared" si="14"/>
        <v>#N/A</v>
      </c>
      <c r="AG206" s="33" t="str">
        <f t="shared" si="12"/>
        <v>COMMENT ON COLUMN TRANSACTIONS_OWNER.AVY_FACT.TXN_RCNCL_ST_NM IS 'Processing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investigation.This specifies the status name';</v>
      </c>
    </row>
    <row r="207" spans="1:33" ht="22.5" hidden="1" customHeight="1">
      <c r="A207" s="18" t="s">
        <v>1072</v>
      </c>
      <c r="B207" s="18" t="s">
        <v>1073</v>
      </c>
      <c r="C207" s="18" t="s">
        <v>109</v>
      </c>
      <c r="D207" s="18" t="s">
        <v>63</v>
      </c>
      <c r="E207" s="18" t="s">
        <v>110</v>
      </c>
      <c r="F207" s="45" t="s">
        <v>63</v>
      </c>
      <c r="G207" s="46" t="s">
        <v>1075</v>
      </c>
      <c r="H207" s="18"/>
      <c r="I207" s="18" t="s">
        <v>347</v>
      </c>
      <c r="J207" s="18">
        <v>3</v>
      </c>
      <c r="K207" s="18" t="e">
        <f>VLOOKUP(A207,Model!C$2:D$208,2,FALSE)=B207</f>
        <v>#N/A</v>
      </c>
      <c r="L207" s="18" t="e">
        <f>VLOOKUP(A207,Model!C$2:G$208,5,FALSE)=C207</f>
        <v>#N/A</v>
      </c>
      <c r="M207" s="18" t="b">
        <f>VLOOKUP(Table1[[#This Row],[Physical Name of Attribute (Name of column in Table)
Supplied by DA Team]],Table!A$2:H$323,1,FALSE)=Table1[[#This Row],[Physical Name of Attribute (Name of column in Table)
Supplied by DA Team]]</f>
        <v>1</v>
      </c>
      <c r="N207" s="18" t="b">
        <f>VLOOKUP(B207,Table!A$2:F$319,2,FALSE)=Table1[[#This Row],[Data type in Oracle
VARCHAR2(n), DATE, NUMBER(m,n), TIMETSTAMP(6)]]</f>
        <v>0</v>
      </c>
      <c r="O207" s="18" t="b">
        <f>VLOOKUP(B207,Table!A$2:F$231,3,FALSE)=Table1[[#This Row],[Nullable in Table and in Oracle View
NULL, NOT NULL]]</f>
        <v>1</v>
      </c>
      <c r="P207" s="55" t="b">
        <f>VLOOKUP(B207,Table!A$2:H$228,6,FALSE)=Table1[[#This Row],[Business Definition (To go into comments and into Meta Data Hub)]]</f>
        <v>0</v>
      </c>
      <c r="Q207" s="18" t="s">
        <v>68</v>
      </c>
      <c r="R207" s="18" t="s">
        <v>69</v>
      </c>
      <c r="S207" s="18" t="s">
        <v>1073</v>
      </c>
      <c r="T207" s="18"/>
      <c r="U207" s="18"/>
      <c r="V207" s="46"/>
      <c r="W207" s="46"/>
      <c r="X207" s="18"/>
      <c r="Y207" s="1" t="e">
        <f>VLOOKUP(A207,Model!A$2:J$210,2,FALSE)</f>
        <v>#N/A</v>
      </c>
      <c r="Z207" s="1"/>
      <c r="AA207" s="1"/>
      <c r="AB207" s="1"/>
      <c r="AC207" s="1"/>
      <c r="AD207" s="32" t="b">
        <f>VLOOKUP(B207,AVY_FACT!A$2:A$153,1,FALSE)=B207</f>
        <v>1</v>
      </c>
      <c r="AE207" s="32" t="b">
        <f>VLOOKUP(B207,AVY_FACT!A$2:F$153,2,FALSE)=C207</f>
        <v>1</v>
      </c>
      <c r="AF207" s="32" t="e">
        <f t="shared" si="14"/>
        <v>#N/A</v>
      </c>
      <c r="AG207" s="33" t="str">
        <f t="shared" si="12"/>
        <v>COMMENT ON COLUMN TRANSACTIONS_OWNER.AVY_FACT.TXN_SRC_KEY IS 'A unique key which will help tie a CCAL transaction to the original source system transaction for research purposes.';</v>
      </c>
    </row>
    <row r="208" spans="1:33" ht="22.5" customHeight="1">
      <c r="A208" s="61" t="s">
        <v>1006</v>
      </c>
      <c r="B208" s="18" t="s">
        <v>1007</v>
      </c>
      <c r="C208" s="18" t="s">
        <v>101</v>
      </c>
      <c r="D208" s="18" t="s">
        <v>345</v>
      </c>
      <c r="E208" s="18" t="s">
        <v>133</v>
      </c>
      <c r="F208" s="45" t="s">
        <v>63</v>
      </c>
      <c r="G208" s="46" t="s">
        <v>1008</v>
      </c>
      <c r="H208" s="18"/>
      <c r="I208" s="18" t="s">
        <v>347</v>
      </c>
      <c r="J208" s="18">
        <v>3</v>
      </c>
      <c r="K208" s="18" t="e">
        <f>VLOOKUP(A208,Model!C$2:D$208,2,FALSE)=B208</f>
        <v>#N/A</v>
      </c>
      <c r="L208" s="18" t="e">
        <f>VLOOKUP(A208,Model!C$2:G$208,5,FALSE)=C208</f>
        <v>#N/A</v>
      </c>
      <c r="M208" s="18" t="b">
        <f>VLOOKUP(Table1[[#This Row],[Physical Name of Attribute (Name of column in Table)
Supplied by DA Team]],Table!A$2:H$323,1,FALSE)=Table1[[#This Row],[Physical Name of Attribute (Name of column in Table)
Supplied by DA Team]]</f>
        <v>1</v>
      </c>
      <c r="N208" s="18" t="b">
        <f>VLOOKUP(B208,Table!A$2:F$319,2,FALSE)=Table1[[#This Row],[Data type in Oracle
VARCHAR2(n), DATE, NUMBER(m,n), TIMETSTAMP(6)]]</f>
        <v>1</v>
      </c>
      <c r="O208" s="18" t="b">
        <f>VLOOKUP(B208,Table!A$2:F$231,3,FALSE)=Table1[[#This Row],[Nullable in Table and in Oracle View
NULL, NOT NULL]]</f>
        <v>0</v>
      </c>
      <c r="P208" s="55" t="b">
        <f>VLOOKUP(B208,Table!A$2:H$228,6,FALSE)=Table1[[#This Row],[Business Definition (To go into comments and into Meta Data Hub)]]</f>
        <v>0</v>
      </c>
      <c r="Q208" s="18" t="s">
        <v>262</v>
      </c>
      <c r="R208" s="18" t="s">
        <v>263</v>
      </c>
      <c r="S208" s="18" t="s">
        <v>781</v>
      </c>
      <c r="T208" s="18"/>
      <c r="U208" s="18"/>
      <c r="V208" s="46" t="s">
        <v>1005</v>
      </c>
      <c r="W208" s="46"/>
      <c r="X208" s="18"/>
      <c r="Y208" s="1" t="e">
        <f>VLOOKUP(A208,Model!A$2:J$210,2,FALSE)</f>
        <v>#N/A</v>
      </c>
      <c r="Z208" s="1"/>
      <c r="AA208" s="1"/>
      <c r="AB208" s="1"/>
      <c r="AC208" s="1"/>
      <c r="AD208" s="32" t="b">
        <f>VLOOKUP(B208,AVY_FACT!A$2:A$153,1,FALSE)=B208</f>
        <v>1</v>
      </c>
      <c r="AE208" s="32" t="b">
        <f>VLOOKUP(B208,AVY_FACT!A$2:F$153,2,FALSE)=C208</f>
        <v>1</v>
      </c>
      <c r="AF208" s="32" t="str">
        <f>B208&amp;"  "&amp;C208&amp;","</f>
        <v>TXN_SRC_STM_DIM_ID  NUMBER(38,0),</v>
      </c>
      <c r="AG208" s="33" t="str">
        <f t="shared" si="12"/>
        <v>COMMENT ON COLUMN TRANSACTIONS_OWNER.AVY_FACT.TXN_SRC_STM_DIM_ID IS 'Surrogate Key for Source system dimension based on source system information coming from Transaction.';</v>
      </c>
    </row>
    <row r="209" spans="1:33" ht="22.5" hidden="1" customHeight="1">
      <c r="A209" s="18" t="s">
        <v>2692</v>
      </c>
      <c r="B209" s="18" t="s">
        <v>1077</v>
      </c>
      <c r="C209" s="18" t="s">
        <v>139</v>
      </c>
      <c r="D209" s="18" t="s">
        <v>63</v>
      </c>
      <c r="E209" s="18" t="s">
        <v>140</v>
      </c>
      <c r="F209" s="45" t="s">
        <v>63</v>
      </c>
      <c r="G209" s="46" t="s">
        <v>1079</v>
      </c>
      <c r="H209" s="18"/>
      <c r="I209" s="18" t="s">
        <v>347</v>
      </c>
      <c r="J209" s="18">
        <v>3</v>
      </c>
      <c r="K209" s="18" t="e">
        <f>VLOOKUP(A209,Model!C$2:D$208,2,FALSE)=B209</f>
        <v>#N/A</v>
      </c>
      <c r="L209" s="18" t="e">
        <f>VLOOKUP(A209,Model!C$2:G$208,5,FALSE)=C209</f>
        <v>#N/A</v>
      </c>
      <c r="M209" s="18" t="b">
        <f>VLOOKUP(Table1[[#This Row],[Physical Name of Attribute (Name of column in Table)
Supplied by DA Team]],Table!A$2:H$323,1,FALSE)=Table1[[#This Row],[Physical Name of Attribute (Name of column in Table)
Supplied by DA Team]]</f>
        <v>1</v>
      </c>
      <c r="N209" s="18" t="b">
        <f>VLOOKUP(B209,Table!A$2:F$319,2,FALSE)=Table1[[#This Row],[Data type in Oracle
VARCHAR2(n), DATE, NUMBER(m,n), TIMETSTAMP(6)]]</f>
        <v>0</v>
      </c>
      <c r="O209" s="18" t="b">
        <f>VLOOKUP(B209,Table!A$2:F$231,3,FALSE)=Table1[[#This Row],[Nullable in Table and in Oracle View
NULL, NOT NULL]]</f>
        <v>1</v>
      </c>
      <c r="P209" s="55" t="b">
        <f>VLOOKUP(B209,Table!A$2:H$228,6,FALSE)=Table1[[#This Row],[Business Definition (To go into comments and into Meta Data Hub)]]</f>
        <v>0</v>
      </c>
      <c r="Q209" s="18" t="s">
        <v>68</v>
      </c>
      <c r="R209" s="18" t="s">
        <v>113</v>
      </c>
      <c r="S209" s="18" t="s">
        <v>143</v>
      </c>
      <c r="T209" s="18"/>
      <c r="U209" s="18"/>
      <c r="V209" s="46" t="s">
        <v>1080</v>
      </c>
      <c r="W209" s="46"/>
      <c r="X209" s="18"/>
      <c r="Y209" s="1" t="e">
        <f>VLOOKUP(A209,Model!A$2:J$210,2,FALSE)</f>
        <v>#N/A</v>
      </c>
      <c r="Z209" s="1"/>
      <c r="AA209" s="1"/>
      <c r="AB209" s="1"/>
      <c r="AC209" s="1"/>
      <c r="AD209" s="32" t="b">
        <f>VLOOKUP(B209,AVY_FACT!A$2:A$153,1,FALSE)=B209</f>
        <v>1</v>
      </c>
      <c r="AE209" s="32" t="b">
        <f>VLOOKUP(B209,AVY_FACT!A$2:F$153,2,FALSE)=C209</f>
        <v>1</v>
      </c>
      <c r="AF209" s="32" t="str">
        <f>B209&amp;"  "&amp;C209&amp;","</f>
        <v>TXN_SUB_TP_CD  VARCHAR2(20),</v>
      </c>
      <c r="AG209" s="33" t="str">
        <f t="shared" si="12"/>
        <v>COMMENT ON COLUMN TRANSACTIONS_OWNER.AVY_FACT.TXN_SUB_TP_CD IS 'Code assigned to each transaction subtype. Transaction subtypes offer narrower sub-classification of transactions Base on definition within the line-of-business or source system such as ''ATM Deposit'' or ''3rd Party ACH'' to further refine a transaction type of ''Cash Deposit''.';</v>
      </c>
    </row>
    <row r="210" spans="1:33" ht="22.5" hidden="1" customHeight="1">
      <c r="A210" s="18" t="s">
        <v>2693</v>
      </c>
      <c r="B210" s="18" t="s">
        <v>1082</v>
      </c>
      <c r="C210" s="18" t="s">
        <v>485</v>
      </c>
      <c r="D210" s="18" t="s">
        <v>63</v>
      </c>
      <c r="E210" s="18" t="s">
        <v>486</v>
      </c>
      <c r="F210" s="45" t="s">
        <v>63</v>
      </c>
      <c r="G210" s="46" t="s">
        <v>1084</v>
      </c>
      <c r="H210" s="18"/>
      <c r="I210" s="18" t="s">
        <v>347</v>
      </c>
      <c r="J210" s="18">
        <v>3</v>
      </c>
      <c r="K210" s="18" t="e">
        <f>VLOOKUP(A210,Model!C$2:D$208,2,FALSE)=B210</f>
        <v>#N/A</v>
      </c>
      <c r="L210" s="18" t="e">
        <f>VLOOKUP(A210,Model!C$2:G$208,5,FALSE)=C210</f>
        <v>#N/A</v>
      </c>
      <c r="M210" s="18" t="b">
        <f>VLOOKUP(Table1[[#This Row],[Physical Name of Attribute (Name of column in Table)
Supplied by DA Team]],Table!A$2:H$323,1,FALSE)=Table1[[#This Row],[Physical Name of Attribute (Name of column in Table)
Supplied by DA Team]]</f>
        <v>1</v>
      </c>
      <c r="N210" s="18" t="b">
        <f>VLOOKUP(B210,Table!A$2:F$319,2,FALSE)=Table1[[#This Row],[Data type in Oracle
VARCHAR2(n), DATE, NUMBER(m,n), TIMETSTAMP(6)]]</f>
        <v>0</v>
      </c>
      <c r="O210" s="18" t="b">
        <f>VLOOKUP(B210,Table!A$2:F$231,3,FALSE)=Table1[[#This Row],[Nullable in Table and in Oracle View
NULL, NOT NULL]]</f>
        <v>1</v>
      </c>
      <c r="P210" s="55" t="b">
        <f>VLOOKUP(B210,Table!A$2:H$228,6,FALSE)=Table1[[#This Row],[Business Definition (To go into comments and into Meta Data Hub)]]</f>
        <v>0</v>
      </c>
      <c r="Q210" s="18" t="s">
        <v>68</v>
      </c>
      <c r="R210" s="18" t="s">
        <v>113</v>
      </c>
      <c r="S210" s="18" t="s">
        <v>488</v>
      </c>
      <c r="T210" s="18"/>
      <c r="U210" s="18"/>
      <c r="V210" s="46" t="s">
        <v>1085</v>
      </c>
      <c r="W210" s="46"/>
      <c r="X210" s="18"/>
      <c r="Y210" s="1" t="e">
        <f>VLOOKUP(A210,Model!A$2:J$210,2,FALSE)</f>
        <v>#N/A</v>
      </c>
      <c r="Z210" s="1"/>
      <c r="AA210" s="1"/>
      <c r="AB210" s="1"/>
      <c r="AC210" s="1"/>
      <c r="AD210" s="32" t="b">
        <f>VLOOKUP(B210,AVY_FACT!A$2:A$153,1,FALSE)=B210</f>
        <v>1</v>
      </c>
      <c r="AE210" s="32" t="b">
        <f>VLOOKUP(B210,AVY_FACT!A$2:F$153,2,FALSE)=C210</f>
        <v>1</v>
      </c>
      <c r="AF210" s="32" t="str">
        <f>B210&amp;"  "&amp;C210&amp;","</f>
        <v>TXN_SUB_TP_DSC  VARCHAR2(1000),</v>
      </c>
      <c r="AG210" s="33" t="str">
        <f t="shared" si="12"/>
        <v>COMMENT ON COLUMN TRANSACTIONS_OWNER.AVY_FACT.TXN_SUB_TP_DSC IS 'Description for the Transaction Subtype code';</v>
      </c>
    </row>
    <row r="211" spans="1:33" ht="22.5" hidden="1" customHeight="1">
      <c r="A211" s="18" t="s">
        <v>1086</v>
      </c>
      <c r="B211" s="18" t="s">
        <v>1087</v>
      </c>
      <c r="C211" s="18" t="s">
        <v>101</v>
      </c>
      <c r="D211" s="18" t="s">
        <v>63</v>
      </c>
      <c r="E211" s="18" t="s">
        <v>133</v>
      </c>
      <c r="F211" s="45" t="s">
        <v>63</v>
      </c>
      <c r="G211" s="46" t="s">
        <v>1088</v>
      </c>
      <c r="H211" s="18"/>
      <c r="I211" s="18" t="s">
        <v>347</v>
      </c>
      <c r="J211" s="18">
        <v>3</v>
      </c>
      <c r="K211" s="18" t="e">
        <f>VLOOKUP(A211,Model!C$2:D$208,2,FALSE)=B211</f>
        <v>#N/A</v>
      </c>
      <c r="L211" s="18" t="e">
        <f>VLOOKUP(A211,Model!C$2:G$208,5,FALSE)=C211</f>
        <v>#N/A</v>
      </c>
      <c r="M211" s="18" t="b">
        <f>VLOOKUP(Table1[[#This Row],[Physical Name of Attribute (Name of column in Table)
Supplied by DA Team]],Table!A$2:H$323,1,FALSE)=Table1[[#This Row],[Physical Name of Attribute (Name of column in Table)
Supplied by DA Team]]</f>
        <v>1</v>
      </c>
      <c r="N211" s="18" t="b">
        <f>VLOOKUP(B211,Table!A$2:F$319,2,FALSE)=Table1[[#This Row],[Data type in Oracle
VARCHAR2(n), DATE, NUMBER(m,n), TIMETSTAMP(6)]]</f>
        <v>0</v>
      </c>
      <c r="O211" s="18" t="b">
        <f>VLOOKUP(B211,Table!A$2:F$231,3,FALSE)=Table1[[#This Row],[Nullable in Table and in Oracle View
NULL, NOT NULL]]</f>
        <v>1</v>
      </c>
      <c r="P211" s="18" t="b">
        <f>VLOOKUP(B211,Table!A$2:H$228,6,FALSE)=Table1[[#This Row],[Business Definition (To go into comments and into Meta Data Hub)]]</f>
        <v>0</v>
      </c>
      <c r="Q211" s="18" t="s">
        <v>68</v>
      </c>
      <c r="R211" s="18" t="s">
        <v>69</v>
      </c>
      <c r="S211" s="18" t="s">
        <v>1087</v>
      </c>
      <c r="T211" s="18"/>
      <c r="U211" s="18"/>
      <c r="V211" s="46"/>
      <c r="W211" s="46"/>
      <c r="X211" s="18"/>
      <c r="Y211" s="1" t="e">
        <f>VLOOKUP(A211,Model!A$2:J$210,2,FALSE)</f>
        <v>#N/A</v>
      </c>
      <c r="Z211" s="1"/>
      <c r="AA211" s="1"/>
      <c r="AB211" s="1"/>
      <c r="AC211" s="1"/>
      <c r="AD211" s="32" t="b">
        <f>VLOOKUP(B211,AVY_FACT!A$2:A$153,1,FALSE)=B211</f>
        <v>1</v>
      </c>
      <c r="AE211" s="32" t="b">
        <f>VLOOKUP(B211,AVY_FACT!A$2:F$153,2,FALSE)=C211</f>
        <v>1</v>
      </c>
      <c r="AF211" s="32" t="str">
        <f>B211&amp;"  "&amp;C211&amp;","</f>
        <v>TXN_SBTP_ID  NUMBER(38,0),</v>
      </c>
      <c r="AG211" s="33" t="str">
        <f t="shared" si="12"/>
        <v>COMMENT ON COLUMN TRANSACTIONS_OWNER.AVY_FACT.TXN_SBTP_ID IS 'CDS assigned Identifier for the transaction subtype  - used for data lineage';</v>
      </c>
    </row>
    <row r="212" spans="1:33" ht="22.5" hidden="1" customHeight="1">
      <c r="A212" s="18" t="s">
        <v>2694</v>
      </c>
      <c r="B212" s="18" t="s">
        <v>1090</v>
      </c>
      <c r="C212" s="18" t="s">
        <v>109</v>
      </c>
      <c r="D212" s="18" t="s">
        <v>63</v>
      </c>
      <c r="E212" s="18" t="s">
        <v>110</v>
      </c>
      <c r="F212" s="45" t="s">
        <v>63</v>
      </c>
      <c r="G212" s="46" t="s">
        <v>1092</v>
      </c>
      <c r="H212" s="18"/>
      <c r="I212" s="18" t="s">
        <v>347</v>
      </c>
      <c r="J212" s="18">
        <v>3</v>
      </c>
      <c r="K212" s="18" t="e">
        <f>VLOOKUP(A212,Model!C$2:D$208,2,FALSE)=B212</f>
        <v>#N/A</v>
      </c>
      <c r="L212" s="18" t="e">
        <f>VLOOKUP(A212,Model!C$2:G$208,5,FALSE)=C212</f>
        <v>#N/A</v>
      </c>
      <c r="M212" s="18" t="b">
        <f>VLOOKUP(Table1[[#This Row],[Physical Name of Attribute (Name of column in Table)
Supplied by DA Team]],Table!A$2:H$323,1,FALSE)=Table1[[#This Row],[Physical Name of Attribute (Name of column in Table)
Supplied by DA Team]]</f>
        <v>1</v>
      </c>
      <c r="N212" s="18" t="b">
        <f>VLOOKUP(B212,Table!A$2:F$319,2,FALSE)=Table1[[#This Row],[Data type in Oracle
VARCHAR2(n), DATE, NUMBER(m,n), TIMETSTAMP(6)]]</f>
        <v>0</v>
      </c>
      <c r="O212" s="18" t="b">
        <f>VLOOKUP(B212,Table!A$2:F$231,3,FALSE)=Table1[[#This Row],[Nullable in Table and in Oracle View
NULL, NOT NULL]]</f>
        <v>1</v>
      </c>
      <c r="P212" s="55" t="b">
        <f>VLOOKUP(B212,Table!A$2:H$228,6,FALSE)=Table1[[#This Row],[Business Definition (To go into comments and into Meta Data Hub)]]</f>
        <v>0</v>
      </c>
      <c r="Q212" s="18" t="s">
        <v>68</v>
      </c>
      <c r="R212" s="18" t="s">
        <v>113</v>
      </c>
      <c r="S212" s="18" t="s">
        <v>114</v>
      </c>
      <c r="T212" s="18"/>
      <c r="U212" s="18"/>
      <c r="V212" s="46" t="s">
        <v>1085</v>
      </c>
      <c r="W212" s="46"/>
      <c r="X212" s="18"/>
      <c r="Y212" s="1" t="e">
        <f>VLOOKUP(A212,Model!A$2:J$210,2,FALSE)</f>
        <v>#N/A</v>
      </c>
      <c r="Z212" s="1"/>
      <c r="AA212" s="1"/>
      <c r="AB212" s="1"/>
      <c r="AC212" s="1"/>
      <c r="AD212" s="32" t="b">
        <f>VLOOKUP(B212,AVY_FACT!A$2:A$153,1,FALSE)=B212</f>
        <v>1</v>
      </c>
      <c r="AE212" s="32" t="b">
        <f>VLOOKUP(B212,AVY_FACT!A$2:F$153,2,FALSE)=C212</f>
        <v>1</v>
      </c>
      <c r="AF212" s="32" t="str">
        <f>B212&amp;"  "&amp;C212&amp;","</f>
        <v>TXN_SUB_TP_NM  VARCHAR2(200),</v>
      </c>
      <c r="AG212" s="33" t="str">
        <f t="shared" si="12"/>
        <v>COMMENT ON COLUMN TRANSACTIONS_OWNER.AVY_FACT.TXN_SUB_TP_NM IS 'Name of each transaction subtype. Transaction subtypes offer narrower sub-classification of transactions Base on definition within the line-of-business or source system such as ''ATM Deposit'' or ''3rd Party ACH'' to further refine a transaction type of ''Cash Deposit''.';</v>
      </c>
    </row>
    <row r="213" spans="1:33" ht="22.5" hidden="1" customHeight="1">
      <c r="A213" s="18" t="s">
        <v>2695</v>
      </c>
      <c r="B213" s="18" t="s">
        <v>1094</v>
      </c>
      <c r="C213" s="18" t="s">
        <v>139</v>
      </c>
      <c r="D213" s="18" t="s">
        <v>63</v>
      </c>
      <c r="E213" s="18" t="s">
        <v>140</v>
      </c>
      <c r="F213" s="45" t="s">
        <v>63</v>
      </c>
      <c r="G213" s="46" t="s">
        <v>1096</v>
      </c>
      <c r="H213" s="18"/>
      <c r="I213" s="18" t="s">
        <v>347</v>
      </c>
      <c r="J213" s="18">
        <v>3</v>
      </c>
      <c r="K213" s="18" t="e">
        <f>VLOOKUP(A213,Model!C$2:D$208,2,FALSE)=B213</f>
        <v>#N/A</v>
      </c>
      <c r="L213" s="18" t="e">
        <f>VLOOKUP(A213,Model!C$2:G$208,5,FALSE)=C213</f>
        <v>#N/A</v>
      </c>
      <c r="M213" s="18" t="b">
        <f>VLOOKUP(Table1[[#This Row],[Physical Name of Attribute (Name of column in Table)
Supplied by DA Team]],Table!A$2:H$323,1,FALSE)=Table1[[#This Row],[Physical Name of Attribute (Name of column in Table)
Supplied by DA Team]]</f>
        <v>1</v>
      </c>
      <c r="N213" s="18" t="b">
        <f>VLOOKUP(B213,Table!A$2:F$319,2,FALSE)=Table1[[#This Row],[Data type in Oracle
VARCHAR2(n), DATE, NUMBER(m,n), TIMETSTAMP(6)]]</f>
        <v>0</v>
      </c>
      <c r="O213" s="18" t="b">
        <f>VLOOKUP(B213,Table!A$2:F$231,3,FALSE)=Table1[[#This Row],[Nullable in Table and in Oracle View
NULL, NOT NULL]]</f>
        <v>1</v>
      </c>
      <c r="P213" s="55" t="b">
        <f>VLOOKUP(B213,Table!A$2:H$228,6,FALSE)=Table1[[#This Row],[Business Definition (To go into comments and into Meta Data Hub)]]</f>
        <v>0</v>
      </c>
      <c r="Q213" s="18" t="s">
        <v>68</v>
      </c>
      <c r="R213" s="18" t="s">
        <v>113</v>
      </c>
      <c r="S213" s="18" t="s">
        <v>143</v>
      </c>
      <c r="T213" s="18"/>
      <c r="U213" s="18"/>
      <c r="V213" s="46" t="s">
        <v>1097</v>
      </c>
      <c r="W213" s="46"/>
      <c r="X213" s="18"/>
      <c r="Y213" s="1" t="e">
        <f>VLOOKUP(A213,Model!A$2:J$210,2,FALSE)</f>
        <v>#N/A</v>
      </c>
      <c r="Z213" s="1"/>
      <c r="AA213" s="1"/>
      <c r="AB213" s="1"/>
      <c r="AC213" s="1"/>
      <c r="AD213" s="32" t="b">
        <f>VLOOKUP(B213,AVY_FACT!A$2:A$153,1,FALSE)=B213</f>
        <v>1</v>
      </c>
      <c r="AE213" s="32" t="b">
        <f>VLOOKUP(B213,AVY_FACT!A$2:F$153,2,FALSE)=C213</f>
        <v>1</v>
      </c>
      <c r="AF213" s="32" t="e">
        <f>K213&amp;"  "&amp;C213&amp;","</f>
        <v>#N/A</v>
      </c>
      <c r="AG213" s="33" t="str">
        <f t="shared" si="12"/>
        <v>COMMENT ON COLUMN TRANSACTIONS_OWNER.AVY_FACT.TXN_TP_CD IS 'Transaction type codes define transactions from different source systems of different types of trades. The codes start with the key letter "T", followed by 4-character abbreviations which indicate the source system, and end with 3-digit numbers represent different types of trade.';</v>
      </c>
    </row>
    <row r="214" spans="1:33" ht="22.5" hidden="1" customHeight="1">
      <c r="A214" s="18" t="s">
        <v>2696</v>
      </c>
      <c r="B214" s="18" t="s">
        <v>1099</v>
      </c>
      <c r="C214" s="18" t="s">
        <v>485</v>
      </c>
      <c r="D214" s="18" t="s">
        <v>63</v>
      </c>
      <c r="E214" s="18" t="s">
        <v>486</v>
      </c>
      <c r="F214" s="45" t="s">
        <v>63</v>
      </c>
      <c r="G214" s="46" t="s">
        <v>1101</v>
      </c>
      <c r="H214" s="18"/>
      <c r="I214" s="18" t="s">
        <v>347</v>
      </c>
      <c r="J214" s="18">
        <v>3</v>
      </c>
      <c r="K214" s="18" t="e">
        <f>VLOOKUP(A214,Model!C$2:D$208,2,FALSE)=B214</f>
        <v>#N/A</v>
      </c>
      <c r="L214" s="18" t="e">
        <f>VLOOKUP(A214,Model!C$2:G$208,5,FALSE)=C214</f>
        <v>#N/A</v>
      </c>
      <c r="M214" s="18" t="b">
        <f>VLOOKUP(Table1[[#This Row],[Physical Name of Attribute (Name of column in Table)
Supplied by DA Team]],Table!A$2:H$323,1,FALSE)=Table1[[#This Row],[Physical Name of Attribute (Name of column in Table)
Supplied by DA Team]]</f>
        <v>1</v>
      </c>
      <c r="N214" s="18" t="b">
        <f>VLOOKUP(B214,Table!A$2:F$319,2,FALSE)=Table1[[#This Row],[Data type in Oracle
VARCHAR2(n), DATE, NUMBER(m,n), TIMETSTAMP(6)]]</f>
        <v>0</v>
      </c>
      <c r="O214" s="18" t="b">
        <f>VLOOKUP(B214,Table!A$2:F$231,3,FALSE)=Table1[[#This Row],[Nullable in Table and in Oracle View
NULL, NOT NULL]]</f>
        <v>1</v>
      </c>
      <c r="P214" s="55" t="b">
        <f>VLOOKUP(B214,Table!A$2:H$228,6,FALSE)=Table1[[#This Row],[Business Definition (To go into comments and into Meta Data Hub)]]</f>
        <v>0</v>
      </c>
      <c r="Q214" s="18" t="s">
        <v>68</v>
      </c>
      <c r="R214" s="18" t="s">
        <v>113</v>
      </c>
      <c r="S214" s="18" t="s">
        <v>488</v>
      </c>
      <c r="T214" s="18"/>
      <c r="U214" s="18"/>
      <c r="V214" s="46" t="s">
        <v>1102</v>
      </c>
      <c r="W214" s="46"/>
      <c r="X214" s="18"/>
      <c r="Y214" s="1" t="e">
        <f>VLOOKUP(A214,Model!A$2:J$210,2,FALSE)</f>
        <v>#N/A</v>
      </c>
      <c r="Z214" s="1"/>
      <c r="AA214" s="1"/>
      <c r="AB214" s="1"/>
      <c r="AC214" s="1"/>
      <c r="AD214" s="32" t="b">
        <f>VLOOKUP(B214,AVY_FACT!A$2:A$153,1,FALSE)=B214</f>
        <v>1</v>
      </c>
      <c r="AE214" s="32" t="b">
        <f>VLOOKUP(B214,AVY_FACT!A$2:F$153,2,FALSE)=C214</f>
        <v>1</v>
      </c>
      <c r="AF214" s="32" t="e">
        <f>K214&amp;"  "&amp;C214&amp;","</f>
        <v>#N/A</v>
      </c>
      <c r="AG214" s="33" t="str">
        <f t="shared" si="12"/>
        <v>COMMENT ON COLUMN TRANSACTIONS_OWNER.AVY_FACT.TXN_TP_DSC IS 'Description for the Transaction type';</v>
      </c>
    </row>
    <row r="215" spans="1:33" ht="22.5" hidden="1" customHeight="1">
      <c r="A215" s="1" t="s">
        <v>2697</v>
      </c>
      <c r="B215" s="1" t="s">
        <v>1104</v>
      </c>
      <c r="C215" s="1" t="s">
        <v>101</v>
      </c>
      <c r="D215" s="79" t="s">
        <v>63</v>
      </c>
      <c r="E215" s="1" t="s">
        <v>133</v>
      </c>
      <c r="F215" s="80" t="s">
        <v>63</v>
      </c>
      <c r="G215" s="12" t="s">
        <v>1105</v>
      </c>
      <c r="H215" s="1"/>
      <c r="I215" s="1" t="s">
        <v>347</v>
      </c>
      <c r="J215" s="1">
        <v>3</v>
      </c>
      <c r="K215" s="18" t="e">
        <f>VLOOKUP(A215,Model!C$2:D$208,2,FALSE)=B215</f>
        <v>#N/A</v>
      </c>
      <c r="L215" s="18" t="e">
        <f>VLOOKUP(A215,Model!C$2:G$208,5,FALSE)=C215</f>
        <v>#N/A</v>
      </c>
      <c r="M215" s="1" t="b">
        <f>VLOOKUP(Table1[[#This Row],[Physical Name of Attribute (Name of column in Table)
Supplied by DA Team]],Table!A$2:H$323,1,FALSE)=Table1[[#This Row],[Physical Name of Attribute (Name of column in Table)
Supplied by DA Team]]</f>
        <v>1</v>
      </c>
      <c r="N215" s="1" t="b">
        <f>VLOOKUP(B215,Table!A$2:F$319,2,FALSE)=Table1[[#This Row],[Data type in Oracle
VARCHAR2(n), DATE, NUMBER(m,n), TIMETSTAMP(6)]]</f>
        <v>0</v>
      </c>
      <c r="O215" s="1" t="b">
        <f>VLOOKUP(B215,Table!A$2:F$231,3,FALSE)=Table1[[#This Row],[Nullable in Table and in Oracle View
NULL, NOT NULL]]</f>
        <v>1</v>
      </c>
      <c r="P215" s="73" t="b">
        <f>VLOOKUP(B215,Table!A$2:H$228,6,FALSE)=Table1[[#This Row],[Business Definition (To go into comments and into Meta Data Hub)]]</f>
        <v>0</v>
      </c>
      <c r="Q215" s="1" t="s">
        <v>68</v>
      </c>
      <c r="R215" s="1" t="s">
        <v>69</v>
      </c>
      <c r="S215" s="1" t="s">
        <v>1104</v>
      </c>
      <c r="T215" s="1"/>
      <c r="U215" s="1"/>
      <c r="V215" s="12"/>
      <c r="W215" s="12"/>
      <c r="X215" s="1"/>
      <c r="Y215" s="1" t="e">
        <f>VLOOKUP(A215,Model!A$2:J$210,2,FALSE)</f>
        <v>#N/A</v>
      </c>
      <c r="Z215" s="1"/>
      <c r="AA215" s="1"/>
      <c r="AB215" s="1"/>
      <c r="AC215" s="1"/>
      <c r="AD215" s="32" t="b">
        <f>VLOOKUP(B215,AVY_FACT!A$2:A$153,1,FALSE)=B215</f>
        <v>1</v>
      </c>
      <c r="AE215" s="32" t="b">
        <f>VLOOKUP(B215,AVY_FACT!A$2:F$153,2,FALSE)=C215</f>
        <v>1</v>
      </c>
      <c r="AF215" s="32" t="e">
        <f>K215&amp;"  "&amp;C215&amp;","</f>
        <v>#N/A</v>
      </c>
      <c r="AG215" s="33" t="str">
        <f t="shared" si="12"/>
        <v>COMMENT ON COLUMN TRANSACTIONS_OWNER.AVY_FACT.TXN_TP_ID IS 'Identifier for the Transaction type';</v>
      </c>
    </row>
    <row r="216" spans="1:33" ht="22.5" hidden="1" customHeight="1">
      <c r="A216" s="56" t="s">
        <v>1106</v>
      </c>
      <c r="B216" s="18" t="s">
        <v>1107</v>
      </c>
      <c r="C216" s="18" t="s">
        <v>109</v>
      </c>
      <c r="D216" s="18" t="s">
        <v>63</v>
      </c>
      <c r="E216" s="18" t="s">
        <v>110</v>
      </c>
      <c r="F216" s="45" t="s">
        <v>63</v>
      </c>
      <c r="G216" s="46" t="s">
        <v>1109</v>
      </c>
      <c r="H216" s="18"/>
      <c r="I216" s="18" t="s">
        <v>347</v>
      </c>
      <c r="J216" s="18">
        <v>3</v>
      </c>
      <c r="K216" s="18" t="e">
        <f>VLOOKUP(A216,Model!C$2:D$208,2,FALSE)=B216</f>
        <v>#N/A</v>
      </c>
      <c r="L216" s="18" t="e">
        <f>VLOOKUP(A216,Model!C$2:G$208,5,FALSE)=C216</f>
        <v>#N/A</v>
      </c>
      <c r="M216" s="18" t="b">
        <f>VLOOKUP(Table1[[#This Row],[Physical Name of Attribute (Name of column in Table)
Supplied by DA Team]],Table!A$2:H$323,1,FALSE)=Table1[[#This Row],[Physical Name of Attribute (Name of column in Table)
Supplied by DA Team]]</f>
        <v>1</v>
      </c>
      <c r="N216" s="18" t="b">
        <f>VLOOKUP(B216,Table!A$2:F$319,2,FALSE)=Table1[[#This Row],[Data type in Oracle
VARCHAR2(n), DATE, NUMBER(m,n), TIMETSTAMP(6)]]</f>
        <v>0</v>
      </c>
      <c r="O216" s="18" t="b">
        <f>VLOOKUP(B216,Table!A$2:F$231,3,FALSE)=Table1[[#This Row],[Nullable in Table and in Oracle View
NULL, NOT NULL]]</f>
        <v>0</v>
      </c>
      <c r="P216" s="55" t="b">
        <f>VLOOKUP(B216,Table!A$2:H$228,6,FALSE)=Table1[[#This Row],[Business Definition (To go into comments and into Meta Data Hub)]]</f>
        <v>0</v>
      </c>
      <c r="Q216" s="18" t="s">
        <v>68</v>
      </c>
      <c r="R216" s="18" t="s">
        <v>113</v>
      </c>
      <c r="S216" s="18" t="s">
        <v>114</v>
      </c>
      <c r="T216" s="18"/>
      <c r="U216" s="18"/>
      <c r="V216" s="46" t="s">
        <v>1097</v>
      </c>
      <c r="W216" s="46"/>
      <c r="X216" s="18"/>
      <c r="Y216" s="1" t="e">
        <f>VLOOKUP(A216,Model!A$2:J$210,2,FALSE)</f>
        <v>#N/A</v>
      </c>
      <c r="Z216" s="1"/>
      <c r="AA216" s="1"/>
      <c r="AB216" s="1"/>
      <c r="AC216" s="1"/>
      <c r="AD216" s="32" t="b">
        <f>VLOOKUP(B216,AVY_FACT!A$2:A$153,1,FALSE)=B216</f>
        <v>1</v>
      </c>
      <c r="AE216" s="32" t="b">
        <f>VLOOKUP(B216,AVY_FACT!A$2:F$153,2,FALSE)=C216</f>
        <v>1</v>
      </c>
      <c r="AF216" s="32" t="e">
        <f>K216&amp;"  "&amp;C216&amp;","</f>
        <v>#N/A</v>
      </c>
      <c r="AG216" s="33" t="str">
        <f t="shared" si="12"/>
        <v>COMMENT ON COLUMN TRANSACTIONS_OWNER.AVY_FACT.TXN_TP_NM IS 'Name that represents transactions from different source systems of different types of trades.';</v>
      </c>
    </row>
  </sheetData>
  <autoFilter ref="A1:AE216" xr:uid="{84F054F4-A2B3-4BD5-94DF-109EE1380769}">
    <filterColumn colId="24">
      <filters>
        <filter val="#N/A"/>
      </filters>
    </filterColumn>
  </autoFilter>
  <sortState xmlns:xlrd2="http://schemas.microsoft.com/office/spreadsheetml/2017/richdata2" ref="A2:AG216">
    <sortCondition ref="A2:A216"/>
  </sortState>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8a27bba-3e67-43d1-8504-e8ab049072dd" xsi:nil="true"/>
    <lcf76f155ced4ddcb4097134ff3c332f xmlns="8889ac66-a331-4fe6-8d0f-c6fea2346e24">
      <Terms xmlns="http://schemas.microsoft.com/office/infopath/2007/PartnerControls"/>
    </lcf76f155ced4ddcb4097134ff3c332f>
    <SharedWithUsers xmlns="58a27bba-3e67-43d1-8504-e8ab049072dd">
      <UserInfo>
        <DisplayName>Anand Waishampayan</DisplayName>
        <AccountId>70</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9FE176A865024B82746AC01372DAB6" ma:contentTypeVersion="17" ma:contentTypeDescription="Create a new document." ma:contentTypeScope="" ma:versionID="922c480ddc59e6305a8a8fb3a8148c08">
  <xsd:schema xmlns:xsd="http://www.w3.org/2001/XMLSchema" xmlns:xs="http://www.w3.org/2001/XMLSchema" xmlns:p="http://schemas.microsoft.com/office/2006/metadata/properties" xmlns:ns2="8889ac66-a331-4fe6-8d0f-c6fea2346e24" xmlns:ns3="58a27bba-3e67-43d1-8504-e8ab049072dd" targetNamespace="http://schemas.microsoft.com/office/2006/metadata/properties" ma:root="true" ma:fieldsID="7adf1aec20f105c257528873c177ef16" ns2:_="" ns3:_="">
    <xsd:import namespace="8889ac66-a331-4fe6-8d0f-c6fea2346e24"/>
    <xsd:import namespace="58a27bba-3e67-43d1-8504-e8ab049072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ac66-a331-4fe6-8d0f-c6fea2346e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7667d4e-71ed-4d32-b27c-cd58ec4b434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a27bba-3e67-43d1-8504-e8ab049072d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8aff4ee-6883-4921-985f-3481f2310e9f}" ma:internalName="TaxCatchAll" ma:showField="CatchAllData" ma:web="58a27bba-3e67-43d1-8504-e8ab049072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E513F4-A103-415D-B9AD-2F9B0BEDFF36}">
  <ds:schemaRefs>
    <ds:schemaRef ds:uri="http://schemas.microsoft.com/sharepoint/v3/contenttype/forms"/>
  </ds:schemaRefs>
</ds:datastoreItem>
</file>

<file path=customXml/itemProps2.xml><?xml version="1.0" encoding="utf-8"?>
<ds:datastoreItem xmlns:ds="http://schemas.openxmlformats.org/officeDocument/2006/customXml" ds:itemID="{3BB92FD7-3D67-4D76-9D89-2FC79341A64F}">
  <ds:schemaRefs>
    <ds:schemaRef ds:uri="http://schemas.microsoft.com/office/2006/metadata/properties"/>
    <ds:schemaRef ds:uri="http://schemas.microsoft.com/office/infopath/2007/PartnerControls"/>
    <ds:schemaRef ds:uri="58a27bba-3e67-43d1-8504-e8ab049072dd"/>
    <ds:schemaRef ds:uri="8889ac66-a331-4fe6-8d0f-c6fea2346e24"/>
  </ds:schemaRefs>
</ds:datastoreItem>
</file>

<file path=customXml/itemProps3.xml><?xml version="1.0" encoding="utf-8"?>
<ds:datastoreItem xmlns:ds="http://schemas.openxmlformats.org/officeDocument/2006/customXml" ds:itemID="{BC98FA7F-AE9D-4F17-B8D0-840981C4E9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ac66-a331-4fe6-8d0f-c6fea2346e24"/>
    <ds:schemaRef ds:uri="58a27bba-3e67-43d1-8504-e8ab04907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Table-View (2)</vt:lpstr>
      <vt:lpstr>Table-View</vt:lpstr>
      <vt:lpstr>Consumer View</vt:lpstr>
      <vt:lpstr>Table</vt:lpstr>
      <vt:lpstr>RJM Activity Fact View</vt:lpstr>
      <vt:lpstr>RJBank Activity Fact View</vt:lpstr>
      <vt:lpstr>ETL Notes</vt:lpstr>
      <vt:lpstr>attributes</vt:lpstr>
      <vt:lpstr>Attribute</vt:lpstr>
      <vt:lpstr>Model</vt:lpstr>
      <vt:lpstr>AVY_FACT</vt:lpstr>
      <vt:lpstr>Table_view_sorted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ETL Source to Target Map</dc:title>
  <dc:subject/>
  <dc:creator/>
  <cp:keywords/>
  <dc:description/>
  <cp:lastModifiedBy/>
  <cp:revision/>
  <dcterms:created xsi:type="dcterms:W3CDTF">2017-12-24T20:55:20Z</dcterms:created>
  <dcterms:modified xsi:type="dcterms:W3CDTF">2026-05-19T10:37:14Z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0x010100689FE176A865024B82746AC01372DAB6</vt:lpwstr>
  </property>
  <property fmtid="{D5CDD505-2E9C-101B-9397-08002B2CF9AE}" pid="3" name="Order">
    <vt:r8>1080200</vt:r8>
  </property>
  <property fmtid="{D5CDD505-2E9C-101B-9397-08002B2CF9AE}" pid="4" name="MediaServiceImageTags">
    <vt:lpwstr/>
  </property>
</Properties>
</file>